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FC922D61-A027-40F4-85FB-DD00FE70054D}" xr6:coauthVersionLast="47" xr6:coauthVersionMax="47" xr10:uidLastSave="{00000000-0000-0000-0000-000000000000}"/>
  <bookViews>
    <workbookView xWindow="-120" yWindow="-120" windowWidth="29040" windowHeight="15720"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16" i="2" l="1"/>
  <c r="H116" i="2"/>
  <c r="I116" i="2" s="1"/>
  <c r="J116" i="2"/>
  <c r="L116" i="2" s="1"/>
  <c r="O116" i="2"/>
  <c r="A115" i="2"/>
  <c r="H115" i="2"/>
  <c r="I115" i="2" s="1"/>
  <c r="O115" i="2"/>
  <c r="Q115" i="2"/>
  <c r="A114" i="2"/>
  <c r="H114" i="2"/>
  <c r="I114" i="2" s="1"/>
  <c r="J114" i="2"/>
  <c r="L114" i="2" s="1"/>
  <c r="O114" i="2"/>
  <c r="A113" i="2"/>
  <c r="H113" i="2"/>
  <c r="I113" i="2" s="1"/>
  <c r="J113" i="2"/>
  <c r="L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115" i="2" l="1"/>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<sst xmlns="http://schemas.openxmlformats.org/spreadsheetml/2006/main" count="25352" uniqueCount="13133">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</sst>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6">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27">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53">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9" fontId="3" fillId="5" borderId="0" xfId="3"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0" fontId="3" fillId="0" borderId="0" xfId="0" applyNumberFormat="1" applyFont="1" applyAlignment="1">
      <alignment vertical="center"/>
    </xf>
  </cellXfs>
  <cellStyles count="27">
    <cellStyle name="Comma" xfId="1" builtinId="3"/>
    <cellStyle name="Comma [0] 2" xfId="10" xr:uid="{2401179A-4BCF-4B0B-9019-92565103D68C}"/>
    <cellStyle name="Comma 10" xfId="20" xr:uid="{F15E1B1C-4465-45DD-BCFF-F8DC99EA9312}"/>
    <cellStyle name="Comma 11" xfId="21" xr:uid="{E6B81E52-C423-410B-A4B6-58D59F05E81C}"/>
    <cellStyle name="Comma 12" xfId="22" xr:uid="{35A047DF-4E5D-4DEF-9DF7-358B7D9C916F}"/>
    <cellStyle name="Comma 13" xfId="23" xr:uid="{4370E1F0-EF22-4D16-B6EA-5E127EA501E5}"/>
    <cellStyle name="Comma 14" xfId="24" xr:uid="{8F263337-28CF-443E-9A66-A712BA59AA65}"/>
    <cellStyle name="Comma 15" xfId="25" xr:uid="{6582DA0D-5A8F-4052-B2DB-9ACD23AD1E49}"/>
    <cellStyle name="Comma 16" xfId="26" xr:uid="{7E3748F7-B4FF-4719-A8D0-1AB8810F3CC3}"/>
    <cellStyle name="Comma 2" xfId="7" xr:uid="{A7D928DD-234E-4526-9B29-C38899145D95}"/>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Comma 5" xfId="15" xr:uid="{1B99EEE7-5E30-4784-98C8-9499A561C663}"/>
    <cellStyle name="Comma 6" xfId="16" xr:uid="{264B1648-479B-4CBF-99BC-6ED439AAD40F}"/>
    <cellStyle name="Comma 7" xfId="17" xr:uid="{B33DB79A-149E-4510-909C-176CF8DF7E23}"/>
    <cellStyle name="Comma 8" xfId="18" xr:uid="{22C37695-9BA3-485C-8644-E00F7306C625}"/>
    <cellStyle name="Comma 9" xfId="19" xr:uid="{2875765B-C21C-466E-9062-CB80136F02D0}"/>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4"/>
      <tableStyleElement type="headerRow" dxfId="8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autoFilter ref="A1:E978" xr:uid="{E5509459-E3D4-4643-81CB-059A017BA239}">
    <filterColumn colId="0">
      <filters>
        <filter val="2149794"/>
      </filters>
    </filterColumn>
  </autoFilter>
  <tableColumns count="5">
    <tableColumn id="1" xr3:uid="{CE6305D2-B0A2-4AF4-AD54-51B9EE8E31D7}" uniqueName="1" name="Mã sản phẩm" queryTableFieldId="1" dataDxfId="69"/>
    <tableColumn id="2" xr3:uid="{78C0B3DE-4B0D-4F42-9CFB-367331B55B6E}" uniqueName="2" name="Tên sản phẩm" queryTableFieldId="2" dataDxfId="68"/>
    <tableColumn id="5" xr3:uid="{D7C71052-76A0-4EA7-B624-4A9D6A76F616}" uniqueName="5" name="DS - ĐV" queryTableFieldId="5" dataDxfId="67"/>
    <tableColumn id="6" xr3:uid="{72988F07-60F3-4EC8-982D-E631DB13AFBA}" uniqueName="6" name="OEM - DS - ĐV" queryTableFieldId="6" dataDxfId="66"/>
    <tableColumn id="4" xr3:uid="{06E26DB5-D709-41AE-8B98-A826C58C4A64}" uniqueName="4" name="MSG - DS - NK - ĐV" queryTableFieldId="4" dataDxfId="6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64" dataDxfId="63">
  <autoFilter ref="A1:E232" xr:uid="{5719FBBD-8E6F-4E05-ADAF-92119CAB6842}"/>
  <tableColumns count="5">
    <tableColumn id="1" xr3:uid="{2C40A1CB-C46A-4153-AED9-D8B01B3B1FDF}" name="Mã Barcode" dataDxfId="62"/>
    <tableColumn id="2" xr3:uid="{7456A678-F847-47ED-94C4-3C260C1552F3}" name="Mã sản phẩm" dataDxfId="61"/>
    <tableColumn id="3" xr3:uid="{8F00D34E-5FF5-4B46-92CA-973A13BE3354}" name="Tên sản phẩm" dataDxfId="60"/>
    <tableColumn id="4" xr3:uid="{E1BC9259-7622-4555-971D-35D04B656BA5}" name="Giá gốc" dataDxfId="59" dataCellStyle="Comma"/>
    <tableColumn id="5" xr3:uid="{8D11E962-8D0A-471C-A0EB-B80959C9286A}" name="Hệ thống" dataDxfId="58"/>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16" totalsRowShown="0" headerRowDxfId="57" dataDxfId="56">
  <tableColumns count="17">
    <tableColumn id="16" xr3:uid="{3D638095-6A4C-4457-8987-56DFEC602049}" name="STT" dataDxfId="55" dataCellStyle="Comma">
      <calculatedColumnFormula>ROW()-1</calculatedColumnFormula>
    </tableColumn>
    <tableColumn id="1" xr3:uid="{CC8C6505-F6F3-49A5-990D-1D05F3C2A523}" name="Tên chương trình" dataDxfId="54"/>
    <tableColumn id="14" xr3:uid="{3CF3F57A-B7A9-4949-A2CD-7559736D578A}" name="Hệ thống" dataDxfId="53"/>
    <tableColumn id="13" xr3:uid="{914695FE-C4D2-4760-9B39-7E39BA176931}" name="Phạm vi" dataDxfId="52"/>
    <tableColumn id="7" xr3:uid="{0C5B54E1-CC44-4C58-883F-6EBB8D8B1560}" name="Ngày áp dụng" dataDxfId="51"/>
    <tableColumn id="6" xr3:uid="{E46FE077-A7BC-483C-9EC5-579E67208DED}" name="Ngày kết thúc" dataDxfId="50"/>
    <tableColumn id="8" xr3:uid="{38AD0AB6-8448-4FA9-90AD-E00435DC7105}" name="Barcode" dataDxfId="49"/>
    <tableColumn id="2" xr3:uid="{4F907A79-C404-45B8-8865-DAA53BD2BB5D}" name="Mã sản phẩm" dataDxfId="48">
      <calculatedColumnFormula>VLOOKUP(gia_khuyen_mai[[#This Row],[Barcode]],'Giá gốc'!$A:$B,2,0)</calculatedColumnFormula>
    </tableColumn>
    <tableColumn id="3" xr3:uid="{57D313CB-E05B-4C62-8D7B-1FBA1B603426}" name="Tên sản phẩm" dataDxfId="47">
      <calculatedColumnFormula>VLOOKUP(gia_khuyen_mai[[#This Row],[Mã sản phẩm]],'Giá gốc'!$B:$C,2,0)</calculatedColumnFormula>
    </tableColumn>
    <tableColumn id="4" xr3:uid="{4AC2CD1B-6CAA-414B-9586-47FBFA9FD3E7}" name="Giá gốc" dataDxfId="46" dataCellStyle="Comma">
      <calculatedColumnFormula>VLOOKUP(gia_khuyen_mai[[#This Row],[Mã sản phẩm]],'Giá gốc'!B:D,3,0)</calculatedColumnFormula>
    </tableColumn>
    <tableColumn id="9" xr3:uid="{BDE7683A-2B2E-4466-A858-7FCBDF8E1EF8}" name="% Giảm giá" dataDxfId="45" dataCellStyle="Percent"/>
    <tableColumn id="10" xr3:uid="{1727AD9F-F93C-4F3F-9A11-6C9525D5465E}" name="Giá khuyến mại" dataDxfId="44">
      <calculatedColumnFormula>ROUND((1-gia_khuyen_mai[[#This Row],[% Giảm giá]]) * gia_khuyen_mai[[#This Row],[Giá gốc]], 0)</calculatedColumnFormula>
    </tableColumn>
    <tableColumn id="15" xr3:uid="{309C4649-C5E5-488F-93A8-AF4DAA76C571}" name="Chương trình KM" dataDxfId="43"/>
    <tableColumn id="11" xr3:uid="{553C2C7E-2BDB-4322-B663-ED2D77F94C90}" name="Mã hàng tặng" dataDxfId="42"/>
    <tableColumn id="12" xr3:uid="{9B83A596-C597-4BF6-B840-6CC6C33B0988}" name="Tên hàng tặng" dataDxfId="41">
      <calculatedColumnFormula>IFERROR(VLOOKUP(gia_khuyen_mai[[#This Row],[Mã hàng tặng]],'Giá gốc'!B:C,2,0),"")</calculatedColumnFormula>
    </tableColumn>
    <tableColumn id="5" xr3:uid="{B98AE93A-CC51-433B-8429-C4A7F7A0D0B0}" name="Chương trình KAM" dataDxfId="40"/>
    <tableColumn id="17" xr3:uid="{622106C7-5406-4E9B-B608-2AEC51135AC8}" name="Loại hàng" dataDxfId="39">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64" totalsRowShown="0" headerRowDxfId="82" dataDxfId="81" tableBorderDxfId="80">
  <autoFilter ref="A1:I3864" xr:uid="{A7F0F5EE-2F1D-459B-92FB-EFC41AE732A7}"/>
  <sortState xmlns:xlrd2="http://schemas.microsoft.com/office/spreadsheetml/2017/richdata2" ref="A2:I3619">
    <sortCondition sortBy="cellColor" ref="A1:A3619" dxfId="79"/>
  </sortState>
  <tableColumns count="9">
    <tableColumn id="1" xr3:uid="{E1F7E384-0140-4EA8-AFCB-ED63BFF6E92D}" name="Mã điểm giao" dataDxfId="78"/>
    <tableColumn id="2" xr3:uid="{BC28FE72-0CF1-4B29-91F8-C1D1AFC0DADB}" name="Hệ thống" dataDxfId="77"/>
    <tableColumn id="3" xr3:uid="{1076D369-316B-4E90-8B17-68A6B514BCB4}" name="Tên điểm giao" dataDxfId="76"/>
    <tableColumn id="4" xr3:uid="{6DE5C7D4-E5DE-478F-AB4D-F95EA4269F49}" name="Địa chỉ điểm giao" dataDxfId="75"/>
    <tableColumn id="5" xr3:uid="{9E7B3702-4CDD-48E4-A385-947AA2B1546E}" name="Mã khách hàng" dataDxfId="74"/>
    <tableColumn id="6" xr3:uid="{F2ABDEAC-1268-4D68-9C33-21242C5DE7BE}" name="Tên khách hàng" dataDxfId="73">
      <calculatedColumnFormula>VLOOKUP(Table8[[#This Row],[Mã khách hàng]],code_khach_hang[],2,0)</calculatedColumnFormula>
    </tableColumn>
    <tableColumn id="7" xr3:uid="{C4E931ED-C444-4313-89B0-64B07C7D98EE}" name="Chi nhánh" dataDxfId="72">
      <calculatedColumnFormula>VLOOKUP(Table8[[#This Row],[Mã khách hàng]],code_khach_hang[],3,0)</calculatedColumnFormula>
    </tableColumn>
    <tableColumn id="8" xr3:uid="{595D2146-6C6E-4A4A-9D05-25AA528A9E5B}" name="Nhóm hàng" dataDxfId="71">
      <calculatedColumnFormula>VLOOKUP(Table8[[#This Row],[Mã khách hàng]],'Khách hàng'!A:D,4,0)</calculatedColumnFormula>
    </tableColumn>
    <tableColumn id="9" xr3:uid="{2C823544-9944-474B-AF19-F6B825C6503A}" name="Mã kho" dataDxfId="70">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8">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7"/>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6" dataDxfId="35">
  <autoFilter ref="C1:C4" xr:uid="{ADC05F40-C363-4DCB-BE5D-0A0045F8B258}"/>
  <tableColumns count="1">
    <tableColumn id="1" xr3:uid="{9D66A733-528A-41BB-A541-CCD75B87ADB0}" name="Hệ thống" dataDxfId="34"/>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3" dataDxfId="32">
  <autoFilter ref="A1:A5" xr:uid="{3E5BB425-C709-4E30-B692-C634F029F4C5}"/>
  <tableColumns count="1">
    <tableColumn id="1" xr3:uid="{8068B11E-DE88-4012-B8D2-4E3A6A990A5E}" name="Phạm vi" dataDxfId="31"/>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0" dataDxfId="29">
  <autoFilter ref="E1:E3" xr:uid="{5AD308E8-3B5F-4678-BE60-E71492E4098C}"/>
  <tableColumns count="1">
    <tableColumn id="1" xr3:uid="{090FBE7C-3012-4BB8-B161-C8913DD3AD9B}" name="Chương trình KM" dataDxfId="28"/>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7" dataDxfId="26">
  <autoFilter ref="G1:G3" xr:uid="{3805AE30-E17D-426D-B46F-6302B2466CAB}"/>
  <tableColumns count="1">
    <tableColumn id="1" xr3:uid="{4C6FE016-BD59-4F65-B58B-1F846720B07D}" name="DS-DV" dataDxfId="25"/>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4" dataDxfId="23">
  <autoFilter ref="I1:I5" xr:uid="{1AFCDDEB-5F61-44C7-8FEA-25E7FC5990A5}"/>
  <tableColumns count="1">
    <tableColumn id="1" xr3:uid="{BCE62694-B0AC-41FE-8A09-62367A5AF0BA}" name="MSG - DS - NK - ĐV" dataDxfId="22"/>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1" dataDxfId="20">
  <autoFilter ref="K1:K9" xr:uid="{7DB961E9-913F-4CD7-B577-ADA7BAE73B05}"/>
  <tableColumns count="1">
    <tableColumn id="1" xr3:uid="{A0E54596-C379-4875-893B-12BE27309887}" name="Chi nhánh" dataDxfId="19"/>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8" dataDxfId="17">
  <autoFilter ref="M1:N7" xr:uid="{987FC37B-C85C-411A-B67A-8746E3534E56}"/>
  <tableColumns count="2">
    <tableColumn id="1" xr3:uid="{61A405FA-1C6E-42CE-B141-07C2E716B041}" name="Mã kho" dataDxfId="16"/>
    <tableColumn id="2" xr3:uid="{EB2F09D8-48CD-47D6-9999-FB85D9342F16}" name="Tên kho" dataDxfId="15"/>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zoomScale="115" zoomScaleNormal="115" workbookViewId="0">
      <selection activeCell="A979" sqref="A979"/>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hidden="1">
      <c r="A2">
        <v>2150294</v>
      </c>
      <c r="B2" t="s">
        <v>9564</v>
      </c>
      <c r="C2" t="s">
        <v>9565</v>
      </c>
      <c r="D2" t="s">
        <v>9565</v>
      </c>
      <c r="E2" t="s">
        <v>9565</v>
      </c>
    </row>
    <row r="3" spans="1:5" hidden="1">
      <c r="A3" t="s">
        <v>9566</v>
      </c>
      <c r="B3" t="s">
        <v>9567</v>
      </c>
      <c r="C3" t="s">
        <v>9565</v>
      </c>
      <c r="D3" t="s">
        <v>9565</v>
      </c>
      <c r="E3" t="s">
        <v>9565</v>
      </c>
    </row>
    <row r="4" spans="1:5" hidden="1">
      <c r="A4" t="s">
        <v>9568</v>
      </c>
      <c r="B4" t="s">
        <v>9569</v>
      </c>
      <c r="C4" t="s">
        <v>9565</v>
      </c>
      <c r="D4" t="s">
        <v>9565</v>
      </c>
      <c r="E4" t="s">
        <v>9565</v>
      </c>
    </row>
    <row r="5" spans="1:5" hidden="1">
      <c r="A5" t="s">
        <v>9570</v>
      </c>
      <c r="B5" t="s">
        <v>9571</v>
      </c>
      <c r="C5" t="s">
        <v>9565</v>
      </c>
      <c r="D5" t="s">
        <v>9565</v>
      </c>
      <c r="E5" t="s">
        <v>9565</v>
      </c>
    </row>
    <row r="6" spans="1:5" hidden="1">
      <c r="A6" t="s">
        <v>9572</v>
      </c>
      <c r="B6" t="s">
        <v>9573</v>
      </c>
      <c r="C6" t="s">
        <v>9574</v>
      </c>
      <c r="D6" t="s">
        <v>9574</v>
      </c>
      <c r="E6" t="s">
        <v>9574</v>
      </c>
    </row>
    <row r="7" spans="1:5" hidden="1">
      <c r="A7" t="s">
        <v>477</v>
      </c>
      <c r="B7" t="s">
        <v>9575</v>
      </c>
      <c r="C7" t="s">
        <v>9565</v>
      </c>
      <c r="D7" t="s">
        <v>9565</v>
      </c>
      <c r="E7" t="s">
        <v>9565</v>
      </c>
    </row>
    <row r="8" spans="1:5" hidden="1">
      <c r="A8" t="s">
        <v>480</v>
      </c>
      <c r="B8" t="s">
        <v>9576</v>
      </c>
      <c r="C8" t="s">
        <v>9565</v>
      </c>
      <c r="D8" t="s">
        <v>9565</v>
      </c>
      <c r="E8" t="s">
        <v>9565</v>
      </c>
    </row>
    <row r="9" spans="1:5" hidden="1">
      <c r="A9" t="s">
        <v>9577</v>
      </c>
      <c r="B9" t="s">
        <v>9578</v>
      </c>
      <c r="C9" t="s">
        <v>9574</v>
      </c>
      <c r="D9" t="s">
        <v>9574</v>
      </c>
      <c r="E9" t="s">
        <v>9574</v>
      </c>
    </row>
    <row r="10" spans="1:5" hidden="1">
      <c r="A10" t="s">
        <v>9579</v>
      </c>
      <c r="B10" t="s">
        <v>9580</v>
      </c>
      <c r="C10" t="s">
        <v>9565</v>
      </c>
      <c r="D10" t="s">
        <v>9565</v>
      </c>
      <c r="E10" t="s">
        <v>9565</v>
      </c>
    </row>
    <row r="11" spans="1:5" hidden="1">
      <c r="A11" t="s">
        <v>9581</v>
      </c>
      <c r="B11" t="s">
        <v>9582</v>
      </c>
      <c r="C11" t="s">
        <v>9565</v>
      </c>
      <c r="D11" t="s">
        <v>9565</v>
      </c>
      <c r="E11" t="s">
        <v>9565</v>
      </c>
    </row>
    <row r="12" spans="1:5" hidden="1">
      <c r="A12" t="s">
        <v>9583</v>
      </c>
      <c r="B12" t="s">
        <v>9584</v>
      </c>
      <c r="C12" t="s">
        <v>9574</v>
      </c>
      <c r="D12" t="s">
        <v>9574</v>
      </c>
      <c r="E12" t="s">
        <v>9574</v>
      </c>
    </row>
    <row r="13" spans="1:5" hidden="1">
      <c r="A13" t="s">
        <v>9585</v>
      </c>
      <c r="B13" t="s">
        <v>9586</v>
      </c>
      <c r="C13" t="s">
        <v>9574</v>
      </c>
      <c r="D13" t="s">
        <v>9574</v>
      </c>
      <c r="E13" t="s">
        <v>9574</v>
      </c>
    </row>
    <row r="14" spans="1:5" hidden="1">
      <c r="A14" t="s">
        <v>9587</v>
      </c>
      <c r="B14" t="s">
        <v>9588</v>
      </c>
      <c r="C14" t="s">
        <v>9574</v>
      </c>
      <c r="D14" t="s">
        <v>9574</v>
      </c>
      <c r="E14" t="s">
        <v>9574</v>
      </c>
    </row>
    <row r="15" spans="1:5" hidden="1">
      <c r="A15" t="s">
        <v>9589</v>
      </c>
      <c r="B15" t="s">
        <v>9590</v>
      </c>
      <c r="C15" t="s">
        <v>9574</v>
      </c>
      <c r="D15" t="s">
        <v>9574</v>
      </c>
      <c r="E15" t="s">
        <v>9574</v>
      </c>
    </row>
    <row r="16" spans="1:5" hidden="1">
      <c r="A16" t="s">
        <v>9591</v>
      </c>
      <c r="B16" t="s">
        <v>9592</v>
      </c>
      <c r="C16" t="s">
        <v>9574</v>
      </c>
      <c r="D16" t="s">
        <v>9574</v>
      </c>
      <c r="E16" t="s">
        <v>9549</v>
      </c>
    </row>
    <row r="17" spans="1:5" hidden="1">
      <c r="A17" t="s">
        <v>9593</v>
      </c>
      <c r="B17" t="s">
        <v>9594</v>
      </c>
      <c r="C17" t="s">
        <v>9574</v>
      </c>
      <c r="D17" t="s">
        <v>9574</v>
      </c>
      <c r="E17" t="s">
        <v>9549</v>
      </c>
    </row>
    <row r="18" spans="1:5" hidden="1">
      <c r="A18" t="s">
        <v>9595</v>
      </c>
      <c r="B18" t="s">
        <v>9596</v>
      </c>
      <c r="C18" t="s">
        <v>9574</v>
      </c>
      <c r="D18" t="s">
        <v>9574</v>
      </c>
      <c r="E18" t="s">
        <v>9549</v>
      </c>
    </row>
    <row r="19" spans="1:5" hidden="1">
      <c r="A19" t="s">
        <v>9597</v>
      </c>
      <c r="B19" t="s">
        <v>9598</v>
      </c>
      <c r="C19" t="s">
        <v>9574</v>
      </c>
      <c r="D19" t="s">
        <v>9574</v>
      </c>
      <c r="E19" t="s">
        <v>9574</v>
      </c>
    </row>
    <row r="20" spans="1:5" hidden="1">
      <c r="A20" t="s">
        <v>9599</v>
      </c>
      <c r="B20" t="s">
        <v>9600</v>
      </c>
      <c r="C20" t="s">
        <v>9574</v>
      </c>
      <c r="D20" t="s">
        <v>9574</v>
      </c>
      <c r="E20" t="s">
        <v>9601</v>
      </c>
    </row>
    <row r="21" spans="1:5" hidden="1">
      <c r="A21" t="s">
        <v>9602</v>
      </c>
      <c r="B21" t="s">
        <v>9603</v>
      </c>
      <c r="C21" t="s">
        <v>9574</v>
      </c>
      <c r="D21" t="s">
        <v>9574</v>
      </c>
      <c r="E21" t="s">
        <v>9574</v>
      </c>
    </row>
    <row r="22" spans="1:5" hidden="1">
      <c r="A22" t="s">
        <v>9604</v>
      </c>
      <c r="B22" t="s">
        <v>9605</v>
      </c>
      <c r="C22" t="s">
        <v>9574</v>
      </c>
      <c r="D22" t="s">
        <v>9574</v>
      </c>
      <c r="E22" t="s">
        <v>9574</v>
      </c>
    </row>
    <row r="23" spans="1:5" hidden="1">
      <c r="A23" t="s">
        <v>9606</v>
      </c>
      <c r="B23" t="s">
        <v>9607</v>
      </c>
      <c r="C23" t="s">
        <v>9574</v>
      </c>
      <c r="D23" t="s">
        <v>9574</v>
      </c>
      <c r="E23" t="s">
        <v>9574</v>
      </c>
    </row>
    <row r="24" spans="1:5" hidden="1">
      <c r="A24" t="s">
        <v>9608</v>
      </c>
      <c r="B24" t="s">
        <v>9609</v>
      </c>
      <c r="C24" t="s">
        <v>9574</v>
      </c>
      <c r="D24" t="s">
        <v>9574</v>
      </c>
      <c r="E24" t="s">
        <v>9601</v>
      </c>
    </row>
    <row r="25" spans="1:5" hidden="1">
      <c r="A25" t="s">
        <v>9610</v>
      </c>
      <c r="B25" t="s">
        <v>9611</v>
      </c>
      <c r="C25" t="s">
        <v>9574</v>
      </c>
      <c r="D25" t="s">
        <v>9574</v>
      </c>
      <c r="E25" t="s">
        <v>9574</v>
      </c>
    </row>
    <row r="26" spans="1:5" hidden="1">
      <c r="A26" t="s">
        <v>9612</v>
      </c>
      <c r="B26" t="s">
        <v>9613</v>
      </c>
      <c r="C26" t="s">
        <v>9574</v>
      </c>
      <c r="D26" t="s">
        <v>9574</v>
      </c>
      <c r="E26" t="s">
        <v>9574</v>
      </c>
    </row>
    <row r="27" spans="1:5" hidden="1">
      <c r="A27" t="s">
        <v>9614</v>
      </c>
      <c r="B27" t="s">
        <v>9615</v>
      </c>
      <c r="C27" t="s">
        <v>9574</v>
      </c>
      <c r="D27" t="s">
        <v>9574</v>
      </c>
      <c r="E27" t="s">
        <v>9601</v>
      </c>
    </row>
    <row r="28" spans="1:5" hidden="1">
      <c r="A28" t="s">
        <v>9616</v>
      </c>
      <c r="B28" t="s">
        <v>9617</v>
      </c>
      <c r="C28" t="s">
        <v>9574</v>
      </c>
      <c r="D28" t="s">
        <v>9574</v>
      </c>
      <c r="E28" t="s">
        <v>9574</v>
      </c>
    </row>
    <row r="29" spans="1:5" hidden="1">
      <c r="A29" t="s">
        <v>9618</v>
      </c>
      <c r="B29" t="s">
        <v>9619</v>
      </c>
      <c r="C29" t="s">
        <v>9574</v>
      </c>
      <c r="D29" t="s">
        <v>9574</v>
      </c>
      <c r="E29" t="s">
        <v>9574</v>
      </c>
    </row>
    <row r="30" spans="1:5" hidden="1">
      <c r="A30" t="s">
        <v>9620</v>
      </c>
      <c r="B30" t="s">
        <v>9621</v>
      </c>
      <c r="C30" t="s">
        <v>9574</v>
      </c>
      <c r="D30" t="s">
        <v>9574</v>
      </c>
      <c r="E30" t="s">
        <v>9574</v>
      </c>
    </row>
    <row r="31" spans="1:5" hidden="1">
      <c r="A31" t="s">
        <v>9622</v>
      </c>
      <c r="B31" t="s">
        <v>9623</v>
      </c>
      <c r="C31" t="s">
        <v>9574</v>
      </c>
      <c r="D31" t="s">
        <v>9574</v>
      </c>
      <c r="E31" t="s">
        <v>9574</v>
      </c>
    </row>
    <row r="32" spans="1:5" hidden="1">
      <c r="A32" t="s">
        <v>9624</v>
      </c>
      <c r="B32" t="s">
        <v>9625</v>
      </c>
      <c r="C32" t="s">
        <v>9574</v>
      </c>
      <c r="D32" t="s">
        <v>9574</v>
      </c>
      <c r="E32" t="s">
        <v>9574</v>
      </c>
    </row>
    <row r="33" spans="1:5" hidden="1">
      <c r="A33" t="s">
        <v>9626</v>
      </c>
      <c r="B33" t="s">
        <v>9627</v>
      </c>
      <c r="C33" t="s">
        <v>9574</v>
      </c>
      <c r="D33" t="s">
        <v>9574</v>
      </c>
      <c r="E33" t="s">
        <v>9574</v>
      </c>
    </row>
    <row r="34" spans="1:5" hidden="1">
      <c r="A34" t="s">
        <v>9628</v>
      </c>
      <c r="B34" t="s">
        <v>9629</v>
      </c>
      <c r="C34" t="s">
        <v>9574</v>
      </c>
      <c r="D34" t="s">
        <v>9574</v>
      </c>
      <c r="E34" t="s">
        <v>9574</v>
      </c>
    </row>
    <row r="35" spans="1:5" hidden="1">
      <c r="A35" t="s">
        <v>9630</v>
      </c>
      <c r="B35" t="s">
        <v>9631</v>
      </c>
      <c r="C35" t="s">
        <v>9574</v>
      </c>
      <c r="D35" t="s">
        <v>9574</v>
      </c>
      <c r="E35" t="s">
        <v>9574</v>
      </c>
    </row>
    <row r="36" spans="1:5" hidden="1">
      <c r="A36" t="s">
        <v>9632</v>
      </c>
      <c r="B36" t="s">
        <v>9633</v>
      </c>
      <c r="C36" t="s">
        <v>9574</v>
      </c>
      <c r="D36" t="s">
        <v>9574</v>
      </c>
      <c r="E36" t="s">
        <v>9574</v>
      </c>
    </row>
    <row r="37" spans="1:5" hidden="1">
      <c r="A37" t="s">
        <v>9634</v>
      </c>
      <c r="B37" t="s">
        <v>9635</v>
      </c>
      <c r="C37" t="s">
        <v>9574</v>
      </c>
      <c r="D37" t="s">
        <v>9574</v>
      </c>
      <c r="E37" t="s">
        <v>9574</v>
      </c>
    </row>
    <row r="38" spans="1:5" hidden="1">
      <c r="A38" t="s">
        <v>9636</v>
      </c>
      <c r="B38" t="s">
        <v>9637</v>
      </c>
      <c r="C38" t="s">
        <v>9574</v>
      </c>
      <c r="D38" t="s">
        <v>9574</v>
      </c>
      <c r="E38" t="s">
        <v>9574</v>
      </c>
    </row>
    <row r="39" spans="1:5" hidden="1">
      <c r="A39" t="s">
        <v>9638</v>
      </c>
      <c r="B39" t="s">
        <v>9639</v>
      </c>
      <c r="C39" t="s">
        <v>9574</v>
      </c>
      <c r="D39" t="s">
        <v>9574</v>
      </c>
      <c r="E39" t="s">
        <v>9574</v>
      </c>
    </row>
    <row r="40" spans="1:5" hidden="1">
      <c r="A40" t="s">
        <v>9640</v>
      </c>
      <c r="B40" t="s">
        <v>9641</v>
      </c>
      <c r="C40" t="s">
        <v>9574</v>
      </c>
      <c r="D40" t="s">
        <v>9574</v>
      </c>
      <c r="E40" t="s">
        <v>9574</v>
      </c>
    </row>
    <row r="41" spans="1:5" hidden="1">
      <c r="A41" t="s">
        <v>9642</v>
      </c>
      <c r="B41" t="s">
        <v>9643</v>
      </c>
      <c r="C41" t="s">
        <v>9574</v>
      </c>
      <c r="D41" t="s">
        <v>9574</v>
      </c>
      <c r="E41" t="s">
        <v>9574</v>
      </c>
    </row>
    <row r="42" spans="1:5" hidden="1">
      <c r="A42" t="s">
        <v>9644</v>
      </c>
      <c r="B42" t="s">
        <v>9645</v>
      </c>
      <c r="C42" t="s">
        <v>9574</v>
      </c>
      <c r="D42" t="s">
        <v>9574</v>
      </c>
      <c r="E42" t="s">
        <v>9574</v>
      </c>
    </row>
    <row r="43" spans="1:5" hidden="1">
      <c r="A43" t="s">
        <v>9646</v>
      </c>
      <c r="B43" t="s">
        <v>9647</v>
      </c>
      <c r="C43" t="s">
        <v>9574</v>
      </c>
      <c r="D43" t="s">
        <v>9574</v>
      </c>
      <c r="E43" t="s">
        <v>9601</v>
      </c>
    </row>
    <row r="44" spans="1:5" hidden="1">
      <c r="A44" t="s">
        <v>9648</v>
      </c>
      <c r="B44" t="s">
        <v>9649</v>
      </c>
      <c r="C44" t="s">
        <v>9574</v>
      </c>
      <c r="D44" t="s">
        <v>9574</v>
      </c>
      <c r="E44" t="s">
        <v>9601</v>
      </c>
    </row>
    <row r="45" spans="1:5" hidden="1">
      <c r="A45" t="s">
        <v>9650</v>
      </c>
      <c r="B45" t="s">
        <v>9651</v>
      </c>
      <c r="C45" t="s">
        <v>9574</v>
      </c>
      <c r="D45" t="s">
        <v>9574</v>
      </c>
      <c r="E45" t="s">
        <v>9574</v>
      </c>
    </row>
    <row r="46" spans="1:5" hidden="1">
      <c r="A46" t="s">
        <v>9652</v>
      </c>
      <c r="B46" t="s">
        <v>9653</v>
      </c>
      <c r="C46" t="s">
        <v>9574</v>
      </c>
      <c r="D46" t="s">
        <v>9574</v>
      </c>
      <c r="E46" t="s">
        <v>9574</v>
      </c>
    </row>
    <row r="47" spans="1:5" hidden="1">
      <c r="A47" t="s">
        <v>9654</v>
      </c>
      <c r="B47" t="s">
        <v>9655</v>
      </c>
      <c r="C47" t="s">
        <v>9574</v>
      </c>
      <c r="D47" t="s">
        <v>9574</v>
      </c>
      <c r="E47" t="s">
        <v>9574</v>
      </c>
    </row>
    <row r="48" spans="1:5" hidden="1">
      <c r="A48" t="s">
        <v>9656</v>
      </c>
      <c r="B48" t="s">
        <v>9657</v>
      </c>
      <c r="C48" t="s">
        <v>9574</v>
      </c>
      <c r="D48" t="s">
        <v>9574</v>
      </c>
      <c r="E48" t="s">
        <v>9601</v>
      </c>
    </row>
    <row r="49" spans="1:5" hidden="1">
      <c r="A49" t="s">
        <v>9658</v>
      </c>
      <c r="B49" t="s">
        <v>9659</v>
      </c>
      <c r="C49" t="s">
        <v>9574</v>
      </c>
      <c r="D49" t="s">
        <v>9574</v>
      </c>
      <c r="E49" t="s">
        <v>9574</v>
      </c>
    </row>
    <row r="50" spans="1:5" hidden="1">
      <c r="A50" t="s">
        <v>9660</v>
      </c>
      <c r="B50" t="s">
        <v>9661</v>
      </c>
      <c r="C50" t="s">
        <v>9574</v>
      </c>
      <c r="D50" t="s">
        <v>9574</v>
      </c>
      <c r="E50" t="s">
        <v>9574</v>
      </c>
    </row>
    <row r="51" spans="1:5" hidden="1">
      <c r="A51" t="s">
        <v>9662</v>
      </c>
      <c r="B51" t="s">
        <v>9663</v>
      </c>
      <c r="C51" t="s">
        <v>9574</v>
      </c>
      <c r="D51" t="s">
        <v>9574</v>
      </c>
      <c r="E51" t="s">
        <v>9574</v>
      </c>
    </row>
    <row r="52" spans="1:5" hidden="1">
      <c r="A52" t="s">
        <v>9664</v>
      </c>
      <c r="B52" t="s">
        <v>9665</v>
      </c>
      <c r="C52" t="s">
        <v>9574</v>
      </c>
      <c r="D52" t="s">
        <v>9574</v>
      </c>
      <c r="E52" t="s">
        <v>9574</v>
      </c>
    </row>
    <row r="53" spans="1:5" hidden="1">
      <c r="A53" t="s">
        <v>9666</v>
      </c>
      <c r="B53" t="s">
        <v>9667</v>
      </c>
      <c r="C53" t="s">
        <v>9574</v>
      </c>
      <c r="D53" t="s">
        <v>9574</v>
      </c>
      <c r="E53" t="s">
        <v>9574</v>
      </c>
    </row>
    <row r="54" spans="1:5" hidden="1">
      <c r="A54" t="s">
        <v>9668</v>
      </c>
      <c r="B54" t="s">
        <v>9669</v>
      </c>
      <c r="C54" t="s">
        <v>9574</v>
      </c>
      <c r="D54" t="s">
        <v>9574</v>
      </c>
      <c r="E54" t="s">
        <v>9574</v>
      </c>
    </row>
    <row r="55" spans="1:5" hidden="1">
      <c r="A55" t="s">
        <v>9670</v>
      </c>
      <c r="B55" t="s">
        <v>9671</v>
      </c>
      <c r="C55" t="s">
        <v>9574</v>
      </c>
      <c r="D55" t="s">
        <v>9574</v>
      </c>
      <c r="E55" t="s">
        <v>9574</v>
      </c>
    </row>
    <row r="56" spans="1:5" hidden="1">
      <c r="A56" t="s">
        <v>9672</v>
      </c>
      <c r="B56" t="s">
        <v>9673</v>
      </c>
      <c r="C56" t="s">
        <v>9574</v>
      </c>
      <c r="D56" t="s">
        <v>9574</v>
      </c>
      <c r="E56" t="s">
        <v>9601</v>
      </c>
    </row>
    <row r="57" spans="1:5" hidden="1">
      <c r="A57" t="s">
        <v>9674</v>
      </c>
      <c r="B57" t="s">
        <v>9675</v>
      </c>
      <c r="C57" t="s">
        <v>9574</v>
      </c>
      <c r="D57" t="s">
        <v>9574</v>
      </c>
      <c r="E57" t="s">
        <v>9574</v>
      </c>
    </row>
    <row r="58" spans="1:5" hidden="1">
      <c r="A58" t="s">
        <v>9676</v>
      </c>
      <c r="B58" t="s">
        <v>9677</v>
      </c>
      <c r="C58" t="s">
        <v>9574</v>
      </c>
      <c r="D58" t="s">
        <v>9574</v>
      </c>
      <c r="E58" t="s">
        <v>9574</v>
      </c>
    </row>
    <row r="59" spans="1:5" hidden="1">
      <c r="A59" t="s">
        <v>9678</v>
      </c>
      <c r="B59" t="s">
        <v>9679</v>
      </c>
      <c r="C59" t="s">
        <v>9574</v>
      </c>
      <c r="D59" t="s">
        <v>9574</v>
      </c>
      <c r="E59" t="s">
        <v>9574</v>
      </c>
    </row>
    <row r="60" spans="1:5" hidden="1">
      <c r="A60" t="s">
        <v>9680</v>
      </c>
      <c r="B60" t="s">
        <v>9681</v>
      </c>
      <c r="C60" t="s">
        <v>9574</v>
      </c>
      <c r="D60" t="s">
        <v>9574</v>
      </c>
      <c r="E60" t="s">
        <v>9549</v>
      </c>
    </row>
    <row r="61" spans="1:5" hidden="1">
      <c r="A61" t="s">
        <v>9682</v>
      </c>
      <c r="B61" t="s">
        <v>9683</v>
      </c>
      <c r="C61" t="s">
        <v>9574</v>
      </c>
      <c r="D61" t="s">
        <v>9574</v>
      </c>
      <c r="E61" t="s">
        <v>9574</v>
      </c>
    </row>
    <row r="62" spans="1:5" hidden="1">
      <c r="A62" t="s">
        <v>9684</v>
      </c>
      <c r="B62" t="s">
        <v>9685</v>
      </c>
      <c r="C62" t="s">
        <v>9574</v>
      </c>
      <c r="D62" t="s">
        <v>9574</v>
      </c>
      <c r="E62" t="s">
        <v>9574</v>
      </c>
    </row>
    <row r="63" spans="1:5" hidden="1">
      <c r="A63" t="s">
        <v>9686</v>
      </c>
      <c r="B63" t="s">
        <v>9687</v>
      </c>
      <c r="C63" t="s">
        <v>9574</v>
      </c>
      <c r="D63" t="s">
        <v>9574</v>
      </c>
      <c r="E63" t="s">
        <v>9574</v>
      </c>
    </row>
    <row r="64" spans="1:5" hidden="1">
      <c r="A64" t="s">
        <v>9688</v>
      </c>
      <c r="B64" t="s">
        <v>9689</v>
      </c>
      <c r="C64" t="s">
        <v>9574</v>
      </c>
      <c r="D64" t="s">
        <v>9574</v>
      </c>
      <c r="E64" t="s">
        <v>9574</v>
      </c>
    </row>
    <row r="65" spans="1:5" hidden="1">
      <c r="A65" t="s">
        <v>9690</v>
      </c>
      <c r="B65" t="s">
        <v>9691</v>
      </c>
      <c r="C65" t="s">
        <v>9574</v>
      </c>
      <c r="D65" t="s">
        <v>9574</v>
      </c>
      <c r="E65" t="s">
        <v>9574</v>
      </c>
    </row>
    <row r="66" spans="1:5" hidden="1">
      <c r="A66" t="s">
        <v>9692</v>
      </c>
      <c r="B66" t="s">
        <v>9693</v>
      </c>
      <c r="C66" t="s">
        <v>9574</v>
      </c>
      <c r="D66" t="s">
        <v>9574</v>
      </c>
      <c r="E66" t="s">
        <v>9574</v>
      </c>
    </row>
    <row r="67" spans="1:5" hidden="1">
      <c r="A67" t="s">
        <v>9694</v>
      </c>
      <c r="B67" t="s">
        <v>9695</v>
      </c>
      <c r="C67" t="s">
        <v>9574</v>
      </c>
      <c r="D67" t="s">
        <v>9574</v>
      </c>
      <c r="E67" t="s">
        <v>9574</v>
      </c>
    </row>
    <row r="68" spans="1:5" hidden="1">
      <c r="A68" t="s">
        <v>9696</v>
      </c>
      <c r="B68" t="s">
        <v>9697</v>
      </c>
      <c r="C68" t="s">
        <v>9574</v>
      </c>
      <c r="D68" t="s">
        <v>9574</v>
      </c>
      <c r="E68" t="s">
        <v>9574</v>
      </c>
    </row>
    <row r="69" spans="1:5" hidden="1">
      <c r="A69" t="s">
        <v>9698</v>
      </c>
      <c r="B69" t="s">
        <v>9699</v>
      </c>
      <c r="C69" t="s">
        <v>9574</v>
      </c>
      <c r="D69" t="s">
        <v>9574</v>
      </c>
      <c r="E69" t="s">
        <v>9574</v>
      </c>
    </row>
    <row r="70" spans="1:5" hidden="1">
      <c r="A70" t="s">
        <v>9700</v>
      </c>
      <c r="B70" t="s">
        <v>9701</v>
      </c>
      <c r="C70" t="s">
        <v>9574</v>
      </c>
      <c r="D70" t="s">
        <v>9574</v>
      </c>
      <c r="E70" t="s">
        <v>9574</v>
      </c>
    </row>
    <row r="71" spans="1:5" hidden="1">
      <c r="A71" t="s">
        <v>9702</v>
      </c>
      <c r="B71" t="s">
        <v>9703</v>
      </c>
      <c r="C71" t="s">
        <v>9574</v>
      </c>
      <c r="D71" t="s">
        <v>9574</v>
      </c>
      <c r="E71" t="s">
        <v>9574</v>
      </c>
    </row>
    <row r="72" spans="1:5" hidden="1">
      <c r="A72" t="s">
        <v>9704</v>
      </c>
      <c r="B72" t="s">
        <v>9705</v>
      </c>
      <c r="C72" t="s">
        <v>9574</v>
      </c>
      <c r="D72" t="s">
        <v>9574</v>
      </c>
      <c r="E72" t="s">
        <v>9574</v>
      </c>
    </row>
    <row r="73" spans="1:5" hidden="1">
      <c r="A73" t="s">
        <v>9706</v>
      </c>
      <c r="B73" t="s">
        <v>9707</v>
      </c>
      <c r="C73" t="s">
        <v>9574</v>
      </c>
      <c r="D73" t="s">
        <v>9574</v>
      </c>
      <c r="E73" t="s">
        <v>9574</v>
      </c>
    </row>
    <row r="74" spans="1:5" hidden="1">
      <c r="A74" t="s">
        <v>9708</v>
      </c>
      <c r="B74" t="s">
        <v>9709</v>
      </c>
      <c r="C74" t="s">
        <v>9574</v>
      </c>
      <c r="D74" t="s">
        <v>9574</v>
      </c>
      <c r="E74" t="s">
        <v>9574</v>
      </c>
    </row>
    <row r="75" spans="1:5" hidden="1">
      <c r="A75" t="s">
        <v>9710</v>
      </c>
      <c r="B75" t="s">
        <v>9711</v>
      </c>
      <c r="C75" t="s">
        <v>9574</v>
      </c>
      <c r="D75" t="s">
        <v>9574</v>
      </c>
      <c r="E75" t="s">
        <v>9574</v>
      </c>
    </row>
    <row r="76" spans="1:5" hidden="1">
      <c r="A76" t="s">
        <v>9712</v>
      </c>
      <c r="B76" t="s">
        <v>9713</v>
      </c>
      <c r="C76" t="s">
        <v>9574</v>
      </c>
      <c r="D76" t="s">
        <v>9574</v>
      </c>
      <c r="E76" t="s">
        <v>9574</v>
      </c>
    </row>
    <row r="77" spans="1:5" hidden="1">
      <c r="A77" t="s">
        <v>9714</v>
      </c>
      <c r="B77" t="s">
        <v>9715</v>
      </c>
      <c r="C77" t="s">
        <v>9574</v>
      </c>
      <c r="D77" t="s">
        <v>9574</v>
      </c>
      <c r="E77" t="s">
        <v>9574</v>
      </c>
    </row>
    <row r="78" spans="1:5" hidden="1">
      <c r="A78" t="s">
        <v>9716</v>
      </c>
      <c r="B78" t="s">
        <v>9717</v>
      </c>
      <c r="C78" t="s">
        <v>9574</v>
      </c>
      <c r="D78" t="s">
        <v>9574</v>
      </c>
      <c r="E78" t="s">
        <v>9574</v>
      </c>
    </row>
    <row r="79" spans="1:5" hidden="1">
      <c r="A79" t="s">
        <v>9718</v>
      </c>
      <c r="B79" t="s">
        <v>9719</v>
      </c>
      <c r="C79" t="s">
        <v>9574</v>
      </c>
      <c r="D79" t="s">
        <v>9574</v>
      </c>
      <c r="E79" t="s">
        <v>9574</v>
      </c>
    </row>
    <row r="80" spans="1:5" hidden="1">
      <c r="A80" t="s">
        <v>9720</v>
      </c>
      <c r="B80" t="s">
        <v>9721</v>
      </c>
      <c r="C80" t="s">
        <v>9574</v>
      </c>
      <c r="D80" t="s">
        <v>9574</v>
      </c>
      <c r="E80" t="s">
        <v>9574</v>
      </c>
    </row>
    <row r="81" spans="1:5" hidden="1">
      <c r="A81" t="s">
        <v>9722</v>
      </c>
      <c r="B81" t="s">
        <v>9723</v>
      </c>
      <c r="C81" t="s">
        <v>9574</v>
      </c>
      <c r="D81" t="s">
        <v>9574</v>
      </c>
      <c r="E81" t="s">
        <v>9574</v>
      </c>
    </row>
    <row r="82" spans="1:5" hidden="1">
      <c r="A82" t="s">
        <v>9724</v>
      </c>
      <c r="B82" t="s">
        <v>9725</v>
      </c>
      <c r="C82" t="s">
        <v>9574</v>
      </c>
      <c r="D82" t="s">
        <v>9574</v>
      </c>
      <c r="E82" t="s">
        <v>9574</v>
      </c>
    </row>
    <row r="83" spans="1:5" hidden="1">
      <c r="A83" t="s">
        <v>9726</v>
      </c>
      <c r="B83" t="s">
        <v>9727</v>
      </c>
      <c r="C83" t="s">
        <v>9574</v>
      </c>
      <c r="D83" t="s">
        <v>9574</v>
      </c>
      <c r="E83" t="s">
        <v>9574</v>
      </c>
    </row>
    <row r="84" spans="1:5" hidden="1">
      <c r="A84" t="s">
        <v>9728</v>
      </c>
      <c r="B84" t="s">
        <v>9729</v>
      </c>
      <c r="C84" t="s">
        <v>9574</v>
      </c>
      <c r="D84" t="s">
        <v>9574</v>
      </c>
      <c r="E84" t="s">
        <v>9574</v>
      </c>
    </row>
    <row r="85" spans="1:5" hidden="1">
      <c r="A85" t="s">
        <v>9730</v>
      </c>
      <c r="B85" t="s">
        <v>9731</v>
      </c>
      <c r="C85" t="s">
        <v>9574</v>
      </c>
      <c r="D85" t="s">
        <v>9574</v>
      </c>
      <c r="E85" t="s">
        <v>9574</v>
      </c>
    </row>
    <row r="86" spans="1:5" hidden="1">
      <c r="A86" t="s">
        <v>9732</v>
      </c>
      <c r="B86" t="s">
        <v>9733</v>
      </c>
      <c r="C86" t="s">
        <v>9574</v>
      </c>
      <c r="D86" t="s">
        <v>9574</v>
      </c>
      <c r="E86" t="s">
        <v>9574</v>
      </c>
    </row>
    <row r="87" spans="1:5" hidden="1">
      <c r="A87" t="s">
        <v>9734</v>
      </c>
      <c r="B87" t="s">
        <v>9735</v>
      </c>
      <c r="C87" t="s">
        <v>9574</v>
      </c>
      <c r="D87" t="s">
        <v>9574</v>
      </c>
      <c r="E87" t="s">
        <v>9574</v>
      </c>
    </row>
    <row r="88" spans="1:5" hidden="1">
      <c r="A88" t="s">
        <v>9736</v>
      </c>
      <c r="B88" t="s">
        <v>9737</v>
      </c>
      <c r="C88" t="s">
        <v>9574</v>
      </c>
      <c r="D88" t="s">
        <v>9738</v>
      </c>
      <c r="E88" t="s">
        <v>9574</v>
      </c>
    </row>
    <row r="89" spans="1:5" hidden="1">
      <c r="A89" t="s">
        <v>9739</v>
      </c>
      <c r="B89" t="s">
        <v>9740</v>
      </c>
      <c r="C89" t="s">
        <v>9574</v>
      </c>
      <c r="D89" t="s">
        <v>9738</v>
      </c>
      <c r="E89" t="s">
        <v>9574</v>
      </c>
    </row>
    <row r="90" spans="1:5" hidden="1">
      <c r="A90" t="s">
        <v>9741</v>
      </c>
      <c r="B90" t="s">
        <v>9742</v>
      </c>
      <c r="C90" t="s">
        <v>9574</v>
      </c>
      <c r="D90" t="s">
        <v>9574</v>
      </c>
      <c r="E90" t="s">
        <v>9574</v>
      </c>
    </row>
    <row r="91" spans="1:5" hidden="1">
      <c r="A91" t="s">
        <v>9743</v>
      </c>
      <c r="B91" t="s">
        <v>9744</v>
      </c>
      <c r="C91" t="s">
        <v>9574</v>
      </c>
      <c r="D91" t="s">
        <v>9574</v>
      </c>
      <c r="E91" t="s">
        <v>9574</v>
      </c>
    </row>
    <row r="92" spans="1:5" hidden="1">
      <c r="A92" t="s">
        <v>9745</v>
      </c>
      <c r="B92" t="s">
        <v>9746</v>
      </c>
      <c r="C92" t="s">
        <v>9574</v>
      </c>
      <c r="D92" t="s">
        <v>9574</v>
      </c>
      <c r="E92" t="s">
        <v>9574</v>
      </c>
    </row>
    <row r="93" spans="1:5" hidden="1">
      <c r="A93" t="s">
        <v>9747</v>
      </c>
      <c r="B93" t="s">
        <v>9748</v>
      </c>
      <c r="C93" t="s">
        <v>9574</v>
      </c>
      <c r="D93" t="s">
        <v>9574</v>
      </c>
      <c r="E93" t="s">
        <v>9601</v>
      </c>
    </row>
    <row r="94" spans="1:5" hidden="1">
      <c r="A94" t="s">
        <v>9749</v>
      </c>
      <c r="B94" t="s">
        <v>9750</v>
      </c>
      <c r="C94" t="s">
        <v>9574</v>
      </c>
      <c r="D94" t="s">
        <v>9574</v>
      </c>
      <c r="E94" t="s">
        <v>9601</v>
      </c>
    </row>
    <row r="95" spans="1:5" hidden="1">
      <c r="A95" t="s">
        <v>9751</v>
      </c>
      <c r="B95" t="s">
        <v>9752</v>
      </c>
      <c r="C95" t="s">
        <v>9574</v>
      </c>
      <c r="D95" t="s">
        <v>9574</v>
      </c>
      <c r="E95" t="s">
        <v>9574</v>
      </c>
    </row>
    <row r="96" spans="1:5" hidden="1">
      <c r="A96" t="s">
        <v>9753</v>
      </c>
      <c r="B96" t="s">
        <v>9754</v>
      </c>
      <c r="C96" t="s">
        <v>9565</v>
      </c>
      <c r="D96" t="s">
        <v>9565</v>
      </c>
      <c r="E96" t="s">
        <v>9565</v>
      </c>
    </row>
    <row r="97" spans="1:5" hidden="1">
      <c r="A97" t="s">
        <v>9755</v>
      </c>
      <c r="B97" t="s">
        <v>9756</v>
      </c>
      <c r="C97" t="s">
        <v>9565</v>
      </c>
      <c r="D97" t="s">
        <v>9565</v>
      </c>
      <c r="E97" t="s">
        <v>9565</v>
      </c>
    </row>
    <row r="98" spans="1:5" hidden="1">
      <c r="A98" t="s">
        <v>9757</v>
      </c>
      <c r="B98" t="s">
        <v>9758</v>
      </c>
      <c r="C98" t="s">
        <v>9574</v>
      </c>
      <c r="D98" t="s">
        <v>9574</v>
      </c>
      <c r="E98" t="s">
        <v>9601</v>
      </c>
    </row>
    <row r="99" spans="1:5" hidden="1">
      <c r="A99" t="s">
        <v>9759</v>
      </c>
      <c r="B99" t="s">
        <v>9760</v>
      </c>
      <c r="C99" t="s">
        <v>9574</v>
      </c>
      <c r="D99" t="s">
        <v>9574</v>
      </c>
      <c r="E99" t="s">
        <v>9601</v>
      </c>
    </row>
    <row r="100" spans="1:5" hidden="1">
      <c r="A100" t="s">
        <v>9761</v>
      </c>
      <c r="B100" t="s">
        <v>9762</v>
      </c>
      <c r="C100" t="s">
        <v>9574</v>
      </c>
      <c r="D100" t="s">
        <v>9574</v>
      </c>
      <c r="E100" t="s">
        <v>9574</v>
      </c>
    </row>
    <row r="101" spans="1:5" hidden="1">
      <c r="A101" t="s">
        <v>9763</v>
      </c>
      <c r="B101" t="s">
        <v>9764</v>
      </c>
      <c r="C101" t="s">
        <v>9574</v>
      </c>
      <c r="D101" t="s">
        <v>9574</v>
      </c>
      <c r="E101" t="s">
        <v>9574</v>
      </c>
    </row>
    <row r="102" spans="1:5" hidden="1">
      <c r="A102" t="s">
        <v>9765</v>
      </c>
      <c r="B102" t="s">
        <v>9766</v>
      </c>
      <c r="C102" t="s">
        <v>9574</v>
      </c>
      <c r="D102" t="s">
        <v>9574</v>
      </c>
      <c r="E102" t="s">
        <v>9574</v>
      </c>
    </row>
    <row r="103" spans="1:5" hidden="1">
      <c r="A103" t="s">
        <v>9767</v>
      </c>
      <c r="B103" t="s">
        <v>9768</v>
      </c>
      <c r="C103" t="s">
        <v>9574</v>
      </c>
      <c r="D103" t="s">
        <v>9574</v>
      </c>
      <c r="E103" t="s">
        <v>9574</v>
      </c>
    </row>
    <row r="104" spans="1:5" hidden="1">
      <c r="A104" t="s">
        <v>9769</v>
      </c>
      <c r="B104" t="s">
        <v>9770</v>
      </c>
      <c r="C104" t="s">
        <v>9574</v>
      </c>
      <c r="D104" t="s">
        <v>9574</v>
      </c>
      <c r="E104" t="s">
        <v>9574</v>
      </c>
    </row>
    <row r="105" spans="1:5" hidden="1">
      <c r="A105" t="s">
        <v>9771</v>
      </c>
      <c r="B105" t="s">
        <v>9772</v>
      </c>
      <c r="C105" t="s">
        <v>9574</v>
      </c>
      <c r="D105" t="s">
        <v>9574</v>
      </c>
      <c r="E105" t="s">
        <v>9574</v>
      </c>
    </row>
    <row r="106" spans="1:5" hidden="1">
      <c r="A106" t="s">
        <v>9773</v>
      </c>
      <c r="B106" t="s">
        <v>9774</v>
      </c>
      <c r="C106" t="s">
        <v>9574</v>
      </c>
      <c r="D106" t="s">
        <v>9574</v>
      </c>
      <c r="E106" t="s">
        <v>9574</v>
      </c>
    </row>
    <row r="107" spans="1:5" hidden="1">
      <c r="A107" t="s">
        <v>9775</v>
      </c>
      <c r="B107" t="s">
        <v>9776</v>
      </c>
      <c r="C107" t="s">
        <v>9574</v>
      </c>
      <c r="D107" t="s">
        <v>9574</v>
      </c>
      <c r="E107" t="s">
        <v>9574</v>
      </c>
    </row>
    <row r="108" spans="1:5" hidden="1">
      <c r="A108" t="s">
        <v>9777</v>
      </c>
      <c r="B108" t="s">
        <v>9778</v>
      </c>
      <c r="C108" t="s">
        <v>9574</v>
      </c>
      <c r="D108" t="s">
        <v>9574</v>
      </c>
      <c r="E108" t="s">
        <v>9574</v>
      </c>
    </row>
    <row r="109" spans="1:5" hidden="1">
      <c r="A109" t="s">
        <v>9779</v>
      </c>
      <c r="B109" t="s">
        <v>9780</v>
      </c>
      <c r="C109" t="s">
        <v>9574</v>
      </c>
      <c r="D109" t="s">
        <v>9574</v>
      </c>
      <c r="E109" t="s">
        <v>9574</v>
      </c>
    </row>
    <row r="110" spans="1:5" hidden="1">
      <c r="A110" t="s">
        <v>9781</v>
      </c>
      <c r="B110" t="s">
        <v>9782</v>
      </c>
      <c r="C110" t="s">
        <v>9574</v>
      </c>
      <c r="D110" t="s">
        <v>9574</v>
      </c>
      <c r="E110" t="s">
        <v>9574</v>
      </c>
    </row>
    <row r="111" spans="1:5" hidden="1">
      <c r="A111" t="s">
        <v>9783</v>
      </c>
      <c r="B111" t="s">
        <v>9784</v>
      </c>
      <c r="C111" t="s">
        <v>9574</v>
      </c>
      <c r="D111" t="s">
        <v>9574</v>
      </c>
      <c r="E111" t="s">
        <v>9574</v>
      </c>
    </row>
    <row r="112" spans="1:5" hidden="1">
      <c r="A112" t="s">
        <v>9785</v>
      </c>
      <c r="B112" t="s">
        <v>9786</v>
      </c>
      <c r="C112" t="s">
        <v>9574</v>
      </c>
      <c r="D112" t="s">
        <v>9574</v>
      </c>
      <c r="E112" t="s">
        <v>9574</v>
      </c>
    </row>
    <row r="113" spans="1:5" hidden="1">
      <c r="A113" t="s">
        <v>9787</v>
      </c>
      <c r="B113" t="s">
        <v>9788</v>
      </c>
      <c r="C113" t="s">
        <v>9574</v>
      </c>
      <c r="D113" t="s">
        <v>9574</v>
      </c>
      <c r="E113" t="s">
        <v>9574</v>
      </c>
    </row>
    <row r="114" spans="1:5" hidden="1">
      <c r="A114" t="s">
        <v>9789</v>
      </c>
      <c r="B114" t="s">
        <v>9790</v>
      </c>
      <c r="C114" t="s">
        <v>9574</v>
      </c>
      <c r="D114" t="s">
        <v>9574</v>
      </c>
      <c r="E114" t="s">
        <v>9574</v>
      </c>
    </row>
    <row r="115" spans="1:5" hidden="1">
      <c r="A115" t="s">
        <v>9791</v>
      </c>
      <c r="B115" t="s">
        <v>9792</v>
      </c>
      <c r="C115" t="s">
        <v>9574</v>
      </c>
      <c r="D115" t="s">
        <v>9574</v>
      </c>
      <c r="E115" t="s">
        <v>9574</v>
      </c>
    </row>
    <row r="116" spans="1:5" hidden="1">
      <c r="A116" t="s">
        <v>9793</v>
      </c>
      <c r="B116" t="s">
        <v>9794</v>
      </c>
      <c r="C116" t="s">
        <v>9574</v>
      </c>
      <c r="D116" t="s">
        <v>9574</v>
      </c>
      <c r="E116" t="s">
        <v>9574</v>
      </c>
    </row>
    <row r="117" spans="1:5" hidden="1">
      <c r="A117" t="s">
        <v>9795</v>
      </c>
      <c r="B117" t="s">
        <v>9796</v>
      </c>
      <c r="C117" t="s">
        <v>9574</v>
      </c>
      <c r="D117" t="s">
        <v>9574</v>
      </c>
      <c r="E117" t="s">
        <v>9574</v>
      </c>
    </row>
    <row r="118" spans="1:5" hidden="1">
      <c r="A118" t="s">
        <v>9797</v>
      </c>
      <c r="B118" t="s">
        <v>9798</v>
      </c>
      <c r="C118" t="s">
        <v>9574</v>
      </c>
      <c r="D118" t="s">
        <v>9574</v>
      </c>
      <c r="E118" t="s">
        <v>9574</v>
      </c>
    </row>
    <row r="119" spans="1:5" hidden="1">
      <c r="A119" t="s">
        <v>9799</v>
      </c>
      <c r="B119" t="s">
        <v>9800</v>
      </c>
      <c r="C119" t="s">
        <v>9574</v>
      </c>
      <c r="D119" t="s">
        <v>9574</v>
      </c>
      <c r="E119" t="s">
        <v>9574</v>
      </c>
    </row>
    <row r="120" spans="1:5" hidden="1">
      <c r="A120" t="s">
        <v>9801</v>
      </c>
      <c r="B120" t="s">
        <v>9802</v>
      </c>
      <c r="C120" t="s">
        <v>9565</v>
      </c>
      <c r="D120" t="s">
        <v>9565</v>
      </c>
      <c r="E120" t="s">
        <v>9565</v>
      </c>
    </row>
    <row r="121" spans="1:5" hidden="1">
      <c r="A121" t="s">
        <v>9803</v>
      </c>
      <c r="B121" t="s">
        <v>9804</v>
      </c>
      <c r="C121" t="s">
        <v>9574</v>
      </c>
      <c r="D121" t="s">
        <v>9574</v>
      </c>
      <c r="E121" t="s">
        <v>9574</v>
      </c>
    </row>
    <row r="122" spans="1:5" hidden="1">
      <c r="A122" t="s">
        <v>9805</v>
      </c>
      <c r="B122" t="s">
        <v>9806</v>
      </c>
      <c r="C122" t="s">
        <v>9574</v>
      </c>
      <c r="D122" t="s">
        <v>9574</v>
      </c>
      <c r="E122" t="s">
        <v>9549</v>
      </c>
    </row>
    <row r="123" spans="1:5" hidden="1">
      <c r="A123" t="s">
        <v>9807</v>
      </c>
      <c r="B123" t="s">
        <v>9808</v>
      </c>
      <c r="C123" t="s">
        <v>9574</v>
      </c>
      <c r="D123" t="s">
        <v>9574</v>
      </c>
      <c r="E123" t="s">
        <v>9549</v>
      </c>
    </row>
    <row r="124" spans="1:5" hidden="1">
      <c r="A124" t="s">
        <v>9809</v>
      </c>
      <c r="B124" t="s">
        <v>9810</v>
      </c>
      <c r="C124" t="s">
        <v>9574</v>
      </c>
      <c r="D124" t="s">
        <v>9574</v>
      </c>
      <c r="E124" t="s">
        <v>9549</v>
      </c>
    </row>
    <row r="125" spans="1:5" hidden="1">
      <c r="A125" t="s">
        <v>9811</v>
      </c>
      <c r="B125" t="s">
        <v>9812</v>
      </c>
      <c r="C125" t="s">
        <v>9574</v>
      </c>
      <c r="D125" t="s">
        <v>9574</v>
      </c>
      <c r="E125" t="s">
        <v>9549</v>
      </c>
    </row>
    <row r="126" spans="1:5" hidden="1">
      <c r="A126" t="s">
        <v>9813</v>
      </c>
      <c r="B126" t="s">
        <v>9814</v>
      </c>
      <c r="C126" t="s">
        <v>9574</v>
      </c>
      <c r="D126" t="s">
        <v>9574</v>
      </c>
      <c r="E126" t="s">
        <v>9549</v>
      </c>
    </row>
    <row r="127" spans="1:5" hidden="1">
      <c r="A127" t="s">
        <v>9815</v>
      </c>
      <c r="B127" t="s">
        <v>9816</v>
      </c>
      <c r="C127" t="s">
        <v>9574</v>
      </c>
      <c r="D127" t="s">
        <v>9574</v>
      </c>
      <c r="E127" t="s">
        <v>9549</v>
      </c>
    </row>
    <row r="128" spans="1:5" hidden="1">
      <c r="A128" t="s">
        <v>9817</v>
      </c>
      <c r="B128" t="s">
        <v>9818</v>
      </c>
      <c r="C128" t="s">
        <v>9574</v>
      </c>
      <c r="D128" t="s">
        <v>9574</v>
      </c>
      <c r="E128" t="s">
        <v>9574</v>
      </c>
    </row>
    <row r="129" spans="1:5" hidden="1">
      <c r="A129" t="s">
        <v>9819</v>
      </c>
      <c r="B129" t="s">
        <v>9820</v>
      </c>
      <c r="C129" t="s">
        <v>9574</v>
      </c>
      <c r="D129" t="s">
        <v>9574</v>
      </c>
      <c r="E129" t="s">
        <v>9574</v>
      </c>
    </row>
    <row r="130" spans="1:5" hidden="1">
      <c r="A130" t="s">
        <v>9821</v>
      </c>
      <c r="B130" t="s">
        <v>9822</v>
      </c>
      <c r="C130" t="s">
        <v>9574</v>
      </c>
      <c r="D130" t="s">
        <v>9574</v>
      </c>
      <c r="E130" t="s">
        <v>9574</v>
      </c>
    </row>
    <row r="131" spans="1:5" hidden="1">
      <c r="A131" t="s">
        <v>9823</v>
      </c>
      <c r="B131" t="s">
        <v>9824</v>
      </c>
      <c r="C131" t="s">
        <v>9574</v>
      </c>
      <c r="D131" t="s">
        <v>9574</v>
      </c>
      <c r="E131" t="s">
        <v>9574</v>
      </c>
    </row>
    <row r="132" spans="1:5" hidden="1">
      <c r="A132" t="s">
        <v>9825</v>
      </c>
      <c r="B132" t="s">
        <v>9826</v>
      </c>
      <c r="C132" t="s">
        <v>9574</v>
      </c>
      <c r="D132" t="s">
        <v>9574</v>
      </c>
      <c r="E132" t="s">
        <v>9574</v>
      </c>
    </row>
    <row r="133" spans="1:5" hidden="1">
      <c r="A133" t="s">
        <v>9827</v>
      </c>
      <c r="B133" t="s">
        <v>9828</v>
      </c>
      <c r="C133" t="s">
        <v>9574</v>
      </c>
      <c r="D133" t="s">
        <v>9574</v>
      </c>
      <c r="E133" t="s">
        <v>9574</v>
      </c>
    </row>
    <row r="134" spans="1:5" hidden="1">
      <c r="A134" t="s">
        <v>9829</v>
      </c>
      <c r="B134" t="s">
        <v>9830</v>
      </c>
      <c r="C134" t="s">
        <v>9574</v>
      </c>
      <c r="D134" t="s">
        <v>9574</v>
      </c>
      <c r="E134" t="s">
        <v>9574</v>
      </c>
    </row>
    <row r="135" spans="1:5" hidden="1">
      <c r="A135" t="s">
        <v>9831</v>
      </c>
      <c r="B135" t="s">
        <v>9832</v>
      </c>
      <c r="C135" t="s">
        <v>9574</v>
      </c>
      <c r="D135" t="s">
        <v>9574</v>
      </c>
      <c r="E135" t="s">
        <v>9574</v>
      </c>
    </row>
    <row r="136" spans="1:5" hidden="1">
      <c r="A136" t="s">
        <v>9833</v>
      </c>
      <c r="B136" t="s">
        <v>9834</v>
      </c>
      <c r="C136" t="s">
        <v>9574</v>
      </c>
      <c r="D136" t="s">
        <v>9574</v>
      </c>
      <c r="E136" t="s">
        <v>9601</v>
      </c>
    </row>
    <row r="137" spans="1:5" hidden="1">
      <c r="A137" t="s">
        <v>9835</v>
      </c>
      <c r="B137" t="s">
        <v>9836</v>
      </c>
      <c r="C137" t="s">
        <v>9574</v>
      </c>
      <c r="D137" t="s">
        <v>9574</v>
      </c>
      <c r="E137" t="s">
        <v>9574</v>
      </c>
    </row>
    <row r="138" spans="1:5" hidden="1">
      <c r="A138" t="s">
        <v>9837</v>
      </c>
      <c r="B138" t="s">
        <v>9838</v>
      </c>
      <c r="C138" t="s">
        <v>9574</v>
      </c>
      <c r="D138" t="s">
        <v>9574</v>
      </c>
      <c r="E138" t="s">
        <v>9574</v>
      </c>
    </row>
    <row r="139" spans="1:5" hidden="1">
      <c r="A139" t="s">
        <v>9839</v>
      </c>
      <c r="B139" t="s">
        <v>9840</v>
      </c>
      <c r="C139" t="s">
        <v>9574</v>
      </c>
      <c r="D139" t="s">
        <v>9574</v>
      </c>
      <c r="E139" t="s">
        <v>9574</v>
      </c>
    </row>
    <row r="140" spans="1:5" hidden="1">
      <c r="A140" t="s">
        <v>9841</v>
      </c>
      <c r="B140" t="s">
        <v>9842</v>
      </c>
      <c r="C140" t="s">
        <v>9574</v>
      </c>
      <c r="D140" t="s">
        <v>9574</v>
      </c>
      <c r="E140" t="s">
        <v>9574</v>
      </c>
    </row>
    <row r="141" spans="1:5" hidden="1">
      <c r="A141" t="s">
        <v>9843</v>
      </c>
      <c r="B141" t="s">
        <v>9844</v>
      </c>
      <c r="C141" t="s">
        <v>9574</v>
      </c>
      <c r="D141" t="s">
        <v>9574</v>
      </c>
      <c r="E141" t="s">
        <v>9574</v>
      </c>
    </row>
    <row r="142" spans="1:5" hidden="1">
      <c r="A142" t="s">
        <v>9845</v>
      </c>
      <c r="B142" t="s">
        <v>9846</v>
      </c>
      <c r="C142" t="s">
        <v>9565</v>
      </c>
      <c r="D142" t="s">
        <v>9565</v>
      </c>
      <c r="E142" t="s">
        <v>9565</v>
      </c>
    </row>
    <row r="143" spans="1:5" hidden="1">
      <c r="A143" t="s">
        <v>9847</v>
      </c>
      <c r="B143" t="s">
        <v>9848</v>
      </c>
      <c r="C143" t="s">
        <v>9574</v>
      </c>
      <c r="D143" t="s">
        <v>9574</v>
      </c>
      <c r="E143" t="s">
        <v>9574</v>
      </c>
    </row>
    <row r="144" spans="1:5" hidden="1">
      <c r="A144" t="s">
        <v>9849</v>
      </c>
      <c r="B144" t="s">
        <v>9850</v>
      </c>
      <c r="C144" t="s">
        <v>9574</v>
      </c>
      <c r="D144" t="s">
        <v>9574</v>
      </c>
      <c r="E144" t="s">
        <v>9574</v>
      </c>
    </row>
    <row r="145" spans="1:5" hidden="1">
      <c r="A145" t="s">
        <v>9851</v>
      </c>
      <c r="B145" t="s">
        <v>9852</v>
      </c>
      <c r="C145" t="s">
        <v>9574</v>
      </c>
      <c r="D145" t="s">
        <v>9574</v>
      </c>
      <c r="E145" t="s">
        <v>9574</v>
      </c>
    </row>
    <row r="146" spans="1:5" hidden="1">
      <c r="A146" t="s">
        <v>9853</v>
      </c>
      <c r="B146" t="s">
        <v>9854</v>
      </c>
      <c r="C146" t="s">
        <v>9574</v>
      </c>
      <c r="D146" t="s">
        <v>9574</v>
      </c>
      <c r="E146" t="s">
        <v>9574</v>
      </c>
    </row>
    <row r="147" spans="1:5" hidden="1">
      <c r="A147" t="s">
        <v>9855</v>
      </c>
      <c r="B147" t="s">
        <v>9856</v>
      </c>
      <c r="C147" t="s">
        <v>9574</v>
      </c>
      <c r="D147" t="s">
        <v>9574</v>
      </c>
      <c r="E147" t="s">
        <v>9574</v>
      </c>
    </row>
    <row r="148" spans="1:5" hidden="1">
      <c r="A148" t="s">
        <v>9857</v>
      </c>
      <c r="B148" t="s">
        <v>9858</v>
      </c>
      <c r="C148" t="s">
        <v>9574</v>
      </c>
      <c r="D148" t="s">
        <v>9574</v>
      </c>
      <c r="E148" t="s">
        <v>9574</v>
      </c>
    </row>
    <row r="149" spans="1:5" hidden="1">
      <c r="A149" t="s">
        <v>9859</v>
      </c>
      <c r="B149" t="s">
        <v>9860</v>
      </c>
      <c r="C149" t="s">
        <v>9574</v>
      </c>
      <c r="D149" t="s">
        <v>9574</v>
      </c>
      <c r="E149" t="s">
        <v>9574</v>
      </c>
    </row>
    <row r="150" spans="1:5" hidden="1">
      <c r="A150" t="s">
        <v>9861</v>
      </c>
      <c r="B150" t="s">
        <v>9862</v>
      </c>
      <c r="C150" t="s">
        <v>9574</v>
      </c>
      <c r="D150" t="s">
        <v>9574</v>
      </c>
      <c r="E150" t="s">
        <v>9574</v>
      </c>
    </row>
    <row r="151" spans="1:5" hidden="1">
      <c r="A151" t="s">
        <v>9863</v>
      </c>
      <c r="B151" t="s">
        <v>9864</v>
      </c>
      <c r="C151" t="s">
        <v>9574</v>
      </c>
      <c r="D151" t="s">
        <v>9574</v>
      </c>
      <c r="E151" t="s">
        <v>9574</v>
      </c>
    </row>
    <row r="152" spans="1:5" hidden="1">
      <c r="A152" t="s">
        <v>9865</v>
      </c>
      <c r="B152" t="s">
        <v>9866</v>
      </c>
      <c r="C152" t="s">
        <v>9574</v>
      </c>
      <c r="D152" t="s">
        <v>9574</v>
      </c>
      <c r="E152" t="s">
        <v>9574</v>
      </c>
    </row>
    <row r="153" spans="1:5" hidden="1">
      <c r="A153" t="s">
        <v>9867</v>
      </c>
      <c r="B153" t="s">
        <v>9868</v>
      </c>
      <c r="C153" t="s">
        <v>9574</v>
      </c>
      <c r="D153" t="s">
        <v>9574</v>
      </c>
      <c r="E153" t="s">
        <v>9574</v>
      </c>
    </row>
    <row r="154" spans="1:5" hidden="1">
      <c r="A154" t="s">
        <v>9869</v>
      </c>
      <c r="B154" t="s">
        <v>9870</v>
      </c>
      <c r="C154" t="s">
        <v>9574</v>
      </c>
      <c r="D154" t="s">
        <v>9574</v>
      </c>
      <c r="E154" t="s">
        <v>9574</v>
      </c>
    </row>
    <row r="155" spans="1:5" hidden="1">
      <c r="A155" t="s">
        <v>9871</v>
      </c>
      <c r="B155" t="s">
        <v>9872</v>
      </c>
      <c r="C155" t="s">
        <v>9574</v>
      </c>
      <c r="D155" t="s">
        <v>9574</v>
      </c>
      <c r="E155" t="s">
        <v>9574</v>
      </c>
    </row>
    <row r="156" spans="1:5" hidden="1">
      <c r="A156" t="s">
        <v>9873</v>
      </c>
      <c r="B156" t="s">
        <v>9874</v>
      </c>
      <c r="C156" t="s">
        <v>9574</v>
      </c>
      <c r="D156" t="s">
        <v>9574</v>
      </c>
      <c r="E156" t="s">
        <v>9574</v>
      </c>
    </row>
    <row r="157" spans="1:5" hidden="1">
      <c r="A157" t="s">
        <v>9875</v>
      </c>
      <c r="B157" t="s">
        <v>9876</v>
      </c>
      <c r="C157" t="s">
        <v>9574</v>
      </c>
      <c r="D157" t="s">
        <v>9574</v>
      </c>
      <c r="E157" t="s">
        <v>9574</v>
      </c>
    </row>
    <row r="158" spans="1:5" hidden="1">
      <c r="A158" t="s">
        <v>9877</v>
      </c>
      <c r="B158" t="s">
        <v>9878</v>
      </c>
      <c r="C158" t="s">
        <v>9574</v>
      </c>
      <c r="D158" t="s">
        <v>9574</v>
      </c>
      <c r="E158" t="s">
        <v>9574</v>
      </c>
    </row>
    <row r="159" spans="1:5" hidden="1">
      <c r="A159" t="s">
        <v>9879</v>
      </c>
      <c r="B159" t="s">
        <v>9880</v>
      </c>
      <c r="C159" t="s">
        <v>9574</v>
      </c>
      <c r="D159" t="s">
        <v>9574</v>
      </c>
      <c r="E159" t="s">
        <v>9574</v>
      </c>
    </row>
    <row r="160" spans="1:5" hidden="1">
      <c r="A160" t="s">
        <v>9881</v>
      </c>
      <c r="B160" t="s">
        <v>9882</v>
      </c>
      <c r="C160" t="s">
        <v>9574</v>
      </c>
      <c r="D160" t="s">
        <v>9574</v>
      </c>
      <c r="E160" t="s">
        <v>9574</v>
      </c>
    </row>
    <row r="161" spans="1:5" hidden="1">
      <c r="A161" t="s">
        <v>9883</v>
      </c>
      <c r="B161" t="s">
        <v>9884</v>
      </c>
      <c r="C161" t="s">
        <v>9574</v>
      </c>
      <c r="D161" t="s">
        <v>9574</v>
      </c>
      <c r="E161" t="s">
        <v>9574</v>
      </c>
    </row>
    <row r="162" spans="1:5" hidden="1">
      <c r="A162" t="s">
        <v>9885</v>
      </c>
      <c r="B162" t="s">
        <v>9886</v>
      </c>
      <c r="C162" t="s">
        <v>9574</v>
      </c>
      <c r="D162" t="s">
        <v>9574</v>
      </c>
      <c r="E162" t="s">
        <v>9574</v>
      </c>
    </row>
    <row r="163" spans="1:5" hidden="1">
      <c r="A163" t="s">
        <v>9887</v>
      </c>
      <c r="B163" t="s">
        <v>9888</v>
      </c>
      <c r="C163" t="s">
        <v>9574</v>
      </c>
      <c r="D163" t="s">
        <v>9574</v>
      </c>
      <c r="E163" t="s">
        <v>9574</v>
      </c>
    </row>
    <row r="164" spans="1:5" hidden="1">
      <c r="A164" t="s">
        <v>9889</v>
      </c>
      <c r="B164" t="s">
        <v>9890</v>
      </c>
      <c r="C164" t="s">
        <v>9574</v>
      </c>
      <c r="D164" t="s">
        <v>9574</v>
      </c>
      <c r="E164" t="s">
        <v>9601</v>
      </c>
    </row>
    <row r="165" spans="1:5" hidden="1">
      <c r="A165" t="s">
        <v>9891</v>
      </c>
      <c r="B165" t="s">
        <v>9892</v>
      </c>
      <c r="C165" t="s">
        <v>9574</v>
      </c>
      <c r="D165" t="s">
        <v>9574</v>
      </c>
      <c r="E165" t="s">
        <v>9601</v>
      </c>
    </row>
    <row r="166" spans="1:5" hidden="1">
      <c r="A166" t="s">
        <v>9893</v>
      </c>
      <c r="B166" t="s">
        <v>9894</v>
      </c>
      <c r="C166" t="s">
        <v>9565</v>
      </c>
      <c r="D166" t="s">
        <v>9565</v>
      </c>
      <c r="E166" t="s">
        <v>9565</v>
      </c>
    </row>
    <row r="167" spans="1:5" hidden="1">
      <c r="A167" t="s">
        <v>9895</v>
      </c>
      <c r="B167" t="s">
        <v>9896</v>
      </c>
      <c r="C167" t="s">
        <v>9565</v>
      </c>
      <c r="D167" t="s">
        <v>9565</v>
      </c>
      <c r="E167" t="s">
        <v>9565</v>
      </c>
    </row>
    <row r="168" spans="1:5" hidden="1">
      <c r="A168" t="s">
        <v>9897</v>
      </c>
      <c r="B168" t="s">
        <v>9898</v>
      </c>
      <c r="C168" t="s">
        <v>9565</v>
      </c>
      <c r="D168" t="s">
        <v>9565</v>
      </c>
      <c r="E168" t="s">
        <v>9565</v>
      </c>
    </row>
    <row r="169" spans="1:5" hidden="1">
      <c r="A169" t="s">
        <v>9899</v>
      </c>
      <c r="B169" t="s">
        <v>9900</v>
      </c>
      <c r="C169" t="s">
        <v>9565</v>
      </c>
      <c r="D169" t="s">
        <v>9565</v>
      </c>
      <c r="E169" t="s">
        <v>9565</v>
      </c>
    </row>
    <row r="170" spans="1:5" hidden="1">
      <c r="A170" t="s">
        <v>9901</v>
      </c>
      <c r="B170" t="s">
        <v>9902</v>
      </c>
      <c r="C170" t="s">
        <v>9565</v>
      </c>
      <c r="D170" t="s">
        <v>9565</v>
      </c>
      <c r="E170" t="s">
        <v>9565</v>
      </c>
    </row>
    <row r="171" spans="1:5" hidden="1">
      <c r="A171" t="s">
        <v>9903</v>
      </c>
      <c r="B171" t="s">
        <v>9904</v>
      </c>
      <c r="C171" t="s">
        <v>9565</v>
      </c>
      <c r="D171" t="s">
        <v>9565</v>
      </c>
      <c r="E171" t="s">
        <v>9565</v>
      </c>
    </row>
    <row r="172" spans="1:5" hidden="1">
      <c r="A172" t="s">
        <v>9905</v>
      </c>
      <c r="B172" t="s">
        <v>9906</v>
      </c>
      <c r="C172" t="s">
        <v>9574</v>
      </c>
      <c r="D172" t="s">
        <v>9574</v>
      </c>
      <c r="E172" t="s">
        <v>9574</v>
      </c>
    </row>
    <row r="173" spans="1:5" hidden="1">
      <c r="A173" t="s">
        <v>9907</v>
      </c>
      <c r="B173" t="s">
        <v>9908</v>
      </c>
      <c r="C173" t="s">
        <v>9574</v>
      </c>
      <c r="D173" t="s">
        <v>9574</v>
      </c>
      <c r="E173" t="s">
        <v>9574</v>
      </c>
    </row>
    <row r="174" spans="1:5" hidden="1">
      <c r="A174" t="s">
        <v>9909</v>
      </c>
      <c r="B174" t="s">
        <v>9910</v>
      </c>
      <c r="C174" t="s">
        <v>9574</v>
      </c>
      <c r="D174" t="s">
        <v>9574</v>
      </c>
      <c r="E174" t="s">
        <v>9574</v>
      </c>
    </row>
    <row r="175" spans="1:5" hidden="1">
      <c r="A175" t="s">
        <v>9911</v>
      </c>
      <c r="B175" t="s">
        <v>9912</v>
      </c>
      <c r="C175" t="s">
        <v>9574</v>
      </c>
      <c r="D175" t="s">
        <v>9574</v>
      </c>
      <c r="E175" t="s">
        <v>9574</v>
      </c>
    </row>
    <row r="176" spans="1:5" hidden="1">
      <c r="A176" t="s">
        <v>9913</v>
      </c>
      <c r="B176" t="s">
        <v>9914</v>
      </c>
      <c r="C176" t="s">
        <v>9574</v>
      </c>
      <c r="D176" t="s">
        <v>9574</v>
      </c>
      <c r="E176" t="s">
        <v>9574</v>
      </c>
    </row>
    <row r="177" spans="1:5" hidden="1">
      <c r="A177" t="s">
        <v>9915</v>
      </c>
      <c r="B177" t="s">
        <v>9916</v>
      </c>
      <c r="C177" t="s">
        <v>9574</v>
      </c>
      <c r="D177" t="s">
        <v>9574</v>
      </c>
      <c r="E177" t="s">
        <v>9574</v>
      </c>
    </row>
    <row r="178" spans="1:5" hidden="1">
      <c r="A178" t="s">
        <v>9917</v>
      </c>
      <c r="B178" t="s">
        <v>9918</v>
      </c>
      <c r="C178" t="s">
        <v>9574</v>
      </c>
      <c r="D178" t="s">
        <v>9574</v>
      </c>
      <c r="E178" t="s">
        <v>9574</v>
      </c>
    </row>
    <row r="179" spans="1:5" hidden="1">
      <c r="A179" t="s">
        <v>9919</v>
      </c>
      <c r="B179" t="s">
        <v>9920</v>
      </c>
      <c r="C179" t="s">
        <v>9574</v>
      </c>
      <c r="D179" t="s">
        <v>9574</v>
      </c>
      <c r="E179" t="s">
        <v>9574</v>
      </c>
    </row>
    <row r="180" spans="1:5" hidden="1">
      <c r="A180" t="s">
        <v>9921</v>
      </c>
      <c r="B180" t="s">
        <v>9922</v>
      </c>
      <c r="C180" t="s">
        <v>9565</v>
      </c>
      <c r="D180" t="s">
        <v>9565</v>
      </c>
      <c r="E180" t="s">
        <v>9565</v>
      </c>
    </row>
    <row r="181" spans="1:5" hidden="1">
      <c r="A181" t="s">
        <v>9923</v>
      </c>
      <c r="B181" t="s">
        <v>9924</v>
      </c>
      <c r="C181" t="s">
        <v>9574</v>
      </c>
      <c r="D181" t="s">
        <v>9574</v>
      </c>
      <c r="E181" t="s">
        <v>9574</v>
      </c>
    </row>
    <row r="182" spans="1:5" hidden="1">
      <c r="A182" t="s">
        <v>9925</v>
      </c>
      <c r="B182" t="s">
        <v>9926</v>
      </c>
      <c r="C182" t="s">
        <v>9574</v>
      </c>
      <c r="D182" t="s">
        <v>9574</v>
      </c>
      <c r="E182" t="s">
        <v>9574</v>
      </c>
    </row>
    <row r="183" spans="1:5" hidden="1">
      <c r="A183" t="s">
        <v>9927</v>
      </c>
      <c r="B183" t="s">
        <v>9928</v>
      </c>
      <c r="C183" t="s">
        <v>9574</v>
      </c>
      <c r="D183" t="s">
        <v>9574</v>
      </c>
      <c r="E183" t="s">
        <v>9574</v>
      </c>
    </row>
    <row r="184" spans="1:5" hidden="1">
      <c r="A184" t="s">
        <v>9929</v>
      </c>
      <c r="B184" t="s">
        <v>9930</v>
      </c>
      <c r="C184" t="s">
        <v>9574</v>
      </c>
      <c r="D184" t="s">
        <v>9574</v>
      </c>
      <c r="E184" t="s">
        <v>9574</v>
      </c>
    </row>
    <row r="185" spans="1:5" hidden="1">
      <c r="A185" t="s">
        <v>9931</v>
      </c>
      <c r="B185" t="s">
        <v>9932</v>
      </c>
      <c r="C185" t="s">
        <v>9574</v>
      </c>
      <c r="D185" t="s">
        <v>9574</v>
      </c>
      <c r="E185" t="s">
        <v>9574</v>
      </c>
    </row>
    <row r="186" spans="1:5" hidden="1">
      <c r="A186" t="s">
        <v>9933</v>
      </c>
      <c r="B186" t="s">
        <v>9934</v>
      </c>
      <c r="C186" t="s">
        <v>9574</v>
      </c>
      <c r="D186" t="s">
        <v>9574</v>
      </c>
      <c r="E186" t="s">
        <v>9574</v>
      </c>
    </row>
    <row r="187" spans="1:5" hidden="1">
      <c r="A187" t="s">
        <v>9935</v>
      </c>
      <c r="B187" t="s">
        <v>9936</v>
      </c>
      <c r="C187" t="s">
        <v>9574</v>
      </c>
      <c r="D187" t="s">
        <v>9574</v>
      </c>
      <c r="E187" t="s">
        <v>9574</v>
      </c>
    </row>
    <row r="188" spans="1:5" hidden="1">
      <c r="A188" t="s">
        <v>9937</v>
      </c>
      <c r="B188" t="s">
        <v>9938</v>
      </c>
      <c r="C188" t="s">
        <v>9574</v>
      </c>
      <c r="D188" t="s">
        <v>9574</v>
      </c>
      <c r="E188" t="s">
        <v>9574</v>
      </c>
    </row>
    <row r="189" spans="1:5" hidden="1">
      <c r="A189" t="s">
        <v>9939</v>
      </c>
      <c r="B189" t="s">
        <v>9940</v>
      </c>
      <c r="C189" t="s">
        <v>9574</v>
      </c>
      <c r="D189" t="s">
        <v>9574</v>
      </c>
      <c r="E189" t="s">
        <v>9574</v>
      </c>
    </row>
    <row r="190" spans="1:5" hidden="1">
      <c r="A190" t="s">
        <v>9941</v>
      </c>
      <c r="B190" t="s">
        <v>9942</v>
      </c>
      <c r="C190" t="s">
        <v>9574</v>
      </c>
      <c r="D190" t="s">
        <v>9574</v>
      </c>
      <c r="E190" t="s">
        <v>9574</v>
      </c>
    </row>
    <row r="191" spans="1:5" hidden="1">
      <c r="A191" t="s">
        <v>9943</v>
      </c>
      <c r="B191" t="s">
        <v>9944</v>
      </c>
      <c r="C191" t="s">
        <v>9574</v>
      </c>
      <c r="D191" t="s">
        <v>9574</v>
      </c>
      <c r="E191" t="s">
        <v>9574</v>
      </c>
    </row>
    <row r="192" spans="1:5" hidden="1">
      <c r="A192" t="s">
        <v>9945</v>
      </c>
      <c r="B192" t="s">
        <v>9946</v>
      </c>
      <c r="C192" t="s">
        <v>9574</v>
      </c>
      <c r="D192" t="s">
        <v>9574</v>
      </c>
      <c r="E192" t="s">
        <v>9574</v>
      </c>
    </row>
    <row r="193" spans="1:5" hidden="1">
      <c r="A193" t="s">
        <v>9947</v>
      </c>
      <c r="B193" t="s">
        <v>9948</v>
      </c>
      <c r="C193" t="s">
        <v>9574</v>
      </c>
      <c r="D193" t="s">
        <v>9574</v>
      </c>
      <c r="E193" t="s">
        <v>9574</v>
      </c>
    </row>
    <row r="194" spans="1:5" hidden="1">
      <c r="A194" t="s">
        <v>9949</v>
      </c>
      <c r="B194" t="s">
        <v>9950</v>
      </c>
      <c r="C194" t="s">
        <v>9574</v>
      </c>
      <c r="D194" t="s">
        <v>9574</v>
      </c>
      <c r="E194" t="s">
        <v>9574</v>
      </c>
    </row>
    <row r="195" spans="1:5" hidden="1">
      <c r="A195" t="s">
        <v>9951</v>
      </c>
      <c r="B195" t="s">
        <v>9952</v>
      </c>
      <c r="C195" t="s">
        <v>9574</v>
      </c>
      <c r="D195" t="s">
        <v>9574</v>
      </c>
      <c r="E195" t="s">
        <v>9549</v>
      </c>
    </row>
    <row r="196" spans="1:5" hidden="1">
      <c r="A196" t="s">
        <v>9953</v>
      </c>
      <c r="B196" t="s">
        <v>9954</v>
      </c>
      <c r="C196" t="s">
        <v>9574</v>
      </c>
      <c r="D196" t="s">
        <v>9574</v>
      </c>
      <c r="E196" t="s">
        <v>9549</v>
      </c>
    </row>
    <row r="197" spans="1:5" hidden="1">
      <c r="A197" t="s">
        <v>9955</v>
      </c>
      <c r="B197" t="s">
        <v>9956</v>
      </c>
      <c r="C197" t="s">
        <v>9574</v>
      </c>
      <c r="D197" t="s">
        <v>9574</v>
      </c>
      <c r="E197" t="s">
        <v>9549</v>
      </c>
    </row>
    <row r="198" spans="1:5" hidden="1">
      <c r="A198" t="s">
        <v>9957</v>
      </c>
      <c r="B198" t="s">
        <v>9958</v>
      </c>
      <c r="C198" t="s">
        <v>9574</v>
      </c>
      <c r="D198" t="s">
        <v>9574</v>
      </c>
      <c r="E198" t="s">
        <v>9549</v>
      </c>
    </row>
    <row r="199" spans="1:5" hidden="1">
      <c r="A199" t="s">
        <v>9959</v>
      </c>
      <c r="B199" t="s">
        <v>9960</v>
      </c>
      <c r="C199" t="s">
        <v>9574</v>
      </c>
      <c r="D199" t="s">
        <v>9574</v>
      </c>
      <c r="E199" t="s">
        <v>9549</v>
      </c>
    </row>
    <row r="200" spans="1:5" hidden="1">
      <c r="A200" t="s">
        <v>9961</v>
      </c>
      <c r="B200" t="s">
        <v>9962</v>
      </c>
      <c r="C200" t="s">
        <v>9574</v>
      </c>
      <c r="D200" t="s">
        <v>9574</v>
      </c>
      <c r="E200" t="s">
        <v>9574</v>
      </c>
    </row>
    <row r="201" spans="1:5" hidden="1">
      <c r="A201" t="s">
        <v>9963</v>
      </c>
      <c r="B201" t="s">
        <v>9964</v>
      </c>
      <c r="C201" t="s">
        <v>9574</v>
      </c>
      <c r="D201" t="s">
        <v>9574</v>
      </c>
      <c r="E201" t="s">
        <v>9574</v>
      </c>
    </row>
    <row r="202" spans="1:5" hidden="1">
      <c r="A202" t="s">
        <v>9965</v>
      </c>
      <c r="B202" t="s">
        <v>9966</v>
      </c>
      <c r="C202" t="s">
        <v>9574</v>
      </c>
      <c r="D202" t="s">
        <v>9574</v>
      </c>
      <c r="E202" t="s">
        <v>9574</v>
      </c>
    </row>
    <row r="203" spans="1:5" hidden="1">
      <c r="A203" t="s">
        <v>9967</v>
      </c>
      <c r="B203" t="s">
        <v>9968</v>
      </c>
      <c r="C203" t="s">
        <v>9574</v>
      </c>
      <c r="D203" t="s">
        <v>9574</v>
      </c>
      <c r="E203" t="s">
        <v>9574</v>
      </c>
    </row>
    <row r="204" spans="1:5" hidden="1">
      <c r="A204" t="s">
        <v>9969</v>
      </c>
      <c r="B204" t="s">
        <v>9970</v>
      </c>
      <c r="C204" t="s">
        <v>9574</v>
      </c>
      <c r="D204" t="s">
        <v>9574</v>
      </c>
      <c r="E204" t="s">
        <v>9574</v>
      </c>
    </row>
    <row r="205" spans="1:5" hidden="1">
      <c r="A205" t="s">
        <v>434</v>
      </c>
      <c r="B205" t="s">
        <v>435</v>
      </c>
      <c r="C205" t="s">
        <v>9565</v>
      </c>
      <c r="D205" t="s">
        <v>9565</v>
      </c>
      <c r="E205" t="s">
        <v>9565</v>
      </c>
    </row>
    <row r="206" spans="1:5" hidden="1">
      <c r="A206" t="s">
        <v>9971</v>
      </c>
      <c r="B206" t="s">
        <v>9972</v>
      </c>
      <c r="C206" t="s">
        <v>9574</v>
      </c>
      <c r="D206" t="s">
        <v>9574</v>
      </c>
      <c r="E206" t="s">
        <v>9601</v>
      </c>
    </row>
    <row r="207" spans="1:5" hidden="1">
      <c r="A207" t="s">
        <v>9973</v>
      </c>
      <c r="B207" t="s">
        <v>9974</v>
      </c>
      <c r="C207" t="s">
        <v>9574</v>
      </c>
      <c r="D207" t="s">
        <v>9574</v>
      </c>
      <c r="E207" t="s">
        <v>9601</v>
      </c>
    </row>
    <row r="208" spans="1:5" hidden="1">
      <c r="A208" t="s">
        <v>9975</v>
      </c>
      <c r="B208" t="s">
        <v>9976</v>
      </c>
      <c r="C208" t="s">
        <v>9574</v>
      </c>
      <c r="D208" t="s">
        <v>9574</v>
      </c>
      <c r="E208" t="s">
        <v>9574</v>
      </c>
    </row>
    <row r="209" spans="1:5" hidden="1">
      <c r="A209" t="s">
        <v>9977</v>
      </c>
      <c r="B209" t="s">
        <v>9978</v>
      </c>
      <c r="C209" t="s">
        <v>9574</v>
      </c>
      <c r="D209" t="s">
        <v>9574</v>
      </c>
      <c r="E209" t="s">
        <v>9574</v>
      </c>
    </row>
    <row r="210" spans="1:5" hidden="1">
      <c r="A210" t="s">
        <v>9979</v>
      </c>
      <c r="B210" t="s">
        <v>9980</v>
      </c>
      <c r="C210" t="s">
        <v>9574</v>
      </c>
      <c r="D210" t="s">
        <v>9574</v>
      </c>
      <c r="E210" t="s">
        <v>9574</v>
      </c>
    </row>
    <row r="211" spans="1:5" hidden="1">
      <c r="A211" t="s">
        <v>9981</v>
      </c>
      <c r="B211" t="s">
        <v>9982</v>
      </c>
      <c r="C211" t="s">
        <v>9574</v>
      </c>
      <c r="D211" t="s">
        <v>9574</v>
      </c>
      <c r="E211" t="s">
        <v>9574</v>
      </c>
    </row>
    <row r="212" spans="1:5" hidden="1">
      <c r="A212" t="s">
        <v>9983</v>
      </c>
      <c r="B212" t="s">
        <v>9984</v>
      </c>
      <c r="C212" t="s">
        <v>9574</v>
      </c>
      <c r="D212" t="s">
        <v>9574</v>
      </c>
      <c r="E212" t="s">
        <v>9574</v>
      </c>
    </row>
    <row r="213" spans="1:5" hidden="1">
      <c r="A213" t="s">
        <v>9985</v>
      </c>
      <c r="B213" t="s">
        <v>9986</v>
      </c>
      <c r="C213" t="s">
        <v>9574</v>
      </c>
      <c r="D213" t="s">
        <v>9574</v>
      </c>
      <c r="E213" t="s">
        <v>9574</v>
      </c>
    </row>
    <row r="214" spans="1:5" hidden="1">
      <c r="A214" t="s">
        <v>9987</v>
      </c>
      <c r="B214" t="s">
        <v>9988</v>
      </c>
      <c r="C214" t="s">
        <v>9574</v>
      </c>
      <c r="D214" t="s">
        <v>9574</v>
      </c>
      <c r="E214" t="s">
        <v>9574</v>
      </c>
    </row>
    <row r="215" spans="1:5" hidden="1">
      <c r="A215" t="s">
        <v>471</v>
      </c>
      <c r="B215" t="s">
        <v>472</v>
      </c>
      <c r="C215" t="s">
        <v>9565</v>
      </c>
      <c r="D215" t="s">
        <v>9565</v>
      </c>
      <c r="E215" t="s">
        <v>9565</v>
      </c>
    </row>
    <row r="216" spans="1:5" hidden="1">
      <c r="A216" t="s">
        <v>9989</v>
      </c>
      <c r="B216" t="s">
        <v>9990</v>
      </c>
      <c r="C216" t="s">
        <v>9565</v>
      </c>
      <c r="D216" t="s">
        <v>9565</v>
      </c>
      <c r="E216" t="s">
        <v>9565</v>
      </c>
    </row>
    <row r="217" spans="1:5" hidden="1">
      <c r="A217" t="s">
        <v>9991</v>
      </c>
      <c r="B217" t="s">
        <v>9992</v>
      </c>
      <c r="C217" t="s">
        <v>9574</v>
      </c>
      <c r="D217" t="s">
        <v>9574</v>
      </c>
      <c r="E217" t="s">
        <v>9574</v>
      </c>
    </row>
    <row r="218" spans="1:5" hidden="1">
      <c r="A218" t="s">
        <v>9993</v>
      </c>
      <c r="B218" t="s">
        <v>9994</v>
      </c>
      <c r="C218" t="s">
        <v>9574</v>
      </c>
      <c r="D218" t="s">
        <v>9574</v>
      </c>
      <c r="E218" t="s">
        <v>9574</v>
      </c>
    </row>
    <row r="219" spans="1:5" hidden="1">
      <c r="A219" t="s">
        <v>9995</v>
      </c>
      <c r="B219" t="s">
        <v>9996</v>
      </c>
      <c r="C219" t="s">
        <v>9574</v>
      </c>
      <c r="D219" t="s">
        <v>9574</v>
      </c>
      <c r="E219" t="s">
        <v>9574</v>
      </c>
    </row>
    <row r="220" spans="1:5" hidden="1">
      <c r="A220" t="s">
        <v>9997</v>
      </c>
      <c r="B220" t="s">
        <v>9998</v>
      </c>
      <c r="C220" t="s">
        <v>9574</v>
      </c>
      <c r="D220" t="s">
        <v>9574</v>
      </c>
      <c r="E220" t="s">
        <v>9574</v>
      </c>
    </row>
    <row r="221" spans="1:5" hidden="1">
      <c r="A221" t="s">
        <v>9999</v>
      </c>
      <c r="B221" t="s">
        <v>10000</v>
      </c>
      <c r="C221" t="s">
        <v>9574</v>
      </c>
      <c r="D221" t="s">
        <v>9574</v>
      </c>
      <c r="E221" t="s">
        <v>9574</v>
      </c>
    </row>
    <row r="222" spans="1:5" hidden="1">
      <c r="A222" t="s">
        <v>10001</v>
      </c>
      <c r="B222" t="s">
        <v>10002</v>
      </c>
      <c r="C222" t="s">
        <v>9574</v>
      </c>
      <c r="D222" t="s">
        <v>9574</v>
      </c>
      <c r="E222" t="s">
        <v>9574</v>
      </c>
    </row>
    <row r="223" spans="1:5" hidden="1">
      <c r="A223" t="s">
        <v>10003</v>
      </c>
      <c r="B223" t="s">
        <v>10004</v>
      </c>
      <c r="C223" t="s">
        <v>9565</v>
      </c>
      <c r="D223" t="s">
        <v>9565</v>
      </c>
      <c r="E223" t="s">
        <v>9565</v>
      </c>
    </row>
    <row r="224" spans="1:5" hidden="1">
      <c r="A224" t="s">
        <v>10005</v>
      </c>
      <c r="B224" t="s">
        <v>10006</v>
      </c>
      <c r="C224" t="s">
        <v>9574</v>
      </c>
      <c r="D224" t="s">
        <v>9574</v>
      </c>
      <c r="E224" t="s">
        <v>9574</v>
      </c>
    </row>
    <row r="225" spans="1:5" hidden="1">
      <c r="A225" t="s">
        <v>10007</v>
      </c>
      <c r="B225" t="s">
        <v>10008</v>
      </c>
      <c r="C225" t="s">
        <v>9574</v>
      </c>
      <c r="D225" t="s">
        <v>9574</v>
      </c>
      <c r="E225" t="s">
        <v>9574</v>
      </c>
    </row>
    <row r="226" spans="1:5" hidden="1">
      <c r="A226" t="s">
        <v>10009</v>
      </c>
      <c r="B226" t="s">
        <v>10010</v>
      </c>
      <c r="C226" t="s">
        <v>9574</v>
      </c>
      <c r="D226" t="s">
        <v>9574</v>
      </c>
      <c r="E226" t="s">
        <v>9574</v>
      </c>
    </row>
    <row r="227" spans="1:5" hidden="1">
      <c r="A227" t="s">
        <v>10011</v>
      </c>
      <c r="B227" t="s">
        <v>10012</v>
      </c>
      <c r="C227" t="s">
        <v>9574</v>
      </c>
      <c r="D227" t="s">
        <v>9574</v>
      </c>
      <c r="E227" t="s">
        <v>9574</v>
      </c>
    </row>
    <row r="228" spans="1:5" hidden="1">
      <c r="A228" t="s">
        <v>10013</v>
      </c>
      <c r="B228" t="s">
        <v>10014</v>
      </c>
      <c r="C228" t="s">
        <v>9574</v>
      </c>
      <c r="D228" t="s">
        <v>9574</v>
      </c>
      <c r="E228" t="s">
        <v>9574</v>
      </c>
    </row>
    <row r="229" spans="1:5" hidden="1">
      <c r="A229" t="s">
        <v>10015</v>
      </c>
      <c r="B229" t="s">
        <v>10016</v>
      </c>
      <c r="C229" t="s">
        <v>9574</v>
      </c>
      <c r="D229" t="s">
        <v>9574</v>
      </c>
      <c r="E229" t="s">
        <v>9574</v>
      </c>
    </row>
    <row r="230" spans="1:5" hidden="1">
      <c r="A230" t="s">
        <v>10017</v>
      </c>
      <c r="B230" t="s">
        <v>10018</v>
      </c>
      <c r="C230" t="s">
        <v>9574</v>
      </c>
      <c r="D230" t="s">
        <v>9574</v>
      </c>
      <c r="E230" t="s">
        <v>9574</v>
      </c>
    </row>
    <row r="231" spans="1:5" hidden="1">
      <c r="A231" t="s">
        <v>10019</v>
      </c>
      <c r="B231" t="s">
        <v>10020</v>
      </c>
      <c r="C231" t="s">
        <v>9574</v>
      </c>
      <c r="D231" t="s">
        <v>9574</v>
      </c>
      <c r="E231" t="s">
        <v>9574</v>
      </c>
    </row>
    <row r="232" spans="1:5" hidden="1">
      <c r="A232" t="s">
        <v>10021</v>
      </c>
      <c r="B232" t="s">
        <v>10022</v>
      </c>
      <c r="C232" t="s">
        <v>9574</v>
      </c>
      <c r="D232" t="s">
        <v>9574</v>
      </c>
      <c r="E232" t="s">
        <v>9574</v>
      </c>
    </row>
    <row r="233" spans="1:5" hidden="1">
      <c r="A233" t="s">
        <v>10023</v>
      </c>
      <c r="B233" t="s">
        <v>10024</v>
      </c>
      <c r="C233" t="s">
        <v>9574</v>
      </c>
      <c r="D233" t="s">
        <v>9574</v>
      </c>
      <c r="E233" t="s">
        <v>9574</v>
      </c>
    </row>
    <row r="234" spans="1:5" hidden="1">
      <c r="A234" t="s">
        <v>10025</v>
      </c>
      <c r="B234" t="s">
        <v>10026</v>
      </c>
      <c r="C234" t="s">
        <v>9574</v>
      </c>
      <c r="D234" t="s">
        <v>9574</v>
      </c>
      <c r="E234" t="s">
        <v>9574</v>
      </c>
    </row>
    <row r="235" spans="1:5" hidden="1">
      <c r="A235" t="s">
        <v>10027</v>
      </c>
      <c r="B235" t="s">
        <v>10028</v>
      </c>
      <c r="C235" t="s">
        <v>9574</v>
      </c>
      <c r="D235" t="s">
        <v>9574</v>
      </c>
      <c r="E235" t="s">
        <v>9601</v>
      </c>
    </row>
    <row r="236" spans="1:5" hidden="1">
      <c r="A236" t="s">
        <v>10029</v>
      </c>
      <c r="B236" t="s">
        <v>10030</v>
      </c>
      <c r="C236" t="s">
        <v>9574</v>
      </c>
      <c r="D236" t="s">
        <v>9574</v>
      </c>
      <c r="E236" t="s">
        <v>9601</v>
      </c>
    </row>
    <row r="237" spans="1:5" hidden="1">
      <c r="A237" t="s">
        <v>10031</v>
      </c>
      <c r="B237" t="s">
        <v>10032</v>
      </c>
      <c r="C237" t="s">
        <v>9565</v>
      </c>
      <c r="D237" t="s">
        <v>9565</v>
      </c>
      <c r="E237" t="s">
        <v>9565</v>
      </c>
    </row>
    <row r="238" spans="1:5" hidden="1">
      <c r="A238" t="s">
        <v>10033</v>
      </c>
      <c r="B238" t="s">
        <v>10034</v>
      </c>
      <c r="C238" t="s">
        <v>9574</v>
      </c>
      <c r="D238" t="s">
        <v>9574</v>
      </c>
      <c r="E238" t="s">
        <v>9574</v>
      </c>
    </row>
    <row r="239" spans="1:5" hidden="1">
      <c r="A239" t="s">
        <v>10035</v>
      </c>
      <c r="B239" t="s">
        <v>10036</v>
      </c>
      <c r="C239" t="s">
        <v>9574</v>
      </c>
      <c r="D239" t="s">
        <v>9574</v>
      </c>
      <c r="E239" t="s">
        <v>9574</v>
      </c>
    </row>
    <row r="240" spans="1:5" hidden="1">
      <c r="A240" t="s">
        <v>10037</v>
      </c>
      <c r="B240" t="s">
        <v>10038</v>
      </c>
      <c r="C240" t="s">
        <v>9574</v>
      </c>
      <c r="D240" t="s">
        <v>9574</v>
      </c>
      <c r="E240" t="s">
        <v>9574</v>
      </c>
    </row>
    <row r="241" spans="1:5" hidden="1">
      <c r="A241" t="s">
        <v>10039</v>
      </c>
      <c r="B241" t="s">
        <v>10040</v>
      </c>
      <c r="C241" t="s">
        <v>9574</v>
      </c>
      <c r="D241" t="s">
        <v>9574</v>
      </c>
      <c r="E241" t="s">
        <v>9574</v>
      </c>
    </row>
    <row r="242" spans="1:5" hidden="1">
      <c r="A242" t="s">
        <v>10041</v>
      </c>
      <c r="B242" t="s">
        <v>10042</v>
      </c>
      <c r="C242" t="s">
        <v>9574</v>
      </c>
      <c r="D242" t="s">
        <v>9574</v>
      </c>
      <c r="E242" t="s">
        <v>9574</v>
      </c>
    </row>
    <row r="243" spans="1:5" hidden="1">
      <c r="A243" t="s">
        <v>10043</v>
      </c>
      <c r="B243" t="s">
        <v>10044</v>
      </c>
      <c r="C243" t="s">
        <v>9574</v>
      </c>
      <c r="D243" t="s">
        <v>9574</v>
      </c>
      <c r="E243" t="s">
        <v>9574</v>
      </c>
    </row>
    <row r="244" spans="1:5" hidden="1">
      <c r="A244" t="s">
        <v>10045</v>
      </c>
      <c r="B244" t="s">
        <v>10046</v>
      </c>
      <c r="C244" t="s">
        <v>9574</v>
      </c>
      <c r="D244" t="s">
        <v>9574</v>
      </c>
      <c r="E244" t="s">
        <v>9574</v>
      </c>
    </row>
    <row r="245" spans="1:5" hidden="1">
      <c r="A245" t="s">
        <v>10047</v>
      </c>
      <c r="B245" t="s">
        <v>10048</v>
      </c>
      <c r="C245" t="s">
        <v>9574</v>
      </c>
      <c r="D245" t="s">
        <v>9574</v>
      </c>
      <c r="E245" t="s">
        <v>9574</v>
      </c>
    </row>
    <row r="246" spans="1:5" hidden="1">
      <c r="A246" t="s">
        <v>10049</v>
      </c>
      <c r="B246" t="s">
        <v>10050</v>
      </c>
      <c r="C246" t="s">
        <v>9574</v>
      </c>
      <c r="D246" t="s">
        <v>9574</v>
      </c>
      <c r="E246" t="s">
        <v>9574</v>
      </c>
    </row>
    <row r="247" spans="1:5" hidden="1">
      <c r="A247" t="s">
        <v>10051</v>
      </c>
      <c r="B247" t="s">
        <v>10052</v>
      </c>
      <c r="C247" t="s">
        <v>9574</v>
      </c>
      <c r="D247" t="s">
        <v>9574</v>
      </c>
      <c r="E247" t="s">
        <v>9574</v>
      </c>
    </row>
    <row r="248" spans="1:5" hidden="1">
      <c r="A248" t="s">
        <v>10053</v>
      </c>
      <c r="B248" t="s">
        <v>10054</v>
      </c>
      <c r="C248" t="s">
        <v>9574</v>
      </c>
      <c r="D248" t="s">
        <v>9574</v>
      </c>
      <c r="E248" t="s">
        <v>9574</v>
      </c>
    </row>
    <row r="249" spans="1:5" hidden="1">
      <c r="A249" t="s">
        <v>10055</v>
      </c>
      <c r="B249" t="s">
        <v>10056</v>
      </c>
      <c r="C249" t="s">
        <v>9574</v>
      </c>
      <c r="D249" t="s">
        <v>9574</v>
      </c>
      <c r="E249" t="s">
        <v>9574</v>
      </c>
    </row>
    <row r="250" spans="1:5" hidden="1">
      <c r="A250" t="s">
        <v>10057</v>
      </c>
      <c r="B250" t="s">
        <v>10058</v>
      </c>
      <c r="C250" t="s">
        <v>9574</v>
      </c>
      <c r="D250" t="s">
        <v>9574</v>
      </c>
      <c r="E250" t="s">
        <v>9574</v>
      </c>
    </row>
    <row r="251" spans="1:5" hidden="1">
      <c r="A251" t="s">
        <v>10059</v>
      </c>
      <c r="B251" t="s">
        <v>10060</v>
      </c>
      <c r="C251" t="s">
        <v>9574</v>
      </c>
      <c r="D251" t="s">
        <v>9574</v>
      </c>
      <c r="E251" t="s">
        <v>9574</v>
      </c>
    </row>
    <row r="252" spans="1:5" hidden="1">
      <c r="A252" t="s">
        <v>10061</v>
      </c>
      <c r="B252" t="s">
        <v>10062</v>
      </c>
      <c r="C252" t="s">
        <v>9574</v>
      </c>
      <c r="D252" t="s">
        <v>9574</v>
      </c>
      <c r="E252" t="s">
        <v>9574</v>
      </c>
    </row>
    <row r="253" spans="1:5" hidden="1">
      <c r="A253" t="s">
        <v>10063</v>
      </c>
      <c r="B253" t="s">
        <v>10064</v>
      </c>
      <c r="C253" t="s">
        <v>9574</v>
      </c>
      <c r="D253" t="s">
        <v>9574</v>
      </c>
      <c r="E253" t="s">
        <v>9574</v>
      </c>
    </row>
    <row r="254" spans="1:5" hidden="1">
      <c r="A254" t="s">
        <v>10065</v>
      </c>
      <c r="B254" t="s">
        <v>10066</v>
      </c>
      <c r="C254" t="s">
        <v>9574</v>
      </c>
      <c r="D254" t="s">
        <v>9574</v>
      </c>
      <c r="E254" t="s">
        <v>9574</v>
      </c>
    </row>
    <row r="255" spans="1:5" hidden="1">
      <c r="A255" t="s">
        <v>10067</v>
      </c>
      <c r="B255" t="s">
        <v>10068</v>
      </c>
      <c r="C255" t="s">
        <v>9574</v>
      </c>
      <c r="D255" t="s">
        <v>9574</v>
      </c>
      <c r="E255" t="s">
        <v>9601</v>
      </c>
    </row>
    <row r="256" spans="1:5" hidden="1">
      <c r="A256" t="s">
        <v>10069</v>
      </c>
      <c r="B256" t="s">
        <v>10070</v>
      </c>
      <c r="C256" t="s">
        <v>9574</v>
      </c>
      <c r="D256" t="s">
        <v>9574</v>
      </c>
      <c r="E256" t="s">
        <v>9601</v>
      </c>
    </row>
    <row r="257" spans="1:5" hidden="1">
      <c r="A257" t="s">
        <v>10071</v>
      </c>
      <c r="B257" t="s">
        <v>10072</v>
      </c>
      <c r="C257" t="s">
        <v>9574</v>
      </c>
      <c r="D257" t="s">
        <v>9574</v>
      </c>
      <c r="E257" t="s">
        <v>9601</v>
      </c>
    </row>
    <row r="258" spans="1:5" hidden="1">
      <c r="A258" t="s">
        <v>10073</v>
      </c>
      <c r="B258" t="s">
        <v>10074</v>
      </c>
      <c r="C258" t="s">
        <v>9565</v>
      </c>
      <c r="D258" t="s">
        <v>9565</v>
      </c>
      <c r="E258" t="s">
        <v>9565</v>
      </c>
    </row>
    <row r="259" spans="1:5" hidden="1">
      <c r="A259" t="s">
        <v>10075</v>
      </c>
      <c r="B259" t="s">
        <v>10076</v>
      </c>
      <c r="C259" t="s">
        <v>9574</v>
      </c>
      <c r="D259" t="s">
        <v>9574</v>
      </c>
      <c r="E259" t="s">
        <v>9549</v>
      </c>
    </row>
    <row r="260" spans="1:5" hidden="1">
      <c r="A260" t="s">
        <v>10077</v>
      </c>
      <c r="B260" t="s">
        <v>10078</v>
      </c>
      <c r="C260" t="s">
        <v>9574</v>
      </c>
      <c r="D260" t="s">
        <v>9574</v>
      </c>
      <c r="E260" t="s">
        <v>9549</v>
      </c>
    </row>
    <row r="261" spans="1:5" hidden="1">
      <c r="A261" t="s">
        <v>10079</v>
      </c>
      <c r="B261" t="s">
        <v>10080</v>
      </c>
      <c r="C261" t="s">
        <v>9574</v>
      </c>
      <c r="D261" t="s">
        <v>9574</v>
      </c>
      <c r="E261" t="s">
        <v>9549</v>
      </c>
    </row>
    <row r="262" spans="1:5" hidden="1">
      <c r="A262" t="s">
        <v>10081</v>
      </c>
      <c r="B262" t="s">
        <v>10082</v>
      </c>
      <c r="C262" t="s">
        <v>9574</v>
      </c>
      <c r="D262" t="s">
        <v>9574</v>
      </c>
      <c r="E262" t="s">
        <v>9549</v>
      </c>
    </row>
    <row r="263" spans="1:5" hidden="1">
      <c r="A263" t="s">
        <v>468</v>
      </c>
      <c r="B263" t="s">
        <v>10083</v>
      </c>
      <c r="C263" t="s">
        <v>9565</v>
      </c>
      <c r="D263" t="s">
        <v>9565</v>
      </c>
      <c r="E263" t="s">
        <v>9565</v>
      </c>
    </row>
    <row r="264" spans="1:5" hidden="1">
      <c r="A264" t="s">
        <v>10084</v>
      </c>
      <c r="B264" t="s">
        <v>10085</v>
      </c>
      <c r="C264" t="s">
        <v>9574</v>
      </c>
      <c r="D264" t="s">
        <v>9574</v>
      </c>
      <c r="E264" t="s">
        <v>9601</v>
      </c>
    </row>
    <row r="265" spans="1:5" hidden="1">
      <c r="A265" t="s">
        <v>10086</v>
      </c>
      <c r="B265" t="s">
        <v>10087</v>
      </c>
      <c r="C265" t="s">
        <v>9574</v>
      </c>
      <c r="D265" t="s">
        <v>9574</v>
      </c>
      <c r="E265" t="s">
        <v>9574</v>
      </c>
    </row>
    <row r="266" spans="1:5" hidden="1">
      <c r="A266" t="s">
        <v>10088</v>
      </c>
      <c r="B266" t="s">
        <v>10089</v>
      </c>
      <c r="C266" t="s">
        <v>9574</v>
      </c>
      <c r="D266" t="s">
        <v>9574</v>
      </c>
      <c r="E266" t="s">
        <v>9574</v>
      </c>
    </row>
    <row r="267" spans="1:5" hidden="1">
      <c r="A267" t="s">
        <v>10090</v>
      </c>
      <c r="B267" t="s">
        <v>10091</v>
      </c>
      <c r="C267" t="s">
        <v>9574</v>
      </c>
      <c r="D267" t="s">
        <v>9574</v>
      </c>
      <c r="E267" t="s">
        <v>9574</v>
      </c>
    </row>
    <row r="268" spans="1:5" hidden="1">
      <c r="A268" t="s">
        <v>10092</v>
      </c>
      <c r="B268" t="s">
        <v>10093</v>
      </c>
      <c r="C268" t="s">
        <v>9574</v>
      </c>
      <c r="D268" t="s">
        <v>9574</v>
      </c>
      <c r="E268" t="s">
        <v>9574</v>
      </c>
    </row>
    <row r="269" spans="1:5" hidden="1">
      <c r="A269" t="s">
        <v>10094</v>
      </c>
      <c r="B269" t="s">
        <v>10095</v>
      </c>
      <c r="C269" t="s">
        <v>9574</v>
      </c>
      <c r="D269" t="s">
        <v>9574</v>
      </c>
      <c r="E269" t="s">
        <v>9574</v>
      </c>
    </row>
    <row r="270" spans="1:5" hidden="1">
      <c r="A270" t="s">
        <v>10096</v>
      </c>
      <c r="B270" t="s">
        <v>10097</v>
      </c>
      <c r="C270" t="s">
        <v>9574</v>
      </c>
      <c r="D270" t="s">
        <v>9574</v>
      </c>
      <c r="E270" t="s">
        <v>9574</v>
      </c>
    </row>
    <row r="271" spans="1:5" hidden="1">
      <c r="A271" t="s">
        <v>10098</v>
      </c>
      <c r="B271" t="s">
        <v>10099</v>
      </c>
      <c r="C271" t="s">
        <v>9574</v>
      </c>
      <c r="D271" t="s">
        <v>9574</v>
      </c>
      <c r="E271" t="s">
        <v>9574</v>
      </c>
    </row>
    <row r="272" spans="1:5" hidden="1">
      <c r="A272" t="s">
        <v>10100</v>
      </c>
      <c r="B272" t="s">
        <v>10101</v>
      </c>
      <c r="C272" t="s">
        <v>9574</v>
      </c>
      <c r="D272" t="s">
        <v>9574</v>
      </c>
      <c r="E272" t="s">
        <v>9574</v>
      </c>
    </row>
    <row r="273" spans="1:5" hidden="1">
      <c r="A273" t="s">
        <v>10102</v>
      </c>
      <c r="B273" t="s">
        <v>10103</v>
      </c>
      <c r="C273" t="s">
        <v>9574</v>
      </c>
      <c r="D273" t="s">
        <v>9574</v>
      </c>
      <c r="E273" t="s">
        <v>9574</v>
      </c>
    </row>
    <row r="274" spans="1:5" hidden="1">
      <c r="A274" t="s">
        <v>10104</v>
      </c>
      <c r="B274" t="s">
        <v>10105</v>
      </c>
      <c r="C274" t="s">
        <v>9574</v>
      </c>
      <c r="D274" t="s">
        <v>9574</v>
      </c>
      <c r="E274" t="s">
        <v>9574</v>
      </c>
    </row>
    <row r="275" spans="1:5" hidden="1">
      <c r="A275" t="s">
        <v>10106</v>
      </c>
      <c r="B275" t="s">
        <v>10107</v>
      </c>
      <c r="C275" t="s">
        <v>9574</v>
      </c>
      <c r="D275" t="s">
        <v>9574</v>
      </c>
      <c r="E275" t="s">
        <v>9574</v>
      </c>
    </row>
    <row r="276" spans="1:5" hidden="1">
      <c r="A276" t="s">
        <v>10108</v>
      </c>
      <c r="B276" t="s">
        <v>10109</v>
      </c>
      <c r="C276" t="s">
        <v>9574</v>
      </c>
      <c r="D276" t="s">
        <v>9574</v>
      </c>
      <c r="E276" t="s">
        <v>9574</v>
      </c>
    </row>
    <row r="277" spans="1:5" hidden="1">
      <c r="A277" t="s">
        <v>10110</v>
      </c>
      <c r="B277" t="s">
        <v>10111</v>
      </c>
      <c r="C277" t="s">
        <v>9574</v>
      </c>
      <c r="D277" t="s">
        <v>9574</v>
      </c>
      <c r="E277" t="s">
        <v>9574</v>
      </c>
    </row>
    <row r="278" spans="1:5" hidden="1">
      <c r="A278" t="s">
        <v>10112</v>
      </c>
      <c r="B278" t="s">
        <v>10113</v>
      </c>
      <c r="C278" t="s">
        <v>9574</v>
      </c>
      <c r="D278" t="s">
        <v>9574</v>
      </c>
      <c r="E278" t="s">
        <v>9574</v>
      </c>
    </row>
    <row r="279" spans="1:5" hidden="1">
      <c r="A279" t="s">
        <v>10114</v>
      </c>
      <c r="B279" t="s">
        <v>10115</v>
      </c>
      <c r="C279" t="s">
        <v>9574</v>
      </c>
      <c r="D279" t="s">
        <v>9574</v>
      </c>
      <c r="E279" t="s">
        <v>9574</v>
      </c>
    </row>
    <row r="280" spans="1:5" hidden="1">
      <c r="A280" t="s">
        <v>10116</v>
      </c>
      <c r="B280" t="s">
        <v>10117</v>
      </c>
      <c r="C280" t="s">
        <v>9574</v>
      </c>
      <c r="D280" t="s">
        <v>9574</v>
      </c>
      <c r="E280" t="s">
        <v>9549</v>
      </c>
    </row>
    <row r="281" spans="1:5" hidden="1">
      <c r="A281" t="s">
        <v>10118</v>
      </c>
      <c r="B281" t="s">
        <v>10119</v>
      </c>
      <c r="C281" t="s">
        <v>9574</v>
      </c>
      <c r="D281" t="s">
        <v>9574</v>
      </c>
      <c r="E281" t="s">
        <v>9549</v>
      </c>
    </row>
    <row r="282" spans="1:5" hidden="1">
      <c r="A282" t="s">
        <v>10120</v>
      </c>
      <c r="B282" t="s">
        <v>10121</v>
      </c>
      <c r="C282" t="s">
        <v>9574</v>
      </c>
      <c r="D282" t="s">
        <v>9574</v>
      </c>
      <c r="E282" t="s">
        <v>9549</v>
      </c>
    </row>
    <row r="283" spans="1:5" hidden="1">
      <c r="A283" t="s">
        <v>10122</v>
      </c>
      <c r="B283" t="s">
        <v>10123</v>
      </c>
      <c r="C283" t="s">
        <v>9574</v>
      </c>
      <c r="D283" t="s">
        <v>9574</v>
      </c>
      <c r="E283" t="s">
        <v>9549</v>
      </c>
    </row>
    <row r="284" spans="1:5" hidden="1">
      <c r="A284" t="s">
        <v>10124</v>
      </c>
      <c r="B284" t="s">
        <v>10125</v>
      </c>
      <c r="C284" t="s">
        <v>9574</v>
      </c>
      <c r="D284" t="s">
        <v>9574</v>
      </c>
      <c r="E284" t="s">
        <v>9549</v>
      </c>
    </row>
    <row r="285" spans="1:5" hidden="1">
      <c r="A285" t="s">
        <v>10126</v>
      </c>
      <c r="B285" t="s">
        <v>10127</v>
      </c>
      <c r="C285" t="s">
        <v>9574</v>
      </c>
      <c r="D285" t="s">
        <v>9574</v>
      </c>
      <c r="E285" t="s">
        <v>9549</v>
      </c>
    </row>
    <row r="286" spans="1:5" hidden="1">
      <c r="A286" t="s">
        <v>10128</v>
      </c>
      <c r="B286" t="s">
        <v>10129</v>
      </c>
      <c r="C286" t="s">
        <v>9574</v>
      </c>
      <c r="D286" t="s">
        <v>9574</v>
      </c>
      <c r="E286" t="s">
        <v>9574</v>
      </c>
    </row>
    <row r="287" spans="1:5" hidden="1">
      <c r="A287" t="s">
        <v>10130</v>
      </c>
      <c r="B287" t="s">
        <v>10131</v>
      </c>
      <c r="C287" t="s">
        <v>9574</v>
      </c>
      <c r="D287" t="s">
        <v>9574</v>
      </c>
      <c r="E287" t="s">
        <v>9574</v>
      </c>
    </row>
    <row r="288" spans="1:5" hidden="1">
      <c r="A288" t="s">
        <v>10132</v>
      </c>
      <c r="B288" t="s">
        <v>10133</v>
      </c>
      <c r="C288" t="s">
        <v>9574</v>
      </c>
      <c r="D288" t="s">
        <v>9574</v>
      </c>
      <c r="E288" t="s">
        <v>9549</v>
      </c>
    </row>
    <row r="289" spans="1:5" hidden="1">
      <c r="A289" t="s">
        <v>10134</v>
      </c>
      <c r="B289" t="s">
        <v>10135</v>
      </c>
      <c r="C289" t="s">
        <v>9574</v>
      </c>
      <c r="D289" t="s">
        <v>9574</v>
      </c>
      <c r="E289" t="s">
        <v>9574</v>
      </c>
    </row>
    <row r="290" spans="1:5" hidden="1">
      <c r="A290" t="s">
        <v>10136</v>
      </c>
      <c r="B290" t="s">
        <v>10137</v>
      </c>
      <c r="C290" t="s">
        <v>9574</v>
      </c>
      <c r="D290" t="s">
        <v>9574</v>
      </c>
      <c r="E290" t="s">
        <v>9574</v>
      </c>
    </row>
    <row r="291" spans="1:5" hidden="1">
      <c r="A291" t="s">
        <v>10138</v>
      </c>
      <c r="B291" t="s">
        <v>10139</v>
      </c>
      <c r="C291" t="s">
        <v>9574</v>
      </c>
      <c r="D291" t="s">
        <v>9574</v>
      </c>
      <c r="E291" t="s">
        <v>9574</v>
      </c>
    </row>
    <row r="292" spans="1:5" hidden="1">
      <c r="A292" t="s">
        <v>10140</v>
      </c>
      <c r="B292" t="s">
        <v>10141</v>
      </c>
      <c r="C292" t="s">
        <v>9574</v>
      </c>
      <c r="D292" t="s">
        <v>9574</v>
      </c>
      <c r="E292" t="s">
        <v>9574</v>
      </c>
    </row>
    <row r="293" spans="1:5" hidden="1">
      <c r="A293" t="s">
        <v>10142</v>
      </c>
      <c r="B293" t="s">
        <v>10143</v>
      </c>
      <c r="C293" t="s">
        <v>9574</v>
      </c>
      <c r="D293" t="s">
        <v>9574</v>
      </c>
      <c r="E293" t="s">
        <v>9574</v>
      </c>
    </row>
    <row r="294" spans="1:5" hidden="1">
      <c r="A294" t="s">
        <v>10144</v>
      </c>
      <c r="B294" t="s">
        <v>10145</v>
      </c>
      <c r="C294" t="s">
        <v>9574</v>
      </c>
      <c r="D294" t="s">
        <v>9574</v>
      </c>
      <c r="E294" t="s">
        <v>9574</v>
      </c>
    </row>
    <row r="295" spans="1:5" hidden="1">
      <c r="A295" t="s">
        <v>10146</v>
      </c>
      <c r="B295" t="s">
        <v>10147</v>
      </c>
      <c r="C295" t="s">
        <v>9565</v>
      </c>
      <c r="D295" t="s">
        <v>9565</v>
      </c>
      <c r="E295" t="s">
        <v>9565</v>
      </c>
    </row>
    <row r="296" spans="1:5" hidden="1">
      <c r="A296" t="s">
        <v>10148</v>
      </c>
      <c r="B296" t="s">
        <v>10149</v>
      </c>
      <c r="C296" t="s">
        <v>9565</v>
      </c>
      <c r="D296" t="s">
        <v>9565</v>
      </c>
      <c r="E296" t="s">
        <v>9565</v>
      </c>
    </row>
    <row r="297" spans="1:5" hidden="1">
      <c r="A297" t="s">
        <v>10150</v>
      </c>
      <c r="B297" t="s">
        <v>10151</v>
      </c>
      <c r="C297" t="s">
        <v>9574</v>
      </c>
      <c r="D297" t="s">
        <v>9574</v>
      </c>
      <c r="E297" t="s">
        <v>9574</v>
      </c>
    </row>
    <row r="298" spans="1:5" hidden="1">
      <c r="A298" t="s">
        <v>10152</v>
      </c>
      <c r="B298" t="s">
        <v>10153</v>
      </c>
      <c r="C298" t="s">
        <v>9574</v>
      </c>
      <c r="D298" t="s">
        <v>9574</v>
      </c>
      <c r="E298" t="s">
        <v>9574</v>
      </c>
    </row>
    <row r="299" spans="1:5" hidden="1">
      <c r="A299" t="s">
        <v>10154</v>
      </c>
      <c r="B299" t="s">
        <v>10155</v>
      </c>
      <c r="C299" t="s">
        <v>9574</v>
      </c>
      <c r="D299" t="s">
        <v>9574</v>
      </c>
      <c r="E299" t="s">
        <v>9574</v>
      </c>
    </row>
    <row r="300" spans="1:5" hidden="1">
      <c r="A300" t="s">
        <v>10156</v>
      </c>
      <c r="B300" t="s">
        <v>10157</v>
      </c>
      <c r="C300" t="s">
        <v>9574</v>
      </c>
      <c r="D300" t="s">
        <v>9574</v>
      </c>
      <c r="E300" t="s">
        <v>9574</v>
      </c>
    </row>
    <row r="301" spans="1:5" hidden="1">
      <c r="A301" t="s">
        <v>10158</v>
      </c>
      <c r="B301" t="s">
        <v>10159</v>
      </c>
      <c r="C301" t="s">
        <v>9574</v>
      </c>
      <c r="D301" t="s">
        <v>9574</v>
      </c>
      <c r="E301" t="s">
        <v>9574</v>
      </c>
    </row>
    <row r="302" spans="1:5" hidden="1">
      <c r="A302" t="s">
        <v>10160</v>
      </c>
      <c r="B302" t="s">
        <v>10161</v>
      </c>
      <c r="C302" t="s">
        <v>9574</v>
      </c>
      <c r="D302" t="s">
        <v>9574</v>
      </c>
      <c r="E302" t="s">
        <v>9574</v>
      </c>
    </row>
    <row r="303" spans="1:5" hidden="1">
      <c r="A303" t="s">
        <v>10162</v>
      </c>
      <c r="B303" t="s">
        <v>10163</v>
      </c>
      <c r="C303" t="s">
        <v>9574</v>
      </c>
      <c r="D303" t="s">
        <v>9574</v>
      </c>
      <c r="E303" t="s">
        <v>9574</v>
      </c>
    </row>
    <row r="304" spans="1:5" hidden="1">
      <c r="A304" t="s">
        <v>10164</v>
      </c>
      <c r="B304" t="s">
        <v>10165</v>
      </c>
      <c r="C304" t="s">
        <v>9574</v>
      </c>
      <c r="D304" t="s">
        <v>9574</v>
      </c>
      <c r="E304" t="s">
        <v>9574</v>
      </c>
    </row>
    <row r="305" spans="1:5" hidden="1">
      <c r="A305" t="s">
        <v>10166</v>
      </c>
      <c r="B305" t="s">
        <v>10167</v>
      </c>
      <c r="C305" t="s">
        <v>9574</v>
      </c>
      <c r="D305" t="s">
        <v>9574</v>
      </c>
      <c r="E305" t="s">
        <v>9574</v>
      </c>
    </row>
    <row r="306" spans="1:5" hidden="1">
      <c r="A306" t="s">
        <v>10168</v>
      </c>
      <c r="B306" t="s">
        <v>10169</v>
      </c>
      <c r="C306" t="s">
        <v>9574</v>
      </c>
      <c r="D306" t="s">
        <v>9574</v>
      </c>
      <c r="E306" t="s">
        <v>9574</v>
      </c>
    </row>
    <row r="307" spans="1:5" hidden="1">
      <c r="A307" t="s">
        <v>10170</v>
      </c>
      <c r="B307" t="s">
        <v>10171</v>
      </c>
      <c r="C307" t="s">
        <v>9574</v>
      </c>
      <c r="D307" t="s">
        <v>9574</v>
      </c>
      <c r="E307" t="s">
        <v>9574</v>
      </c>
    </row>
    <row r="308" spans="1:5" hidden="1">
      <c r="A308" t="s">
        <v>10172</v>
      </c>
      <c r="B308" t="s">
        <v>10173</v>
      </c>
      <c r="C308" t="s">
        <v>9574</v>
      </c>
      <c r="D308" t="s">
        <v>9574</v>
      </c>
      <c r="E308" t="s">
        <v>9574</v>
      </c>
    </row>
    <row r="309" spans="1:5" hidden="1">
      <c r="A309" t="s">
        <v>10174</v>
      </c>
      <c r="B309" t="s">
        <v>10175</v>
      </c>
      <c r="C309" t="s">
        <v>9574</v>
      </c>
      <c r="D309" t="s">
        <v>9574</v>
      </c>
      <c r="E309" t="s">
        <v>9574</v>
      </c>
    </row>
    <row r="310" spans="1:5" hidden="1">
      <c r="A310" t="s">
        <v>10176</v>
      </c>
      <c r="B310" t="s">
        <v>10177</v>
      </c>
      <c r="C310" t="s">
        <v>9574</v>
      </c>
      <c r="D310" t="s">
        <v>9574</v>
      </c>
      <c r="E310" t="s">
        <v>9574</v>
      </c>
    </row>
    <row r="311" spans="1:5" hidden="1">
      <c r="A311" t="s">
        <v>10178</v>
      </c>
      <c r="B311" t="s">
        <v>10179</v>
      </c>
      <c r="C311" t="s">
        <v>9574</v>
      </c>
      <c r="D311" t="s">
        <v>9574</v>
      </c>
      <c r="E311" t="s">
        <v>9601</v>
      </c>
    </row>
    <row r="312" spans="1:5" hidden="1">
      <c r="A312" t="s">
        <v>10180</v>
      </c>
      <c r="B312" t="s">
        <v>10181</v>
      </c>
      <c r="C312" t="s">
        <v>9574</v>
      </c>
      <c r="D312" t="s">
        <v>9574</v>
      </c>
      <c r="E312" t="s">
        <v>9574</v>
      </c>
    </row>
    <row r="313" spans="1:5" hidden="1">
      <c r="A313" t="s">
        <v>10182</v>
      </c>
      <c r="B313" t="s">
        <v>10183</v>
      </c>
      <c r="C313" t="s">
        <v>9574</v>
      </c>
      <c r="D313" t="s">
        <v>9574</v>
      </c>
      <c r="E313" t="s">
        <v>9574</v>
      </c>
    </row>
    <row r="314" spans="1:5" hidden="1">
      <c r="A314" t="s">
        <v>10184</v>
      </c>
      <c r="B314" t="s">
        <v>10185</v>
      </c>
      <c r="C314" t="s">
        <v>9574</v>
      </c>
      <c r="D314" t="s">
        <v>9574</v>
      </c>
      <c r="E314" t="s">
        <v>9574</v>
      </c>
    </row>
    <row r="315" spans="1:5" hidden="1">
      <c r="A315" t="s">
        <v>10186</v>
      </c>
      <c r="B315" t="s">
        <v>10187</v>
      </c>
      <c r="C315" t="s">
        <v>9574</v>
      </c>
      <c r="D315" t="s">
        <v>9574</v>
      </c>
      <c r="E315" t="s">
        <v>9574</v>
      </c>
    </row>
    <row r="316" spans="1:5" hidden="1">
      <c r="A316" t="s">
        <v>10188</v>
      </c>
      <c r="B316" t="s">
        <v>10189</v>
      </c>
      <c r="C316" t="s">
        <v>9574</v>
      </c>
      <c r="D316" t="s">
        <v>9574</v>
      </c>
      <c r="E316" t="s">
        <v>9574</v>
      </c>
    </row>
    <row r="317" spans="1:5" hidden="1">
      <c r="A317" t="s">
        <v>10190</v>
      </c>
      <c r="B317" t="s">
        <v>10191</v>
      </c>
      <c r="C317" t="s">
        <v>9574</v>
      </c>
      <c r="D317" t="s">
        <v>9574</v>
      </c>
      <c r="E317" t="s">
        <v>9574</v>
      </c>
    </row>
    <row r="318" spans="1:5" hidden="1">
      <c r="A318" t="s">
        <v>10192</v>
      </c>
      <c r="B318" t="s">
        <v>10193</v>
      </c>
      <c r="C318" t="s">
        <v>9574</v>
      </c>
      <c r="D318" t="s">
        <v>9574</v>
      </c>
      <c r="E318" t="s">
        <v>9574</v>
      </c>
    </row>
    <row r="319" spans="1:5" hidden="1">
      <c r="A319" t="s">
        <v>10194</v>
      </c>
      <c r="B319" t="s">
        <v>10195</v>
      </c>
      <c r="C319" t="s">
        <v>9574</v>
      </c>
      <c r="D319" t="s">
        <v>9574</v>
      </c>
      <c r="E319" t="s">
        <v>9574</v>
      </c>
    </row>
    <row r="320" spans="1:5" hidden="1">
      <c r="A320" t="s">
        <v>10196</v>
      </c>
      <c r="B320" t="s">
        <v>10197</v>
      </c>
      <c r="C320" t="s">
        <v>9574</v>
      </c>
      <c r="D320" t="s">
        <v>9574</v>
      </c>
      <c r="E320" t="s">
        <v>9574</v>
      </c>
    </row>
    <row r="321" spans="1:5" hidden="1">
      <c r="A321" t="s">
        <v>10198</v>
      </c>
      <c r="B321" t="s">
        <v>10199</v>
      </c>
      <c r="C321" t="s">
        <v>9574</v>
      </c>
      <c r="D321" t="s">
        <v>9574</v>
      </c>
      <c r="E321" t="s">
        <v>9574</v>
      </c>
    </row>
    <row r="322" spans="1:5" hidden="1">
      <c r="A322" t="s">
        <v>10200</v>
      </c>
      <c r="B322" t="s">
        <v>10201</v>
      </c>
      <c r="C322" t="s">
        <v>9574</v>
      </c>
      <c r="D322" t="s">
        <v>9574</v>
      </c>
      <c r="E322" t="s">
        <v>9574</v>
      </c>
    </row>
    <row r="323" spans="1:5" hidden="1">
      <c r="A323" t="s">
        <v>10202</v>
      </c>
      <c r="B323" t="s">
        <v>10203</v>
      </c>
      <c r="C323" t="s">
        <v>9574</v>
      </c>
      <c r="D323" t="s">
        <v>9574</v>
      </c>
      <c r="E323" t="s">
        <v>9574</v>
      </c>
    </row>
    <row r="324" spans="1:5" hidden="1">
      <c r="A324" t="s">
        <v>10204</v>
      </c>
      <c r="B324" t="s">
        <v>10205</v>
      </c>
      <c r="C324" t="s">
        <v>9574</v>
      </c>
      <c r="D324" t="s">
        <v>9574</v>
      </c>
      <c r="E324" t="s">
        <v>9574</v>
      </c>
    </row>
    <row r="325" spans="1:5" hidden="1">
      <c r="A325" t="s">
        <v>10206</v>
      </c>
      <c r="B325" t="s">
        <v>10207</v>
      </c>
      <c r="C325" t="s">
        <v>9574</v>
      </c>
      <c r="D325" t="s">
        <v>9574</v>
      </c>
      <c r="E325" t="s">
        <v>9574</v>
      </c>
    </row>
    <row r="326" spans="1:5" hidden="1">
      <c r="A326" t="s">
        <v>10208</v>
      </c>
      <c r="B326" t="s">
        <v>10209</v>
      </c>
      <c r="C326" t="s">
        <v>9574</v>
      </c>
      <c r="D326" t="s">
        <v>9574</v>
      </c>
      <c r="E326" t="s">
        <v>9574</v>
      </c>
    </row>
    <row r="327" spans="1:5" hidden="1">
      <c r="A327" t="s">
        <v>10210</v>
      </c>
      <c r="B327" t="s">
        <v>10211</v>
      </c>
      <c r="C327" t="s">
        <v>9574</v>
      </c>
      <c r="D327" t="s">
        <v>9574</v>
      </c>
      <c r="E327" t="s">
        <v>9574</v>
      </c>
    </row>
    <row r="328" spans="1:5" hidden="1">
      <c r="A328" t="s">
        <v>10212</v>
      </c>
      <c r="B328" t="s">
        <v>10213</v>
      </c>
      <c r="C328" t="s">
        <v>9574</v>
      </c>
      <c r="D328" t="s">
        <v>9574</v>
      </c>
      <c r="E328" t="s">
        <v>9574</v>
      </c>
    </row>
    <row r="329" spans="1:5" hidden="1">
      <c r="A329" t="s">
        <v>10214</v>
      </c>
      <c r="B329" t="s">
        <v>10215</v>
      </c>
      <c r="C329" t="s">
        <v>9574</v>
      </c>
      <c r="D329" t="s">
        <v>9574</v>
      </c>
      <c r="E329" t="s">
        <v>9574</v>
      </c>
    </row>
    <row r="330" spans="1:5" hidden="1">
      <c r="A330" t="s">
        <v>10216</v>
      </c>
      <c r="B330" t="s">
        <v>10217</v>
      </c>
      <c r="C330" t="s">
        <v>9574</v>
      </c>
      <c r="D330" t="s">
        <v>9574</v>
      </c>
      <c r="E330" t="s">
        <v>9574</v>
      </c>
    </row>
    <row r="331" spans="1:5" hidden="1">
      <c r="A331" t="s">
        <v>10218</v>
      </c>
      <c r="B331" t="s">
        <v>10219</v>
      </c>
      <c r="C331" t="s">
        <v>9574</v>
      </c>
      <c r="D331" t="s">
        <v>9574</v>
      </c>
      <c r="E331" t="s">
        <v>9574</v>
      </c>
    </row>
    <row r="332" spans="1:5" hidden="1">
      <c r="A332" t="s">
        <v>10220</v>
      </c>
      <c r="B332" t="s">
        <v>10221</v>
      </c>
      <c r="C332" t="s">
        <v>9574</v>
      </c>
      <c r="D332" t="s">
        <v>9574</v>
      </c>
      <c r="E332" t="s">
        <v>9574</v>
      </c>
    </row>
    <row r="333" spans="1:5" hidden="1">
      <c r="A333" t="s">
        <v>10222</v>
      </c>
      <c r="B333" t="s">
        <v>10223</v>
      </c>
      <c r="C333" t="s">
        <v>9574</v>
      </c>
      <c r="D333" t="s">
        <v>9574</v>
      </c>
      <c r="E333" t="s">
        <v>9574</v>
      </c>
    </row>
    <row r="334" spans="1:5" hidden="1">
      <c r="A334" t="s">
        <v>10224</v>
      </c>
      <c r="B334" t="s">
        <v>10225</v>
      </c>
      <c r="C334" t="s">
        <v>9574</v>
      </c>
      <c r="D334" t="s">
        <v>9574</v>
      </c>
      <c r="E334" t="s">
        <v>9574</v>
      </c>
    </row>
    <row r="335" spans="1:5" hidden="1">
      <c r="A335" t="s">
        <v>10226</v>
      </c>
      <c r="B335" t="s">
        <v>10227</v>
      </c>
      <c r="C335" t="s">
        <v>9574</v>
      </c>
      <c r="D335" t="s">
        <v>9574</v>
      </c>
      <c r="E335" t="s">
        <v>9549</v>
      </c>
    </row>
    <row r="336" spans="1:5" hidden="1">
      <c r="A336" t="s">
        <v>10228</v>
      </c>
      <c r="B336" t="s">
        <v>10229</v>
      </c>
      <c r="C336" t="s">
        <v>9574</v>
      </c>
      <c r="D336" t="s">
        <v>9574</v>
      </c>
      <c r="E336" t="s">
        <v>9574</v>
      </c>
    </row>
    <row r="337" spans="1:5" hidden="1">
      <c r="A337" t="s">
        <v>10230</v>
      </c>
      <c r="B337" t="s">
        <v>10231</v>
      </c>
      <c r="C337" t="s">
        <v>9574</v>
      </c>
      <c r="D337" t="s">
        <v>9574</v>
      </c>
      <c r="E337" t="s">
        <v>9574</v>
      </c>
    </row>
    <row r="338" spans="1:5" hidden="1">
      <c r="A338" t="s">
        <v>10232</v>
      </c>
      <c r="B338" t="s">
        <v>10233</v>
      </c>
      <c r="C338" t="s">
        <v>9574</v>
      </c>
      <c r="D338" t="s">
        <v>9574</v>
      </c>
      <c r="E338" t="s">
        <v>9574</v>
      </c>
    </row>
    <row r="339" spans="1:5" hidden="1">
      <c r="A339" t="s">
        <v>10234</v>
      </c>
      <c r="B339" t="s">
        <v>10235</v>
      </c>
      <c r="C339" t="s">
        <v>9574</v>
      </c>
      <c r="D339" t="s">
        <v>9574</v>
      </c>
      <c r="E339" t="s">
        <v>9574</v>
      </c>
    </row>
    <row r="340" spans="1:5" hidden="1">
      <c r="A340" t="s">
        <v>10236</v>
      </c>
      <c r="B340" t="s">
        <v>10237</v>
      </c>
      <c r="C340" t="s">
        <v>9574</v>
      </c>
      <c r="D340" t="s">
        <v>9574</v>
      </c>
      <c r="E340" t="s">
        <v>9574</v>
      </c>
    </row>
    <row r="341" spans="1:5" hidden="1">
      <c r="A341" t="s">
        <v>10238</v>
      </c>
      <c r="B341" t="s">
        <v>10239</v>
      </c>
      <c r="C341" t="s">
        <v>9574</v>
      </c>
      <c r="D341" t="s">
        <v>9574</v>
      </c>
      <c r="E341" t="s">
        <v>9549</v>
      </c>
    </row>
    <row r="342" spans="1:5" hidden="1">
      <c r="A342" t="s">
        <v>10240</v>
      </c>
      <c r="B342" t="s">
        <v>10241</v>
      </c>
      <c r="C342" t="s">
        <v>9574</v>
      </c>
      <c r="D342" t="s">
        <v>9574</v>
      </c>
      <c r="E342" t="s">
        <v>9549</v>
      </c>
    </row>
    <row r="343" spans="1:5" hidden="1">
      <c r="A343" t="s">
        <v>10242</v>
      </c>
      <c r="B343" t="s">
        <v>10243</v>
      </c>
      <c r="C343" t="s">
        <v>9574</v>
      </c>
      <c r="D343" t="s">
        <v>9574</v>
      </c>
      <c r="E343" t="s">
        <v>9549</v>
      </c>
    </row>
    <row r="344" spans="1:5" hidden="1">
      <c r="A344" t="s">
        <v>10244</v>
      </c>
      <c r="B344" t="s">
        <v>10245</v>
      </c>
      <c r="C344" t="s">
        <v>9574</v>
      </c>
      <c r="D344" t="s">
        <v>9574</v>
      </c>
      <c r="E344" t="s">
        <v>9549</v>
      </c>
    </row>
    <row r="345" spans="1:5" hidden="1">
      <c r="A345" t="s">
        <v>10246</v>
      </c>
      <c r="B345" t="s">
        <v>10247</v>
      </c>
      <c r="C345" t="s">
        <v>9574</v>
      </c>
      <c r="D345" t="s">
        <v>9574</v>
      </c>
      <c r="E345" t="s">
        <v>9549</v>
      </c>
    </row>
    <row r="346" spans="1:5" hidden="1">
      <c r="A346" t="s">
        <v>10248</v>
      </c>
      <c r="B346" t="s">
        <v>10249</v>
      </c>
      <c r="C346" t="s">
        <v>9574</v>
      </c>
      <c r="D346" t="s">
        <v>9574</v>
      </c>
      <c r="E346" t="s">
        <v>9549</v>
      </c>
    </row>
    <row r="347" spans="1:5" hidden="1">
      <c r="A347" t="s">
        <v>10250</v>
      </c>
      <c r="B347" t="s">
        <v>10251</v>
      </c>
      <c r="C347" t="s">
        <v>9574</v>
      </c>
      <c r="D347" t="s">
        <v>9574</v>
      </c>
      <c r="E347" t="s">
        <v>9549</v>
      </c>
    </row>
    <row r="348" spans="1:5" hidden="1">
      <c r="A348" t="s">
        <v>10252</v>
      </c>
      <c r="B348" t="s">
        <v>10253</v>
      </c>
      <c r="C348" t="s">
        <v>9574</v>
      </c>
      <c r="D348" t="s">
        <v>9574</v>
      </c>
      <c r="E348" t="s">
        <v>9574</v>
      </c>
    </row>
    <row r="349" spans="1:5" hidden="1">
      <c r="A349" t="s">
        <v>10254</v>
      </c>
      <c r="B349" t="s">
        <v>10255</v>
      </c>
      <c r="C349" t="s">
        <v>9574</v>
      </c>
      <c r="D349" t="s">
        <v>9574</v>
      </c>
      <c r="E349" t="s">
        <v>9574</v>
      </c>
    </row>
    <row r="350" spans="1:5" hidden="1">
      <c r="A350" t="s">
        <v>10256</v>
      </c>
      <c r="B350" t="s">
        <v>10257</v>
      </c>
      <c r="C350" t="s">
        <v>9574</v>
      </c>
      <c r="D350" t="s">
        <v>9574</v>
      </c>
      <c r="E350" t="s">
        <v>9574</v>
      </c>
    </row>
    <row r="351" spans="1:5" hidden="1">
      <c r="A351" t="s">
        <v>10258</v>
      </c>
      <c r="B351" t="s">
        <v>10259</v>
      </c>
      <c r="C351" t="s">
        <v>9574</v>
      </c>
      <c r="D351" t="s">
        <v>9574</v>
      </c>
      <c r="E351" t="s">
        <v>9574</v>
      </c>
    </row>
    <row r="352" spans="1:5" hidden="1">
      <c r="A352" t="s">
        <v>10260</v>
      </c>
      <c r="B352" t="s">
        <v>10261</v>
      </c>
      <c r="C352" t="s">
        <v>9574</v>
      </c>
      <c r="D352" t="s">
        <v>9574</v>
      </c>
      <c r="E352" t="s">
        <v>9574</v>
      </c>
    </row>
    <row r="353" spans="1:5" hidden="1">
      <c r="A353" t="s">
        <v>10262</v>
      </c>
      <c r="B353" t="s">
        <v>10263</v>
      </c>
      <c r="C353" t="s">
        <v>9574</v>
      </c>
      <c r="D353" t="s">
        <v>9574</v>
      </c>
      <c r="E353" t="s">
        <v>9574</v>
      </c>
    </row>
    <row r="354" spans="1:5" hidden="1">
      <c r="A354" t="s">
        <v>10264</v>
      </c>
      <c r="B354" t="s">
        <v>10265</v>
      </c>
      <c r="C354" t="s">
        <v>9574</v>
      </c>
      <c r="D354" t="s">
        <v>9574</v>
      </c>
      <c r="E354" t="s">
        <v>9574</v>
      </c>
    </row>
    <row r="355" spans="1:5" hidden="1">
      <c r="A355" t="s">
        <v>10266</v>
      </c>
      <c r="B355" t="s">
        <v>10267</v>
      </c>
      <c r="C355" t="s">
        <v>9574</v>
      </c>
      <c r="D355" t="s">
        <v>9574</v>
      </c>
      <c r="E355" t="s">
        <v>9574</v>
      </c>
    </row>
    <row r="356" spans="1:5" hidden="1">
      <c r="A356" t="s">
        <v>10268</v>
      </c>
      <c r="B356" t="s">
        <v>10269</v>
      </c>
      <c r="C356" t="s">
        <v>9574</v>
      </c>
      <c r="D356" t="s">
        <v>9574</v>
      </c>
      <c r="E356" t="s">
        <v>9574</v>
      </c>
    </row>
    <row r="357" spans="1:5" hidden="1">
      <c r="A357" t="s">
        <v>10270</v>
      </c>
      <c r="B357" t="s">
        <v>10271</v>
      </c>
      <c r="C357" t="s">
        <v>9574</v>
      </c>
      <c r="D357" t="s">
        <v>9574</v>
      </c>
      <c r="E357" t="s">
        <v>9601</v>
      </c>
    </row>
    <row r="358" spans="1:5" hidden="1">
      <c r="A358" t="s">
        <v>10272</v>
      </c>
      <c r="B358" t="s">
        <v>10273</v>
      </c>
      <c r="C358" t="s">
        <v>9574</v>
      </c>
      <c r="D358" t="s">
        <v>9574</v>
      </c>
      <c r="E358" t="s">
        <v>9574</v>
      </c>
    </row>
    <row r="359" spans="1:5" hidden="1">
      <c r="A359" t="s">
        <v>10274</v>
      </c>
      <c r="B359" t="s">
        <v>10275</v>
      </c>
      <c r="C359" t="s">
        <v>9574</v>
      </c>
      <c r="D359" t="s">
        <v>9574</v>
      </c>
      <c r="E359" t="s">
        <v>9574</v>
      </c>
    </row>
    <row r="360" spans="1:5" hidden="1">
      <c r="A360" t="s">
        <v>10276</v>
      </c>
      <c r="B360" t="s">
        <v>10277</v>
      </c>
      <c r="C360" t="s">
        <v>9574</v>
      </c>
      <c r="D360" t="s">
        <v>9574</v>
      </c>
      <c r="E360" t="s">
        <v>9574</v>
      </c>
    </row>
    <row r="361" spans="1:5" hidden="1">
      <c r="A361" t="s">
        <v>10278</v>
      </c>
      <c r="B361" t="s">
        <v>10279</v>
      </c>
      <c r="C361" t="s">
        <v>9574</v>
      </c>
      <c r="D361" t="s">
        <v>9574</v>
      </c>
      <c r="E361" t="s">
        <v>9574</v>
      </c>
    </row>
    <row r="362" spans="1:5" hidden="1">
      <c r="A362" t="s">
        <v>10280</v>
      </c>
      <c r="B362" t="s">
        <v>10281</v>
      </c>
      <c r="C362" t="s">
        <v>9574</v>
      </c>
      <c r="D362" t="s">
        <v>9574</v>
      </c>
      <c r="E362" t="s">
        <v>9549</v>
      </c>
    </row>
    <row r="363" spans="1:5" hidden="1">
      <c r="A363" t="s">
        <v>10282</v>
      </c>
      <c r="B363" t="s">
        <v>10283</v>
      </c>
      <c r="C363" t="s">
        <v>9565</v>
      </c>
      <c r="D363" t="s">
        <v>9565</v>
      </c>
      <c r="E363" t="s">
        <v>9565</v>
      </c>
    </row>
    <row r="364" spans="1:5" hidden="1">
      <c r="A364" t="s">
        <v>10284</v>
      </c>
      <c r="B364" t="s">
        <v>10285</v>
      </c>
      <c r="C364" t="s">
        <v>9574</v>
      </c>
      <c r="D364" t="s">
        <v>9574</v>
      </c>
      <c r="E364" t="s">
        <v>9574</v>
      </c>
    </row>
    <row r="365" spans="1:5" hidden="1">
      <c r="A365" t="s">
        <v>506</v>
      </c>
      <c r="B365" t="s">
        <v>507</v>
      </c>
      <c r="C365" t="s">
        <v>9574</v>
      </c>
      <c r="D365" t="s">
        <v>9574</v>
      </c>
      <c r="E365" t="s">
        <v>9574</v>
      </c>
    </row>
    <row r="366" spans="1:5" hidden="1">
      <c r="A366" t="s">
        <v>10286</v>
      </c>
      <c r="B366" t="s">
        <v>10287</v>
      </c>
      <c r="C366" t="s">
        <v>9574</v>
      </c>
      <c r="D366" t="s">
        <v>9574</v>
      </c>
      <c r="E366" t="s">
        <v>9574</v>
      </c>
    </row>
    <row r="367" spans="1:5" hidden="1">
      <c r="A367" t="s">
        <v>10288</v>
      </c>
      <c r="B367" t="s">
        <v>10289</v>
      </c>
      <c r="C367" t="s">
        <v>9574</v>
      </c>
      <c r="D367" t="s">
        <v>9738</v>
      </c>
      <c r="E367" t="s">
        <v>9574</v>
      </c>
    </row>
    <row r="368" spans="1:5" hidden="1">
      <c r="A368" t="s">
        <v>10290</v>
      </c>
      <c r="B368" t="s">
        <v>10291</v>
      </c>
      <c r="C368" t="s">
        <v>9574</v>
      </c>
      <c r="D368" t="s">
        <v>9738</v>
      </c>
      <c r="E368" t="s">
        <v>9574</v>
      </c>
    </row>
    <row r="369" spans="1:5" hidden="1">
      <c r="A369" t="s">
        <v>10292</v>
      </c>
      <c r="B369" t="s">
        <v>10293</v>
      </c>
      <c r="C369" t="s">
        <v>9574</v>
      </c>
      <c r="D369" t="s">
        <v>9574</v>
      </c>
      <c r="E369" t="s">
        <v>9574</v>
      </c>
    </row>
    <row r="370" spans="1:5" hidden="1">
      <c r="A370" t="s">
        <v>10294</v>
      </c>
      <c r="B370" t="s">
        <v>10295</v>
      </c>
      <c r="C370" t="s">
        <v>9574</v>
      </c>
      <c r="D370" t="s">
        <v>9574</v>
      </c>
      <c r="E370" t="s">
        <v>9574</v>
      </c>
    </row>
    <row r="371" spans="1:5" hidden="1">
      <c r="A371" t="s">
        <v>10296</v>
      </c>
      <c r="B371" t="s">
        <v>10297</v>
      </c>
      <c r="C371" t="s">
        <v>9574</v>
      </c>
      <c r="D371" t="s">
        <v>9574</v>
      </c>
      <c r="E371" t="s">
        <v>9574</v>
      </c>
    </row>
    <row r="372" spans="1:5" hidden="1">
      <c r="A372" t="s">
        <v>10298</v>
      </c>
      <c r="B372" t="s">
        <v>10299</v>
      </c>
      <c r="C372" t="s">
        <v>9574</v>
      </c>
      <c r="D372" t="s">
        <v>9574</v>
      </c>
      <c r="E372" t="s">
        <v>9574</v>
      </c>
    </row>
    <row r="373" spans="1:5" hidden="1">
      <c r="A373" t="s">
        <v>10300</v>
      </c>
      <c r="B373" t="s">
        <v>10301</v>
      </c>
      <c r="C373" t="s">
        <v>9574</v>
      </c>
      <c r="D373" t="s">
        <v>9574</v>
      </c>
      <c r="E373" t="s">
        <v>9574</v>
      </c>
    </row>
    <row r="374" spans="1:5" hidden="1">
      <c r="A374" t="s">
        <v>10302</v>
      </c>
      <c r="B374" t="s">
        <v>10303</v>
      </c>
      <c r="C374" t="s">
        <v>9574</v>
      </c>
      <c r="D374" t="s">
        <v>9574</v>
      </c>
      <c r="E374" t="s">
        <v>9574</v>
      </c>
    </row>
    <row r="375" spans="1:5" hidden="1">
      <c r="A375" t="s">
        <v>10304</v>
      </c>
      <c r="B375" t="s">
        <v>10305</v>
      </c>
      <c r="C375" t="s">
        <v>9574</v>
      </c>
      <c r="D375" t="s">
        <v>9574</v>
      </c>
      <c r="E375" t="s">
        <v>9549</v>
      </c>
    </row>
    <row r="376" spans="1:5" hidden="1">
      <c r="A376" t="s">
        <v>10306</v>
      </c>
      <c r="B376" t="s">
        <v>10307</v>
      </c>
      <c r="C376" t="s">
        <v>9574</v>
      </c>
      <c r="D376" t="s">
        <v>9574</v>
      </c>
      <c r="E376" t="s">
        <v>9574</v>
      </c>
    </row>
    <row r="377" spans="1:5" hidden="1">
      <c r="A377" t="s">
        <v>10308</v>
      </c>
      <c r="B377" t="s">
        <v>140</v>
      </c>
      <c r="C377" t="s">
        <v>9574</v>
      </c>
      <c r="D377" t="s">
        <v>9574</v>
      </c>
      <c r="E377" t="s">
        <v>9549</v>
      </c>
    </row>
    <row r="378" spans="1:5" hidden="1">
      <c r="A378" t="s">
        <v>10309</v>
      </c>
      <c r="B378" t="s">
        <v>10310</v>
      </c>
      <c r="C378" t="s">
        <v>9574</v>
      </c>
      <c r="D378" t="s">
        <v>9574</v>
      </c>
      <c r="E378" t="s">
        <v>9549</v>
      </c>
    </row>
    <row r="379" spans="1:5" hidden="1">
      <c r="A379" t="s">
        <v>10311</v>
      </c>
      <c r="B379" t="s">
        <v>10312</v>
      </c>
      <c r="C379" t="s">
        <v>9574</v>
      </c>
      <c r="D379" t="s">
        <v>9574</v>
      </c>
      <c r="E379" t="s">
        <v>9549</v>
      </c>
    </row>
    <row r="380" spans="1:5" hidden="1">
      <c r="A380" t="s">
        <v>10313</v>
      </c>
      <c r="B380" t="s">
        <v>10314</v>
      </c>
      <c r="C380" t="s">
        <v>9574</v>
      </c>
      <c r="D380" t="s">
        <v>9574</v>
      </c>
      <c r="E380" t="s">
        <v>9549</v>
      </c>
    </row>
    <row r="381" spans="1:5" hidden="1">
      <c r="A381" t="s">
        <v>10315</v>
      </c>
      <c r="B381" t="s">
        <v>10316</v>
      </c>
      <c r="C381" t="s">
        <v>9574</v>
      </c>
      <c r="D381" t="s">
        <v>9574</v>
      </c>
      <c r="E381" t="s">
        <v>9549</v>
      </c>
    </row>
    <row r="382" spans="1:5" hidden="1">
      <c r="A382" t="s">
        <v>10317</v>
      </c>
      <c r="B382" t="s">
        <v>10318</v>
      </c>
      <c r="C382" t="s">
        <v>9574</v>
      </c>
      <c r="D382" t="s">
        <v>9574</v>
      </c>
      <c r="E382" t="s">
        <v>9574</v>
      </c>
    </row>
    <row r="383" spans="1:5" hidden="1">
      <c r="A383" t="s">
        <v>10319</v>
      </c>
      <c r="B383" t="s">
        <v>10320</v>
      </c>
      <c r="C383" t="s">
        <v>9574</v>
      </c>
      <c r="D383" t="s">
        <v>9574</v>
      </c>
      <c r="E383" t="s">
        <v>9574</v>
      </c>
    </row>
    <row r="384" spans="1:5" hidden="1">
      <c r="A384" t="s">
        <v>10321</v>
      </c>
      <c r="B384" t="s">
        <v>10322</v>
      </c>
      <c r="C384" t="s">
        <v>9574</v>
      </c>
      <c r="D384" t="s">
        <v>9574</v>
      </c>
      <c r="E384" t="s">
        <v>9574</v>
      </c>
    </row>
    <row r="385" spans="1:5" hidden="1">
      <c r="A385" t="s">
        <v>10323</v>
      </c>
      <c r="B385" t="s">
        <v>10324</v>
      </c>
      <c r="C385" t="s">
        <v>9574</v>
      </c>
      <c r="D385" t="s">
        <v>9574</v>
      </c>
      <c r="E385" t="s">
        <v>9574</v>
      </c>
    </row>
    <row r="386" spans="1:5" hidden="1">
      <c r="A386" t="s">
        <v>10325</v>
      </c>
      <c r="B386" t="s">
        <v>10326</v>
      </c>
      <c r="C386" t="s">
        <v>9574</v>
      </c>
      <c r="D386" t="s">
        <v>9574</v>
      </c>
      <c r="E386" t="s">
        <v>9574</v>
      </c>
    </row>
    <row r="387" spans="1:5" hidden="1">
      <c r="A387" t="s">
        <v>10327</v>
      </c>
      <c r="B387" t="s">
        <v>10328</v>
      </c>
      <c r="C387" t="s">
        <v>9574</v>
      </c>
      <c r="D387" t="s">
        <v>9574</v>
      </c>
      <c r="E387" t="s">
        <v>9574</v>
      </c>
    </row>
    <row r="388" spans="1:5" hidden="1">
      <c r="A388" t="s">
        <v>251</v>
      </c>
      <c r="B388" t="s">
        <v>252</v>
      </c>
      <c r="C388" t="s">
        <v>9574</v>
      </c>
      <c r="D388" t="s">
        <v>9574</v>
      </c>
      <c r="E388" t="s">
        <v>9574</v>
      </c>
    </row>
    <row r="389" spans="1:5" hidden="1">
      <c r="A389" t="s">
        <v>284</v>
      </c>
      <c r="B389" t="s">
        <v>285</v>
      </c>
      <c r="C389" t="s">
        <v>9574</v>
      </c>
      <c r="D389" t="s">
        <v>9574</v>
      </c>
      <c r="E389" t="s">
        <v>9574</v>
      </c>
    </row>
    <row r="390" spans="1:5" hidden="1">
      <c r="A390" t="s">
        <v>10329</v>
      </c>
      <c r="B390" t="s">
        <v>10330</v>
      </c>
      <c r="C390" t="s">
        <v>9574</v>
      </c>
      <c r="D390" t="s">
        <v>9574</v>
      </c>
      <c r="E390" t="s">
        <v>9574</v>
      </c>
    </row>
    <row r="391" spans="1:5" hidden="1">
      <c r="A391" t="s">
        <v>10331</v>
      </c>
      <c r="B391" t="s">
        <v>10332</v>
      </c>
      <c r="C391" t="s">
        <v>9574</v>
      </c>
      <c r="D391" t="s">
        <v>9574</v>
      </c>
      <c r="E391" t="s">
        <v>9574</v>
      </c>
    </row>
    <row r="392" spans="1:5" hidden="1">
      <c r="A392" t="s">
        <v>416</v>
      </c>
      <c r="B392" t="s">
        <v>417</v>
      </c>
      <c r="C392" t="s">
        <v>9565</v>
      </c>
      <c r="D392" t="s">
        <v>9565</v>
      </c>
      <c r="E392" t="s">
        <v>9565</v>
      </c>
    </row>
    <row r="393" spans="1:5" hidden="1">
      <c r="A393" t="s">
        <v>10333</v>
      </c>
      <c r="B393" t="s">
        <v>10334</v>
      </c>
      <c r="C393" t="s">
        <v>9565</v>
      </c>
      <c r="D393" t="s">
        <v>9565</v>
      </c>
      <c r="E393" t="s">
        <v>9565</v>
      </c>
    </row>
    <row r="394" spans="1:5" hidden="1">
      <c r="A394" t="s">
        <v>413</v>
      </c>
      <c r="B394" t="s">
        <v>414</v>
      </c>
      <c r="C394" t="s">
        <v>9565</v>
      </c>
      <c r="D394" t="s">
        <v>9565</v>
      </c>
      <c r="E394" t="s">
        <v>9565</v>
      </c>
    </row>
    <row r="395" spans="1:5" hidden="1">
      <c r="A395" t="s">
        <v>10335</v>
      </c>
      <c r="B395" t="s">
        <v>10336</v>
      </c>
      <c r="C395" t="s">
        <v>9565</v>
      </c>
      <c r="D395" t="s">
        <v>9565</v>
      </c>
      <c r="E395" t="s">
        <v>9565</v>
      </c>
    </row>
    <row r="396" spans="1:5" hidden="1">
      <c r="A396" t="s">
        <v>10337</v>
      </c>
      <c r="B396" t="s">
        <v>10338</v>
      </c>
      <c r="C396" t="s">
        <v>9565</v>
      </c>
      <c r="D396" t="s">
        <v>9565</v>
      </c>
      <c r="E396" t="s">
        <v>9565</v>
      </c>
    </row>
    <row r="397" spans="1:5" hidden="1">
      <c r="A397" t="s">
        <v>10339</v>
      </c>
      <c r="B397" t="s">
        <v>10340</v>
      </c>
      <c r="C397" t="s">
        <v>9565</v>
      </c>
      <c r="D397" t="s">
        <v>9565</v>
      </c>
      <c r="E397" t="s">
        <v>9565</v>
      </c>
    </row>
    <row r="398" spans="1:5" hidden="1">
      <c r="A398" t="s">
        <v>425</v>
      </c>
      <c r="B398" t="s">
        <v>426</v>
      </c>
      <c r="C398" t="s">
        <v>9565</v>
      </c>
      <c r="D398" t="s">
        <v>9565</v>
      </c>
      <c r="E398" t="s">
        <v>9565</v>
      </c>
    </row>
    <row r="399" spans="1:5" hidden="1">
      <c r="A399" t="s">
        <v>10341</v>
      </c>
      <c r="B399" t="s">
        <v>10342</v>
      </c>
      <c r="C399" t="s">
        <v>9565</v>
      </c>
      <c r="D399" t="s">
        <v>9565</v>
      </c>
      <c r="E399" t="s">
        <v>9565</v>
      </c>
    </row>
    <row r="400" spans="1:5" hidden="1">
      <c r="A400" t="s">
        <v>10343</v>
      </c>
      <c r="B400" t="s">
        <v>10344</v>
      </c>
      <c r="C400" t="s">
        <v>9565</v>
      </c>
      <c r="D400" t="s">
        <v>9565</v>
      </c>
      <c r="E400" t="s">
        <v>9565</v>
      </c>
    </row>
    <row r="401" spans="1:5" hidden="1">
      <c r="A401" t="s">
        <v>10345</v>
      </c>
      <c r="B401" t="s">
        <v>10346</v>
      </c>
      <c r="C401" t="s">
        <v>9565</v>
      </c>
      <c r="D401" t="s">
        <v>9565</v>
      </c>
      <c r="E401" t="s">
        <v>9565</v>
      </c>
    </row>
    <row r="402" spans="1:5" hidden="1">
      <c r="A402" t="s">
        <v>10347</v>
      </c>
      <c r="B402" t="s">
        <v>10348</v>
      </c>
      <c r="C402" t="s">
        <v>9565</v>
      </c>
      <c r="D402" t="s">
        <v>9565</v>
      </c>
      <c r="E402" t="s">
        <v>9565</v>
      </c>
    </row>
    <row r="403" spans="1:5" hidden="1">
      <c r="A403" t="s">
        <v>419</v>
      </c>
      <c r="B403" t="s">
        <v>420</v>
      </c>
      <c r="C403" t="s">
        <v>9565</v>
      </c>
      <c r="D403" t="s">
        <v>9565</v>
      </c>
      <c r="E403" t="s">
        <v>9565</v>
      </c>
    </row>
    <row r="404" spans="1:5" hidden="1">
      <c r="A404" t="s">
        <v>10349</v>
      </c>
      <c r="B404" t="s">
        <v>10350</v>
      </c>
      <c r="C404" t="s">
        <v>9565</v>
      </c>
      <c r="D404" t="s">
        <v>9565</v>
      </c>
      <c r="E404" t="s">
        <v>9565</v>
      </c>
    </row>
    <row r="405" spans="1:5" hidden="1">
      <c r="A405" t="s">
        <v>10351</v>
      </c>
      <c r="B405" t="s">
        <v>10352</v>
      </c>
      <c r="C405" t="s">
        <v>9565</v>
      </c>
      <c r="D405" t="s">
        <v>9565</v>
      </c>
      <c r="E405" t="s">
        <v>9565</v>
      </c>
    </row>
    <row r="406" spans="1:5" hidden="1">
      <c r="A406" t="s">
        <v>10353</v>
      </c>
      <c r="B406" t="s">
        <v>10354</v>
      </c>
      <c r="C406" t="s">
        <v>9565</v>
      </c>
      <c r="D406" t="s">
        <v>9565</v>
      </c>
      <c r="E406" t="s">
        <v>9565</v>
      </c>
    </row>
    <row r="407" spans="1:5" hidden="1">
      <c r="A407" t="s">
        <v>422</v>
      </c>
      <c r="B407" t="s">
        <v>423</v>
      </c>
      <c r="C407" t="s">
        <v>9565</v>
      </c>
      <c r="D407" t="s">
        <v>9565</v>
      </c>
      <c r="E407" t="s">
        <v>9565</v>
      </c>
    </row>
    <row r="408" spans="1:5" hidden="1">
      <c r="A408" t="s">
        <v>10355</v>
      </c>
      <c r="B408" t="s">
        <v>9902</v>
      </c>
      <c r="C408" t="s">
        <v>9565</v>
      </c>
      <c r="D408" t="s">
        <v>9565</v>
      </c>
      <c r="E408" t="s">
        <v>9565</v>
      </c>
    </row>
    <row r="409" spans="1:5" hidden="1">
      <c r="A409" t="s">
        <v>10356</v>
      </c>
      <c r="B409" t="s">
        <v>10357</v>
      </c>
      <c r="C409" t="s">
        <v>9565</v>
      </c>
      <c r="D409" t="s">
        <v>9565</v>
      </c>
      <c r="E409" t="s">
        <v>9565</v>
      </c>
    </row>
    <row r="410" spans="1:5" hidden="1">
      <c r="A410" t="s">
        <v>392</v>
      </c>
      <c r="B410" t="s">
        <v>393</v>
      </c>
      <c r="C410" t="s">
        <v>9565</v>
      </c>
      <c r="D410" t="s">
        <v>9565</v>
      </c>
      <c r="E410" t="s">
        <v>9565</v>
      </c>
    </row>
    <row r="411" spans="1:5" hidden="1">
      <c r="A411" t="s">
        <v>10358</v>
      </c>
      <c r="B411" t="s">
        <v>10359</v>
      </c>
      <c r="C411" t="s">
        <v>9565</v>
      </c>
      <c r="D411" t="s">
        <v>9565</v>
      </c>
      <c r="E411" t="s">
        <v>9565</v>
      </c>
    </row>
    <row r="412" spans="1:5" hidden="1">
      <c r="A412" t="s">
        <v>10360</v>
      </c>
      <c r="B412" t="s">
        <v>10361</v>
      </c>
      <c r="C412" t="s">
        <v>9565</v>
      </c>
      <c r="D412" t="s">
        <v>9565</v>
      </c>
      <c r="E412" t="s">
        <v>9565</v>
      </c>
    </row>
    <row r="413" spans="1:5" hidden="1">
      <c r="A413" t="s">
        <v>10362</v>
      </c>
      <c r="B413" t="s">
        <v>10363</v>
      </c>
      <c r="C413" t="s">
        <v>9565</v>
      </c>
      <c r="D413" t="s">
        <v>9565</v>
      </c>
      <c r="E413" t="s">
        <v>9565</v>
      </c>
    </row>
    <row r="414" spans="1:5" hidden="1">
      <c r="A414" t="s">
        <v>10364</v>
      </c>
      <c r="B414" t="s">
        <v>10365</v>
      </c>
      <c r="C414" t="s">
        <v>9565</v>
      </c>
      <c r="D414" t="s">
        <v>9565</v>
      </c>
      <c r="E414" t="s">
        <v>9565</v>
      </c>
    </row>
    <row r="415" spans="1:5" hidden="1">
      <c r="A415" t="s">
        <v>10366</v>
      </c>
      <c r="B415" t="s">
        <v>10367</v>
      </c>
      <c r="C415" t="s">
        <v>9565</v>
      </c>
      <c r="D415" t="s">
        <v>9565</v>
      </c>
      <c r="E415" t="s">
        <v>9565</v>
      </c>
    </row>
    <row r="416" spans="1:5" hidden="1">
      <c r="A416" t="s">
        <v>10368</v>
      </c>
      <c r="B416" t="s">
        <v>10369</v>
      </c>
      <c r="C416" t="s">
        <v>9565</v>
      </c>
      <c r="D416" t="s">
        <v>9565</v>
      </c>
      <c r="E416" t="s">
        <v>9565</v>
      </c>
    </row>
    <row r="417" spans="1:5" hidden="1">
      <c r="A417" t="s">
        <v>10370</v>
      </c>
      <c r="B417" t="s">
        <v>10371</v>
      </c>
      <c r="C417" t="s">
        <v>9565</v>
      </c>
      <c r="D417" t="s">
        <v>9565</v>
      </c>
      <c r="E417" t="s">
        <v>9565</v>
      </c>
    </row>
    <row r="418" spans="1:5" hidden="1">
      <c r="A418" t="s">
        <v>10372</v>
      </c>
      <c r="B418" t="s">
        <v>10373</v>
      </c>
      <c r="C418" t="s">
        <v>9565</v>
      </c>
      <c r="D418" t="s">
        <v>9565</v>
      </c>
      <c r="E418" t="s">
        <v>9565</v>
      </c>
    </row>
    <row r="419" spans="1:5" hidden="1">
      <c r="A419" t="s">
        <v>10374</v>
      </c>
      <c r="B419" t="s">
        <v>10375</v>
      </c>
      <c r="C419" t="s">
        <v>9565</v>
      </c>
      <c r="D419" t="s">
        <v>9565</v>
      </c>
      <c r="E419" t="s">
        <v>9565</v>
      </c>
    </row>
    <row r="420" spans="1:5" hidden="1">
      <c r="A420" t="s">
        <v>10376</v>
      </c>
      <c r="B420" t="s">
        <v>10377</v>
      </c>
      <c r="C420" t="s">
        <v>9574</v>
      </c>
      <c r="D420" t="s">
        <v>9574</v>
      </c>
      <c r="E420" t="s">
        <v>9574</v>
      </c>
    </row>
    <row r="421" spans="1:5" hidden="1">
      <c r="A421" t="s">
        <v>10378</v>
      </c>
      <c r="B421" t="s">
        <v>10379</v>
      </c>
      <c r="C421" t="s">
        <v>9574</v>
      </c>
      <c r="D421" t="s">
        <v>9574</v>
      </c>
      <c r="E421" t="s">
        <v>9574</v>
      </c>
    </row>
    <row r="422" spans="1:5" hidden="1">
      <c r="A422" t="s">
        <v>10380</v>
      </c>
      <c r="B422" t="s">
        <v>10381</v>
      </c>
      <c r="C422" t="s">
        <v>9574</v>
      </c>
      <c r="D422" t="s">
        <v>9574</v>
      </c>
      <c r="E422" t="s">
        <v>9574</v>
      </c>
    </row>
    <row r="423" spans="1:5" hidden="1">
      <c r="A423" t="s">
        <v>10382</v>
      </c>
      <c r="B423" t="s">
        <v>10383</v>
      </c>
      <c r="C423" t="s">
        <v>9574</v>
      </c>
      <c r="D423" t="s">
        <v>9574</v>
      </c>
      <c r="E423" t="s">
        <v>9601</v>
      </c>
    </row>
    <row r="424" spans="1:5" hidden="1">
      <c r="A424" t="s">
        <v>212</v>
      </c>
      <c r="B424" t="s">
        <v>10384</v>
      </c>
      <c r="C424" t="s">
        <v>9574</v>
      </c>
      <c r="D424" t="s">
        <v>9574</v>
      </c>
      <c r="E424" t="s">
        <v>9601</v>
      </c>
    </row>
    <row r="425" spans="1:5" hidden="1">
      <c r="A425" t="s">
        <v>10385</v>
      </c>
      <c r="B425" t="s">
        <v>10386</v>
      </c>
      <c r="C425" t="s">
        <v>9574</v>
      </c>
      <c r="D425" t="s">
        <v>9574</v>
      </c>
      <c r="E425" t="s">
        <v>9601</v>
      </c>
    </row>
    <row r="426" spans="1:5" hidden="1">
      <c r="A426" t="s">
        <v>10387</v>
      </c>
      <c r="B426" t="s">
        <v>10388</v>
      </c>
      <c r="C426" t="s">
        <v>9574</v>
      </c>
      <c r="D426" t="s">
        <v>9574</v>
      </c>
      <c r="E426" t="s">
        <v>9601</v>
      </c>
    </row>
    <row r="427" spans="1:5" hidden="1">
      <c r="A427" t="s">
        <v>10389</v>
      </c>
      <c r="B427" t="s">
        <v>10390</v>
      </c>
      <c r="C427" t="s">
        <v>9574</v>
      </c>
      <c r="D427" t="s">
        <v>9574</v>
      </c>
      <c r="E427" t="s">
        <v>9601</v>
      </c>
    </row>
    <row r="428" spans="1:5" hidden="1">
      <c r="A428" t="s">
        <v>10391</v>
      </c>
      <c r="B428" t="s">
        <v>10392</v>
      </c>
      <c r="C428" t="s">
        <v>9574</v>
      </c>
      <c r="D428" t="s">
        <v>9574</v>
      </c>
      <c r="E428" t="s">
        <v>9601</v>
      </c>
    </row>
    <row r="429" spans="1:5" hidden="1">
      <c r="A429" t="s">
        <v>10393</v>
      </c>
      <c r="B429" t="s">
        <v>10394</v>
      </c>
      <c r="C429" t="s">
        <v>9574</v>
      </c>
      <c r="D429" t="s">
        <v>9574</v>
      </c>
      <c r="E429" t="s">
        <v>9601</v>
      </c>
    </row>
    <row r="430" spans="1:5" hidden="1">
      <c r="A430" t="s">
        <v>329</v>
      </c>
      <c r="B430" t="s">
        <v>330</v>
      </c>
      <c r="C430" t="s">
        <v>9574</v>
      </c>
      <c r="D430" t="s">
        <v>9574</v>
      </c>
      <c r="E430" t="s">
        <v>9601</v>
      </c>
    </row>
    <row r="431" spans="1:5" hidden="1">
      <c r="A431" t="s">
        <v>10395</v>
      </c>
      <c r="B431" t="s">
        <v>10396</v>
      </c>
      <c r="C431" t="s">
        <v>9574</v>
      </c>
      <c r="D431" t="s">
        <v>9574</v>
      </c>
      <c r="E431" t="s">
        <v>9601</v>
      </c>
    </row>
    <row r="432" spans="1:5" hidden="1">
      <c r="A432" t="s">
        <v>10397</v>
      </c>
      <c r="B432" t="s">
        <v>10398</v>
      </c>
      <c r="C432" t="s">
        <v>9574</v>
      </c>
      <c r="D432" t="s">
        <v>9574</v>
      </c>
      <c r="E432" t="s">
        <v>9601</v>
      </c>
    </row>
    <row r="433" spans="1:5" hidden="1">
      <c r="A433" t="s">
        <v>91</v>
      </c>
      <c r="B433" t="s">
        <v>10399</v>
      </c>
      <c r="C433" t="s">
        <v>9574</v>
      </c>
      <c r="D433" t="s">
        <v>9574</v>
      </c>
      <c r="E433" t="s">
        <v>9601</v>
      </c>
    </row>
    <row r="434" spans="1:5" hidden="1">
      <c r="A434" t="s">
        <v>242</v>
      </c>
      <c r="B434" t="s">
        <v>10400</v>
      </c>
      <c r="C434" t="s">
        <v>9574</v>
      </c>
      <c r="D434" t="s">
        <v>9574</v>
      </c>
      <c r="E434" t="s">
        <v>9601</v>
      </c>
    </row>
    <row r="435" spans="1:5" hidden="1">
      <c r="A435" t="s">
        <v>236</v>
      </c>
      <c r="B435" t="s">
        <v>237</v>
      </c>
      <c r="C435" t="s">
        <v>9574</v>
      </c>
      <c r="D435" t="s">
        <v>9574</v>
      </c>
      <c r="E435" t="s">
        <v>9601</v>
      </c>
    </row>
    <row r="436" spans="1:5" hidden="1">
      <c r="A436" t="s">
        <v>10401</v>
      </c>
      <c r="B436" t="s">
        <v>10402</v>
      </c>
      <c r="C436" t="s">
        <v>9574</v>
      </c>
      <c r="D436" t="s">
        <v>9574</v>
      </c>
      <c r="E436" t="s">
        <v>9601</v>
      </c>
    </row>
    <row r="437" spans="1:5" hidden="1">
      <c r="A437" t="s">
        <v>10403</v>
      </c>
      <c r="B437" t="s">
        <v>10404</v>
      </c>
      <c r="C437" t="s">
        <v>9574</v>
      </c>
      <c r="D437" t="s">
        <v>9574</v>
      </c>
      <c r="E437" t="s">
        <v>9601</v>
      </c>
    </row>
    <row r="438" spans="1:5" hidden="1">
      <c r="A438" t="s">
        <v>10405</v>
      </c>
      <c r="B438" t="s">
        <v>10406</v>
      </c>
      <c r="C438" t="s">
        <v>9574</v>
      </c>
      <c r="D438" t="s">
        <v>9574</v>
      </c>
      <c r="E438" t="s">
        <v>9601</v>
      </c>
    </row>
    <row r="439" spans="1:5" hidden="1">
      <c r="A439" t="s">
        <v>10407</v>
      </c>
      <c r="B439" t="s">
        <v>10408</v>
      </c>
      <c r="C439" t="s">
        <v>9574</v>
      </c>
      <c r="D439" t="s">
        <v>9574</v>
      </c>
      <c r="E439" t="s">
        <v>9601</v>
      </c>
    </row>
    <row r="440" spans="1:5" hidden="1">
      <c r="A440" t="s">
        <v>10409</v>
      </c>
      <c r="B440" t="s">
        <v>10410</v>
      </c>
      <c r="C440" t="s">
        <v>9574</v>
      </c>
      <c r="D440" t="s">
        <v>9574</v>
      </c>
      <c r="E440" t="s">
        <v>9601</v>
      </c>
    </row>
    <row r="441" spans="1:5" hidden="1">
      <c r="A441" t="s">
        <v>10411</v>
      </c>
      <c r="B441" t="s">
        <v>10412</v>
      </c>
      <c r="C441" t="s">
        <v>9574</v>
      </c>
      <c r="D441" t="s">
        <v>9574</v>
      </c>
      <c r="E441" t="s">
        <v>9601</v>
      </c>
    </row>
    <row r="442" spans="1:5" hidden="1">
      <c r="A442" t="s">
        <v>10413</v>
      </c>
      <c r="B442" t="s">
        <v>10414</v>
      </c>
      <c r="C442" t="s">
        <v>9574</v>
      </c>
      <c r="D442" t="s">
        <v>9574</v>
      </c>
      <c r="E442" t="s">
        <v>9601</v>
      </c>
    </row>
    <row r="443" spans="1:5" hidden="1">
      <c r="A443" t="s">
        <v>10415</v>
      </c>
      <c r="B443" t="s">
        <v>10416</v>
      </c>
      <c r="C443" t="s">
        <v>9574</v>
      </c>
      <c r="D443" t="s">
        <v>9574</v>
      </c>
      <c r="E443" t="s">
        <v>9601</v>
      </c>
    </row>
    <row r="444" spans="1:5" hidden="1">
      <c r="A444" t="s">
        <v>10417</v>
      </c>
      <c r="B444" t="s">
        <v>10418</v>
      </c>
      <c r="C444" t="s">
        <v>9574</v>
      </c>
      <c r="D444" t="s">
        <v>9574</v>
      </c>
      <c r="E444" t="s">
        <v>9601</v>
      </c>
    </row>
    <row r="445" spans="1:5" hidden="1">
      <c r="A445" t="s">
        <v>10419</v>
      </c>
      <c r="B445" t="s">
        <v>10420</v>
      </c>
      <c r="C445" t="s">
        <v>9574</v>
      </c>
      <c r="D445" t="s">
        <v>9574</v>
      </c>
      <c r="E445" t="s">
        <v>9601</v>
      </c>
    </row>
    <row r="446" spans="1:5" hidden="1">
      <c r="A446" t="s">
        <v>10421</v>
      </c>
      <c r="B446" t="s">
        <v>10422</v>
      </c>
      <c r="C446" t="s">
        <v>9574</v>
      </c>
      <c r="D446" t="s">
        <v>9574</v>
      </c>
      <c r="E446" t="s">
        <v>9601</v>
      </c>
    </row>
    <row r="447" spans="1:5" hidden="1">
      <c r="A447" t="s">
        <v>10423</v>
      </c>
      <c r="B447" t="s">
        <v>10424</v>
      </c>
      <c r="C447" t="s">
        <v>9574</v>
      </c>
      <c r="D447" t="s">
        <v>9574</v>
      </c>
      <c r="E447" t="s">
        <v>9601</v>
      </c>
    </row>
    <row r="448" spans="1:5" hidden="1">
      <c r="A448" t="s">
        <v>10425</v>
      </c>
      <c r="B448" t="s">
        <v>10426</v>
      </c>
      <c r="C448" t="s">
        <v>9574</v>
      </c>
      <c r="D448" t="s">
        <v>9574</v>
      </c>
      <c r="E448" t="s">
        <v>9601</v>
      </c>
    </row>
    <row r="449" spans="1:5" hidden="1">
      <c r="A449" t="s">
        <v>10427</v>
      </c>
      <c r="B449" t="s">
        <v>10428</v>
      </c>
      <c r="C449" t="s">
        <v>9574</v>
      </c>
      <c r="D449" t="s">
        <v>9574</v>
      </c>
      <c r="E449" t="s">
        <v>9601</v>
      </c>
    </row>
    <row r="450" spans="1:5" hidden="1">
      <c r="A450" t="s">
        <v>10429</v>
      </c>
      <c r="B450" t="s">
        <v>10430</v>
      </c>
      <c r="C450" t="s">
        <v>9574</v>
      </c>
      <c r="D450" t="s">
        <v>9574</v>
      </c>
      <c r="E450" t="s">
        <v>9601</v>
      </c>
    </row>
    <row r="451" spans="1:5" hidden="1">
      <c r="A451" t="s">
        <v>10431</v>
      </c>
      <c r="B451" t="s">
        <v>10432</v>
      </c>
      <c r="C451" t="s">
        <v>9574</v>
      </c>
      <c r="D451" t="s">
        <v>9574</v>
      </c>
      <c r="E451" t="s">
        <v>9601</v>
      </c>
    </row>
    <row r="452" spans="1:5" hidden="1">
      <c r="A452" t="s">
        <v>10433</v>
      </c>
      <c r="B452" t="s">
        <v>10434</v>
      </c>
      <c r="C452" t="s">
        <v>9574</v>
      </c>
      <c r="D452" t="s">
        <v>9574</v>
      </c>
      <c r="E452" t="s">
        <v>9601</v>
      </c>
    </row>
    <row r="453" spans="1:5" hidden="1">
      <c r="A453" t="s">
        <v>10435</v>
      </c>
      <c r="B453" t="s">
        <v>10436</v>
      </c>
      <c r="C453" t="s">
        <v>9574</v>
      </c>
      <c r="D453" t="s">
        <v>9574</v>
      </c>
      <c r="E453" t="s">
        <v>9601</v>
      </c>
    </row>
    <row r="454" spans="1:5" hidden="1">
      <c r="A454" t="s">
        <v>10437</v>
      </c>
      <c r="B454" t="s">
        <v>10438</v>
      </c>
      <c r="C454" t="s">
        <v>9574</v>
      </c>
      <c r="D454" t="s">
        <v>9574</v>
      </c>
      <c r="E454" t="s">
        <v>9601</v>
      </c>
    </row>
    <row r="455" spans="1:5" hidden="1">
      <c r="A455" t="s">
        <v>10439</v>
      </c>
      <c r="B455" t="s">
        <v>10440</v>
      </c>
      <c r="C455" t="s">
        <v>9574</v>
      </c>
      <c r="D455" t="s">
        <v>9574</v>
      </c>
      <c r="E455" t="s">
        <v>9601</v>
      </c>
    </row>
    <row r="456" spans="1:5" hidden="1">
      <c r="A456" t="s">
        <v>10441</v>
      </c>
      <c r="B456" t="s">
        <v>10442</v>
      </c>
      <c r="C456" t="s">
        <v>9574</v>
      </c>
      <c r="D456" t="s">
        <v>9574</v>
      </c>
      <c r="E456" t="s">
        <v>9601</v>
      </c>
    </row>
    <row r="457" spans="1:5" hidden="1">
      <c r="A457" t="s">
        <v>10443</v>
      </c>
      <c r="B457" t="s">
        <v>10444</v>
      </c>
      <c r="C457" t="s">
        <v>9574</v>
      </c>
      <c r="D457" t="s">
        <v>9574</v>
      </c>
      <c r="E457" t="s">
        <v>9601</v>
      </c>
    </row>
    <row r="458" spans="1:5" hidden="1">
      <c r="A458" t="s">
        <v>10445</v>
      </c>
      <c r="B458" t="s">
        <v>10446</v>
      </c>
      <c r="C458" t="s">
        <v>9574</v>
      </c>
      <c r="D458" t="s">
        <v>9574</v>
      </c>
      <c r="E458" t="s">
        <v>9601</v>
      </c>
    </row>
    <row r="459" spans="1:5" hidden="1">
      <c r="A459" t="s">
        <v>10447</v>
      </c>
      <c r="B459" t="s">
        <v>10448</v>
      </c>
      <c r="C459" t="s">
        <v>9574</v>
      </c>
      <c r="D459" t="s">
        <v>9574</v>
      </c>
      <c r="E459" t="s">
        <v>9601</v>
      </c>
    </row>
    <row r="460" spans="1:5" hidden="1">
      <c r="A460" t="s">
        <v>10449</v>
      </c>
      <c r="B460" t="s">
        <v>10450</v>
      </c>
      <c r="C460" t="s">
        <v>9574</v>
      </c>
      <c r="D460" t="s">
        <v>9574</v>
      </c>
      <c r="E460" t="s">
        <v>9601</v>
      </c>
    </row>
    <row r="461" spans="1:5" hidden="1">
      <c r="A461" t="s">
        <v>10451</v>
      </c>
      <c r="B461" t="s">
        <v>10452</v>
      </c>
      <c r="C461" t="s">
        <v>9574</v>
      </c>
      <c r="D461" t="s">
        <v>9574</v>
      </c>
      <c r="E461" t="s">
        <v>9601</v>
      </c>
    </row>
    <row r="462" spans="1:5" hidden="1">
      <c r="A462" t="s">
        <v>10453</v>
      </c>
      <c r="B462" t="s">
        <v>10454</v>
      </c>
      <c r="C462" t="s">
        <v>9574</v>
      </c>
      <c r="D462" t="s">
        <v>9574</v>
      </c>
      <c r="E462" t="s">
        <v>9601</v>
      </c>
    </row>
    <row r="463" spans="1:5" hidden="1">
      <c r="A463" t="s">
        <v>10455</v>
      </c>
      <c r="B463" t="s">
        <v>10456</v>
      </c>
      <c r="C463" t="s">
        <v>9574</v>
      </c>
      <c r="D463" t="s">
        <v>9574</v>
      </c>
      <c r="E463" t="s">
        <v>9601</v>
      </c>
    </row>
    <row r="464" spans="1:5" hidden="1">
      <c r="A464" t="s">
        <v>10457</v>
      </c>
      <c r="B464" t="s">
        <v>10458</v>
      </c>
      <c r="C464" t="s">
        <v>9574</v>
      </c>
      <c r="D464" t="s">
        <v>9574</v>
      </c>
      <c r="E464" t="s">
        <v>9601</v>
      </c>
    </row>
    <row r="465" spans="1:5" hidden="1">
      <c r="A465" t="s">
        <v>10459</v>
      </c>
      <c r="B465" t="s">
        <v>10460</v>
      </c>
      <c r="C465" t="s">
        <v>9574</v>
      </c>
      <c r="D465" t="s">
        <v>9574</v>
      </c>
      <c r="E465" t="s">
        <v>9601</v>
      </c>
    </row>
    <row r="466" spans="1:5" hidden="1">
      <c r="A466" t="s">
        <v>10461</v>
      </c>
      <c r="B466" t="s">
        <v>10462</v>
      </c>
      <c r="C466" t="s">
        <v>9574</v>
      </c>
      <c r="D466" t="s">
        <v>9574</v>
      </c>
      <c r="E466" t="s">
        <v>9601</v>
      </c>
    </row>
    <row r="467" spans="1:5" hidden="1">
      <c r="A467" t="s">
        <v>10463</v>
      </c>
      <c r="B467" t="s">
        <v>10464</v>
      </c>
      <c r="C467" t="s">
        <v>9574</v>
      </c>
      <c r="D467" t="s">
        <v>9574</v>
      </c>
      <c r="E467" t="s">
        <v>9601</v>
      </c>
    </row>
    <row r="468" spans="1:5" hidden="1">
      <c r="A468" t="s">
        <v>10465</v>
      </c>
      <c r="B468" t="s">
        <v>10466</v>
      </c>
      <c r="C468" t="s">
        <v>9574</v>
      </c>
      <c r="D468" t="s">
        <v>9574</v>
      </c>
      <c r="E468" t="s">
        <v>9601</v>
      </c>
    </row>
    <row r="469" spans="1:5" hidden="1">
      <c r="A469" t="s">
        <v>335</v>
      </c>
      <c r="B469" t="s">
        <v>336</v>
      </c>
      <c r="C469" t="s">
        <v>9574</v>
      </c>
      <c r="D469" t="s">
        <v>9574</v>
      </c>
      <c r="E469" t="s">
        <v>9601</v>
      </c>
    </row>
    <row r="470" spans="1:5" hidden="1">
      <c r="A470" t="s">
        <v>10467</v>
      </c>
      <c r="B470" t="s">
        <v>10468</v>
      </c>
      <c r="C470" t="s">
        <v>9574</v>
      </c>
      <c r="D470" t="s">
        <v>9574</v>
      </c>
      <c r="E470" t="s">
        <v>9601</v>
      </c>
    </row>
    <row r="471" spans="1:5" hidden="1">
      <c r="A471" t="s">
        <v>10469</v>
      </c>
      <c r="B471" t="s">
        <v>10470</v>
      </c>
      <c r="C471" t="s">
        <v>9574</v>
      </c>
      <c r="D471" t="s">
        <v>9574</v>
      </c>
      <c r="E471" t="s">
        <v>9601</v>
      </c>
    </row>
    <row r="472" spans="1:5" hidden="1">
      <c r="A472" t="s">
        <v>10471</v>
      </c>
      <c r="B472" t="s">
        <v>10472</v>
      </c>
      <c r="C472" t="s">
        <v>9574</v>
      </c>
      <c r="D472" t="s">
        <v>9574</v>
      </c>
      <c r="E472" t="s">
        <v>9601</v>
      </c>
    </row>
    <row r="473" spans="1:5" hidden="1">
      <c r="A473" t="s">
        <v>10473</v>
      </c>
      <c r="B473" t="s">
        <v>10474</v>
      </c>
      <c r="C473" t="s">
        <v>9574</v>
      </c>
      <c r="D473" t="s">
        <v>9574</v>
      </c>
      <c r="E473" t="s">
        <v>9601</v>
      </c>
    </row>
    <row r="474" spans="1:5" hidden="1">
      <c r="A474" t="s">
        <v>10475</v>
      </c>
      <c r="B474" t="s">
        <v>10476</v>
      </c>
      <c r="C474" t="s">
        <v>9574</v>
      </c>
      <c r="D474" t="s">
        <v>9574</v>
      </c>
      <c r="E474" t="s">
        <v>9601</v>
      </c>
    </row>
    <row r="475" spans="1:5" hidden="1">
      <c r="A475" t="s">
        <v>209</v>
      </c>
      <c r="B475" t="s">
        <v>10477</v>
      </c>
      <c r="C475" t="s">
        <v>9574</v>
      </c>
      <c r="D475" t="s">
        <v>9574</v>
      </c>
      <c r="E475" t="s">
        <v>9601</v>
      </c>
    </row>
    <row r="476" spans="1:5" hidden="1">
      <c r="A476" t="s">
        <v>10478</v>
      </c>
      <c r="B476" t="s">
        <v>10479</v>
      </c>
      <c r="C476" t="s">
        <v>9574</v>
      </c>
      <c r="D476" t="s">
        <v>9574</v>
      </c>
      <c r="E476" t="s">
        <v>9601</v>
      </c>
    </row>
    <row r="477" spans="1:5" hidden="1">
      <c r="A477" t="s">
        <v>10480</v>
      </c>
      <c r="B477" t="s">
        <v>10481</v>
      </c>
      <c r="C477" t="s">
        <v>9574</v>
      </c>
      <c r="D477" t="s">
        <v>9574</v>
      </c>
      <c r="E477" t="s">
        <v>9601</v>
      </c>
    </row>
    <row r="478" spans="1:5" hidden="1">
      <c r="A478" t="s">
        <v>10482</v>
      </c>
      <c r="B478" t="s">
        <v>10483</v>
      </c>
      <c r="C478" t="s">
        <v>9574</v>
      </c>
      <c r="D478" t="s">
        <v>9574</v>
      </c>
      <c r="E478" t="s">
        <v>9601</v>
      </c>
    </row>
    <row r="479" spans="1:5" hidden="1">
      <c r="A479" t="s">
        <v>10484</v>
      </c>
      <c r="B479" t="s">
        <v>10485</v>
      </c>
      <c r="C479" t="s">
        <v>9574</v>
      </c>
      <c r="D479" t="s">
        <v>9574</v>
      </c>
      <c r="E479" t="s">
        <v>9601</v>
      </c>
    </row>
    <row r="480" spans="1:5" hidden="1">
      <c r="A480" t="s">
        <v>10486</v>
      </c>
      <c r="B480" t="s">
        <v>10487</v>
      </c>
      <c r="C480" t="s">
        <v>9574</v>
      </c>
      <c r="D480" t="s">
        <v>9574</v>
      </c>
      <c r="E480" t="s">
        <v>9601</v>
      </c>
    </row>
    <row r="481" spans="1:5" hidden="1">
      <c r="A481" t="s">
        <v>10488</v>
      </c>
      <c r="B481" t="s">
        <v>10489</v>
      </c>
      <c r="C481" t="s">
        <v>9574</v>
      </c>
      <c r="D481" t="s">
        <v>9574</v>
      </c>
      <c r="E481" t="s">
        <v>9601</v>
      </c>
    </row>
    <row r="482" spans="1:5" hidden="1">
      <c r="A482" t="s">
        <v>10490</v>
      </c>
      <c r="B482" t="s">
        <v>10491</v>
      </c>
      <c r="C482" t="s">
        <v>9574</v>
      </c>
      <c r="D482" t="s">
        <v>9574</v>
      </c>
      <c r="E482" t="s">
        <v>9601</v>
      </c>
    </row>
    <row r="483" spans="1:5" hidden="1">
      <c r="A483" t="s">
        <v>10492</v>
      </c>
      <c r="B483" t="s">
        <v>10493</v>
      </c>
      <c r="C483" t="s">
        <v>9574</v>
      </c>
      <c r="D483" t="s">
        <v>9574</v>
      </c>
      <c r="E483" t="s">
        <v>9601</v>
      </c>
    </row>
    <row r="484" spans="1:5" hidden="1">
      <c r="A484" t="s">
        <v>10494</v>
      </c>
      <c r="B484" t="s">
        <v>10495</v>
      </c>
      <c r="C484" t="s">
        <v>9574</v>
      </c>
      <c r="D484" t="s">
        <v>9574</v>
      </c>
      <c r="E484" t="s">
        <v>9549</v>
      </c>
    </row>
    <row r="485" spans="1:5" hidden="1">
      <c r="A485" t="s">
        <v>10496</v>
      </c>
      <c r="B485" t="s">
        <v>10497</v>
      </c>
      <c r="C485" t="s">
        <v>9574</v>
      </c>
      <c r="D485" t="s">
        <v>9574</v>
      </c>
      <c r="E485" t="s">
        <v>9549</v>
      </c>
    </row>
    <row r="486" spans="1:5" hidden="1">
      <c r="A486" t="s">
        <v>10498</v>
      </c>
      <c r="B486" t="s">
        <v>10499</v>
      </c>
      <c r="C486" t="s">
        <v>9574</v>
      </c>
      <c r="D486" t="s">
        <v>9574</v>
      </c>
      <c r="E486" t="s">
        <v>9601</v>
      </c>
    </row>
    <row r="487" spans="1:5" hidden="1">
      <c r="A487" t="s">
        <v>10500</v>
      </c>
      <c r="B487" t="s">
        <v>10501</v>
      </c>
      <c r="C487" t="s">
        <v>9574</v>
      </c>
      <c r="D487" t="s">
        <v>9574</v>
      </c>
      <c r="E487" t="s">
        <v>9601</v>
      </c>
    </row>
    <row r="488" spans="1:5" hidden="1">
      <c r="A488" t="s">
        <v>10502</v>
      </c>
      <c r="B488" t="s">
        <v>10503</v>
      </c>
      <c r="C488" t="s">
        <v>9574</v>
      </c>
      <c r="D488" t="s">
        <v>9574</v>
      </c>
      <c r="E488" t="s">
        <v>9549</v>
      </c>
    </row>
    <row r="489" spans="1:5" hidden="1">
      <c r="A489" t="s">
        <v>10504</v>
      </c>
      <c r="B489" t="s">
        <v>10505</v>
      </c>
      <c r="C489" t="s">
        <v>9574</v>
      </c>
      <c r="D489" t="s">
        <v>9574</v>
      </c>
      <c r="E489" t="s">
        <v>9549</v>
      </c>
    </row>
    <row r="490" spans="1:5" hidden="1">
      <c r="A490" t="s">
        <v>326</v>
      </c>
      <c r="B490" t="s">
        <v>327</v>
      </c>
      <c r="C490" t="s">
        <v>9574</v>
      </c>
      <c r="D490" t="s">
        <v>9574</v>
      </c>
      <c r="E490" t="s">
        <v>9601</v>
      </c>
    </row>
    <row r="491" spans="1:5" hidden="1">
      <c r="A491" t="s">
        <v>10506</v>
      </c>
      <c r="B491" t="s">
        <v>10507</v>
      </c>
      <c r="C491" t="s">
        <v>9574</v>
      </c>
      <c r="D491" t="s">
        <v>9574</v>
      </c>
      <c r="E491" t="s">
        <v>9601</v>
      </c>
    </row>
    <row r="492" spans="1:5" hidden="1">
      <c r="A492" t="s">
        <v>10508</v>
      </c>
      <c r="B492" t="s">
        <v>10509</v>
      </c>
      <c r="C492" t="s">
        <v>9574</v>
      </c>
      <c r="D492" t="s">
        <v>9574</v>
      </c>
      <c r="E492" t="s">
        <v>9574</v>
      </c>
    </row>
    <row r="493" spans="1:5" hidden="1">
      <c r="A493" t="s">
        <v>10510</v>
      </c>
      <c r="B493" t="s">
        <v>10511</v>
      </c>
      <c r="C493" t="s">
        <v>9574</v>
      </c>
      <c r="D493" t="s">
        <v>9574</v>
      </c>
      <c r="E493" t="s">
        <v>9574</v>
      </c>
    </row>
    <row r="494" spans="1:5" hidden="1">
      <c r="A494" t="s">
        <v>248</v>
      </c>
      <c r="B494" t="s">
        <v>10512</v>
      </c>
      <c r="C494" t="s">
        <v>9574</v>
      </c>
      <c r="D494" t="s">
        <v>9574</v>
      </c>
      <c r="E494" t="s">
        <v>9574</v>
      </c>
    </row>
    <row r="495" spans="1:5" hidden="1">
      <c r="A495" t="s">
        <v>233</v>
      </c>
      <c r="B495" t="s">
        <v>10513</v>
      </c>
      <c r="C495" t="s">
        <v>9574</v>
      </c>
      <c r="D495" t="s">
        <v>9574</v>
      </c>
      <c r="E495" t="s">
        <v>9574</v>
      </c>
    </row>
    <row r="496" spans="1:5" hidden="1">
      <c r="A496" t="s">
        <v>10514</v>
      </c>
      <c r="B496" t="s">
        <v>10515</v>
      </c>
      <c r="C496" t="s">
        <v>9574</v>
      </c>
      <c r="D496" t="s">
        <v>9574</v>
      </c>
      <c r="E496" t="s">
        <v>9574</v>
      </c>
    </row>
    <row r="497" spans="1:5" hidden="1">
      <c r="A497" t="s">
        <v>10516</v>
      </c>
      <c r="B497" t="s">
        <v>10517</v>
      </c>
      <c r="C497" t="s">
        <v>9574</v>
      </c>
      <c r="D497" t="s">
        <v>9574</v>
      </c>
      <c r="E497" t="s">
        <v>9574</v>
      </c>
    </row>
    <row r="498" spans="1:5" hidden="1">
      <c r="A498" t="s">
        <v>332</v>
      </c>
      <c r="B498" t="s">
        <v>333</v>
      </c>
      <c r="C498" t="s">
        <v>9574</v>
      </c>
      <c r="D498" t="s">
        <v>9574</v>
      </c>
      <c r="E498" t="s">
        <v>9574</v>
      </c>
    </row>
    <row r="499" spans="1:5" hidden="1">
      <c r="A499" t="s">
        <v>10518</v>
      </c>
      <c r="B499" t="s">
        <v>10519</v>
      </c>
      <c r="C499" t="s">
        <v>9574</v>
      </c>
      <c r="D499" t="s">
        <v>9574</v>
      </c>
      <c r="E499" t="s">
        <v>9574</v>
      </c>
    </row>
    <row r="500" spans="1:5" hidden="1">
      <c r="A500" t="s">
        <v>203</v>
      </c>
      <c r="B500" t="s">
        <v>10520</v>
      </c>
      <c r="C500" t="s">
        <v>9574</v>
      </c>
      <c r="D500" t="s">
        <v>9574</v>
      </c>
      <c r="E500" t="s">
        <v>9574</v>
      </c>
    </row>
    <row r="501" spans="1:5" hidden="1">
      <c r="A501" t="s">
        <v>299</v>
      </c>
      <c r="B501" t="s">
        <v>10521</v>
      </c>
      <c r="C501" t="s">
        <v>9574</v>
      </c>
      <c r="D501" t="s">
        <v>9574</v>
      </c>
      <c r="E501" t="s">
        <v>9574</v>
      </c>
    </row>
    <row r="502" spans="1:5" hidden="1">
      <c r="A502" t="s">
        <v>10522</v>
      </c>
      <c r="B502" t="s">
        <v>10523</v>
      </c>
      <c r="C502" t="s">
        <v>9574</v>
      </c>
      <c r="D502" t="s">
        <v>9574</v>
      </c>
      <c r="E502" t="s">
        <v>9574</v>
      </c>
    </row>
    <row r="503" spans="1:5" hidden="1">
      <c r="A503" t="s">
        <v>10524</v>
      </c>
      <c r="B503" t="s">
        <v>10525</v>
      </c>
      <c r="C503" t="s">
        <v>9574</v>
      </c>
      <c r="D503" t="s">
        <v>9574</v>
      </c>
      <c r="E503" t="s">
        <v>9574</v>
      </c>
    </row>
    <row r="504" spans="1:5" hidden="1">
      <c r="A504" t="s">
        <v>197</v>
      </c>
      <c r="B504" t="s">
        <v>10526</v>
      </c>
      <c r="C504" t="s">
        <v>9574</v>
      </c>
      <c r="D504" t="s">
        <v>9574</v>
      </c>
      <c r="E504" t="s">
        <v>9574</v>
      </c>
    </row>
    <row r="505" spans="1:5" hidden="1">
      <c r="A505" t="s">
        <v>34</v>
      </c>
      <c r="B505" t="s">
        <v>10527</v>
      </c>
      <c r="C505" t="s">
        <v>9574</v>
      </c>
      <c r="D505" t="s">
        <v>9574</v>
      </c>
      <c r="E505" t="s">
        <v>9574</v>
      </c>
    </row>
    <row r="506" spans="1:5" hidden="1">
      <c r="A506" t="s">
        <v>10528</v>
      </c>
      <c r="B506" t="s">
        <v>10529</v>
      </c>
      <c r="C506" t="s">
        <v>9574</v>
      </c>
      <c r="D506" t="s">
        <v>9574</v>
      </c>
      <c r="E506" t="s">
        <v>9574</v>
      </c>
    </row>
    <row r="507" spans="1:5" hidden="1">
      <c r="A507" t="s">
        <v>10530</v>
      </c>
      <c r="B507" t="s">
        <v>10531</v>
      </c>
      <c r="C507" t="s">
        <v>9574</v>
      </c>
      <c r="D507" t="s">
        <v>9574</v>
      </c>
      <c r="E507" t="s">
        <v>9574</v>
      </c>
    </row>
    <row r="508" spans="1:5" hidden="1">
      <c r="A508" t="s">
        <v>10532</v>
      </c>
      <c r="B508" t="s">
        <v>10533</v>
      </c>
      <c r="C508" t="s">
        <v>9574</v>
      </c>
      <c r="D508" t="s">
        <v>9574</v>
      </c>
      <c r="E508" t="s">
        <v>9574</v>
      </c>
    </row>
    <row r="509" spans="1:5" hidden="1">
      <c r="A509" t="s">
        <v>10534</v>
      </c>
      <c r="B509" t="s">
        <v>10535</v>
      </c>
      <c r="C509" t="s">
        <v>9574</v>
      </c>
      <c r="D509" t="s">
        <v>9574</v>
      </c>
      <c r="E509" t="s">
        <v>9574</v>
      </c>
    </row>
    <row r="510" spans="1:5" hidden="1">
      <c r="A510" t="s">
        <v>10536</v>
      </c>
      <c r="B510" t="s">
        <v>10537</v>
      </c>
      <c r="C510" t="s">
        <v>9574</v>
      </c>
      <c r="D510" t="s">
        <v>9574</v>
      </c>
      <c r="E510" t="s">
        <v>9574</v>
      </c>
    </row>
    <row r="511" spans="1:5" hidden="1">
      <c r="A511" t="s">
        <v>10538</v>
      </c>
      <c r="B511" t="s">
        <v>10539</v>
      </c>
      <c r="C511" t="s">
        <v>9574</v>
      </c>
      <c r="D511" t="s">
        <v>9574</v>
      </c>
      <c r="E511" t="s">
        <v>9574</v>
      </c>
    </row>
    <row r="512" spans="1:5" hidden="1">
      <c r="A512" t="s">
        <v>10540</v>
      </c>
      <c r="B512" t="s">
        <v>10541</v>
      </c>
      <c r="C512" t="s">
        <v>9574</v>
      </c>
      <c r="D512" t="s">
        <v>9574</v>
      </c>
      <c r="E512" t="s">
        <v>9574</v>
      </c>
    </row>
    <row r="513" spans="1:5" hidden="1">
      <c r="A513" t="s">
        <v>82</v>
      </c>
      <c r="B513" t="s">
        <v>83</v>
      </c>
      <c r="C513" t="s">
        <v>9574</v>
      </c>
      <c r="D513" t="s">
        <v>9574</v>
      </c>
      <c r="E513" t="s">
        <v>9574</v>
      </c>
    </row>
    <row r="514" spans="1:5" hidden="1">
      <c r="A514" t="s">
        <v>88</v>
      </c>
      <c r="B514" t="s">
        <v>89</v>
      </c>
      <c r="C514" t="s">
        <v>9574</v>
      </c>
      <c r="D514" t="s">
        <v>9574</v>
      </c>
      <c r="E514" t="s">
        <v>9574</v>
      </c>
    </row>
    <row r="515" spans="1:5" hidden="1">
      <c r="A515" t="s">
        <v>61</v>
      </c>
      <c r="B515" t="s">
        <v>10542</v>
      </c>
      <c r="C515" t="s">
        <v>9574</v>
      </c>
      <c r="D515" t="s">
        <v>9574</v>
      </c>
      <c r="E515" t="s">
        <v>9574</v>
      </c>
    </row>
    <row r="516" spans="1:5" hidden="1">
      <c r="A516" t="s">
        <v>58</v>
      </c>
      <c r="B516" t="s">
        <v>10543</v>
      </c>
      <c r="C516" t="s">
        <v>9574</v>
      </c>
      <c r="D516" t="s">
        <v>9574</v>
      </c>
      <c r="E516" t="s">
        <v>9574</v>
      </c>
    </row>
    <row r="517" spans="1:5" hidden="1">
      <c r="A517" t="s">
        <v>31</v>
      </c>
      <c r="B517" t="s">
        <v>10544</v>
      </c>
      <c r="C517" t="s">
        <v>9574</v>
      </c>
      <c r="D517" t="s">
        <v>9574</v>
      </c>
      <c r="E517" t="s">
        <v>9574</v>
      </c>
    </row>
    <row r="518" spans="1:5" hidden="1">
      <c r="A518" t="s">
        <v>40</v>
      </c>
      <c r="B518" t="s">
        <v>10545</v>
      </c>
      <c r="C518" t="s">
        <v>9574</v>
      </c>
      <c r="D518" t="s">
        <v>9574</v>
      </c>
      <c r="E518" t="s">
        <v>9574</v>
      </c>
    </row>
    <row r="519" spans="1:5" hidden="1">
      <c r="A519" t="s">
        <v>118</v>
      </c>
      <c r="B519" t="s">
        <v>119</v>
      </c>
      <c r="C519" t="s">
        <v>9574</v>
      </c>
      <c r="D519" t="s">
        <v>9574</v>
      </c>
      <c r="E519" t="s">
        <v>9574</v>
      </c>
    </row>
    <row r="520" spans="1:5" hidden="1">
      <c r="A520" t="s">
        <v>266</v>
      </c>
      <c r="B520" t="s">
        <v>267</v>
      </c>
      <c r="C520" t="s">
        <v>9574</v>
      </c>
      <c r="D520" t="s">
        <v>9574</v>
      </c>
      <c r="E520" t="s">
        <v>9574</v>
      </c>
    </row>
    <row r="521" spans="1:5" hidden="1">
      <c r="A521" t="s">
        <v>10546</v>
      </c>
      <c r="B521" t="s">
        <v>10547</v>
      </c>
      <c r="C521" t="s">
        <v>9574</v>
      </c>
      <c r="D521" t="s">
        <v>9574</v>
      </c>
      <c r="E521" t="s">
        <v>9574</v>
      </c>
    </row>
    <row r="522" spans="1:5" hidden="1">
      <c r="A522" t="s">
        <v>10548</v>
      </c>
      <c r="B522" t="s">
        <v>10549</v>
      </c>
      <c r="C522" t="s">
        <v>9574</v>
      </c>
      <c r="D522" t="s">
        <v>9574</v>
      </c>
      <c r="E522" t="s">
        <v>9574</v>
      </c>
    </row>
    <row r="523" spans="1:5" hidden="1">
      <c r="A523" t="s">
        <v>10550</v>
      </c>
      <c r="B523" t="s">
        <v>10551</v>
      </c>
      <c r="C523" t="s">
        <v>9574</v>
      </c>
      <c r="D523" t="s">
        <v>9574</v>
      </c>
      <c r="E523" t="s">
        <v>9574</v>
      </c>
    </row>
    <row r="524" spans="1:5" hidden="1">
      <c r="A524" t="s">
        <v>10552</v>
      </c>
      <c r="B524" t="s">
        <v>10553</v>
      </c>
      <c r="C524" t="s">
        <v>9574</v>
      </c>
      <c r="D524" t="s">
        <v>9574</v>
      </c>
      <c r="E524" t="s">
        <v>9574</v>
      </c>
    </row>
    <row r="525" spans="1:5" hidden="1">
      <c r="A525" t="s">
        <v>260</v>
      </c>
      <c r="B525" t="s">
        <v>261</v>
      </c>
      <c r="C525" t="s">
        <v>9574</v>
      </c>
      <c r="D525" t="s">
        <v>9574</v>
      </c>
      <c r="E525" t="s">
        <v>9574</v>
      </c>
    </row>
    <row r="526" spans="1:5" hidden="1">
      <c r="A526" t="s">
        <v>10554</v>
      </c>
      <c r="B526" t="s">
        <v>10555</v>
      </c>
      <c r="C526" t="s">
        <v>9574</v>
      </c>
      <c r="D526" t="s">
        <v>9574</v>
      </c>
      <c r="E526" t="s">
        <v>9574</v>
      </c>
    </row>
    <row r="527" spans="1:5" hidden="1">
      <c r="A527" t="s">
        <v>10556</v>
      </c>
      <c r="B527" t="s">
        <v>10557</v>
      </c>
      <c r="C527" t="s">
        <v>9574</v>
      </c>
      <c r="D527" t="s">
        <v>9574</v>
      </c>
      <c r="E527" t="s">
        <v>9574</v>
      </c>
    </row>
    <row r="528" spans="1:5" hidden="1">
      <c r="A528" t="s">
        <v>37</v>
      </c>
      <c r="B528" t="s">
        <v>10558</v>
      </c>
      <c r="C528" t="s">
        <v>9574</v>
      </c>
      <c r="D528" t="s">
        <v>9574</v>
      </c>
      <c r="E528" t="s">
        <v>9574</v>
      </c>
    </row>
    <row r="529" spans="1:5" hidden="1">
      <c r="A529" t="s">
        <v>73</v>
      </c>
      <c r="B529" t="s">
        <v>10559</v>
      </c>
      <c r="C529" t="s">
        <v>9574</v>
      </c>
      <c r="D529" t="s">
        <v>9574</v>
      </c>
      <c r="E529" t="s">
        <v>9574</v>
      </c>
    </row>
    <row r="530" spans="1:5" hidden="1">
      <c r="A530" t="s">
        <v>206</v>
      </c>
      <c r="B530" t="s">
        <v>10560</v>
      </c>
      <c r="C530" t="s">
        <v>9574</v>
      </c>
      <c r="D530" t="s">
        <v>9574</v>
      </c>
      <c r="E530" t="s">
        <v>9574</v>
      </c>
    </row>
    <row r="531" spans="1:5" hidden="1">
      <c r="A531" t="s">
        <v>227</v>
      </c>
      <c r="B531" t="s">
        <v>10561</v>
      </c>
      <c r="C531" t="s">
        <v>9574</v>
      </c>
      <c r="D531" t="s">
        <v>9574</v>
      </c>
      <c r="E531" t="s">
        <v>9574</v>
      </c>
    </row>
    <row r="532" spans="1:5" hidden="1">
      <c r="A532" t="s">
        <v>194</v>
      </c>
      <c r="B532" t="s">
        <v>10562</v>
      </c>
      <c r="C532" t="s">
        <v>9574</v>
      </c>
      <c r="D532" t="s">
        <v>9574</v>
      </c>
      <c r="E532" t="s">
        <v>9574</v>
      </c>
    </row>
    <row r="533" spans="1:5" hidden="1">
      <c r="A533" t="s">
        <v>215</v>
      </c>
      <c r="B533" t="s">
        <v>10563</v>
      </c>
      <c r="C533" t="s">
        <v>9574</v>
      </c>
      <c r="D533" t="s">
        <v>9574</v>
      </c>
      <c r="E533" t="s">
        <v>9574</v>
      </c>
    </row>
    <row r="534" spans="1:5" hidden="1">
      <c r="A534" t="s">
        <v>10564</v>
      </c>
      <c r="B534" t="s">
        <v>10565</v>
      </c>
      <c r="C534" t="s">
        <v>9574</v>
      </c>
      <c r="D534" t="s">
        <v>9574</v>
      </c>
      <c r="E534" t="s">
        <v>9574</v>
      </c>
    </row>
    <row r="535" spans="1:5" hidden="1">
      <c r="A535" t="s">
        <v>10566</v>
      </c>
      <c r="B535" t="s">
        <v>10567</v>
      </c>
      <c r="C535" t="s">
        <v>9574</v>
      </c>
      <c r="D535" t="s">
        <v>9574</v>
      </c>
      <c r="E535" t="s">
        <v>9574</v>
      </c>
    </row>
    <row r="536" spans="1:5" hidden="1">
      <c r="A536" t="s">
        <v>10568</v>
      </c>
      <c r="B536" t="s">
        <v>10569</v>
      </c>
      <c r="C536" t="s">
        <v>9574</v>
      </c>
      <c r="D536" t="s">
        <v>9574</v>
      </c>
      <c r="E536" t="s">
        <v>9574</v>
      </c>
    </row>
    <row r="537" spans="1:5" hidden="1">
      <c r="A537" t="s">
        <v>10570</v>
      </c>
      <c r="B537" t="s">
        <v>10571</v>
      </c>
      <c r="C537" t="s">
        <v>9574</v>
      </c>
      <c r="D537" t="s">
        <v>9574</v>
      </c>
      <c r="E537" t="s">
        <v>9574</v>
      </c>
    </row>
    <row r="538" spans="1:5" hidden="1">
      <c r="A538" t="s">
        <v>10572</v>
      </c>
      <c r="B538" t="s">
        <v>10573</v>
      </c>
      <c r="C538" t="s">
        <v>9574</v>
      </c>
      <c r="D538" t="s">
        <v>9574</v>
      </c>
      <c r="E538" t="s">
        <v>9574</v>
      </c>
    </row>
    <row r="539" spans="1:5" hidden="1">
      <c r="A539" t="s">
        <v>10574</v>
      </c>
      <c r="B539" t="s">
        <v>10575</v>
      </c>
      <c r="C539" t="s">
        <v>9574</v>
      </c>
      <c r="D539" t="s">
        <v>9574</v>
      </c>
      <c r="E539" t="s">
        <v>9574</v>
      </c>
    </row>
    <row r="540" spans="1:5" hidden="1">
      <c r="A540" t="s">
        <v>10576</v>
      </c>
      <c r="B540" t="s">
        <v>10577</v>
      </c>
      <c r="C540" t="s">
        <v>9574</v>
      </c>
      <c r="D540" t="s">
        <v>9574</v>
      </c>
      <c r="E540" t="s">
        <v>9574</v>
      </c>
    </row>
    <row r="541" spans="1:5" hidden="1">
      <c r="A541" t="s">
        <v>10578</v>
      </c>
      <c r="B541" t="s">
        <v>10579</v>
      </c>
      <c r="C541" t="s">
        <v>9574</v>
      </c>
      <c r="D541" t="s">
        <v>9574</v>
      </c>
      <c r="E541" t="s">
        <v>9574</v>
      </c>
    </row>
    <row r="542" spans="1:5" hidden="1">
      <c r="A542" t="s">
        <v>10580</v>
      </c>
      <c r="B542" t="s">
        <v>10581</v>
      </c>
      <c r="C542" t="s">
        <v>9574</v>
      </c>
      <c r="D542" t="s">
        <v>9574</v>
      </c>
      <c r="E542" t="s">
        <v>9574</v>
      </c>
    </row>
    <row r="543" spans="1:5" hidden="1">
      <c r="A543" t="s">
        <v>10582</v>
      </c>
      <c r="B543" t="s">
        <v>10583</v>
      </c>
      <c r="C543" t="s">
        <v>9574</v>
      </c>
      <c r="D543" t="s">
        <v>9574</v>
      </c>
      <c r="E543" t="s">
        <v>9574</v>
      </c>
    </row>
    <row r="544" spans="1:5" hidden="1">
      <c r="A544" t="s">
        <v>10584</v>
      </c>
      <c r="B544" t="s">
        <v>10585</v>
      </c>
      <c r="C544" t="s">
        <v>9574</v>
      </c>
      <c r="D544" t="s">
        <v>9574</v>
      </c>
      <c r="E544" t="s">
        <v>9574</v>
      </c>
    </row>
    <row r="545" spans="1:5" hidden="1">
      <c r="A545" t="s">
        <v>10586</v>
      </c>
      <c r="B545" t="s">
        <v>10587</v>
      </c>
      <c r="C545" t="s">
        <v>9574</v>
      </c>
      <c r="D545" t="s">
        <v>9574</v>
      </c>
      <c r="E545" t="s">
        <v>9574</v>
      </c>
    </row>
    <row r="546" spans="1:5" hidden="1">
      <c r="A546" t="s">
        <v>10588</v>
      </c>
      <c r="B546" t="s">
        <v>10589</v>
      </c>
      <c r="C546" t="s">
        <v>9574</v>
      </c>
      <c r="D546" t="s">
        <v>9574</v>
      </c>
      <c r="E546" t="s">
        <v>9574</v>
      </c>
    </row>
    <row r="547" spans="1:5" hidden="1">
      <c r="A547" t="s">
        <v>10590</v>
      </c>
      <c r="B547" t="s">
        <v>10591</v>
      </c>
      <c r="C547" t="s">
        <v>9574</v>
      </c>
      <c r="D547" t="s">
        <v>9574</v>
      </c>
      <c r="E547" t="s">
        <v>9574</v>
      </c>
    </row>
    <row r="548" spans="1:5" hidden="1">
      <c r="A548" t="s">
        <v>10592</v>
      </c>
      <c r="B548" t="s">
        <v>10593</v>
      </c>
      <c r="C548" t="s">
        <v>9574</v>
      </c>
      <c r="D548" t="s">
        <v>9574</v>
      </c>
      <c r="E548" t="s">
        <v>9574</v>
      </c>
    </row>
    <row r="549" spans="1:5" hidden="1">
      <c r="A549" t="s">
        <v>10594</v>
      </c>
      <c r="B549" t="s">
        <v>10595</v>
      </c>
      <c r="C549" t="s">
        <v>9574</v>
      </c>
      <c r="D549" t="s">
        <v>9574</v>
      </c>
      <c r="E549" t="s">
        <v>9574</v>
      </c>
    </row>
    <row r="550" spans="1:5" hidden="1">
      <c r="A550" t="s">
        <v>10596</v>
      </c>
      <c r="B550" t="s">
        <v>10597</v>
      </c>
      <c r="C550" t="s">
        <v>9574</v>
      </c>
      <c r="D550" t="s">
        <v>9574</v>
      </c>
      <c r="E550" t="s">
        <v>9574</v>
      </c>
    </row>
    <row r="551" spans="1:5" hidden="1">
      <c r="A551" t="s">
        <v>10598</v>
      </c>
      <c r="B551" t="s">
        <v>10599</v>
      </c>
      <c r="C551" t="s">
        <v>9574</v>
      </c>
      <c r="D551" t="s">
        <v>9574</v>
      </c>
      <c r="E551" t="s">
        <v>9601</v>
      </c>
    </row>
    <row r="552" spans="1:5" hidden="1">
      <c r="A552" t="s">
        <v>10600</v>
      </c>
      <c r="B552" t="s">
        <v>10601</v>
      </c>
      <c r="C552" t="s">
        <v>9574</v>
      </c>
      <c r="D552" t="s">
        <v>9574</v>
      </c>
      <c r="E552" t="s">
        <v>9574</v>
      </c>
    </row>
    <row r="553" spans="1:5" hidden="1">
      <c r="A553" t="s">
        <v>115</v>
      </c>
      <c r="B553" t="s">
        <v>10602</v>
      </c>
      <c r="C553" t="s">
        <v>9574</v>
      </c>
      <c r="D553" t="s">
        <v>9574</v>
      </c>
      <c r="E553" t="s">
        <v>9574</v>
      </c>
    </row>
    <row r="554" spans="1:5" hidden="1">
      <c r="A554" t="s">
        <v>85</v>
      </c>
      <c r="B554" t="s">
        <v>10603</v>
      </c>
      <c r="C554" t="s">
        <v>9574</v>
      </c>
      <c r="D554" t="s">
        <v>9574</v>
      </c>
      <c r="E554" t="s">
        <v>9574</v>
      </c>
    </row>
    <row r="555" spans="1:5" hidden="1">
      <c r="A555" t="s">
        <v>106</v>
      </c>
      <c r="B555" t="s">
        <v>10604</v>
      </c>
      <c r="C555" t="s">
        <v>9574</v>
      </c>
      <c r="D555" t="s">
        <v>9574</v>
      </c>
      <c r="E555" t="s">
        <v>9574</v>
      </c>
    </row>
    <row r="556" spans="1:5" hidden="1">
      <c r="A556" t="s">
        <v>224</v>
      </c>
      <c r="B556" t="s">
        <v>10605</v>
      </c>
      <c r="C556" t="s">
        <v>9574</v>
      </c>
      <c r="D556" t="s">
        <v>9574</v>
      </c>
      <c r="E556" t="s">
        <v>9574</v>
      </c>
    </row>
    <row r="557" spans="1:5" hidden="1">
      <c r="A557" t="s">
        <v>10606</v>
      </c>
      <c r="B557" t="s">
        <v>10607</v>
      </c>
      <c r="C557" t="s">
        <v>9574</v>
      </c>
      <c r="D557" t="s">
        <v>9574</v>
      </c>
      <c r="E557" t="s">
        <v>9574</v>
      </c>
    </row>
    <row r="558" spans="1:5" hidden="1">
      <c r="A558" t="s">
        <v>124</v>
      </c>
      <c r="B558" t="s">
        <v>125</v>
      </c>
      <c r="C558" t="s">
        <v>9574</v>
      </c>
      <c r="D558" t="s">
        <v>9574</v>
      </c>
      <c r="E558" t="s">
        <v>9574</v>
      </c>
    </row>
    <row r="559" spans="1:5" hidden="1">
      <c r="A559" t="s">
        <v>10608</v>
      </c>
      <c r="B559" t="s">
        <v>10609</v>
      </c>
      <c r="C559" t="s">
        <v>9574</v>
      </c>
      <c r="D559" t="s">
        <v>9574</v>
      </c>
      <c r="E559" t="s">
        <v>9574</v>
      </c>
    </row>
    <row r="560" spans="1:5" hidden="1">
      <c r="A560" t="s">
        <v>10610</v>
      </c>
      <c r="B560" t="s">
        <v>10611</v>
      </c>
      <c r="C560" t="s">
        <v>9574</v>
      </c>
      <c r="D560" t="s">
        <v>9574</v>
      </c>
      <c r="E560" t="s">
        <v>9574</v>
      </c>
    </row>
    <row r="561" spans="1:5" hidden="1">
      <c r="A561" t="s">
        <v>10612</v>
      </c>
      <c r="B561" t="s">
        <v>10613</v>
      </c>
      <c r="C561" t="s">
        <v>9574</v>
      </c>
      <c r="D561" t="s">
        <v>9574</v>
      </c>
      <c r="E561" t="s">
        <v>9574</v>
      </c>
    </row>
    <row r="562" spans="1:5" hidden="1">
      <c r="A562" t="s">
        <v>10614</v>
      </c>
      <c r="B562" t="s">
        <v>10615</v>
      </c>
      <c r="C562" t="s">
        <v>9574</v>
      </c>
      <c r="D562" t="s">
        <v>9574</v>
      </c>
      <c r="E562" t="s">
        <v>9574</v>
      </c>
    </row>
    <row r="563" spans="1:5" hidden="1">
      <c r="A563" t="s">
        <v>10616</v>
      </c>
      <c r="B563" t="s">
        <v>10617</v>
      </c>
      <c r="C563" t="s">
        <v>9574</v>
      </c>
      <c r="D563" t="s">
        <v>9574</v>
      </c>
      <c r="E563" t="s">
        <v>9574</v>
      </c>
    </row>
    <row r="564" spans="1:5" hidden="1">
      <c r="A564" t="s">
        <v>10618</v>
      </c>
      <c r="B564" t="s">
        <v>10619</v>
      </c>
      <c r="C564" t="s">
        <v>9574</v>
      </c>
      <c r="D564" t="s">
        <v>9574</v>
      </c>
      <c r="E564" t="s">
        <v>9574</v>
      </c>
    </row>
    <row r="565" spans="1:5" hidden="1">
      <c r="A565" t="s">
        <v>191</v>
      </c>
      <c r="B565" t="s">
        <v>192</v>
      </c>
      <c r="C565" t="s">
        <v>9574</v>
      </c>
      <c r="D565" t="s">
        <v>9574</v>
      </c>
      <c r="E565" t="s">
        <v>9574</v>
      </c>
    </row>
    <row r="566" spans="1:5" hidden="1">
      <c r="A566" t="s">
        <v>52</v>
      </c>
      <c r="B566" t="s">
        <v>53</v>
      </c>
      <c r="C566" t="s">
        <v>9574</v>
      </c>
      <c r="D566" t="s">
        <v>9574</v>
      </c>
      <c r="E566" t="s">
        <v>9574</v>
      </c>
    </row>
    <row r="567" spans="1:5" hidden="1">
      <c r="A567" t="s">
        <v>25</v>
      </c>
      <c r="B567" t="s">
        <v>10620</v>
      </c>
      <c r="C567" t="s">
        <v>9574</v>
      </c>
      <c r="D567" t="s">
        <v>9574</v>
      </c>
      <c r="E567" t="s">
        <v>9574</v>
      </c>
    </row>
    <row r="568" spans="1:5" hidden="1">
      <c r="A568" t="s">
        <v>94</v>
      </c>
      <c r="B568" t="s">
        <v>95</v>
      </c>
      <c r="C568" t="s">
        <v>9574</v>
      </c>
      <c r="D568" t="s">
        <v>9574</v>
      </c>
      <c r="E568" t="s">
        <v>9574</v>
      </c>
    </row>
    <row r="569" spans="1:5" hidden="1">
      <c r="A569" t="s">
        <v>109</v>
      </c>
      <c r="B569" t="s">
        <v>110</v>
      </c>
      <c r="C569" t="s">
        <v>9574</v>
      </c>
      <c r="D569" t="s">
        <v>9574</v>
      </c>
      <c r="E569" t="s">
        <v>9574</v>
      </c>
    </row>
    <row r="570" spans="1:5" hidden="1">
      <c r="A570" t="s">
        <v>311</v>
      </c>
      <c r="B570" t="s">
        <v>312</v>
      </c>
      <c r="C570" t="s">
        <v>9574</v>
      </c>
      <c r="D570" t="s">
        <v>9574</v>
      </c>
      <c r="E570" t="s">
        <v>9574</v>
      </c>
    </row>
    <row r="571" spans="1:5" hidden="1">
      <c r="A571" t="s">
        <v>10621</v>
      </c>
      <c r="B571" t="s">
        <v>10622</v>
      </c>
      <c r="C571" t="s">
        <v>9574</v>
      </c>
      <c r="D571" t="s">
        <v>9574</v>
      </c>
      <c r="E571" t="s">
        <v>9574</v>
      </c>
    </row>
    <row r="572" spans="1:5" hidden="1">
      <c r="A572" t="s">
        <v>10623</v>
      </c>
      <c r="B572" t="s">
        <v>10624</v>
      </c>
      <c r="C572" t="s">
        <v>9574</v>
      </c>
      <c r="D572" t="s">
        <v>9574</v>
      </c>
      <c r="E572" t="s">
        <v>9574</v>
      </c>
    </row>
    <row r="573" spans="1:5" hidden="1">
      <c r="A573" t="s">
        <v>218</v>
      </c>
      <c r="B573" t="s">
        <v>10625</v>
      </c>
      <c r="C573" t="s">
        <v>9574</v>
      </c>
      <c r="D573" t="s">
        <v>9574</v>
      </c>
      <c r="E573" t="s">
        <v>9574</v>
      </c>
    </row>
    <row r="574" spans="1:5" hidden="1">
      <c r="A574" t="s">
        <v>239</v>
      </c>
      <c r="B574" t="s">
        <v>10626</v>
      </c>
      <c r="C574" t="s">
        <v>9574</v>
      </c>
      <c r="D574" t="s">
        <v>9574</v>
      </c>
      <c r="E574" t="s">
        <v>9574</v>
      </c>
    </row>
    <row r="575" spans="1:5" hidden="1">
      <c r="A575" t="s">
        <v>3</v>
      </c>
      <c r="B575" t="s">
        <v>10627</v>
      </c>
      <c r="C575" t="s">
        <v>9574</v>
      </c>
      <c r="D575" t="s">
        <v>9574</v>
      </c>
      <c r="E575" t="s">
        <v>9574</v>
      </c>
    </row>
    <row r="576" spans="1:5" hidden="1">
      <c r="A576" t="s">
        <v>10628</v>
      </c>
      <c r="B576" t="s">
        <v>10629</v>
      </c>
      <c r="C576" t="s">
        <v>9574</v>
      </c>
      <c r="D576" t="s">
        <v>9574</v>
      </c>
      <c r="E576" t="s">
        <v>9574</v>
      </c>
    </row>
    <row r="577" spans="1:5" hidden="1">
      <c r="A577" t="s">
        <v>10630</v>
      </c>
      <c r="B577" t="s">
        <v>10631</v>
      </c>
      <c r="C577" t="s">
        <v>9574</v>
      </c>
      <c r="D577" t="s">
        <v>9574</v>
      </c>
      <c r="E577" t="s">
        <v>9601</v>
      </c>
    </row>
    <row r="578" spans="1:5" hidden="1">
      <c r="A578" t="s">
        <v>10632</v>
      </c>
      <c r="B578" t="s">
        <v>10633</v>
      </c>
      <c r="C578" t="s">
        <v>9574</v>
      </c>
      <c r="D578" t="s">
        <v>9574</v>
      </c>
      <c r="E578" t="s">
        <v>9574</v>
      </c>
    </row>
    <row r="579" spans="1:5" hidden="1">
      <c r="A579" t="s">
        <v>10634</v>
      </c>
      <c r="B579" t="s">
        <v>10635</v>
      </c>
      <c r="C579" t="s">
        <v>9574</v>
      </c>
      <c r="D579" t="s">
        <v>9574</v>
      </c>
      <c r="E579" t="s">
        <v>9574</v>
      </c>
    </row>
    <row r="580" spans="1:5" hidden="1">
      <c r="A580" t="s">
        <v>10636</v>
      </c>
      <c r="B580" t="s">
        <v>10637</v>
      </c>
      <c r="C580" t="s">
        <v>9574</v>
      </c>
      <c r="D580" t="s">
        <v>9574</v>
      </c>
      <c r="E580" t="s">
        <v>9574</v>
      </c>
    </row>
    <row r="581" spans="1:5" hidden="1">
      <c r="A581" t="s">
        <v>10638</v>
      </c>
      <c r="B581" t="s">
        <v>10639</v>
      </c>
      <c r="C581" t="s">
        <v>9574</v>
      </c>
      <c r="D581" t="s">
        <v>9574</v>
      </c>
      <c r="E581" t="s">
        <v>9574</v>
      </c>
    </row>
    <row r="582" spans="1:5" hidden="1">
      <c r="A582" t="s">
        <v>10640</v>
      </c>
      <c r="B582" t="s">
        <v>10641</v>
      </c>
      <c r="C582" t="s">
        <v>9574</v>
      </c>
      <c r="D582" t="s">
        <v>9574</v>
      </c>
      <c r="E582" t="s">
        <v>9574</v>
      </c>
    </row>
    <row r="583" spans="1:5" hidden="1">
      <c r="A583" t="s">
        <v>10642</v>
      </c>
      <c r="B583" t="s">
        <v>10643</v>
      </c>
      <c r="C583" t="s">
        <v>9574</v>
      </c>
      <c r="D583" t="s">
        <v>9574</v>
      </c>
      <c r="E583" t="s">
        <v>9574</v>
      </c>
    </row>
    <row r="584" spans="1:5" hidden="1">
      <c r="A584" t="s">
        <v>10644</v>
      </c>
      <c r="B584" t="s">
        <v>10645</v>
      </c>
      <c r="C584" t="s">
        <v>9574</v>
      </c>
      <c r="D584" t="s">
        <v>9574</v>
      </c>
      <c r="E584" t="s">
        <v>9574</v>
      </c>
    </row>
    <row r="585" spans="1:5" hidden="1">
      <c r="A585" t="s">
        <v>79</v>
      </c>
      <c r="B585" t="s">
        <v>10646</v>
      </c>
      <c r="C585" t="s">
        <v>9574</v>
      </c>
      <c r="D585" t="s">
        <v>9574</v>
      </c>
      <c r="E585" t="s">
        <v>9574</v>
      </c>
    </row>
    <row r="586" spans="1:5" hidden="1">
      <c r="A586" t="s">
        <v>103</v>
      </c>
      <c r="B586" t="s">
        <v>10647</v>
      </c>
      <c r="C586" t="s">
        <v>9574</v>
      </c>
      <c r="D586" t="s">
        <v>9574</v>
      </c>
      <c r="E586" t="s">
        <v>9574</v>
      </c>
    </row>
    <row r="587" spans="1:5" hidden="1">
      <c r="A587" t="s">
        <v>317</v>
      </c>
      <c r="B587" t="s">
        <v>10648</v>
      </c>
      <c r="C587" t="s">
        <v>9574</v>
      </c>
      <c r="D587" t="s">
        <v>9574</v>
      </c>
      <c r="E587" t="s">
        <v>9574</v>
      </c>
    </row>
    <row r="588" spans="1:5" hidden="1">
      <c r="A588" t="s">
        <v>10649</v>
      </c>
      <c r="B588" t="s">
        <v>10650</v>
      </c>
      <c r="C588" t="s">
        <v>9574</v>
      </c>
      <c r="D588" t="s">
        <v>9574</v>
      </c>
      <c r="E588" t="s">
        <v>9574</v>
      </c>
    </row>
    <row r="589" spans="1:5" hidden="1">
      <c r="A589" t="s">
        <v>10651</v>
      </c>
      <c r="B589" t="s">
        <v>10652</v>
      </c>
      <c r="C589" t="s">
        <v>9574</v>
      </c>
      <c r="D589" t="s">
        <v>9574</v>
      </c>
      <c r="E589" t="s">
        <v>9574</v>
      </c>
    </row>
    <row r="590" spans="1:5" hidden="1">
      <c r="A590" t="s">
        <v>10653</v>
      </c>
      <c r="B590" t="s">
        <v>10654</v>
      </c>
      <c r="C590" t="s">
        <v>9574</v>
      </c>
      <c r="D590" t="s">
        <v>9574</v>
      </c>
      <c r="E590" t="s">
        <v>9574</v>
      </c>
    </row>
    <row r="591" spans="1:5" hidden="1">
      <c r="A591" t="s">
        <v>10655</v>
      </c>
      <c r="B591" t="s">
        <v>10656</v>
      </c>
      <c r="C591" t="s">
        <v>9574</v>
      </c>
      <c r="D591" t="s">
        <v>9574</v>
      </c>
      <c r="E591" t="s">
        <v>9574</v>
      </c>
    </row>
    <row r="592" spans="1:5" hidden="1">
      <c r="A592" t="s">
        <v>10657</v>
      </c>
      <c r="B592" t="s">
        <v>10658</v>
      </c>
      <c r="C592" t="s">
        <v>9574</v>
      </c>
      <c r="D592" t="s">
        <v>9574</v>
      </c>
      <c r="E592" t="s">
        <v>9574</v>
      </c>
    </row>
    <row r="593" spans="1:5" hidden="1">
      <c r="A593" t="s">
        <v>10659</v>
      </c>
      <c r="B593" t="s">
        <v>10660</v>
      </c>
      <c r="C593" t="s">
        <v>9574</v>
      </c>
      <c r="D593" t="s">
        <v>9574</v>
      </c>
      <c r="E593" t="s">
        <v>9574</v>
      </c>
    </row>
    <row r="594" spans="1:5" hidden="1">
      <c r="A594" t="s">
        <v>10661</v>
      </c>
      <c r="B594" t="s">
        <v>10662</v>
      </c>
      <c r="C594" t="s">
        <v>9574</v>
      </c>
      <c r="D594" t="s">
        <v>9574</v>
      </c>
      <c r="E594" t="s">
        <v>9574</v>
      </c>
    </row>
    <row r="595" spans="1:5" hidden="1">
      <c r="A595" t="s">
        <v>10663</v>
      </c>
      <c r="B595" t="s">
        <v>10664</v>
      </c>
      <c r="C595" t="s">
        <v>9574</v>
      </c>
      <c r="D595" t="s">
        <v>9574</v>
      </c>
      <c r="E595" t="s">
        <v>9574</v>
      </c>
    </row>
    <row r="596" spans="1:5" hidden="1">
      <c r="A596" t="s">
        <v>10665</v>
      </c>
      <c r="B596" t="s">
        <v>10666</v>
      </c>
      <c r="C596" t="s">
        <v>9574</v>
      </c>
      <c r="D596" t="s">
        <v>9574</v>
      </c>
      <c r="E596" t="s">
        <v>9574</v>
      </c>
    </row>
    <row r="597" spans="1:5" hidden="1">
      <c r="A597" t="s">
        <v>10667</v>
      </c>
      <c r="B597" t="s">
        <v>10668</v>
      </c>
      <c r="C597" t="s">
        <v>9574</v>
      </c>
      <c r="D597" t="s">
        <v>9574</v>
      </c>
      <c r="E597" t="s">
        <v>9574</v>
      </c>
    </row>
    <row r="598" spans="1:5" hidden="1">
      <c r="A598" t="s">
        <v>10669</v>
      </c>
      <c r="B598" t="s">
        <v>10670</v>
      </c>
      <c r="C598" t="s">
        <v>9574</v>
      </c>
      <c r="D598" t="s">
        <v>9574</v>
      </c>
      <c r="E598" t="s">
        <v>9574</v>
      </c>
    </row>
    <row r="599" spans="1:5" hidden="1">
      <c r="A599" t="s">
        <v>10671</v>
      </c>
      <c r="B599" t="s">
        <v>10672</v>
      </c>
      <c r="C599" t="s">
        <v>9574</v>
      </c>
      <c r="D599" t="s">
        <v>9574</v>
      </c>
      <c r="E599" t="s">
        <v>9574</v>
      </c>
    </row>
    <row r="600" spans="1:5" hidden="1">
      <c r="A600" t="s">
        <v>10673</v>
      </c>
      <c r="B600" t="s">
        <v>10674</v>
      </c>
      <c r="C600" t="s">
        <v>9574</v>
      </c>
      <c r="D600" t="s">
        <v>9574</v>
      </c>
      <c r="E600" t="s">
        <v>9574</v>
      </c>
    </row>
    <row r="601" spans="1:5" hidden="1">
      <c r="A601" t="s">
        <v>10675</v>
      </c>
      <c r="B601" t="s">
        <v>10676</v>
      </c>
      <c r="C601" t="s">
        <v>9574</v>
      </c>
      <c r="D601" t="s">
        <v>9574</v>
      </c>
      <c r="E601" t="s">
        <v>9574</v>
      </c>
    </row>
    <row r="602" spans="1:5" hidden="1">
      <c r="A602" t="s">
        <v>10677</v>
      </c>
      <c r="B602" t="s">
        <v>10678</v>
      </c>
      <c r="C602" t="s">
        <v>9574</v>
      </c>
      <c r="D602" t="s">
        <v>9574</v>
      </c>
      <c r="E602" t="s">
        <v>9574</v>
      </c>
    </row>
    <row r="603" spans="1:5" hidden="1">
      <c r="A603" t="s">
        <v>10679</v>
      </c>
      <c r="B603" t="s">
        <v>10680</v>
      </c>
      <c r="C603" t="s">
        <v>9574</v>
      </c>
      <c r="D603" t="s">
        <v>9574</v>
      </c>
      <c r="E603" t="s">
        <v>9574</v>
      </c>
    </row>
    <row r="604" spans="1:5" hidden="1">
      <c r="A604" t="s">
        <v>10681</v>
      </c>
      <c r="B604" t="s">
        <v>10682</v>
      </c>
      <c r="C604" t="s">
        <v>9574</v>
      </c>
      <c r="D604" t="s">
        <v>9574</v>
      </c>
      <c r="E604" t="s">
        <v>9574</v>
      </c>
    </row>
    <row r="605" spans="1:5" hidden="1">
      <c r="A605" t="s">
        <v>10683</v>
      </c>
      <c r="B605" t="s">
        <v>10684</v>
      </c>
      <c r="C605" t="s">
        <v>9574</v>
      </c>
      <c r="D605" t="s">
        <v>9574</v>
      </c>
      <c r="E605" t="s">
        <v>9574</v>
      </c>
    </row>
    <row r="606" spans="1:5" hidden="1">
      <c r="A606" t="s">
        <v>10685</v>
      </c>
      <c r="B606" t="s">
        <v>10686</v>
      </c>
      <c r="C606" t="s">
        <v>9574</v>
      </c>
      <c r="D606" t="s">
        <v>9574</v>
      </c>
      <c r="E606" t="s">
        <v>9574</v>
      </c>
    </row>
    <row r="607" spans="1:5" hidden="1">
      <c r="A607" t="s">
        <v>302</v>
      </c>
      <c r="B607" t="s">
        <v>303</v>
      </c>
      <c r="C607" t="s">
        <v>9574</v>
      </c>
      <c r="D607" t="s">
        <v>9574</v>
      </c>
      <c r="E607" t="s">
        <v>9574</v>
      </c>
    </row>
    <row r="608" spans="1:5" hidden="1">
      <c r="A608" t="s">
        <v>10687</v>
      </c>
      <c r="B608" t="s">
        <v>10688</v>
      </c>
      <c r="C608" t="s">
        <v>9574</v>
      </c>
      <c r="D608" t="s">
        <v>9574</v>
      </c>
      <c r="E608" t="s">
        <v>9574</v>
      </c>
    </row>
    <row r="609" spans="1:5" hidden="1">
      <c r="A609" t="s">
        <v>10689</v>
      </c>
      <c r="B609" t="s">
        <v>10690</v>
      </c>
      <c r="C609" t="s">
        <v>9574</v>
      </c>
      <c r="D609" t="s">
        <v>9574</v>
      </c>
      <c r="E609" t="s">
        <v>9574</v>
      </c>
    </row>
    <row r="610" spans="1:5" hidden="1">
      <c r="A610" t="s">
        <v>10691</v>
      </c>
      <c r="B610" t="s">
        <v>10692</v>
      </c>
      <c r="C610" t="s">
        <v>9574</v>
      </c>
      <c r="D610" t="s">
        <v>9574</v>
      </c>
      <c r="E610" t="s">
        <v>9574</v>
      </c>
    </row>
    <row r="611" spans="1:5" hidden="1">
      <c r="A611" t="s">
        <v>112</v>
      </c>
      <c r="B611" t="s">
        <v>113</v>
      </c>
      <c r="C611" t="s">
        <v>9574</v>
      </c>
      <c r="D611" t="s">
        <v>9574</v>
      </c>
      <c r="E611" t="s">
        <v>9574</v>
      </c>
    </row>
    <row r="612" spans="1:5" hidden="1">
      <c r="A612" t="s">
        <v>281</v>
      </c>
      <c r="B612" t="s">
        <v>282</v>
      </c>
      <c r="C612" t="s">
        <v>9574</v>
      </c>
      <c r="D612" t="s">
        <v>9574</v>
      </c>
      <c r="E612" t="s">
        <v>9574</v>
      </c>
    </row>
    <row r="613" spans="1:5" hidden="1">
      <c r="A613" t="s">
        <v>290</v>
      </c>
      <c r="B613" t="s">
        <v>10693</v>
      </c>
      <c r="C613" t="s">
        <v>9574</v>
      </c>
      <c r="D613" t="s">
        <v>9574</v>
      </c>
      <c r="E613" t="s">
        <v>9574</v>
      </c>
    </row>
    <row r="614" spans="1:5" hidden="1">
      <c r="A614" t="s">
        <v>97</v>
      </c>
      <c r="B614" t="s">
        <v>98</v>
      </c>
      <c r="C614" t="s">
        <v>9574</v>
      </c>
      <c r="D614" t="s">
        <v>9574</v>
      </c>
      <c r="E614" t="s">
        <v>9574</v>
      </c>
    </row>
    <row r="615" spans="1:5" hidden="1">
      <c r="A615" t="s">
        <v>10694</v>
      </c>
      <c r="B615" t="s">
        <v>10695</v>
      </c>
      <c r="C615" t="s">
        <v>9574</v>
      </c>
      <c r="D615" t="s">
        <v>9574</v>
      </c>
      <c r="E615" t="s">
        <v>9574</v>
      </c>
    </row>
    <row r="616" spans="1:5" hidden="1">
      <c r="A616" t="s">
        <v>10</v>
      </c>
      <c r="B616" t="s">
        <v>11</v>
      </c>
      <c r="C616" t="s">
        <v>9574</v>
      </c>
      <c r="D616" t="s">
        <v>9574</v>
      </c>
      <c r="E616" t="s">
        <v>9574</v>
      </c>
    </row>
    <row r="617" spans="1:5" hidden="1">
      <c r="A617" t="s">
        <v>7</v>
      </c>
      <c r="B617" t="s">
        <v>10696</v>
      </c>
      <c r="C617" t="s">
        <v>9574</v>
      </c>
      <c r="D617" t="s">
        <v>9574</v>
      </c>
      <c r="E617" t="s">
        <v>9574</v>
      </c>
    </row>
    <row r="618" spans="1:5" hidden="1">
      <c r="A618" t="s">
        <v>10697</v>
      </c>
      <c r="B618" t="s">
        <v>10698</v>
      </c>
      <c r="C618" t="s">
        <v>9574</v>
      </c>
      <c r="D618" t="s">
        <v>9574</v>
      </c>
      <c r="E618" t="s">
        <v>9574</v>
      </c>
    </row>
    <row r="619" spans="1:5" hidden="1">
      <c r="A619" t="s">
        <v>10699</v>
      </c>
      <c r="B619" t="s">
        <v>10700</v>
      </c>
      <c r="C619" t="s">
        <v>9574</v>
      </c>
      <c r="D619" t="s">
        <v>9574</v>
      </c>
      <c r="E619" t="s">
        <v>9574</v>
      </c>
    </row>
    <row r="620" spans="1:5" hidden="1">
      <c r="A620" t="s">
        <v>10701</v>
      </c>
      <c r="B620" t="s">
        <v>10702</v>
      </c>
      <c r="C620" t="s">
        <v>9574</v>
      </c>
      <c r="D620" t="s">
        <v>9574</v>
      </c>
      <c r="E620" t="s">
        <v>9574</v>
      </c>
    </row>
    <row r="621" spans="1:5" hidden="1">
      <c r="A621" t="s">
        <v>10703</v>
      </c>
      <c r="B621" t="s">
        <v>10704</v>
      </c>
      <c r="C621" t="s">
        <v>9574</v>
      </c>
      <c r="D621" t="s">
        <v>9574</v>
      </c>
      <c r="E621" t="s">
        <v>9574</v>
      </c>
    </row>
    <row r="622" spans="1:5" hidden="1">
      <c r="A622" t="s">
        <v>133</v>
      </c>
      <c r="B622" t="s">
        <v>134</v>
      </c>
      <c r="C622" t="s">
        <v>9574</v>
      </c>
      <c r="D622" t="s">
        <v>9574</v>
      </c>
      <c r="E622" t="s">
        <v>9574</v>
      </c>
    </row>
    <row r="623" spans="1:5" hidden="1">
      <c r="A623" t="s">
        <v>10705</v>
      </c>
      <c r="B623" t="s">
        <v>10706</v>
      </c>
      <c r="C623" t="s">
        <v>9574</v>
      </c>
      <c r="D623" t="s">
        <v>9574</v>
      </c>
      <c r="E623" t="s">
        <v>9574</v>
      </c>
    </row>
    <row r="624" spans="1:5" hidden="1">
      <c r="A624" t="s">
        <v>10707</v>
      </c>
      <c r="B624" t="s">
        <v>10708</v>
      </c>
      <c r="C624" t="s">
        <v>9574</v>
      </c>
      <c r="D624" t="s">
        <v>9574</v>
      </c>
      <c r="E624" t="s">
        <v>9574</v>
      </c>
    </row>
    <row r="625" spans="1:5" hidden="1">
      <c r="A625" t="s">
        <v>10709</v>
      </c>
      <c r="B625" t="s">
        <v>10710</v>
      </c>
      <c r="C625" t="s">
        <v>9574</v>
      </c>
      <c r="D625" t="s">
        <v>9574</v>
      </c>
      <c r="E625" t="s">
        <v>9574</v>
      </c>
    </row>
    <row r="626" spans="1:5" hidden="1">
      <c r="A626" t="s">
        <v>10711</v>
      </c>
      <c r="B626" t="s">
        <v>10712</v>
      </c>
      <c r="C626" t="s">
        <v>9574</v>
      </c>
      <c r="D626" t="s">
        <v>9574</v>
      </c>
      <c r="E626" t="s">
        <v>9574</v>
      </c>
    </row>
    <row r="627" spans="1:5" hidden="1">
      <c r="A627" t="s">
        <v>10713</v>
      </c>
      <c r="B627" t="s">
        <v>10714</v>
      </c>
      <c r="C627" t="s">
        <v>9574</v>
      </c>
      <c r="D627" t="s">
        <v>9574</v>
      </c>
      <c r="E627" t="s">
        <v>9574</v>
      </c>
    </row>
    <row r="628" spans="1:5" hidden="1">
      <c r="A628" t="s">
        <v>10715</v>
      </c>
      <c r="B628" t="s">
        <v>10716</v>
      </c>
      <c r="C628" t="s">
        <v>9574</v>
      </c>
      <c r="D628" t="s">
        <v>9574</v>
      </c>
      <c r="E628" t="s">
        <v>9574</v>
      </c>
    </row>
    <row r="629" spans="1:5" hidden="1">
      <c r="A629" t="s">
        <v>10717</v>
      </c>
      <c r="B629" t="s">
        <v>10718</v>
      </c>
      <c r="C629" t="s">
        <v>9574</v>
      </c>
      <c r="D629" t="s">
        <v>9574</v>
      </c>
      <c r="E629" t="s">
        <v>9574</v>
      </c>
    </row>
    <row r="630" spans="1:5" hidden="1">
      <c r="A630" t="s">
        <v>257</v>
      </c>
      <c r="B630" t="s">
        <v>10719</v>
      </c>
      <c r="C630" t="s">
        <v>9574</v>
      </c>
      <c r="D630" t="s">
        <v>9574</v>
      </c>
      <c r="E630" t="s">
        <v>9574</v>
      </c>
    </row>
    <row r="631" spans="1:5" hidden="1">
      <c r="A631" t="s">
        <v>221</v>
      </c>
      <c r="B631" t="s">
        <v>10720</v>
      </c>
      <c r="C631" t="s">
        <v>9574</v>
      </c>
      <c r="D631" t="s">
        <v>9574</v>
      </c>
      <c r="E631" t="s">
        <v>9574</v>
      </c>
    </row>
    <row r="632" spans="1:5" hidden="1">
      <c r="A632" t="s">
        <v>10721</v>
      </c>
      <c r="B632" t="s">
        <v>10722</v>
      </c>
      <c r="C632" t="s">
        <v>9574</v>
      </c>
      <c r="D632" t="s">
        <v>9574</v>
      </c>
      <c r="E632" t="s">
        <v>9574</v>
      </c>
    </row>
    <row r="633" spans="1:5" hidden="1">
      <c r="A633" t="s">
        <v>10723</v>
      </c>
      <c r="B633" t="s">
        <v>10724</v>
      </c>
      <c r="C633" t="s">
        <v>9574</v>
      </c>
      <c r="D633" t="s">
        <v>9574</v>
      </c>
      <c r="E633" t="s">
        <v>9574</v>
      </c>
    </row>
    <row r="634" spans="1:5" hidden="1">
      <c r="A634" t="s">
        <v>10725</v>
      </c>
      <c r="B634" t="s">
        <v>10726</v>
      </c>
      <c r="C634" t="s">
        <v>9574</v>
      </c>
      <c r="D634" t="s">
        <v>9574</v>
      </c>
      <c r="E634" t="s">
        <v>9574</v>
      </c>
    </row>
    <row r="635" spans="1:5" hidden="1">
      <c r="A635" t="s">
        <v>10727</v>
      </c>
      <c r="B635" t="s">
        <v>10728</v>
      </c>
      <c r="C635" t="s">
        <v>9574</v>
      </c>
      <c r="D635" t="s">
        <v>9574</v>
      </c>
      <c r="E635" t="s">
        <v>9574</v>
      </c>
    </row>
    <row r="636" spans="1:5" hidden="1">
      <c r="A636" t="s">
        <v>10729</v>
      </c>
      <c r="B636" t="s">
        <v>10730</v>
      </c>
      <c r="C636" t="s">
        <v>9574</v>
      </c>
      <c r="D636" t="s">
        <v>9574</v>
      </c>
      <c r="E636" t="s">
        <v>9574</v>
      </c>
    </row>
    <row r="637" spans="1:5" hidden="1">
      <c r="A637" t="s">
        <v>46</v>
      </c>
      <c r="B637" t="s">
        <v>10731</v>
      </c>
      <c r="C637" t="s">
        <v>9574</v>
      </c>
      <c r="D637" t="s">
        <v>9574</v>
      </c>
      <c r="E637" t="s">
        <v>9574</v>
      </c>
    </row>
    <row r="638" spans="1:5" hidden="1">
      <c r="A638" t="s">
        <v>76</v>
      </c>
      <c r="B638" t="s">
        <v>10732</v>
      </c>
      <c r="C638" t="s">
        <v>9574</v>
      </c>
      <c r="D638" t="s">
        <v>9574</v>
      </c>
      <c r="E638" t="s">
        <v>9574</v>
      </c>
    </row>
    <row r="639" spans="1:5" hidden="1">
      <c r="A639" t="s">
        <v>55</v>
      </c>
      <c r="B639" t="s">
        <v>10733</v>
      </c>
      <c r="C639" t="s">
        <v>9574</v>
      </c>
      <c r="D639" t="s">
        <v>9574</v>
      </c>
      <c r="E639" t="s">
        <v>9574</v>
      </c>
    </row>
    <row r="640" spans="1:5" hidden="1">
      <c r="A640" t="s">
        <v>127</v>
      </c>
      <c r="B640" t="s">
        <v>128</v>
      </c>
      <c r="C640" t="s">
        <v>9574</v>
      </c>
      <c r="D640" t="s">
        <v>9574</v>
      </c>
      <c r="E640" t="s">
        <v>9574</v>
      </c>
    </row>
    <row r="641" spans="1:5" hidden="1">
      <c r="A641" t="s">
        <v>10734</v>
      </c>
      <c r="B641" t="s">
        <v>10735</v>
      </c>
      <c r="C641" t="s">
        <v>9574</v>
      </c>
      <c r="D641" t="s">
        <v>9574</v>
      </c>
      <c r="E641" t="s">
        <v>9574</v>
      </c>
    </row>
    <row r="642" spans="1:5" hidden="1">
      <c r="A642" t="s">
        <v>10736</v>
      </c>
      <c r="B642" t="s">
        <v>10737</v>
      </c>
      <c r="C642" t="s">
        <v>9574</v>
      </c>
      <c r="D642" t="s">
        <v>9574</v>
      </c>
      <c r="E642" t="s">
        <v>9574</v>
      </c>
    </row>
    <row r="643" spans="1:5" hidden="1">
      <c r="A643" t="s">
        <v>10738</v>
      </c>
      <c r="B643" t="s">
        <v>10739</v>
      </c>
      <c r="C643" t="s">
        <v>9565</v>
      </c>
      <c r="D643" t="s">
        <v>9565</v>
      </c>
      <c r="E643" t="s">
        <v>9565</v>
      </c>
    </row>
    <row r="644" spans="1:5" hidden="1">
      <c r="A644" t="s">
        <v>10740</v>
      </c>
      <c r="B644" t="s">
        <v>10741</v>
      </c>
      <c r="C644" t="s">
        <v>9574</v>
      </c>
      <c r="D644" t="s">
        <v>9574</v>
      </c>
      <c r="E644" t="s">
        <v>9574</v>
      </c>
    </row>
    <row r="645" spans="1:5" hidden="1">
      <c r="A645" t="s">
        <v>341</v>
      </c>
      <c r="B645" t="s">
        <v>508</v>
      </c>
      <c r="C645" t="s">
        <v>9574</v>
      </c>
      <c r="D645" t="s">
        <v>9574</v>
      </c>
      <c r="E645" t="s">
        <v>9601</v>
      </c>
    </row>
    <row r="646" spans="1:5" hidden="1">
      <c r="A646" t="s">
        <v>10742</v>
      </c>
      <c r="B646" t="s">
        <v>10743</v>
      </c>
      <c r="C646" t="s">
        <v>9574</v>
      </c>
      <c r="D646" t="s">
        <v>9574</v>
      </c>
      <c r="E646" t="s">
        <v>9574</v>
      </c>
    </row>
    <row r="647" spans="1:5" hidden="1">
      <c r="A647" t="s">
        <v>10744</v>
      </c>
      <c r="B647" t="s">
        <v>10745</v>
      </c>
      <c r="C647" t="s">
        <v>9574</v>
      </c>
      <c r="D647" t="s">
        <v>9574</v>
      </c>
      <c r="E647" t="s">
        <v>9574</v>
      </c>
    </row>
    <row r="648" spans="1:5" hidden="1">
      <c r="A648" t="s">
        <v>70</v>
      </c>
      <c r="B648" t="s">
        <v>10746</v>
      </c>
      <c r="C648" t="s">
        <v>9574</v>
      </c>
      <c r="D648" t="s">
        <v>9574</v>
      </c>
      <c r="E648" t="s">
        <v>9574</v>
      </c>
    </row>
    <row r="649" spans="1:5" hidden="1">
      <c r="A649" t="s">
        <v>100</v>
      </c>
      <c r="B649" t="s">
        <v>10747</v>
      </c>
      <c r="C649" t="s">
        <v>9574</v>
      </c>
      <c r="D649" t="s">
        <v>9574</v>
      </c>
      <c r="E649" t="s">
        <v>9574</v>
      </c>
    </row>
    <row r="650" spans="1:5" hidden="1">
      <c r="A650" t="s">
        <v>130</v>
      </c>
      <c r="B650" t="s">
        <v>10748</v>
      </c>
      <c r="C650" t="s">
        <v>9574</v>
      </c>
      <c r="D650" t="s">
        <v>9574</v>
      </c>
      <c r="E650" t="s">
        <v>9574</v>
      </c>
    </row>
    <row r="651" spans="1:5" hidden="1">
      <c r="A651" t="s">
        <v>10749</v>
      </c>
      <c r="B651" t="s">
        <v>10750</v>
      </c>
      <c r="C651" t="s">
        <v>9574</v>
      </c>
      <c r="D651" t="s">
        <v>9574</v>
      </c>
      <c r="E651" t="s">
        <v>9574</v>
      </c>
    </row>
    <row r="652" spans="1:5" hidden="1">
      <c r="A652" t="s">
        <v>10751</v>
      </c>
      <c r="B652" t="s">
        <v>10752</v>
      </c>
      <c r="C652" t="s">
        <v>9574</v>
      </c>
      <c r="D652" t="s">
        <v>9574</v>
      </c>
      <c r="E652" t="s">
        <v>9574</v>
      </c>
    </row>
    <row r="653" spans="1:5" hidden="1">
      <c r="A653" t="s">
        <v>10753</v>
      </c>
      <c r="B653" t="s">
        <v>10754</v>
      </c>
      <c r="C653" t="s">
        <v>9574</v>
      </c>
      <c r="D653" t="s">
        <v>9574</v>
      </c>
      <c r="E653" t="s">
        <v>9574</v>
      </c>
    </row>
    <row r="654" spans="1:5" hidden="1">
      <c r="A654" t="s">
        <v>10755</v>
      </c>
      <c r="B654" t="s">
        <v>10756</v>
      </c>
      <c r="C654" t="s">
        <v>9574</v>
      </c>
      <c r="D654" t="s">
        <v>9574</v>
      </c>
      <c r="E654" t="s">
        <v>9574</v>
      </c>
    </row>
    <row r="655" spans="1:5" hidden="1">
      <c r="A655" t="s">
        <v>10757</v>
      </c>
      <c r="B655" t="s">
        <v>10758</v>
      </c>
      <c r="C655" t="s">
        <v>9574</v>
      </c>
      <c r="D655" t="s">
        <v>9574</v>
      </c>
      <c r="E655" t="s">
        <v>9574</v>
      </c>
    </row>
    <row r="656" spans="1:5" hidden="1">
      <c r="A656" t="s">
        <v>10759</v>
      </c>
      <c r="B656" t="s">
        <v>10760</v>
      </c>
      <c r="C656" t="s">
        <v>9574</v>
      </c>
      <c r="D656" t="s">
        <v>9574</v>
      </c>
      <c r="E656" t="s">
        <v>9574</v>
      </c>
    </row>
    <row r="657" spans="1:5" hidden="1">
      <c r="A657" t="s">
        <v>136</v>
      </c>
      <c r="B657" t="s">
        <v>137</v>
      </c>
      <c r="C657" t="s">
        <v>9574</v>
      </c>
      <c r="D657" t="s">
        <v>9574</v>
      </c>
      <c r="E657" t="s">
        <v>9601</v>
      </c>
    </row>
    <row r="658" spans="1:5" hidden="1">
      <c r="A658" t="s">
        <v>305</v>
      </c>
      <c r="B658" t="s">
        <v>306</v>
      </c>
      <c r="C658" t="s">
        <v>9574</v>
      </c>
      <c r="D658" t="s">
        <v>9574</v>
      </c>
      <c r="E658" t="s">
        <v>9601</v>
      </c>
    </row>
    <row r="659" spans="1:5" hidden="1">
      <c r="A659" t="s">
        <v>10761</v>
      </c>
      <c r="B659" t="s">
        <v>10762</v>
      </c>
      <c r="C659" t="s">
        <v>9574</v>
      </c>
      <c r="D659" t="s">
        <v>9574</v>
      </c>
      <c r="E659" t="s">
        <v>9601</v>
      </c>
    </row>
    <row r="660" spans="1:5" hidden="1">
      <c r="A660" t="s">
        <v>10763</v>
      </c>
      <c r="B660" t="s">
        <v>10764</v>
      </c>
      <c r="C660" t="s">
        <v>9574</v>
      </c>
      <c r="D660" t="s">
        <v>9574</v>
      </c>
      <c r="E660" t="s">
        <v>9574</v>
      </c>
    </row>
    <row r="661" spans="1:5" hidden="1">
      <c r="A661" t="s">
        <v>10765</v>
      </c>
      <c r="B661" t="s">
        <v>10766</v>
      </c>
      <c r="C661" t="s">
        <v>9574</v>
      </c>
      <c r="D661" t="s">
        <v>9574</v>
      </c>
      <c r="E661" t="s">
        <v>9574</v>
      </c>
    </row>
    <row r="662" spans="1:5" hidden="1">
      <c r="A662" t="s">
        <v>10767</v>
      </c>
      <c r="B662" t="s">
        <v>10768</v>
      </c>
      <c r="C662" t="s">
        <v>9574</v>
      </c>
      <c r="D662" t="s">
        <v>9574</v>
      </c>
      <c r="E662" t="s">
        <v>9574</v>
      </c>
    </row>
    <row r="663" spans="1:5" hidden="1">
      <c r="A663" t="s">
        <v>10769</v>
      </c>
      <c r="B663" t="s">
        <v>10770</v>
      </c>
      <c r="C663" t="s">
        <v>9574</v>
      </c>
      <c r="D663" t="s">
        <v>9574</v>
      </c>
      <c r="E663" t="s">
        <v>9574</v>
      </c>
    </row>
    <row r="664" spans="1:5" hidden="1">
      <c r="A664" t="s">
        <v>10771</v>
      </c>
      <c r="B664" t="s">
        <v>10772</v>
      </c>
      <c r="C664" t="s">
        <v>9574</v>
      </c>
      <c r="D664" t="s">
        <v>9574</v>
      </c>
      <c r="E664" t="s">
        <v>9574</v>
      </c>
    </row>
    <row r="665" spans="1:5" hidden="1">
      <c r="A665" t="s">
        <v>275</v>
      </c>
      <c r="B665" t="s">
        <v>276</v>
      </c>
      <c r="C665" t="s">
        <v>9574</v>
      </c>
      <c r="D665" t="s">
        <v>9574</v>
      </c>
      <c r="E665" t="s">
        <v>9574</v>
      </c>
    </row>
    <row r="666" spans="1:5" hidden="1">
      <c r="A666" t="s">
        <v>254</v>
      </c>
      <c r="B666" t="s">
        <v>255</v>
      </c>
      <c r="C666" t="s">
        <v>9574</v>
      </c>
      <c r="D666" t="s">
        <v>9574</v>
      </c>
      <c r="E666" t="s">
        <v>9574</v>
      </c>
    </row>
    <row r="667" spans="1:5" hidden="1">
      <c r="A667" t="s">
        <v>121</v>
      </c>
      <c r="B667" t="s">
        <v>122</v>
      </c>
      <c r="C667" t="s">
        <v>9574</v>
      </c>
      <c r="D667" t="s">
        <v>9574</v>
      </c>
      <c r="E667" t="s">
        <v>9574</v>
      </c>
    </row>
    <row r="668" spans="1:5" hidden="1">
      <c r="A668" t="s">
        <v>263</v>
      </c>
      <c r="B668" t="s">
        <v>264</v>
      </c>
      <c r="C668" t="s">
        <v>9574</v>
      </c>
      <c r="D668" t="s">
        <v>9574</v>
      </c>
      <c r="E668" t="s">
        <v>9574</v>
      </c>
    </row>
    <row r="669" spans="1:5" hidden="1">
      <c r="A669" t="s">
        <v>296</v>
      </c>
      <c r="B669" t="s">
        <v>297</v>
      </c>
      <c r="C669" t="s">
        <v>9574</v>
      </c>
      <c r="D669" t="s">
        <v>9574</v>
      </c>
      <c r="E669" t="s">
        <v>9574</v>
      </c>
    </row>
    <row r="670" spans="1:5" hidden="1">
      <c r="A670" t="s">
        <v>314</v>
      </c>
      <c r="B670" t="s">
        <v>315</v>
      </c>
      <c r="C670" t="s">
        <v>9574</v>
      </c>
      <c r="D670" t="s">
        <v>9574</v>
      </c>
      <c r="E670" t="s">
        <v>9574</v>
      </c>
    </row>
    <row r="671" spans="1:5" hidden="1">
      <c r="A671" t="s">
        <v>278</v>
      </c>
      <c r="B671" t="s">
        <v>279</v>
      </c>
      <c r="C671" t="s">
        <v>9574</v>
      </c>
      <c r="D671" t="s">
        <v>9574</v>
      </c>
      <c r="E671" t="s">
        <v>9574</v>
      </c>
    </row>
    <row r="672" spans="1:5" hidden="1">
      <c r="A672" t="s">
        <v>323</v>
      </c>
      <c r="B672" t="s">
        <v>324</v>
      </c>
      <c r="C672" t="s">
        <v>9574</v>
      </c>
      <c r="D672" t="s">
        <v>9574</v>
      </c>
      <c r="E672" t="s">
        <v>9574</v>
      </c>
    </row>
    <row r="673" spans="1:5" hidden="1">
      <c r="A673" t="s">
        <v>10773</v>
      </c>
      <c r="B673" t="s">
        <v>10774</v>
      </c>
      <c r="C673" t="s">
        <v>9574</v>
      </c>
      <c r="D673" t="s">
        <v>9574</v>
      </c>
      <c r="E673" t="s">
        <v>9574</v>
      </c>
    </row>
    <row r="674" spans="1:5" hidden="1">
      <c r="A674" t="s">
        <v>139</v>
      </c>
      <c r="B674" t="s">
        <v>10775</v>
      </c>
      <c r="C674" t="s">
        <v>9574</v>
      </c>
      <c r="D674" t="s">
        <v>9574</v>
      </c>
      <c r="E674" t="s">
        <v>9549</v>
      </c>
    </row>
    <row r="675" spans="1:5" hidden="1">
      <c r="A675" t="s">
        <v>10776</v>
      </c>
      <c r="B675" t="s">
        <v>10777</v>
      </c>
      <c r="C675" t="s">
        <v>9574</v>
      </c>
      <c r="D675" t="s">
        <v>9574</v>
      </c>
      <c r="E675" t="s">
        <v>9574</v>
      </c>
    </row>
    <row r="676" spans="1:5" hidden="1">
      <c r="A676" t="s">
        <v>10778</v>
      </c>
      <c r="B676" t="s">
        <v>10779</v>
      </c>
      <c r="C676" t="s">
        <v>9574</v>
      </c>
      <c r="D676" t="s">
        <v>9574</v>
      </c>
      <c r="E676" t="s">
        <v>9574</v>
      </c>
    </row>
    <row r="677" spans="1:5" hidden="1">
      <c r="A677" t="s">
        <v>10780</v>
      </c>
      <c r="B677" t="s">
        <v>10781</v>
      </c>
      <c r="C677" t="s">
        <v>9574</v>
      </c>
      <c r="D677" t="s">
        <v>9574</v>
      </c>
      <c r="E677" t="s">
        <v>9574</v>
      </c>
    </row>
    <row r="678" spans="1:5" hidden="1">
      <c r="A678" t="s">
        <v>10782</v>
      </c>
      <c r="B678" t="s">
        <v>10783</v>
      </c>
      <c r="C678" t="s">
        <v>9574</v>
      </c>
      <c r="D678" t="s">
        <v>9574</v>
      </c>
      <c r="E678" t="s">
        <v>9574</v>
      </c>
    </row>
    <row r="679" spans="1:5" hidden="1">
      <c r="A679" t="s">
        <v>10784</v>
      </c>
      <c r="B679" t="s">
        <v>10785</v>
      </c>
      <c r="C679" t="s">
        <v>9574</v>
      </c>
      <c r="D679" t="s">
        <v>9574</v>
      </c>
      <c r="E679" t="s">
        <v>9574</v>
      </c>
    </row>
    <row r="680" spans="1:5" hidden="1">
      <c r="A680" t="s">
        <v>10786</v>
      </c>
      <c r="B680" t="s">
        <v>10787</v>
      </c>
      <c r="C680" t="s">
        <v>9574</v>
      </c>
      <c r="D680" t="s">
        <v>9574</v>
      </c>
      <c r="E680" t="s">
        <v>9574</v>
      </c>
    </row>
    <row r="681" spans="1:5" hidden="1">
      <c r="A681" t="s">
        <v>10788</v>
      </c>
      <c r="B681" t="s">
        <v>10789</v>
      </c>
      <c r="C681" t="s">
        <v>9574</v>
      </c>
      <c r="D681" t="s">
        <v>9574</v>
      </c>
      <c r="E681" t="s">
        <v>9574</v>
      </c>
    </row>
    <row r="682" spans="1:5" hidden="1">
      <c r="A682" t="s">
        <v>10790</v>
      </c>
      <c r="B682" t="s">
        <v>10791</v>
      </c>
      <c r="C682" t="s">
        <v>9574</v>
      </c>
      <c r="D682" t="s">
        <v>9574</v>
      </c>
      <c r="E682" t="s">
        <v>9574</v>
      </c>
    </row>
    <row r="683" spans="1:5" hidden="1">
      <c r="A683" t="s">
        <v>10792</v>
      </c>
      <c r="B683" t="s">
        <v>10793</v>
      </c>
      <c r="C683" t="s">
        <v>9565</v>
      </c>
      <c r="D683" t="s">
        <v>9565</v>
      </c>
      <c r="E683" t="s">
        <v>9565</v>
      </c>
    </row>
    <row r="684" spans="1:5" hidden="1">
      <c r="A684" t="s">
        <v>10794</v>
      </c>
      <c r="B684" t="s">
        <v>10795</v>
      </c>
      <c r="C684" t="s">
        <v>9574</v>
      </c>
      <c r="D684" t="s">
        <v>9574</v>
      </c>
      <c r="E684" t="s">
        <v>9574</v>
      </c>
    </row>
    <row r="685" spans="1:5" hidden="1">
      <c r="A685" t="s">
        <v>10796</v>
      </c>
      <c r="B685" t="s">
        <v>10797</v>
      </c>
      <c r="C685" t="s">
        <v>9565</v>
      </c>
      <c r="D685" t="s">
        <v>9565</v>
      </c>
      <c r="E685" t="s">
        <v>9565</v>
      </c>
    </row>
    <row r="686" spans="1:5" hidden="1">
      <c r="A686" t="s">
        <v>10798</v>
      </c>
      <c r="B686" t="s">
        <v>10799</v>
      </c>
      <c r="C686" t="s">
        <v>9574</v>
      </c>
      <c r="D686" t="s">
        <v>9574</v>
      </c>
      <c r="E686" t="s">
        <v>9574</v>
      </c>
    </row>
    <row r="687" spans="1:5" hidden="1">
      <c r="A687" t="s">
        <v>16</v>
      </c>
      <c r="B687" t="s">
        <v>17</v>
      </c>
      <c r="C687" t="s">
        <v>9574</v>
      </c>
      <c r="D687" t="s">
        <v>9574</v>
      </c>
      <c r="E687" t="s">
        <v>9574</v>
      </c>
    </row>
    <row r="688" spans="1:5" hidden="1">
      <c r="A688" t="s">
        <v>22</v>
      </c>
      <c r="B688" t="s">
        <v>23</v>
      </c>
      <c r="C688" t="s">
        <v>9574</v>
      </c>
      <c r="D688" t="s">
        <v>9574</v>
      </c>
      <c r="E688" t="s">
        <v>9574</v>
      </c>
    </row>
    <row r="689" spans="1:5" hidden="1">
      <c r="A689" t="s">
        <v>13</v>
      </c>
      <c r="B689" t="s">
        <v>14</v>
      </c>
      <c r="C689" t="s">
        <v>9574</v>
      </c>
      <c r="D689" t="s">
        <v>9574</v>
      </c>
      <c r="E689" t="s">
        <v>9574</v>
      </c>
    </row>
    <row r="690" spans="1:5" hidden="1">
      <c r="A690" t="s">
        <v>19</v>
      </c>
      <c r="B690" t="s">
        <v>20</v>
      </c>
      <c r="C690" t="s">
        <v>9574</v>
      </c>
      <c r="D690" t="s">
        <v>9574</v>
      </c>
      <c r="E690" t="s">
        <v>9574</v>
      </c>
    </row>
    <row r="691" spans="1:5" hidden="1">
      <c r="A691" t="s">
        <v>10800</v>
      </c>
      <c r="B691" t="s">
        <v>10801</v>
      </c>
      <c r="C691" t="s">
        <v>9574</v>
      </c>
      <c r="D691" t="s">
        <v>9574</v>
      </c>
      <c r="E691" t="s">
        <v>9574</v>
      </c>
    </row>
    <row r="692" spans="1:5" hidden="1">
      <c r="A692" t="s">
        <v>10802</v>
      </c>
      <c r="B692" t="s">
        <v>10803</v>
      </c>
      <c r="C692" t="s">
        <v>9574</v>
      </c>
      <c r="D692" t="s">
        <v>9574</v>
      </c>
      <c r="E692" t="s">
        <v>9574</v>
      </c>
    </row>
    <row r="693" spans="1:5" hidden="1">
      <c r="A693" t="s">
        <v>350</v>
      </c>
      <c r="B693" t="s">
        <v>10804</v>
      </c>
      <c r="C693" t="s">
        <v>9574</v>
      </c>
      <c r="D693" t="s">
        <v>9574</v>
      </c>
      <c r="E693" t="s">
        <v>9574</v>
      </c>
    </row>
    <row r="694" spans="1:5" hidden="1">
      <c r="A694" t="s">
        <v>151</v>
      </c>
      <c r="B694" t="s">
        <v>152</v>
      </c>
      <c r="C694" t="s">
        <v>9574</v>
      </c>
      <c r="D694" t="s">
        <v>9574</v>
      </c>
      <c r="E694" t="s">
        <v>9574</v>
      </c>
    </row>
    <row r="695" spans="1:5" hidden="1">
      <c r="A695" t="s">
        <v>157</v>
      </c>
      <c r="B695" t="s">
        <v>158</v>
      </c>
      <c r="C695" t="s">
        <v>9574</v>
      </c>
      <c r="D695" t="s">
        <v>9574</v>
      </c>
      <c r="E695" t="s">
        <v>9574</v>
      </c>
    </row>
    <row r="696" spans="1:5" hidden="1">
      <c r="A696" t="s">
        <v>10805</v>
      </c>
      <c r="B696" t="s">
        <v>10806</v>
      </c>
      <c r="C696" t="s">
        <v>9574</v>
      </c>
      <c r="D696" t="s">
        <v>9574</v>
      </c>
      <c r="E696" t="s">
        <v>9574</v>
      </c>
    </row>
    <row r="697" spans="1:5" hidden="1">
      <c r="A697" t="s">
        <v>344</v>
      </c>
      <c r="B697" t="s">
        <v>10807</v>
      </c>
      <c r="C697" t="s">
        <v>9574</v>
      </c>
      <c r="D697" t="s">
        <v>9574</v>
      </c>
      <c r="E697" t="s">
        <v>9574</v>
      </c>
    </row>
    <row r="698" spans="1:5" hidden="1">
      <c r="A698" t="s">
        <v>145</v>
      </c>
      <c r="B698" t="s">
        <v>10808</v>
      </c>
      <c r="C698" t="s">
        <v>9574</v>
      </c>
      <c r="D698" t="s">
        <v>9574</v>
      </c>
      <c r="E698" t="s">
        <v>9574</v>
      </c>
    </row>
    <row r="699" spans="1:5" hidden="1">
      <c r="A699" t="s">
        <v>142</v>
      </c>
      <c r="B699" t="s">
        <v>10809</v>
      </c>
      <c r="C699" t="s">
        <v>9574</v>
      </c>
      <c r="D699" t="s">
        <v>9574</v>
      </c>
      <c r="E699" t="s">
        <v>9574</v>
      </c>
    </row>
    <row r="700" spans="1:5" hidden="1">
      <c r="A700" t="s">
        <v>10810</v>
      </c>
      <c r="B700" t="s">
        <v>10811</v>
      </c>
      <c r="C700" t="s">
        <v>9565</v>
      </c>
      <c r="D700" t="s">
        <v>9565</v>
      </c>
      <c r="E700" t="s">
        <v>9565</v>
      </c>
    </row>
    <row r="701" spans="1:5" hidden="1">
      <c r="A701" t="s">
        <v>148</v>
      </c>
      <c r="B701" t="s">
        <v>10812</v>
      </c>
      <c r="C701" t="s">
        <v>9574</v>
      </c>
      <c r="D701" t="s">
        <v>9574</v>
      </c>
      <c r="E701" t="s">
        <v>9574</v>
      </c>
    </row>
    <row r="702" spans="1:5" hidden="1">
      <c r="A702" t="s">
        <v>356</v>
      </c>
      <c r="B702" t="s">
        <v>10813</v>
      </c>
      <c r="C702" t="s">
        <v>9574</v>
      </c>
      <c r="D702" t="s">
        <v>9574</v>
      </c>
      <c r="E702" t="s">
        <v>9574</v>
      </c>
    </row>
    <row r="703" spans="1:5" hidden="1">
      <c r="A703" t="s">
        <v>10814</v>
      </c>
      <c r="B703" t="s">
        <v>10815</v>
      </c>
      <c r="C703" t="s">
        <v>9574</v>
      </c>
      <c r="D703" t="s">
        <v>9574</v>
      </c>
      <c r="E703" t="s">
        <v>9574</v>
      </c>
    </row>
    <row r="704" spans="1:5" hidden="1">
      <c r="A704" t="s">
        <v>160</v>
      </c>
      <c r="B704" t="s">
        <v>10816</v>
      </c>
      <c r="C704" t="s">
        <v>9574</v>
      </c>
      <c r="D704" t="s">
        <v>9574</v>
      </c>
      <c r="E704" t="s">
        <v>9574</v>
      </c>
    </row>
    <row r="705" spans="1:5" hidden="1">
      <c r="A705" t="s">
        <v>181</v>
      </c>
      <c r="B705" t="s">
        <v>10817</v>
      </c>
      <c r="C705" t="s">
        <v>9574</v>
      </c>
      <c r="D705" t="s">
        <v>9574</v>
      </c>
      <c r="E705" t="s">
        <v>9574</v>
      </c>
    </row>
    <row r="706" spans="1:5" hidden="1">
      <c r="A706" t="s">
        <v>154</v>
      </c>
      <c r="B706" t="s">
        <v>155</v>
      </c>
      <c r="C706" t="s">
        <v>9574</v>
      </c>
      <c r="D706" t="s">
        <v>9574</v>
      </c>
      <c r="E706" t="s">
        <v>9601</v>
      </c>
    </row>
    <row r="707" spans="1:5" hidden="1">
      <c r="A707" t="s">
        <v>359</v>
      </c>
      <c r="B707" t="s">
        <v>360</v>
      </c>
      <c r="C707" t="s">
        <v>9574</v>
      </c>
      <c r="D707" t="s">
        <v>9574</v>
      </c>
      <c r="E707" t="s">
        <v>9601</v>
      </c>
    </row>
    <row r="708" spans="1:5" hidden="1">
      <c r="A708" t="s">
        <v>10818</v>
      </c>
      <c r="B708" t="s">
        <v>10819</v>
      </c>
      <c r="C708" t="s">
        <v>9574</v>
      </c>
      <c r="D708" t="s">
        <v>9574</v>
      </c>
      <c r="E708" t="s">
        <v>9601</v>
      </c>
    </row>
    <row r="709" spans="1:5" hidden="1">
      <c r="A709" t="s">
        <v>10820</v>
      </c>
      <c r="B709" t="s">
        <v>10821</v>
      </c>
      <c r="C709" t="s">
        <v>9574</v>
      </c>
      <c r="D709" t="s">
        <v>9574</v>
      </c>
      <c r="E709" t="s">
        <v>9601</v>
      </c>
    </row>
    <row r="710" spans="1:5" hidden="1">
      <c r="A710" t="s">
        <v>10822</v>
      </c>
      <c r="B710" t="s">
        <v>10823</v>
      </c>
      <c r="C710" t="s">
        <v>9574</v>
      </c>
      <c r="D710" t="s">
        <v>9574</v>
      </c>
      <c r="E710" t="s">
        <v>9601</v>
      </c>
    </row>
    <row r="711" spans="1:5" hidden="1">
      <c r="A711" t="s">
        <v>338</v>
      </c>
      <c r="B711" t="s">
        <v>339</v>
      </c>
      <c r="C711" t="s">
        <v>9574</v>
      </c>
      <c r="D711" t="s">
        <v>9574</v>
      </c>
      <c r="E711" t="s">
        <v>9601</v>
      </c>
    </row>
    <row r="712" spans="1:5" hidden="1">
      <c r="A712" t="s">
        <v>10824</v>
      </c>
      <c r="B712" t="s">
        <v>10825</v>
      </c>
      <c r="C712" t="s">
        <v>9574</v>
      </c>
      <c r="D712" t="s">
        <v>9574</v>
      </c>
      <c r="E712" t="s">
        <v>9601</v>
      </c>
    </row>
    <row r="713" spans="1:5" hidden="1">
      <c r="A713" t="s">
        <v>10826</v>
      </c>
      <c r="B713" t="s">
        <v>10827</v>
      </c>
      <c r="C713" t="s">
        <v>9574</v>
      </c>
      <c r="D713" t="s">
        <v>9574</v>
      </c>
      <c r="E713" t="s">
        <v>9601</v>
      </c>
    </row>
    <row r="714" spans="1:5" hidden="1">
      <c r="A714" t="s">
        <v>185</v>
      </c>
      <c r="B714" t="s">
        <v>10828</v>
      </c>
      <c r="C714" t="s">
        <v>9574</v>
      </c>
      <c r="D714" t="s">
        <v>9574</v>
      </c>
      <c r="E714" t="s">
        <v>9601</v>
      </c>
    </row>
    <row r="715" spans="1:5" hidden="1">
      <c r="A715" t="s">
        <v>10829</v>
      </c>
      <c r="B715" t="s">
        <v>10830</v>
      </c>
      <c r="C715" t="s">
        <v>9574</v>
      </c>
      <c r="D715" t="s">
        <v>9574</v>
      </c>
      <c r="E715" t="s">
        <v>9601</v>
      </c>
    </row>
    <row r="716" spans="1:5" hidden="1">
      <c r="A716" t="s">
        <v>269</v>
      </c>
      <c r="B716" t="s">
        <v>270</v>
      </c>
      <c r="C716" t="s">
        <v>9574</v>
      </c>
      <c r="D716" t="s">
        <v>9574</v>
      </c>
      <c r="E716" t="s">
        <v>9601</v>
      </c>
    </row>
    <row r="717" spans="1:5" hidden="1">
      <c r="A717" t="s">
        <v>10831</v>
      </c>
      <c r="B717" t="s">
        <v>10832</v>
      </c>
      <c r="C717" t="s">
        <v>9574</v>
      </c>
      <c r="D717" t="s">
        <v>9574</v>
      </c>
      <c r="E717" t="s">
        <v>9601</v>
      </c>
    </row>
    <row r="718" spans="1:5" hidden="1">
      <c r="A718" t="s">
        <v>320</v>
      </c>
      <c r="B718" t="s">
        <v>321</v>
      </c>
      <c r="C718" t="s">
        <v>9574</v>
      </c>
      <c r="D718" t="s">
        <v>9574</v>
      </c>
      <c r="E718" t="s">
        <v>9601</v>
      </c>
    </row>
    <row r="719" spans="1:5" hidden="1">
      <c r="A719" t="s">
        <v>10833</v>
      </c>
      <c r="B719" t="s">
        <v>10834</v>
      </c>
      <c r="C719" t="s">
        <v>9574</v>
      </c>
      <c r="D719" t="s">
        <v>9574</v>
      </c>
      <c r="E719" t="s">
        <v>9601</v>
      </c>
    </row>
    <row r="720" spans="1:5" hidden="1">
      <c r="A720" t="s">
        <v>43</v>
      </c>
      <c r="B720" t="s">
        <v>44</v>
      </c>
      <c r="C720" t="s">
        <v>9574</v>
      </c>
      <c r="D720" t="s">
        <v>9574</v>
      </c>
      <c r="E720" t="s">
        <v>9601</v>
      </c>
    </row>
    <row r="721" spans="1:5" hidden="1">
      <c r="A721" t="s">
        <v>188</v>
      </c>
      <c r="B721" t="s">
        <v>189</v>
      </c>
      <c r="C721" t="s">
        <v>9574</v>
      </c>
      <c r="D721" t="s">
        <v>9574</v>
      </c>
      <c r="E721" t="s">
        <v>9601</v>
      </c>
    </row>
    <row r="722" spans="1:5" hidden="1">
      <c r="A722" t="s">
        <v>10835</v>
      </c>
      <c r="B722" t="s">
        <v>10836</v>
      </c>
      <c r="C722" t="s">
        <v>9574</v>
      </c>
      <c r="D722" t="s">
        <v>9574</v>
      </c>
      <c r="E722" t="s">
        <v>9601</v>
      </c>
    </row>
    <row r="723" spans="1:5" hidden="1">
      <c r="A723" t="s">
        <v>10837</v>
      </c>
      <c r="B723" t="s">
        <v>10838</v>
      </c>
      <c r="C723" t="s">
        <v>9574</v>
      </c>
      <c r="D723" t="s">
        <v>9574</v>
      </c>
      <c r="E723" t="s">
        <v>9601</v>
      </c>
    </row>
    <row r="724" spans="1:5" hidden="1">
      <c r="A724" t="s">
        <v>10839</v>
      </c>
      <c r="B724" t="s">
        <v>10840</v>
      </c>
      <c r="C724" t="s">
        <v>9574</v>
      </c>
      <c r="D724" t="s">
        <v>9574</v>
      </c>
      <c r="E724" t="s">
        <v>9601</v>
      </c>
    </row>
    <row r="725" spans="1:5" hidden="1">
      <c r="A725" t="s">
        <v>308</v>
      </c>
      <c r="B725" t="s">
        <v>10841</v>
      </c>
      <c r="C725" t="s">
        <v>9574</v>
      </c>
      <c r="D725" t="s">
        <v>9574</v>
      </c>
      <c r="E725" t="s">
        <v>9601</v>
      </c>
    </row>
    <row r="726" spans="1:5" hidden="1">
      <c r="A726" t="s">
        <v>10842</v>
      </c>
      <c r="B726" t="s">
        <v>10843</v>
      </c>
      <c r="C726" t="s">
        <v>9574</v>
      </c>
      <c r="D726" t="s">
        <v>9574</v>
      </c>
      <c r="E726" t="s">
        <v>9601</v>
      </c>
    </row>
    <row r="727" spans="1:5" hidden="1">
      <c r="A727" t="s">
        <v>49</v>
      </c>
      <c r="B727" t="s">
        <v>10844</v>
      </c>
      <c r="C727" t="s">
        <v>9574</v>
      </c>
      <c r="D727" t="s">
        <v>9574</v>
      </c>
      <c r="E727" t="s">
        <v>9601</v>
      </c>
    </row>
    <row r="728" spans="1:5" hidden="1">
      <c r="A728" t="s">
        <v>10845</v>
      </c>
      <c r="B728" t="s">
        <v>10846</v>
      </c>
      <c r="C728" t="s">
        <v>9574</v>
      </c>
      <c r="D728" t="s">
        <v>9574</v>
      </c>
      <c r="E728" t="s">
        <v>9601</v>
      </c>
    </row>
    <row r="729" spans="1:5" hidden="1">
      <c r="A729" t="s">
        <v>64</v>
      </c>
      <c r="B729" t="s">
        <v>10847</v>
      </c>
      <c r="C729" t="s">
        <v>9574</v>
      </c>
      <c r="D729" t="s">
        <v>9574</v>
      </c>
      <c r="E729" t="s">
        <v>9601</v>
      </c>
    </row>
    <row r="730" spans="1:5" hidden="1">
      <c r="A730" t="s">
        <v>230</v>
      </c>
      <c r="B730" t="s">
        <v>231</v>
      </c>
      <c r="C730" t="s">
        <v>9574</v>
      </c>
      <c r="D730" t="s">
        <v>9574</v>
      </c>
      <c r="E730" t="s">
        <v>9601</v>
      </c>
    </row>
    <row r="731" spans="1:5" hidden="1">
      <c r="A731" t="s">
        <v>10848</v>
      </c>
      <c r="B731" t="s">
        <v>10849</v>
      </c>
      <c r="C731" t="s">
        <v>9574</v>
      </c>
      <c r="D731" t="s">
        <v>9574</v>
      </c>
      <c r="E731" t="s">
        <v>9601</v>
      </c>
    </row>
    <row r="732" spans="1:5" hidden="1">
      <c r="A732" t="s">
        <v>10850</v>
      </c>
      <c r="B732" t="s">
        <v>10851</v>
      </c>
      <c r="C732" t="s">
        <v>9574</v>
      </c>
      <c r="D732" t="s">
        <v>9574</v>
      </c>
      <c r="E732" t="s">
        <v>9601</v>
      </c>
    </row>
    <row r="733" spans="1:5" hidden="1">
      <c r="A733" t="s">
        <v>28</v>
      </c>
      <c r="B733" t="s">
        <v>29</v>
      </c>
      <c r="C733" t="s">
        <v>9574</v>
      </c>
      <c r="D733" t="s">
        <v>9574</v>
      </c>
      <c r="E733" t="s">
        <v>9601</v>
      </c>
    </row>
    <row r="734" spans="1:5" hidden="1">
      <c r="A734" t="s">
        <v>10852</v>
      </c>
      <c r="B734" t="s">
        <v>10853</v>
      </c>
      <c r="C734" t="s">
        <v>9574</v>
      </c>
      <c r="D734" t="s">
        <v>9574</v>
      </c>
      <c r="E734" t="s">
        <v>9601</v>
      </c>
    </row>
    <row r="735" spans="1:5" hidden="1">
      <c r="A735" t="s">
        <v>10854</v>
      </c>
      <c r="B735" t="s">
        <v>10855</v>
      </c>
      <c r="C735" t="s">
        <v>9574</v>
      </c>
      <c r="D735" t="s">
        <v>9574</v>
      </c>
      <c r="E735" t="s">
        <v>9601</v>
      </c>
    </row>
    <row r="736" spans="1:5" hidden="1">
      <c r="A736" t="s">
        <v>10856</v>
      </c>
      <c r="B736" t="s">
        <v>10857</v>
      </c>
      <c r="C736" t="s">
        <v>9574</v>
      </c>
      <c r="D736" t="s">
        <v>9574</v>
      </c>
      <c r="E736" t="s">
        <v>9601</v>
      </c>
    </row>
    <row r="737" spans="1:5" hidden="1">
      <c r="A737" t="s">
        <v>10858</v>
      </c>
      <c r="B737" t="s">
        <v>10859</v>
      </c>
      <c r="C737" t="s">
        <v>9574</v>
      </c>
      <c r="D737" t="s">
        <v>9574</v>
      </c>
      <c r="E737" t="s">
        <v>9601</v>
      </c>
    </row>
    <row r="738" spans="1:5" hidden="1">
      <c r="A738" t="s">
        <v>10860</v>
      </c>
      <c r="B738" t="s">
        <v>10861</v>
      </c>
      <c r="C738" t="s">
        <v>9574</v>
      </c>
      <c r="D738" t="s">
        <v>9574</v>
      </c>
      <c r="E738" t="s">
        <v>9601</v>
      </c>
    </row>
    <row r="739" spans="1:5" hidden="1">
      <c r="A739" t="s">
        <v>10862</v>
      </c>
      <c r="B739" t="s">
        <v>10863</v>
      </c>
      <c r="C739" t="s">
        <v>9574</v>
      </c>
      <c r="D739" t="s">
        <v>9574</v>
      </c>
      <c r="E739" t="s">
        <v>9601</v>
      </c>
    </row>
    <row r="740" spans="1:5" hidden="1">
      <c r="A740" t="s">
        <v>10864</v>
      </c>
      <c r="B740" t="s">
        <v>10865</v>
      </c>
      <c r="C740" t="s">
        <v>9574</v>
      </c>
      <c r="D740" t="s">
        <v>9574</v>
      </c>
      <c r="E740" t="s">
        <v>9601</v>
      </c>
    </row>
    <row r="741" spans="1:5" hidden="1">
      <c r="A741" t="s">
        <v>10866</v>
      </c>
      <c r="B741" t="s">
        <v>10867</v>
      </c>
      <c r="C741" t="s">
        <v>9574</v>
      </c>
      <c r="D741" t="s">
        <v>9574</v>
      </c>
      <c r="E741" t="s">
        <v>9601</v>
      </c>
    </row>
    <row r="742" spans="1:5" hidden="1">
      <c r="A742" t="s">
        <v>10868</v>
      </c>
      <c r="B742" t="s">
        <v>10869</v>
      </c>
      <c r="C742" t="s">
        <v>9574</v>
      </c>
      <c r="D742" t="s">
        <v>9574</v>
      </c>
      <c r="E742" t="s">
        <v>9601</v>
      </c>
    </row>
    <row r="743" spans="1:5" hidden="1">
      <c r="A743" t="s">
        <v>10870</v>
      </c>
      <c r="B743" t="s">
        <v>10871</v>
      </c>
      <c r="C743" t="s">
        <v>9574</v>
      </c>
      <c r="D743" t="s">
        <v>9574</v>
      </c>
      <c r="E743" t="s">
        <v>9601</v>
      </c>
    </row>
    <row r="744" spans="1:5" hidden="1">
      <c r="A744" t="s">
        <v>10872</v>
      </c>
      <c r="B744" t="s">
        <v>10873</v>
      </c>
      <c r="C744" t="s">
        <v>9574</v>
      </c>
      <c r="D744" t="s">
        <v>9574</v>
      </c>
      <c r="E744" t="s">
        <v>9601</v>
      </c>
    </row>
    <row r="745" spans="1:5" hidden="1">
      <c r="A745" t="s">
        <v>10874</v>
      </c>
      <c r="B745" t="s">
        <v>10875</v>
      </c>
      <c r="C745" t="s">
        <v>9574</v>
      </c>
      <c r="D745" t="s">
        <v>9574</v>
      </c>
      <c r="E745" t="s">
        <v>9601</v>
      </c>
    </row>
    <row r="746" spans="1:5" hidden="1">
      <c r="A746" t="s">
        <v>10876</v>
      </c>
      <c r="B746" t="s">
        <v>10877</v>
      </c>
      <c r="C746" t="s">
        <v>9574</v>
      </c>
      <c r="D746" t="s">
        <v>9574</v>
      </c>
      <c r="E746" t="s">
        <v>9601</v>
      </c>
    </row>
    <row r="747" spans="1:5" hidden="1">
      <c r="A747" t="s">
        <v>10878</v>
      </c>
      <c r="B747" t="s">
        <v>10879</v>
      </c>
      <c r="C747" t="s">
        <v>9574</v>
      </c>
      <c r="D747" t="s">
        <v>9574</v>
      </c>
      <c r="E747" t="s">
        <v>9601</v>
      </c>
    </row>
    <row r="748" spans="1:5" hidden="1">
      <c r="A748" t="s">
        <v>10880</v>
      </c>
      <c r="B748" t="s">
        <v>10881</v>
      </c>
      <c r="C748" t="s">
        <v>9574</v>
      </c>
      <c r="D748" t="s">
        <v>9574</v>
      </c>
      <c r="E748" t="s">
        <v>9601</v>
      </c>
    </row>
    <row r="749" spans="1:5" hidden="1">
      <c r="A749" t="s">
        <v>10882</v>
      </c>
      <c r="B749" t="s">
        <v>10883</v>
      </c>
      <c r="C749" t="s">
        <v>9574</v>
      </c>
      <c r="D749" t="s">
        <v>9574</v>
      </c>
      <c r="E749" t="s">
        <v>9601</v>
      </c>
    </row>
    <row r="750" spans="1:5" hidden="1">
      <c r="A750" t="s">
        <v>10884</v>
      </c>
      <c r="B750" t="s">
        <v>10885</v>
      </c>
      <c r="C750" t="s">
        <v>9574</v>
      </c>
      <c r="D750" t="s">
        <v>9574</v>
      </c>
      <c r="E750" t="s">
        <v>9601</v>
      </c>
    </row>
    <row r="751" spans="1:5" hidden="1">
      <c r="A751" t="s">
        <v>10886</v>
      </c>
      <c r="B751" t="s">
        <v>10887</v>
      </c>
      <c r="C751" t="s">
        <v>9574</v>
      </c>
      <c r="D751" t="s">
        <v>9574</v>
      </c>
      <c r="E751" t="s">
        <v>9601</v>
      </c>
    </row>
    <row r="752" spans="1:5" hidden="1">
      <c r="A752" t="s">
        <v>10888</v>
      </c>
      <c r="B752" t="s">
        <v>10889</v>
      </c>
      <c r="C752" t="s">
        <v>9574</v>
      </c>
      <c r="D752" t="s">
        <v>9574</v>
      </c>
      <c r="E752" t="s">
        <v>9601</v>
      </c>
    </row>
    <row r="753" spans="1:5" hidden="1">
      <c r="A753" t="s">
        <v>169</v>
      </c>
      <c r="B753" t="s">
        <v>170</v>
      </c>
      <c r="C753" t="s">
        <v>9574</v>
      </c>
      <c r="D753" t="s">
        <v>9574</v>
      </c>
      <c r="E753" t="s">
        <v>9574</v>
      </c>
    </row>
    <row r="754" spans="1:5" hidden="1">
      <c r="A754" t="s">
        <v>166</v>
      </c>
      <c r="B754" t="s">
        <v>10890</v>
      </c>
      <c r="C754" t="s">
        <v>9574</v>
      </c>
      <c r="D754" t="s">
        <v>9574</v>
      </c>
      <c r="E754" t="s">
        <v>9574</v>
      </c>
    </row>
    <row r="755" spans="1:5" hidden="1">
      <c r="A755" t="s">
        <v>163</v>
      </c>
      <c r="B755" t="s">
        <v>164</v>
      </c>
      <c r="C755" t="s">
        <v>9574</v>
      </c>
      <c r="D755" t="s">
        <v>9574</v>
      </c>
      <c r="E755" t="s">
        <v>9574</v>
      </c>
    </row>
    <row r="756" spans="1:5" hidden="1">
      <c r="A756" t="s">
        <v>272</v>
      </c>
      <c r="B756" t="s">
        <v>273</v>
      </c>
      <c r="C756" t="s">
        <v>9574</v>
      </c>
      <c r="D756" t="s">
        <v>9574</v>
      </c>
      <c r="E756" t="s">
        <v>9601</v>
      </c>
    </row>
    <row r="757" spans="1:5" hidden="1">
      <c r="A757" t="s">
        <v>10891</v>
      </c>
      <c r="B757" t="s">
        <v>10892</v>
      </c>
      <c r="C757" t="s">
        <v>9574</v>
      </c>
      <c r="D757" t="s">
        <v>9574</v>
      </c>
      <c r="E757" t="s">
        <v>9601</v>
      </c>
    </row>
    <row r="758" spans="1:5" hidden="1">
      <c r="A758" t="s">
        <v>10893</v>
      </c>
      <c r="B758" t="s">
        <v>10894</v>
      </c>
      <c r="C758" t="s">
        <v>9574</v>
      </c>
      <c r="D758" t="s">
        <v>9738</v>
      </c>
      <c r="E758" t="s">
        <v>9574</v>
      </c>
    </row>
    <row r="759" spans="1:5" hidden="1">
      <c r="A759" t="s">
        <v>353</v>
      </c>
      <c r="B759" t="s">
        <v>354</v>
      </c>
      <c r="C759" t="s">
        <v>9574</v>
      </c>
      <c r="D759" t="s">
        <v>9574</v>
      </c>
      <c r="E759" t="s">
        <v>9601</v>
      </c>
    </row>
    <row r="760" spans="1:5" hidden="1">
      <c r="A760" t="s">
        <v>347</v>
      </c>
      <c r="B760" t="s">
        <v>348</v>
      </c>
      <c r="C760" t="s">
        <v>9574</v>
      </c>
      <c r="D760" t="s">
        <v>9738</v>
      </c>
      <c r="E760" t="s">
        <v>9574</v>
      </c>
    </row>
    <row r="761" spans="1:5" hidden="1">
      <c r="A761" t="s">
        <v>10895</v>
      </c>
      <c r="B761" t="s">
        <v>10896</v>
      </c>
      <c r="C761" t="s">
        <v>9574</v>
      </c>
      <c r="D761" t="s">
        <v>9574</v>
      </c>
      <c r="E761" t="s">
        <v>9601</v>
      </c>
    </row>
    <row r="762" spans="1:5" hidden="1">
      <c r="A762" t="s">
        <v>10897</v>
      </c>
      <c r="B762" t="s">
        <v>10898</v>
      </c>
      <c r="C762" t="s">
        <v>9574</v>
      </c>
      <c r="D762" t="s">
        <v>9738</v>
      </c>
      <c r="E762" t="s">
        <v>9574</v>
      </c>
    </row>
    <row r="763" spans="1:5" hidden="1">
      <c r="A763" t="s">
        <v>10899</v>
      </c>
      <c r="B763" t="s">
        <v>10900</v>
      </c>
      <c r="C763" t="s">
        <v>9574</v>
      </c>
      <c r="D763" t="s">
        <v>9738</v>
      </c>
      <c r="E763" t="s">
        <v>9574</v>
      </c>
    </row>
    <row r="764" spans="1:5" hidden="1">
      <c r="A764" t="s">
        <v>175</v>
      </c>
      <c r="B764" t="s">
        <v>505</v>
      </c>
      <c r="C764" t="s">
        <v>9574</v>
      </c>
      <c r="D764" t="s">
        <v>9574</v>
      </c>
      <c r="E764" t="s">
        <v>9601</v>
      </c>
    </row>
    <row r="765" spans="1:5" hidden="1">
      <c r="A765" t="s">
        <v>362</v>
      </c>
      <c r="B765" t="s">
        <v>10901</v>
      </c>
      <c r="C765" t="s">
        <v>9574</v>
      </c>
      <c r="D765" t="s">
        <v>9574</v>
      </c>
      <c r="E765" t="s">
        <v>9601</v>
      </c>
    </row>
    <row r="766" spans="1:5" hidden="1">
      <c r="A766" t="s">
        <v>172</v>
      </c>
      <c r="B766" t="s">
        <v>10902</v>
      </c>
      <c r="C766" t="s">
        <v>9574</v>
      </c>
      <c r="D766" t="s">
        <v>9574</v>
      </c>
      <c r="E766" t="s">
        <v>9574</v>
      </c>
    </row>
    <row r="767" spans="1:5" hidden="1">
      <c r="A767" t="s">
        <v>178</v>
      </c>
      <c r="B767" t="s">
        <v>10903</v>
      </c>
      <c r="C767" t="s">
        <v>9574</v>
      </c>
      <c r="D767" t="s">
        <v>9574</v>
      </c>
      <c r="E767" t="s">
        <v>9574</v>
      </c>
    </row>
    <row r="768" spans="1:5" hidden="1">
      <c r="A768" t="s">
        <v>10904</v>
      </c>
      <c r="B768" t="s">
        <v>10905</v>
      </c>
      <c r="C768" t="s">
        <v>9574</v>
      </c>
      <c r="D768" t="s">
        <v>9574</v>
      </c>
      <c r="E768" t="s">
        <v>9574</v>
      </c>
    </row>
    <row r="769" spans="1:5" hidden="1">
      <c r="A769" t="s">
        <v>10906</v>
      </c>
      <c r="B769" t="s">
        <v>10907</v>
      </c>
      <c r="C769" t="s">
        <v>9565</v>
      </c>
      <c r="D769" t="s">
        <v>9565</v>
      </c>
      <c r="E769" t="s">
        <v>9565</v>
      </c>
    </row>
    <row r="770" spans="1:5" hidden="1">
      <c r="A770" t="s">
        <v>465</v>
      </c>
      <c r="B770" t="s">
        <v>466</v>
      </c>
      <c r="C770" t="s">
        <v>9565</v>
      </c>
      <c r="D770" t="s">
        <v>9565</v>
      </c>
      <c r="E770" t="s">
        <v>9565</v>
      </c>
    </row>
    <row r="771" spans="1:5" hidden="1">
      <c r="A771" t="s">
        <v>10908</v>
      </c>
      <c r="B771" t="s">
        <v>10909</v>
      </c>
      <c r="C771" t="s">
        <v>9565</v>
      </c>
      <c r="D771" t="s">
        <v>9565</v>
      </c>
      <c r="E771" t="s">
        <v>9565</v>
      </c>
    </row>
    <row r="772" spans="1:5" hidden="1">
      <c r="A772" t="s">
        <v>10910</v>
      </c>
      <c r="B772" t="s">
        <v>10911</v>
      </c>
      <c r="C772" t="s">
        <v>9565</v>
      </c>
      <c r="D772" t="s">
        <v>9565</v>
      </c>
      <c r="E772" t="s">
        <v>9565</v>
      </c>
    </row>
    <row r="773" spans="1:5" hidden="1">
      <c r="A773" t="s">
        <v>10912</v>
      </c>
      <c r="B773" t="s">
        <v>10913</v>
      </c>
      <c r="C773" t="s">
        <v>9565</v>
      </c>
      <c r="D773" t="s">
        <v>9565</v>
      </c>
      <c r="E773" t="s">
        <v>9565</v>
      </c>
    </row>
    <row r="774" spans="1:5" hidden="1">
      <c r="A774" t="s">
        <v>10914</v>
      </c>
      <c r="B774" t="s">
        <v>10915</v>
      </c>
      <c r="C774" t="s">
        <v>9565</v>
      </c>
      <c r="D774" t="s">
        <v>9565</v>
      </c>
      <c r="E774" t="s">
        <v>9565</v>
      </c>
    </row>
    <row r="775" spans="1:5" hidden="1">
      <c r="A775" t="s">
        <v>10916</v>
      </c>
      <c r="B775" t="s">
        <v>10917</v>
      </c>
      <c r="C775" t="s">
        <v>9565</v>
      </c>
      <c r="D775" t="s">
        <v>9565</v>
      </c>
      <c r="E775" t="s">
        <v>9565</v>
      </c>
    </row>
    <row r="776" spans="1:5" hidden="1">
      <c r="A776" t="s">
        <v>10918</v>
      </c>
      <c r="B776" t="s">
        <v>10919</v>
      </c>
      <c r="C776" t="s">
        <v>9565</v>
      </c>
      <c r="D776" t="s">
        <v>9565</v>
      </c>
      <c r="E776" t="s">
        <v>9565</v>
      </c>
    </row>
    <row r="777" spans="1:5" hidden="1">
      <c r="A777" t="s">
        <v>10920</v>
      </c>
      <c r="B777" t="s">
        <v>10921</v>
      </c>
      <c r="C777" t="s">
        <v>9565</v>
      </c>
      <c r="D777" t="s">
        <v>9565</v>
      </c>
      <c r="E777" t="s">
        <v>9565</v>
      </c>
    </row>
    <row r="778" spans="1:5" hidden="1">
      <c r="A778" t="s">
        <v>10922</v>
      </c>
      <c r="B778" t="s">
        <v>10923</v>
      </c>
      <c r="C778" t="s">
        <v>9565</v>
      </c>
      <c r="D778" t="s">
        <v>9565</v>
      </c>
      <c r="E778" t="s">
        <v>9565</v>
      </c>
    </row>
    <row r="779" spans="1:5" hidden="1">
      <c r="A779" t="s">
        <v>10924</v>
      </c>
      <c r="B779" t="s">
        <v>10925</v>
      </c>
      <c r="C779" t="s">
        <v>9565</v>
      </c>
      <c r="D779" t="s">
        <v>9565</v>
      </c>
      <c r="E779" t="s">
        <v>9565</v>
      </c>
    </row>
    <row r="780" spans="1:5" hidden="1">
      <c r="A780" t="s">
        <v>453</v>
      </c>
      <c r="B780" t="s">
        <v>454</v>
      </c>
      <c r="C780" t="s">
        <v>9565</v>
      </c>
      <c r="D780" t="s">
        <v>9565</v>
      </c>
      <c r="E780" t="s">
        <v>9565</v>
      </c>
    </row>
    <row r="781" spans="1:5" hidden="1">
      <c r="A781" t="s">
        <v>10926</v>
      </c>
      <c r="B781" t="s">
        <v>10927</v>
      </c>
      <c r="C781" t="s">
        <v>9565</v>
      </c>
      <c r="D781" t="s">
        <v>9565</v>
      </c>
      <c r="E781" t="s">
        <v>9565</v>
      </c>
    </row>
    <row r="782" spans="1:5" hidden="1">
      <c r="A782" t="s">
        <v>10928</v>
      </c>
      <c r="B782" t="s">
        <v>10929</v>
      </c>
      <c r="C782" t="s">
        <v>9565</v>
      </c>
      <c r="D782" t="s">
        <v>9565</v>
      </c>
      <c r="E782" t="s">
        <v>9565</v>
      </c>
    </row>
    <row r="783" spans="1:5" hidden="1">
      <c r="A783" t="s">
        <v>10930</v>
      </c>
      <c r="B783" t="s">
        <v>10931</v>
      </c>
      <c r="C783" t="s">
        <v>9565</v>
      </c>
      <c r="D783" t="s">
        <v>9565</v>
      </c>
      <c r="E783" t="s">
        <v>9565</v>
      </c>
    </row>
    <row r="784" spans="1:5" hidden="1">
      <c r="A784" t="s">
        <v>10932</v>
      </c>
      <c r="B784" t="s">
        <v>10933</v>
      </c>
      <c r="C784" t="s">
        <v>9565</v>
      </c>
      <c r="D784" t="s">
        <v>9565</v>
      </c>
      <c r="E784" t="s">
        <v>9565</v>
      </c>
    </row>
    <row r="785" spans="1:5" hidden="1">
      <c r="A785" t="s">
        <v>10934</v>
      </c>
      <c r="B785" t="s">
        <v>10935</v>
      </c>
      <c r="C785" t="s">
        <v>9565</v>
      </c>
      <c r="D785" t="s">
        <v>9565</v>
      </c>
      <c r="E785" t="s">
        <v>9565</v>
      </c>
    </row>
    <row r="786" spans="1:5" hidden="1">
      <c r="A786" t="s">
        <v>10936</v>
      </c>
      <c r="B786" t="s">
        <v>10937</v>
      </c>
      <c r="C786" t="s">
        <v>9565</v>
      </c>
      <c r="D786" t="s">
        <v>9565</v>
      </c>
      <c r="E786" t="s">
        <v>9565</v>
      </c>
    </row>
    <row r="787" spans="1:5" hidden="1">
      <c r="A787" t="s">
        <v>10938</v>
      </c>
      <c r="B787" t="s">
        <v>10939</v>
      </c>
      <c r="C787" t="s">
        <v>9565</v>
      </c>
      <c r="D787" t="s">
        <v>9565</v>
      </c>
      <c r="E787" t="s">
        <v>9565</v>
      </c>
    </row>
    <row r="788" spans="1:5" hidden="1">
      <c r="A788" t="s">
        <v>10940</v>
      </c>
      <c r="B788" t="s">
        <v>10941</v>
      </c>
      <c r="C788" t="s">
        <v>9565</v>
      </c>
      <c r="D788" t="s">
        <v>9565</v>
      </c>
      <c r="E788" t="s">
        <v>9565</v>
      </c>
    </row>
    <row r="789" spans="1:5" hidden="1">
      <c r="A789" t="s">
        <v>456</v>
      </c>
      <c r="B789" t="s">
        <v>457</v>
      </c>
      <c r="C789" t="s">
        <v>9565</v>
      </c>
      <c r="D789" t="s">
        <v>9565</v>
      </c>
      <c r="E789" t="s">
        <v>9565</v>
      </c>
    </row>
    <row r="790" spans="1:5" hidden="1">
      <c r="A790" t="s">
        <v>10942</v>
      </c>
      <c r="B790" t="s">
        <v>10943</v>
      </c>
      <c r="C790" t="s">
        <v>9565</v>
      </c>
      <c r="D790" t="s">
        <v>9565</v>
      </c>
      <c r="E790" t="s">
        <v>9565</v>
      </c>
    </row>
    <row r="791" spans="1:5" hidden="1">
      <c r="A791" t="s">
        <v>474</v>
      </c>
      <c r="B791" t="s">
        <v>475</v>
      </c>
      <c r="C791" t="s">
        <v>9565</v>
      </c>
      <c r="D791" t="s">
        <v>9565</v>
      </c>
      <c r="E791" t="s">
        <v>9565</v>
      </c>
    </row>
    <row r="792" spans="1:5" hidden="1">
      <c r="A792" t="s">
        <v>459</v>
      </c>
      <c r="B792" t="s">
        <v>460</v>
      </c>
      <c r="C792" t="s">
        <v>9565</v>
      </c>
      <c r="D792" t="s">
        <v>9565</v>
      </c>
      <c r="E792" t="s">
        <v>9565</v>
      </c>
    </row>
    <row r="793" spans="1:5" hidden="1">
      <c r="A793" t="s">
        <v>462</v>
      </c>
      <c r="B793" t="s">
        <v>463</v>
      </c>
      <c r="C793" t="s">
        <v>9565</v>
      </c>
      <c r="D793" t="s">
        <v>9565</v>
      </c>
      <c r="E793" t="s">
        <v>9565</v>
      </c>
    </row>
    <row r="794" spans="1:5" hidden="1">
      <c r="A794" t="s">
        <v>10944</v>
      </c>
      <c r="B794" t="s">
        <v>10945</v>
      </c>
      <c r="C794" t="s">
        <v>9565</v>
      </c>
      <c r="D794" t="s">
        <v>9565</v>
      </c>
      <c r="E794" t="s">
        <v>9565</v>
      </c>
    </row>
    <row r="795" spans="1:5" hidden="1">
      <c r="A795" t="s">
        <v>10946</v>
      </c>
      <c r="B795" t="s">
        <v>10947</v>
      </c>
      <c r="C795" t="s">
        <v>9565</v>
      </c>
      <c r="D795" t="s">
        <v>9565</v>
      </c>
      <c r="E795" t="s">
        <v>9565</v>
      </c>
    </row>
    <row r="796" spans="1:5" hidden="1">
      <c r="A796" t="s">
        <v>10948</v>
      </c>
      <c r="B796" t="s">
        <v>10949</v>
      </c>
      <c r="C796" t="s">
        <v>9565</v>
      </c>
      <c r="D796" t="s">
        <v>9565</v>
      </c>
      <c r="E796" t="s">
        <v>9565</v>
      </c>
    </row>
    <row r="797" spans="1:5" hidden="1">
      <c r="A797" t="s">
        <v>374</v>
      </c>
      <c r="B797" t="s">
        <v>375</v>
      </c>
      <c r="C797" t="s">
        <v>9565</v>
      </c>
      <c r="D797" t="s">
        <v>9565</v>
      </c>
      <c r="E797" t="s">
        <v>9565</v>
      </c>
    </row>
    <row r="798" spans="1:5" hidden="1">
      <c r="A798" t="s">
        <v>371</v>
      </c>
      <c r="B798" t="s">
        <v>372</v>
      </c>
      <c r="C798" t="s">
        <v>9565</v>
      </c>
      <c r="D798" t="s">
        <v>9565</v>
      </c>
      <c r="E798" t="s">
        <v>9565</v>
      </c>
    </row>
    <row r="799" spans="1:5" hidden="1">
      <c r="A799" t="s">
        <v>380</v>
      </c>
      <c r="B799" t="s">
        <v>381</v>
      </c>
      <c r="C799" t="s">
        <v>9565</v>
      </c>
      <c r="D799" t="s">
        <v>9565</v>
      </c>
      <c r="E799" t="s">
        <v>9565</v>
      </c>
    </row>
    <row r="800" spans="1:5" hidden="1">
      <c r="A800" t="s">
        <v>377</v>
      </c>
      <c r="B800" t="s">
        <v>378</v>
      </c>
      <c r="C800" t="s">
        <v>9565</v>
      </c>
      <c r="D800" t="s">
        <v>9565</v>
      </c>
      <c r="E800" t="s">
        <v>9565</v>
      </c>
    </row>
    <row r="801" spans="1:5" hidden="1">
      <c r="A801" t="s">
        <v>383</v>
      </c>
      <c r="B801" t="s">
        <v>384</v>
      </c>
      <c r="C801" t="s">
        <v>9565</v>
      </c>
      <c r="D801" t="s">
        <v>9565</v>
      </c>
      <c r="E801" t="s">
        <v>9565</v>
      </c>
    </row>
    <row r="802" spans="1:5" hidden="1">
      <c r="A802" t="s">
        <v>10950</v>
      </c>
      <c r="B802" t="s">
        <v>10951</v>
      </c>
      <c r="C802" t="s">
        <v>9565</v>
      </c>
      <c r="D802" t="s">
        <v>9565</v>
      </c>
      <c r="E802" t="s">
        <v>9565</v>
      </c>
    </row>
    <row r="803" spans="1:5" hidden="1">
      <c r="A803" t="s">
        <v>10952</v>
      </c>
      <c r="B803" t="s">
        <v>10953</v>
      </c>
      <c r="C803" t="s">
        <v>9565</v>
      </c>
      <c r="D803" t="s">
        <v>9565</v>
      </c>
      <c r="E803" t="s">
        <v>9565</v>
      </c>
    </row>
    <row r="804" spans="1:5" hidden="1">
      <c r="A804" t="s">
        <v>10954</v>
      </c>
      <c r="B804" t="s">
        <v>10955</v>
      </c>
      <c r="C804" t="s">
        <v>9565</v>
      </c>
      <c r="D804" t="s">
        <v>9565</v>
      </c>
      <c r="E804" t="s">
        <v>9565</v>
      </c>
    </row>
    <row r="805" spans="1:5" hidden="1">
      <c r="A805" t="s">
        <v>449</v>
      </c>
      <c r="B805" t="s">
        <v>450</v>
      </c>
      <c r="C805" t="s">
        <v>9565</v>
      </c>
      <c r="D805" t="s">
        <v>9565</v>
      </c>
      <c r="E805" t="s">
        <v>9565</v>
      </c>
    </row>
    <row r="806" spans="1:5" hidden="1">
      <c r="A806" t="s">
        <v>10956</v>
      </c>
      <c r="B806" t="s">
        <v>10957</v>
      </c>
      <c r="C806" t="s">
        <v>9565</v>
      </c>
      <c r="D806" t="s">
        <v>9565</v>
      </c>
      <c r="E806" t="s">
        <v>9565</v>
      </c>
    </row>
    <row r="807" spans="1:5" hidden="1">
      <c r="A807" t="s">
        <v>10958</v>
      </c>
      <c r="B807" t="s">
        <v>10959</v>
      </c>
      <c r="C807" t="s">
        <v>9565</v>
      </c>
      <c r="D807" t="s">
        <v>9565</v>
      </c>
      <c r="E807" t="s">
        <v>9565</v>
      </c>
    </row>
    <row r="808" spans="1:5" hidden="1">
      <c r="A808" t="s">
        <v>10960</v>
      </c>
      <c r="B808" t="s">
        <v>10961</v>
      </c>
      <c r="C808" t="s">
        <v>9565</v>
      </c>
      <c r="D808" t="s">
        <v>9565</v>
      </c>
      <c r="E808" t="s">
        <v>9565</v>
      </c>
    </row>
    <row r="809" spans="1:5" hidden="1">
      <c r="A809" t="s">
        <v>10962</v>
      </c>
      <c r="B809" t="s">
        <v>12949</v>
      </c>
      <c r="C809" t="s">
        <v>9565</v>
      </c>
      <c r="D809" t="s">
        <v>9565</v>
      </c>
      <c r="E809" t="s">
        <v>9565</v>
      </c>
    </row>
    <row r="810" spans="1:5" hidden="1">
      <c r="A810" t="s">
        <v>10963</v>
      </c>
      <c r="B810" t="s">
        <v>10964</v>
      </c>
      <c r="C810" t="s">
        <v>9565</v>
      </c>
      <c r="D810" t="s">
        <v>9565</v>
      </c>
      <c r="E810" t="s">
        <v>9565</v>
      </c>
    </row>
    <row r="811" spans="1:5" hidden="1">
      <c r="A811" t="s">
        <v>10965</v>
      </c>
      <c r="B811" t="s">
        <v>10966</v>
      </c>
      <c r="C811" t="s">
        <v>9565</v>
      </c>
      <c r="D811" t="s">
        <v>9565</v>
      </c>
      <c r="E811" t="s">
        <v>9565</v>
      </c>
    </row>
    <row r="812" spans="1:5" hidden="1">
      <c r="A812" t="s">
        <v>10967</v>
      </c>
      <c r="B812" t="s">
        <v>10968</v>
      </c>
      <c r="C812" t="s">
        <v>9565</v>
      </c>
      <c r="D812" t="s">
        <v>9565</v>
      </c>
      <c r="E812" t="s">
        <v>9565</v>
      </c>
    </row>
    <row r="813" spans="1:5" hidden="1">
      <c r="A813" t="s">
        <v>10969</v>
      </c>
      <c r="B813" t="s">
        <v>10970</v>
      </c>
      <c r="C813" t="s">
        <v>9565</v>
      </c>
      <c r="D813" t="s">
        <v>9565</v>
      </c>
      <c r="E813" t="s">
        <v>9565</v>
      </c>
    </row>
    <row r="814" spans="1:5" hidden="1">
      <c r="A814" t="s">
        <v>10971</v>
      </c>
      <c r="B814" t="s">
        <v>10972</v>
      </c>
      <c r="C814" t="s">
        <v>9565</v>
      </c>
      <c r="D814" t="s">
        <v>9565</v>
      </c>
      <c r="E814" t="s">
        <v>9565</v>
      </c>
    </row>
    <row r="815" spans="1:5" hidden="1">
      <c r="A815" t="s">
        <v>386</v>
      </c>
      <c r="B815" t="s">
        <v>387</v>
      </c>
      <c r="C815" t="s">
        <v>9565</v>
      </c>
      <c r="D815" t="s">
        <v>9565</v>
      </c>
      <c r="E815" t="s">
        <v>9565</v>
      </c>
    </row>
    <row r="816" spans="1:5" hidden="1">
      <c r="A816" t="s">
        <v>10973</v>
      </c>
      <c r="B816" t="s">
        <v>10974</v>
      </c>
      <c r="C816" t="s">
        <v>9565</v>
      </c>
      <c r="D816" t="s">
        <v>9565</v>
      </c>
      <c r="E816" t="s">
        <v>9565</v>
      </c>
    </row>
    <row r="817" spans="1:5" hidden="1">
      <c r="A817" t="s">
        <v>10975</v>
      </c>
      <c r="B817" t="s">
        <v>10976</v>
      </c>
      <c r="C817" t="s">
        <v>9565</v>
      </c>
      <c r="D817" t="s">
        <v>9565</v>
      </c>
      <c r="E817" t="s">
        <v>9565</v>
      </c>
    </row>
    <row r="818" spans="1:5" hidden="1">
      <c r="A818" t="s">
        <v>10977</v>
      </c>
      <c r="B818" t="s">
        <v>10978</v>
      </c>
      <c r="C818" t="s">
        <v>9565</v>
      </c>
      <c r="D818" t="s">
        <v>9565</v>
      </c>
      <c r="E818" t="s">
        <v>9565</v>
      </c>
    </row>
    <row r="819" spans="1:5" hidden="1">
      <c r="A819" t="s">
        <v>368</v>
      </c>
      <c r="B819" t="s">
        <v>369</v>
      </c>
      <c r="C819" t="s">
        <v>9565</v>
      </c>
      <c r="D819" t="s">
        <v>9565</v>
      </c>
      <c r="E819" t="s">
        <v>9565</v>
      </c>
    </row>
    <row r="820" spans="1:5" hidden="1">
      <c r="A820" t="s">
        <v>10979</v>
      </c>
      <c r="B820" t="s">
        <v>10980</v>
      </c>
      <c r="C820" t="s">
        <v>9565</v>
      </c>
      <c r="D820" t="s">
        <v>9565</v>
      </c>
      <c r="E820" t="s">
        <v>9565</v>
      </c>
    </row>
    <row r="821" spans="1:5" hidden="1">
      <c r="A821" t="s">
        <v>10981</v>
      </c>
      <c r="B821" t="s">
        <v>10982</v>
      </c>
      <c r="C821" t="s">
        <v>9565</v>
      </c>
      <c r="D821" t="s">
        <v>9565</v>
      </c>
      <c r="E821" t="s">
        <v>9565</v>
      </c>
    </row>
    <row r="822" spans="1:5" hidden="1">
      <c r="A822" t="s">
        <v>389</v>
      </c>
      <c r="B822" t="s">
        <v>390</v>
      </c>
      <c r="C822" t="s">
        <v>9565</v>
      </c>
      <c r="D822" t="s">
        <v>9565</v>
      </c>
      <c r="E822" t="s">
        <v>9565</v>
      </c>
    </row>
    <row r="823" spans="1:5" hidden="1">
      <c r="A823" t="s">
        <v>10983</v>
      </c>
      <c r="B823" t="s">
        <v>10984</v>
      </c>
      <c r="C823" t="s">
        <v>9565</v>
      </c>
      <c r="D823" t="s">
        <v>9565</v>
      </c>
      <c r="E823" t="s">
        <v>9565</v>
      </c>
    </row>
    <row r="824" spans="1:5" hidden="1">
      <c r="A824" t="s">
        <v>10985</v>
      </c>
      <c r="B824" t="s">
        <v>10986</v>
      </c>
      <c r="C824" t="s">
        <v>9565</v>
      </c>
      <c r="D824" t="s">
        <v>9565</v>
      </c>
      <c r="E824" t="s">
        <v>9565</v>
      </c>
    </row>
    <row r="825" spans="1:5" hidden="1">
      <c r="A825" t="s">
        <v>398</v>
      </c>
      <c r="B825" t="s">
        <v>399</v>
      </c>
      <c r="C825" t="s">
        <v>9565</v>
      </c>
      <c r="D825" t="s">
        <v>9565</v>
      </c>
      <c r="E825" t="s">
        <v>9565</v>
      </c>
    </row>
    <row r="826" spans="1:5" hidden="1">
      <c r="A826" t="s">
        <v>443</v>
      </c>
      <c r="B826" t="s">
        <v>444</v>
      </c>
      <c r="C826" t="s">
        <v>9565</v>
      </c>
      <c r="D826" t="s">
        <v>9565</v>
      </c>
      <c r="E826" t="s">
        <v>9565</v>
      </c>
    </row>
    <row r="827" spans="1:5" hidden="1">
      <c r="A827" t="s">
        <v>10987</v>
      </c>
      <c r="B827" t="s">
        <v>10988</v>
      </c>
      <c r="C827" t="s">
        <v>9565</v>
      </c>
      <c r="D827" t="s">
        <v>9565</v>
      </c>
      <c r="E827" t="s">
        <v>9565</v>
      </c>
    </row>
    <row r="828" spans="1:5" hidden="1">
      <c r="A828" t="s">
        <v>437</v>
      </c>
      <c r="B828" t="s">
        <v>438</v>
      </c>
      <c r="C828" t="s">
        <v>9565</v>
      </c>
      <c r="D828" t="s">
        <v>9565</v>
      </c>
      <c r="E828" t="s">
        <v>9565</v>
      </c>
    </row>
    <row r="829" spans="1:5" hidden="1">
      <c r="A829" t="s">
        <v>10989</v>
      </c>
      <c r="B829" t="s">
        <v>10990</v>
      </c>
      <c r="C829" t="s">
        <v>9565</v>
      </c>
      <c r="D829" t="s">
        <v>9565</v>
      </c>
      <c r="E829" t="s">
        <v>9565</v>
      </c>
    </row>
    <row r="830" spans="1:5" hidden="1">
      <c r="A830" t="s">
        <v>10991</v>
      </c>
      <c r="B830" t="s">
        <v>10992</v>
      </c>
      <c r="C830" t="s">
        <v>9565</v>
      </c>
      <c r="D830" t="s">
        <v>9565</v>
      </c>
      <c r="E830" t="s">
        <v>9565</v>
      </c>
    </row>
    <row r="831" spans="1:5" hidden="1">
      <c r="A831" t="s">
        <v>401</v>
      </c>
      <c r="B831" t="s">
        <v>402</v>
      </c>
      <c r="C831" t="s">
        <v>9565</v>
      </c>
      <c r="D831" t="s">
        <v>9565</v>
      </c>
      <c r="E831" t="s">
        <v>9565</v>
      </c>
    </row>
    <row r="832" spans="1:5" hidden="1">
      <c r="A832" t="s">
        <v>10993</v>
      </c>
      <c r="B832" t="s">
        <v>10994</v>
      </c>
      <c r="C832" t="s">
        <v>9565</v>
      </c>
      <c r="D832" t="s">
        <v>9565</v>
      </c>
      <c r="E832" t="s">
        <v>9565</v>
      </c>
    </row>
    <row r="833" spans="1:5" hidden="1">
      <c r="A833" t="s">
        <v>428</v>
      </c>
      <c r="B833" t="s">
        <v>429</v>
      </c>
      <c r="C833" t="s">
        <v>9565</v>
      </c>
      <c r="D833" t="s">
        <v>9565</v>
      </c>
      <c r="E833" t="s">
        <v>9565</v>
      </c>
    </row>
    <row r="834" spans="1:5" hidden="1">
      <c r="A834" t="s">
        <v>395</v>
      </c>
      <c r="B834" t="s">
        <v>396</v>
      </c>
      <c r="C834" t="s">
        <v>9565</v>
      </c>
      <c r="D834" t="s">
        <v>9565</v>
      </c>
      <c r="E834" t="s">
        <v>9565</v>
      </c>
    </row>
    <row r="835" spans="1:5" hidden="1">
      <c r="A835" t="s">
        <v>446</v>
      </c>
      <c r="B835" t="s">
        <v>447</v>
      </c>
      <c r="C835" t="s">
        <v>9565</v>
      </c>
      <c r="D835" t="s">
        <v>9565</v>
      </c>
      <c r="E835" t="s">
        <v>9565</v>
      </c>
    </row>
    <row r="836" spans="1:5" hidden="1">
      <c r="A836" t="s">
        <v>431</v>
      </c>
      <c r="B836" t="s">
        <v>432</v>
      </c>
      <c r="C836" t="s">
        <v>9565</v>
      </c>
      <c r="D836" t="s">
        <v>9565</v>
      </c>
      <c r="E836" t="s">
        <v>9565</v>
      </c>
    </row>
    <row r="837" spans="1:5" hidden="1">
      <c r="A837" s="15" t="s">
        <v>10995</v>
      </c>
      <c r="B837" t="s">
        <v>10996</v>
      </c>
      <c r="C837" t="s">
        <v>9565</v>
      </c>
      <c r="D837" t="s">
        <v>9565</v>
      </c>
      <c r="E837" t="s">
        <v>9565</v>
      </c>
    </row>
    <row r="838" spans="1:5" hidden="1">
      <c r="A838" t="s">
        <v>10997</v>
      </c>
      <c r="B838" t="s">
        <v>10998</v>
      </c>
      <c r="C838" t="s">
        <v>9565</v>
      </c>
      <c r="D838" t="s">
        <v>9565</v>
      </c>
      <c r="E838" t="s">
        <v>9565</v>
      </c>
    </row>
    <row r="839" spans="1:5" hidden="1">
      <c r="A839" t="s">
        <v>440</v>
      </c>
      <c r="B839" t="s">
        <v>441</v>
      </c>
      <c r="C839" t="s">
        <v>9565</v>
      </c>
      <c r="D839" t="s">
        <v>9565</v>
      </c>
      <c r="E839" t="s">
        <v>9565</v>
      </c>
    </row>
    <row r="840" spans="1:5" hidden="1">
      <c r="A840" t="s">
        <v>10999</v>
      </c>
      <c r="B840" t="s">
        <v>11000</v>
      </c>
      <c r="C840" t="s">
        <v>9565</v>
      </c>
      <c r="D840" t="s">
        <v>9565</v>
      </c>
      <c r="E840" t="s">
        <v>9565</v>
      </c>
    </row>
    <row r="841" spans="1:5" hidden="1">
      <c r="A841" t="s">
        <v>11001</v>
      </c>
      <c r="B841" t="s">
        <v>11002</v>
      </c>
      <c r="C841" t="s">
        <v>9565</v>
      </c>
      <c r="D841" t="s">
        <v>9565</v>
      </c>
      <c r="E841" t="s">
        <v>9565</v>
      </c>
    </row>
    <row r="842" spans="1:5" hidden="1">
      <c r="A842" t="s">
        <v>404</v>
      </c>
      <c r="B842" t="s">
        <v>405</v>
      </c>
      <c r="C842" t="s">
        <v>9565</v>
      </c>
      <c r="D842" t="s">
        <v>9565</v>
      </c>
      <c r="E842" t="s">
        <v>9565</v>
      </c>
    </row>
    <row r="843" spans="1:5" hidden="1">
      <c r="A843" t="s">
        <v>407</v>
      </c>
      <c r="B843" t="s">
        <v>408</v>
      </c>
      <c r="C843" t="s">
        <v>9565</v>
      </c>
      <c r="D843" t="s">
        <v>9565</v>
      </c>
      <c r="E843" t="s">
        <v>9565</v>
      </c>
    </row>
    <row r="844" spans="1:5" hidden="1">
      <c r="A844" t="s">
        <v>410</v>
      </c>
      <c r="B844" t="s">
        <v>411</v>
      </c>
      <c r="C844" t="s">
        <v>9565</v>
      </c>
      <c r="D844" t="s">
        <v>9565</v>
      </c>
      <c r="E844" t="s">
        <v>9565</v>
      </c>
    </row>
    <row r="845" spans="1:5" hidden="1">
      <c r="A845" t="s">
        <v>11003</v>
      </c>
      <c r="B845" t="s">
        <v>11004</v>
      </c>
      <c r="C845" t="s">
        <v>9574</v>
      </c>
      <c r="D845" t="s">
        <v>9574</v>
      </c>
      <c r="E845" t="s">
        <v>9574</v>
      </c>
    </row>
    <row r="846" spans="1:5" hidden="1">
      <c r="A846" t="s">
        <v>11005</v>
      </c>
      <c r="B846" t="s">
        <v>11006</v>
      </c>
      <c r="C846" t="s">
        <v>9574</v>
      </c>
      <c r="D846" t="s">
        <v>9574</v>
      </c>
      <c r="E846" t="s">
        <v>9574</v>
      </c>
    </row>
    <row r="847" spans="1:5" hidden="1">
      <c r="A847" t="s">
        <v>11007</v>
      </c>
      <c r="B847" t="s">
        <v>11008</v>
      </c>
      <c r="C847" t="s">
        <v>9574</v>
      </c>
      <c r="D847" t="s">
        <v>9574</v>
      </c>
      <c r="E847" t="s">
        <v>9574</v>
      </c>
    </row>
    <row r="848" spans="1:5" hidden="1">
      <c r="A848" t="s">
        <v>11009</v>
      </c>
      <c r="B848" t="s">
        <v>11010</v>
      </c>
      <c r="C848" t="s">
        <v>9574</v>
      </c>
      <c r="D848" t="s">
        <v>9574</v>
      </c>
      <c r="E848" t="s">
        <v>9574</v>
      </c>
    </row>
    <row r="849" spans="1:5" hidden="1">
      <c r="A849" t="s">
        <v>11011</v>
      </c>
      <c r="B849" t="s">
        <v>11012</v>
      </c>
      <c r="C849" t="s">
        <v>9574</v>
      </c>
      <c r="D849" t="s">
        <v>9574</v>
      </c>
      <c r="E849" t="s">
        <v>9574</v>
      </c>
    </row>
    <row r="850" spans="1:5" hidden="1">
      <c r="A850" t="s">
        <v>11013</v>
      </c>
      <c r="B850" t="s">
        <v>11014</v>
      </c>
      <c r="C850" t="s">
        <v>9574</v>
      </c>
      <c r="D850" t="s">
        <v>9574</v>
      </c>
      <c r="E850" t="s">
        <v>9574</v>
      </c>
    </row>
    <row r="851" spans="1:5" hidden="1">
      <c r="A851" t="s">
        <v>11015</v>
      </c>
      <c r="B851" t="s">
        <v>11016</v>
      </c>
      <c r="C851" t="s">
        <v>9574</v>
      </c>
      <c r="D851" t="s">
        <v>9574</v>
      </c>
      <c r="E851" t="s">
        <v>9574</v>
      </c>
    </row>
    <row r="852" spans="1:5" hidden="1">
      <c r="A852" t="s">
        <v>11017</v>
      </c>
      <c r="B852" t="s">
        <v>11018</v>
      </c>
      <c r="C852" t="s">
        <v>9574</v>
      </c>
      <c r="D852" t="s">
        <v>9574</v>
      </c>
      <c r="E852" t="s">
        <v>9574</v>
      </c>
    </row>
    <row r="853" spans="1:5" hidden="1">
      <c r="A853" t="s">
        <v>11019</v>
      </c>
      <c r="B853" t="s">
        <v>11020</v>
      </c>
      <c r="C853" t="s">
        <v>9565</v>
      </c>
      <c r="D853" t="s">
        <v>9565</v>
      </c>
      <c r="E853" t="s">
        <v>9565</v>
      </c>
    </row>
    <row r="854" spans="1:5" hidden="1">
      <c r="A854" t="s">
        <v>11021</v>
      </c>
      <c r="B854" t="s">
        <v>11022</v>
      </c>
      <c r="C854" t="s">
        <v>9574</v>
      </c>
      <c r="D854" t="s">
        <v>9574</v>
      </c>
      <c r="E854" t="s">
        <v>9574</v>
      </c>
    </row>
    <row r="855" spans="1:5" hidden="1">
      <c r="A855" t="s">
        <v>11023</v>
      </c>
      <c r="B855" t="s">
        <v>11024</v>
      </c>
      <c r="C855" t="s">
        <v>9574</v>
      </c>
      <c r="D855" t="s">
        <v>9574</v>
      </c>
      <c r="E855" t="s">
        <v>9574</v>
      </c>
    </row>
    <row r="856" spans="1:5" hidden="1">
      <c r="A856" t="s">
        <v>11025</v>
      </c>
      <c r="B856" t="s">
        <v>11026</v>
      </c>
      <c r="C856" t="s">
        <v>9565</v>
      </c>
      <c r="D856" t="s">
        <v>9565</v>
      </c>
      <c r="E856" t="s">
        <v>9565</v>
      </c>
    </row>
    <row r="857" spans="1:5" hidden="1">
      <c r="A857" t="s">
        <v>11027</v>
      </c>
      <c r="B857" t="s">
        <v>11028</v>
      </c>
      <c r="C857" t="s">
        <v>9574</v>
      </c>
      <c r="D857" t="s">
        <v>9574</v>
      </c>
      <c r="E857" t="s">
        <v>9574</v>
      </c>
    </row>
    <row r="858" spans="1:5" hidden="1">
      <c r="A858" t="s">
        <v>11029</v>
      </c>
      <c r="B858" t="s">
        <v>11030</v>
      </c>
      <c r="C858" t="s">
        <v>9565</v>
      </c>
      <c r="D858" t="s">
        <v>9565</v>
      </c>
      <c r="E858" t="s">
        <v>9565</v>
      </c>
    </row>
    <row r="859" spans="1:5" hidden="1">
      <c r="A859" t="s">
        <v>11031</v>
      </c>
      <c r="B859" t="s">
        <v>11032</v>
      </c>
      <c r="C859" t="s">
        <v>9574</v>
      </c>
      <c r="D859" t="s">
        <v>9574</v>
      </c>
      <c r="E859" t="s">
        <v>9574</v>
      </c>
    </row>
    <row r="860" spans="1:5" hidden="1">
      <c r="A860" t="s">
        <v>11033</v>
      </c>
      <c r="B860" t="s">
        <v>11034</v>
      </c>
      <c r="C860" t="s">
        <v>9574</v>
      </c>
      <c r="D860" t="s">
        <v>9574</v>
      </c>
      <c r="E860" t="s">
        <v>9601</v>
      </c>
    </row>
    <row r="861" spans="1:5" hidden="1">
      <c r="A861" t="s">
        <v>365</v>
      </c>
      <c r="B861" t="s">
        <v>11035</v>
      </c>
      <c r="C861" t="s">
        <v>9574</v>
      </c>
      <c r="D861" t="s">
        <v>9574</v>
      </c>
      <c r="E861" t="s">
        <v>9574</v>
      </c>
    </row>
    <row r="862" spans="1:5" hidden="1">
      <c r="A862" t="s">
        <v>11036</v>
      </c>
      <c r="B862" t="s">
        <v>11037</v>
      </c>
      <c r="C862" t="s">
        <v>9574</v>
      </c>
      <c r="D862" t="s">
        <v>9574</v>
      </c>
      <c r="E862" t="s">
        <v>9549</v>
      </c>
    </row>
    <row r="863" spans="1:5" hidden="1">
      <c r="A863" t="s">
        <v>11038</v>
      </c>
      <c r="B863" t="s">
        <v>11039</v>
      </c>
      <c r="C863" t="s">
        <v>9574</v>
      </c>
      <c r="D863" t="s">
        <v>9574</v>
      </c>
      <c r="E863" t="s">
        <v>9549</v>
      </c>
    </row>
    <row r="864" spans="1:5" hidden="1">
      <c r="A864" t="s">
        <v>11040</v>
      </c>
      <c r="B864" t="s">
        <v>11041</v>
      </c>
      <c r="C864" t="s">
        <v>9574</v>
      </c>
      <c r="D864" t="s">
        <v>9574</v>
      </c>
      <c r="E864" t="s">
        <v>9549</v>
      </c>
    </row>
    <row r="865" spans="1:5" hidden="1">
      <c r="A865" t="s">
        <v>11042</v>
      </c>
      <c r="B865" t="s">
        <v>11043</v>
      </c>
      <c r="C865" t="s">
        <v>9574</v>
      </c>
      <c r="D865" t="s">
        <v>9574</v>
      </c>
      <c r="E865" t="s">
        <v>9549</v>
      </c>
    </row>
    <row r="866" spans="1:5" hidden="1">
      <c r="A866" t="s">
        <v>11044</v>
      </c>
      <c r="B866" t="s">
        <v>11045</v>
      </c>
      <c r="C866" t="s">
        <v>9574</v>
      </c>
      <c r="D866" t="s">
        <v>9574</v>
      </c>
      <c r="E866" t="s">
        <v>9549</v>
      </c>
    </row>
    <row r="867" spans="1:5" hidden="1">
      <c r="A867" t="s">
        <v>11046</v>
      </c>
      <c r="B867" t="s">
        <v>11047</v>
      </c>
      <c r="C867" t="s">
        <v>9574</v>
      </c>
      <c r="D867" t="s">
        <v>9574</v>
      </c>
      <c r="E867" t="s">
        <v>9549</v>
      </c>
    </row>
    <row r="868" spans="1:5" hidden="1">
      <c r="A868" t="s">
        <v>11048</v>
      </c>
      <c r="B868" t="s">
        <v>11049</v>
      </c>
      <c r="C868" t="s">
        <v>9574</v>
      </c>
      <c r="D868" t="s">
        <v>9574</v>
      </c>
      <c r="E868" t="s">
        <v>9549</v>
      </c>
    </row>
    <row r="869" spans="1:5" hidden="1">
      <c r="A869" t="s">
        <v>11050</v>
      </c>
      <c r="B869" t="s">
        <v>11051</v>
      </c>
      <c r="C869" t="s">
        <v>9574</v>
      </c>
      <c r="D869" t="s">
        <v>9574</v>
      </c>
      <c r="E869" t="s">
        <v>9549</v>
      </c>
    </row>
    <row r="870" spans="1:5" hidden="1">
      <c r="A870" t="s">
        <v>11052</v>
      </c>
      <c r="B870" t="s">
        <v>11053</v>
      </c>
      <c r="C870" t="s">
        <v>9574</v>
      </c>
      <c r="D870" t="s">
        <v>9574</v>
      </c>
      <c r="E870" t="s">
        <v>9549</v>
      </c>
    </row>
    <row r="871" spans="1:5" hidden="1">
      <c r="A871" t="s">
        <v>11054</v>
      </c>
      <c r="B871" t="s">
        <v>11055</v>
      </c>
      <c r="C871" t="s">
        <v>9574</v>
      </c>
      <c r="D871" t="s">
        <v>9574</v>
      </c>
      <c r="E871" t="s">
        <v>9549</v>
      </c>
    </row>
    <row r="872" spans="1:5" hidden="1">
      <c r="A872" t="s">
        <v>11056</v>
      </c>
      <c r="B872" t="s">
        <v>11057</v>
      </c>
      <c r="C872" t="s">
        <v>9574</v>
      </c>
      <c r="D872" t="s">
        <v>9574</v>
      </c>
      <c r="E872" t="s">
        <v>9549</v>
      </c>
    </row>
    <row r="873" spans="1:5" hidden="1">
      <c r="A873" t="s">
        <v>200</v>
      </c>
      <c r="B873" t="s">
        <v>201</v>
      </c>
      <c r="C873" t="s">
        <v>9574</v>
      </c>
      <c r="D873" t="s">
        <v>9574</v>
      </c>
      <c r="E873" t="s">
        <v>9549</v>
      </c>
    </row>
    <row r="874" spans="1:5" hidden="1">
      <c r="A874" t="s">
        <v>11058</v>
      </c>
      <c r="B874" t="s">
        <v>11059</v>
      </c>
      <c r="C874" t="s">
        <v>9574</v>
      </c>
      <c r="D874" t="s">
        <v>9574</v>
      </c>
      <c r="E874" t="s">
        <v>9549</v>
      </c>
    </row>
    <row r="875" spans="1:5" hidden="1">
      <c r="A875" t="s">
        <v>11060</v>
      </c>
      <c r="B875" t="s">
        <v>11061</v>
      </c>
      <c r="C875" t="s">
        <v>9574</v>
      </c>
      <c r="D875" t="s">
        <v>9574</v>
      </c>
      <c r="E875" t="s">
        <v>9549</v>
      </c>
    </row>
    <row r="876" spans="1:5" hidden="1">
      <c r="A876" t="s">
        <v>11062</v>
      </c>
      <c r="B876" t="s">
        <v>11063</v>
      </c>
      <c r="C876" t="s">
        <v>9574</v>
      </c>
      <c r="D876" t="s">
        <v>9574</v>
      </c>
      <c r="E876" t="s">
        <v>9549</v>
      </c>
    </row>
    <row r="877" spans="1:5" hidden="1">
      <c r="A877" t="s">
        <v>11064</v>
      </c>
      <c r="B877" t="s">
        <v>11065</v>
      </c>
      <c r="C877" t="s">
        <v>9574</v>
      </c>
      <c r="D877" t="s">
        <v>9574</v>
      </c>
      <c r="E877" t="s">
        <v>9549</v>
      </c>
    </row>
    <row r="878" spans="1:5" hidden="1">
      <c r="A878" t="s">
        <v>11066</v>
      </c>
      <c r="B878" t="s">
        <v>11067</v>
      </c>
      <c r="C878" t="s">
        <v>9574</v>
      </c>
      <c r="D878" t="s">
        <v>9574</v>
      </c>
      <c r="E878" t="s">
        <v>9549</v>
      </c>
    </row>
    <row r="879" spans="1:5" hidden="1">
      <c r="A879" t="s">
        <v>11068</v>
      </c>
      <c r="B879" t="s">
        <v>11069</v>
      </c>
      <c r="C879" t="s">
        <v>9574</v>
      </c>
      <c r="D879" t="s">
        <v>9574</v>
      </c>
      <c r="E879" t="s">
        <v>9549</v>
      </c>
    </row>
    <row r="880" spans="1:5" hidden="1">
      <c r="A880" t="s">
        <v>11070</v>
      </c>
      <c r="B880" t="s">
        <v>11071</v>
      </c>
      <c r="C880" t="s">
        <v>9574</v>
      </c>
      <c r="D880" t="s">
        <v>9574</v>
      </c>
      <c r="E880" t="s">
        <v>9549</v>
      </c>
    </row>
    <row r="881" spans="1:5" hidden="1">
      <c r="A881" t="s">
        <v>11072</v>
      </c>
      <c r="B881" t="s">
        <v>11073</v>
      </c>
      <c r="C881" t="s">
        <v>9574</v>
      </c>
      <c r="D881" t="s">
        <v>9574</v>
      </c>
      <c r="E881" t="s">
        <v>9549</v>
      </c>
    </row>
    <row r="882" spans="1:5" hidden="1">
      <c r="A882" t="s">
        <v>11074</v>
      </c>
      <c r="B882" t="s">
        <v>11075</v>
      </c>
      <c r="C882" t="s">
        <v>9574</v>
      </c>
      <c r="D882" t="s">
        <v>9574</v>
      </c>
      <c r="E882" t="s">
        <v>9549</v>
      </c>
    </row>
    <row r="883" spans="1:5" hidden="1">
      <c r="A883" t="s">
        <v>11076</v>
      </c>
      <c r="B883" t="s">
        <v>11077</v>
      </c>
      <c r="C883" t="s">
        <v>9574</v>
      </c>
      <c r="D883" t="s">
        <v>9574</v>
      </c>
      <c r="E883" t="s">
        <v>9549</v>
      </c>
    </row>
    <row r="884" spans="1:5" hidden="1">
      <c r="A884" t="s">
        <v>11078</v>
      </c>
      <c r="B884" t="s">
        <v>11079</v>
      </c>
      <c r="C884" t="s">
        <v>9574</v>
      </c>
      <c r="D884" t="s">
        <v>9574</v>
      </c>
      <c r="E884" t="s">
        <v>9549</v>
      </c>
    </row>
    <row r="885" spans="1:5" hidden="1">
      <c r="A885" t="s">
        <v>11080</v>
      </c>
      <c r="B885" t="s">
        <v>11081</v>
      </c>
      <c r="C885" t="s">
        <v>9574</v>
      </c>
      <c r="D885" t="s">
        <v>9574</v>
      </c>
      <c r="E885" t="s">
        <v>9549</v>
      </c>
    </row>
    <row r="886" spans="1:5" hidden="1">
      <c r="A886" t="s">
        <v>11082</v>
      </c>
      <c r="B886" t="s">
        <v>11083</v>
      </c>
      <c r="C886" t="s">
        <v>9574</v>
      </c>
      <c r="D886" t="s">
        <v>9574</v>
      </c>
      <c r="E886" t="s">
        <v>9549</v>
      </c>
    </row>
    <row r="887" spans="1:5" hidden="1">
      <c r="A887" t="s">
        <v>11084</v>
      </c>
      <c r="B887" t="s">
        <v>11085</v>
      </c>
      <c r="C887" t="s">
        <v>9574</v>
      </c>
      <c r="D887" t="s">
        <v>9574</v>
      </c>
      <c r="E887" t="s">
        <v>9549</v>
      </c>
    </row>
    <row r="888" spans="1:5" hidden="1">
      <c r="A888" t="s">
        <v>11086</v>
      </c>
      <c r="B888" t="s">
        <v>11087</v>
      </c>
      <c r="C888" t="s">
        <v>9574</v>
      </c>
      <c r="D888" t="s">
        <v>9574</v>
      </c>
      <c r="E888" t="s">
        <v>9549</v>
      </c>
    </row>
    <row r="889" spans="1:5" hidden="1">
      <c r="A889" t="s">
        <v>11088</v>
      </c>
      <c r="B889" t="s">
        <v>11089</v>
      </c>
      <c r="C889" t="s">
        <v>9574</v>
      </c>
      <c r="D889" t="s">
        <v>9574</v>
      </c>
      <c r="E889" t="s">
        <v>9549</v>
      </c>
    </row>
    <row r="890" spans="1:5" hidden="1">
      <c r="A890" t="s">
        <v>11090</v>
      </c>
      <c r="B890" t="s">
        <v>11091</v>
      </c>
      <c r="C890" t="s">
        <v>9574</v>
      </c>
      <c r="D890" t="s">
        <v>9574</v>
      </c>
      <c r="E890" t="s">
        <v>9549</v>
      </c>
    </row>
    <row r="891" spans="1:5" hidden="1">
      <c r="A891" t="s">
        <v>11092</v>
      </c>
      <c r="B891" t="s">
        <v>11093</v>
      </c>
      <c r="C891" t="s">
        <v>9574</v>
      </c>
      <c r="D891" t="s">
        <v>9574</v>
      </c>
      <c r="E891" t="s">
        <v>9549</v>
      </c>
    </row>
    <row r="892" spans="1:5" hidden="1">
      <c r="A892" t="s">
        <v>11094</v>
      </c>
      <c r="B892" t="s">
        <v>11095</v>
      </c>
      <c r="C892" t="s">
        <v>9574</v>
      </c>
      <c r="D892" t="s">
        <v>9574</v>
      </c>
      <c r="E892" t="s">
        <v>9549</v>
      </c>
    </row>
    <row r="893" spans="1:5" hidden="1">
      <c r="A893" t="s">
        <v>11096</v>
      </c>
      <c r="B893" t="s">
        <v>11097</v>
      </c>
      <c r="C893" t="s">
        <v>9574</v>
      </c>
      <c r="D893" t="s">
        <v>9574</v>
      </c>
      <c r="E893" t="s">
        <v>9549</v>
      </c>
    </row>
    <row r="894" spans="1:5" hidden="1">
      <c r="A894" t="s">
        <v>11098</v>
      </c>
      <c r="B894" t="s">
        <v>11099</v>
      </c>
      <c r="C894" t="s">
        <v>9574</v>
      </c>
      <c r="D894" t="s">
        <v>9574</v>
      </c>
      <c r="E894" t="s">
        <v>9549</v>
      </c>
    </row>
    <row r="895" spans="1:5" hidden="1">
      <c r="A895" t="s">
        <v>11100</v>
      </c>
      <c r="B895" t="s">
        <v>11101</v>
      </c>
      <c r="C895" t="s">
        <v>9574</v>
      </c>
      <c r="D895" t="s">
        <v>9574</v>
      </c>
      <c r="E895" t="s">
        <v>9549</v>
      </c>
    </row>
    <row r="896" spans="1:5" hidden="1">
      <c r="A896" t="s">
        <v>11102</v>
      </c>
      <c r="B896" t="s">
        <v>11103</v>
      </c>
      <c r="C896" t="s">
        <v>9574</v>
      </c>
      <c r="D896" t="s">
        <v>9574</v>
      </c>
      <c r="E896" t="s">
        <v>9549</v>
      </c>
    </row>
    <row r="897" spans="1:5" hidden="1">
      <c r="A897" t="s">
        <v>11104</v>
      </c>
      <c r="B897" t="s">
        <v>11105</v>
      </c>
      <c r="C897" t="s">
        <v>9574</v>
      </c>
      <c r="D897" t="s">
        <v>9574</v>
      </c>
      <c r="E897" t="s">
        <v>9549</v>
      </c>
    </row>
    <row r="898" spans="1:5" hidden="1">
      <c r="A898" t="s">
        <v>11106</v>
      </c>
      <c r="B898" t="s">
        <v>11107</v>
      </c>
      <c r="C898" t="s">
        <v>9574</v>
      </c>
      <c r="D898" t="s">
        <v>9574</v>
      </c>
      <c r="E898" t="s">
        <v>9549</v>
      </c>
    </row>
    <row r="899" spans="1:5" hidden="1">
      <c r="A899" t="s">
        <v>287</v>
      </c>
      <c r="B899" t="s">
        <v>11108</v>
      </c>
      <c r="C899" t="s">
        <v>9574</v>
      </c>
      <c r="D899" t="s">
        <v>9574</v>
      </c>
      <c r="E899" t="s">
        <v>9549</v>
      </c>
    </row>
    <row r="900" spans="1:5" hidden="1">
      <c r="A900" t="s">
        <v>11109</v>
      </c>
      <c r="B900" t="s">
        <v>11110</v>
      </c>
      <c r="C900" t="s">
        <v>9574</v>
      </c>
      <c r="D900" t="s">
        <v>9574</v>
      </c>
      <c r="E900" t="s">
        <v>9549</v>
      </c>
    </row>
    <row r="901" spans="1:5" hidden="1">
      <c r="A901" t="s">
        <v>11111</v>
      </c>
      <c r="B901" t="s">
        <v>11112</v>
      </c>
      <c r="C901" t="s">
        <v>9574</v>
      </c>
      <c r="D901" t="s">
        <v>9574</v>
      </c>
      <c r="E901" t="s">
        <v>9549</v>
      </c>
    </row>
    <row r="902" spans="1:5" hidden="1">
      <c r="A902" t="s">
        <v>11113</v>
      </c>
      <c r="B902" t="s">
        <v>11114</v>
      </c>
      <c r="C902" t="s">
        <v>9574</v>
      </c>
      <c r="D902" t="s">
        <v>9574</v>
      </c>
      <c r="E902" t="s">
        <v>9549</v>
      </c>
    </row>
    <row r="903" spans="1:5" hidden="1">
      <c r="A903" t="s">
        <v>245</v>
      </c>
      <c r="B903" t="s">
        <v>246</v>
      </c>
      <c r="C903" t="s">
        <v>9574</v>
      </c>
      <c r="D903" t="s">
        <v>9574</v>
      </c>
      <c r="E903" t="s">
        <v>9549</v>
      </c>
    </row>
    <row r="904" spans="1:5" hidden="1">
      <c r="A904" t="s">
        <v>11115</v>
      </c>
      <c r="B904" t="s">
        <v>11116</v>
      </c>
      <c r="C904" t="s">
        <v>9574</v>
      </c>
      <c r="D904" t="s">
        <v>9574</v>
      </c>
      <c r="E904" t="s">
        <v>9549</v>
      </c>
    </row>
    <row r="905" spans="1:5" hidden="1">
      <c r="A905" t="s">
        <v>11117</v>
      </c>
      <c r="B905" t="s">
        <v>11118</v>
      </c>
      <c r="C905" t="s">
        <v>9574</v>
      </c>
      <c r="D905" t="s">
        <v>9574</v>
      </c>
      <c r="E905" t="s">
        <v>9549</v>
      </c>
    </row>
    <row r="906" spans="1:5" hidden="1">
      <c r="A906" t="s">
        <v>11119</v>
      </c>
      <c r="B906" t="s">
        <v>11120</v>
      </c>
      <c r="C906" t="s">
        <v>9574</v>
      </c>
      <c r="D906" t="s">
        <v>9574</v>
      </c>
      <c r="E906" t="s">
        <v>9549</v>
      </c>
    </row>
    <row r="907" spans="1:5" hidden="1">
      <c r="A907" t="s">
        <v>11121</v>
      </c>
      <c r="B907" t="s">
        <v>11122</v>
      </c>
      <c r="C907" t="s">
        <v>9574</v>
      </c>
      <c r="D907" t="s">
        <v>9574</v>
      </c>
      <c r="E907" t="s">
        <v>9549</v>
      </c>
    </row>
    <row r="908" spans="1:5" hidden="1">
      <c r="A908" t="s">
        <v>11123</v>
      </c>
      <c r="B908" t="s">
        <v>11124</v>
      </c>
      <c r="C908" t="s">
        <v>9574</v>
      </c>
      <c r="D908" t="s">
        <v>9574</v>
      </c>
      <c r="E908" t="s">
        <v>9549</v>
      </c>
    </row>
    <row r="909" spans="1:5" hidden="1">
      <c r="A909" t="s">
        <v>11125</v>
      </c>
      <c r="B909" t="s">
        <v>11126</v>
      </c>
      <c r="C909" t="s">
        <v>9574</v>
      </c>
      <c r="D909" t="s">
        <v>9574</v>
      </c>
      <c r="E909" t="s">
        <v>9549</v>
      </c>
    </row>
    <row r="910" spans="1:5" hidden="1">
      <c r="A910" t="s">
        <v>11127</v>
      </c>
      <c r="B910" t="s">
        <v>11128</v>
      </c>
      <c r="C910" t="s">
        <v>9574</v>
      </c>
      <c r="D910" t="s">
        <v>9574</v>
      </c>
      <c r="E910" t="s">
        <v>9549</v>
      </c>
    </row>
    <row r="911" spans="1:5" hidden="1">
      <c r="A911" t="s">
        <v>11129</v>
      </c>
      <c r="B911" t="s">
        <v>11130</v>
      </c>
      <c r="C911" t="s">
        <v>9574</v>
      </c>
      <c r="D911" t="s">
        <v>9574</v>
      </c>
      <c r="E911" t="s">
        <v>9549</v>
      </c>
    </row>
    <row r="912" spans="1:5" hidden="1">
      <c r="A912" t="s">
        <v>11131</v>
      </c>
      <c r="B912" t="s">
        <v>11132</v>
      </c>
      <c r="C912" t="s">
        <v>9574</v>
      </c>
      <c r="D912" t="s">
        <v>9574</v>
      </c>
      <c r="E912" t="s">
        <v>9549</v>
      </c>
    </row>
    <row r="913" spans="1:5" hidden="1">
      <c r="A913" t="s">
        <v>11133</v>
      </c>
      <c r="B913" t="s">
        <v>11134</v>
      </c>
      <c r="C913" t="s">
        <v>9574</v>
      </c>
      <c r="D913" t="s">
        <v>9574</v>
      </c>
      <c r="E913" t="s">
        <v>9549</v>
      </c>
    </row>
    <row r="914" spans="1:5" hidden="1">
      <c r="A914" t="s">
        <v>11135</v>
      </c>
      <c r="B914" t="s">
        <v>11136</v>
      </c>
      <c r="C914" t="s">
        <v>9574</v>
      </c>
      <c r="D914" t="s">
        <v>9574</v>
      </c>
      <c r="E914" t="s">
        <v>9549</v>
      </c>
    </row>
    <row r="915" spans="1:5" hidden="1">
      <c r="A915" t="s">
        <v>11137</v>
      </c>
      <c r="B915" t="s">
        <v>11138</v>
      </c>
      <c r="C915" t="s">
        <v>9574</v>
      </c>
      <c r="D915" t="s">
        <v>9574</v>
      </c>
      <c r="E915" t="s">
        <v>9549</v>
      </c>
    </row>
    <row r="916" spans="1:5" hidden="1">
      <c r="A916" t="s">
        <v>11139</v>
      </c>
      <c r="B916" t="s">
        <v>11140</v>
      </c>
      <c r="C916" t="s">
        <v>9574</v>
      </c>
      <c r="D916" t="s">
        <v>9574</v>
      </c>
      <c r="E916" t="s">
        <v>9549</v>
      </c>
    </row>
    <row r="917" spans="1:5" hidden="1">
      <c r="A917" t="s">
        <v>293</v>
      </c>
      <c r="B917" t="s">
        <v>294</v>
      </c>
      <c r="C917" t="s">
        <v>9574</v>
      </c>
      <c r="D917" t="s">
        <v>9574</v>
      </c>
      <c r="E917" t="s">
        <v>9549</v>
      </c>
    </row>
    <row r="918" spans="1:5" hidden="1">
      <c r="A918" t="s">
        <v>11141</v>
      </c>
      <c r="B918" t="s">
        <v>11142</v>
      </c>
      <c r="C918" t="s">
        <v>9574</v>
      </c>
      <c r="D918" t="s">
        <v>9574</v>
      </c>
      <c r="E918" t="s">
        <v>9549</v>
      </c>
    </row>
    <row r="919" spans="1:5" hidden="1">
      <c r="A919" t="s">
        <v>11143</v>
      </c>
      <c r="B919" t="s">
        <v>11144</v>
      </c>
      <c r="C919" t="s">
        <v>9574</v>
      </c>
      <c r="D919" t="s">
        <v>9574</v>
      </c>
      <c r="E919" t="s">
        <v>9549</v>
      </c>
    </row>
    <row r="920" spans="1:5" hidden="1">
      <c r="A920" t="s">
        <v>11145</v>
      </c>
      <c r="B920" t="s">
        <v>11146</v>
      </c>
      <c r="C920" t="s">
        <v>9574</v>
      </c>
      <c r="D920" t="s">
        <v>9574</v>
      </c>
      <c r="E920" t="s">
        <v>9549</v>
      </c>
    </row>
    <row r="921" spans="1:5" hidden="1">
      <c r="A921" t="s">
        <v>11147</v>
      </c>
      <c r="B921" t="s">
        <v>11148</v>
      </c>
      <c r="C921" t="s">
        <v>9574</v>
      </c>
      <c r="D921" t="s">
        <v>9574</v>
      </c>
      <c r="E921" t="s">
        <v>9549</v>
      </c>
    </row>
    <row r="922" spans="1:5" hidden="1">
      <c r="A922" t="s">
        <v>11149</v>
      </c>
      <c r="B922" t="s">
        <v>11150</v>
      </c>
      <c r="C922" t="s">
        <v>9574</v>
      </c>
      <c r="D922" t="s">
        <v>9574</v>
      </c>
      <c r="E922" t="s">
        <v>9549</v>
      </c>
    </row>
    <row r="923" spans="1:5" hidden="1">
      <c r="A923" t="s">
        <v>11151</v>
      </c>
      <c r="B923" t="s">
        <v>11152</v>
      </c>
      <c r="C923" t="s">
        <v>9574</v>
      </c>
      <c r="D923" t="s">
        <v>9574</v>
      </c>
      <c r="E923" t="s">
        <v>9549</v>
      </c>
    </row>
    <row r="924" spans="1:5" hidden="1">
      <c r="A924" t="s">
        <v>67</v>
      </c>
      <c r="B924" t="s">
        <v>68</v>
      </c>
      <c r="C924" t="s">
        <v>9574</v>
      </c>
      <c r="D924" t="s">
        <v>9574</v>
      </c>
      <c r="E924" t="s">
        <v>9549</v>
      </c>
    </row>
    <row r="925" spans="1:5" hidden="1">
      <c r="A925" t="s">
        <v>11153</v>
      </c>
      <c r="B925" t="s">
        <v>11154</v>
      </c>
      <c r="C925" t="s">
        <v>9574</v>
      </c>
      <c r="D925" t="s">
        <v>9574</v>
      </c>
      <c r="E925" t="s">
        <v>9549</v>
      </c>
    </row>
    <row r="926" spans="1:5" hidden="1">
      <c r="A926" t="s">
        <v>11155</v>
      </c>
      <c r="B926" t="s">
        <v>11156</v>
      </c>
      <c r="C926" t="s">
        <v>9574</v>
      </c>
      <c r="D926" t="s">
        <v>9574</v>
      </c>
      <c r="E926" t="s">
        <v>9549</v>
      </c>
    </row>
    <row r="927" spans="1:5" hidden="1">
      <c r="A927" t="s">
        <v>11157</v>
      </c>
      <c r="B927" t="s">
        <v>11158</v>
      </c>
      <c r="C927" t="s">
        <v>9574</v>
      </c>
      <c r="D927" t="s">
        <v>9574</v>
      </c>
      <c r="E927" t="s">
        <v>9549</v>
      </c>
    </row>
    <row r="928" spans="1:5" hidden="1">
      <c r="A928" t="s">
        <v>11159</v>
      </c>
      <c r="B928" t="s">
        <v>11160</v>
      </c>
      <c r="C928" t="s">
        <v>9574</v>
      </c>
      <c r="D928" t="s">
        <v>9574</v>
      </c>
      <c r="E928" t="s">
        <v>9549</v>
      </c>
    </row>
    <row r="929" spans="1:5" hidden="1">
      <c r="A929" t="s">
        <v>11161</v>
      </c>
      <c r="B929" t="s">
        <v>11162</v>
      </c>
      <c r="C929" t="s">
        <v>9574</v>
      </c>
      <c r="D929" t="s">
        <v>9574</v>
      </c>
      <c r="E929" t="s">
        <v>9549</v>
      </c>
    </row>
    <row r="930" spans="1:5" hidden="1">
      <c r="A930" t="s">
        <v>11163</v>
      </c>
      <c r="B930" t="s">
        <v>11164</v>
      </c>
      <c r="C930" t="s">
        <v>9574</v>
      </c>
      <c r="D930" t="s">
        <v>9574</v>
      </c>
      <c r="E930" t="s">
        <v>9549</v>
      </c>
    </row>
    <row r="931" spans="1:5" hidden="1">
      <c r="A931" t="s">
        <v>11165</v>
      </c>
      <c r="B931" t="s">
        <v>11166</v>
      </c>
      <c r="C931" t="s">
        <v>9574</v>
      </c>
      <c r="D931" t="s">
        <v>9574</v>
      </c>
      <c r="E931" t="s">
        <v>9549</v>
      </c>
    </row>
    <row r="932" spans="1:5" hidden="1">
      <c r="A932" t="s">
        <v>11167</v>
      </c>
      <c r="B932" t="s">
        <v>11168</v>
      </c>
      <c r="C932" t="s">
        <v>9574</v>
      </c>
      <c r="D932" t="s">
        <v>9574</v>
      </c>
      <c r="E932" t="s">
        <v>9549</v>
      </c>
    </row>
    <row r="933" spans="1:5" hidden="1">
      <c r="A933" t="s">
        <v>11169</v>
      </c>
      <c r="B933" t="s">
        <v>11170</v>
      </c>
      <c r="C933" t="s">
        <v>9574</v>
      </c>
      <c r="D933" t="s">
        <v>9574</v>
      </c>
      <c r="E933" t="s">
        <v>9549</v>
      </c>
    </row>
    <row r="934" spans="1:5" hidden="1">
      <c r="A934" t="s">
        <v>11171</v>
      </c>
      <c r="B934" t="s">
        <v>11172</v>
      </c>
      <c r="C934" t="s">
        <v>9574</v>
      </c>
      <c r="D934" t="s">
        <v>9574</v>
      </c>
      <c r="E934" t="s">
        <v>9549</v>
      </c>
    </row>
    <row r="935" spans="1:5" hidden="1">
      <c r="A935" t="s">
        <v>11173</v>
      </c>
      <c r="B935" t="s">
        <v>11174</v>
      </c>
      <c r="C935" t="s">
        <v>9574</v>
      </c>
      <c r="D935" t="s">
        <v>9574</v>
      </c>
      <c r="E935" t="s">
        <v>9549</v>
      </c>
    </row>
    <row r="936" spans="1:5" hidden="1">
      <c r="A936" t="s">
        <v>11175</v>
      </c>
      <c r="B936" t="s">
        <v>11176</v>
      </c>
      <c r="C936" t="s">
        <v>9574</v>
      </c>
      <c r="D936" t="s">
        <v>9574</v>
      </c>
      <c r="E936" t="s">
        <v>9549</v>
      </c>
    </row>
    <row r="937" spans="1:5" hidden="1">
      <c r="A937" t="s">
        <v>11177</v>
      </c>
      <c r="B937" t="s">
        <v>11178</v>
      </c>
      <c r="C937" t="s">
        <v>9574</v>
      </c>
      <c r="D937" t="s">
        <v>9574</v>
      </c>
      <c r="E937" t="s">
        <v>9549</v>
      </c>
    </row>
    <row r="938" spans="1:5" hidden="1">
      <c r="A938" t="s">
        <v>11179</v>
      </c>
      <c r="B938" t="s">
        <v>11180</v>
      </c>
      <c r="C938" t="s">
        <v>9574</v>
      </c>
      <c r="D938" t="s">
        <v>9574</v>
      </c>
      <c r="E938" t="s">
        <v>9549</v>
      </c>
    </row>
    <row r="939" spans="1:5" hidden="1">
      <c r="A939" t="s">
        <v>11181</v>
      </c>
      <c r="B939" t="s">
        <v>11182</v>
      </c>
      <c r="C939" t="s">
        <v>9574</v>
      </c>
      <c r="D939" t="s">
        <v>9574</v>
      </c>
      <c r="E939" t="s">
        <v>9549</v>
      </c>
    </row>
    <row r="940" spans="1:5" hidden="1">
      <c r="A940" t="s">
        <v>11183</v>
      </c>
      <c r="B940" t="s">
        <v>11184</v>
      </c>
      <c r="C940" t="s">
        <v>9574</v>
      </c>
      <c r="D940" t="s">
        <v>9574</v>
      </c>
      <c r="E940" t="s">
        <v>9549</v>
      </c>
    </row>
    <row r="941" spans="1:5" hidden="1">
      <c r="A941" t="s">
        <v>11185</v>
      </c>
      <c r="B941" t="s">
        <v>11186</v>
      </c>
      <c r="C941" t="s">
        <v>9574</v>
      </c>
      <c r="D941" t="s">
        <v>9574</v>
      </c>
      <c r="E941" t="s">
        <v>9549</v>
      </c>
    </row>
    <row r="942" spans="1:5" hidden="1">
      <c r="A942" t="s">
        <v>11187</v>
      </c>
      <c r="B942" t="s">
        <v>11188</v>
      </c>
      <c r="C942" t="s">
        <v>9574</v>
      </c>
      <c r="D942" t="s">
        <v>9574</v>
      </c>
      <c r="E942" t="s">
        <v>9549</v>
      </c>
    </row>
    <row r="943" spans="1:5" hidden="1">
      <c r="A943" t="s">
        <v>11189</v>
      </c>
      <c r="B943" t="s">
        <v>11190</v>
      </c>
      <c r="C943" t="s">
        <v>9574</v>
      </c>
      <c r="D943" t="s">
        <v>9574</v>
      </c>
      <c r="E943" t="s">
        <v>9549</v>
      </c>
    </row>
    <row r="944" spans="1:5" hidden="1">
      <c r="A944" t="s">
        <v>11191</v>
      </c>
      <c r="B944" t="s">
        <v>11192</v>
      </c>
      <c r="C944" t="s">
        <v>9574</v>
      </c>
      <c r="D944" t="s">
        <v>9574</v>
      </c>
      <c r="E944" t="s">
        <v>9549</v>
      </c>
    </row>
    <row r="945" spans="1:10" hidden="1">
      <c r="A945" t="s">
        <v>11193</v>
      </c>
      <c r="B945" t="s">
        <v>11194</v>
      </c>
      <c r="C945" t="s">
        <v>9574</v>
      </c>
      <c r="D945" t="s">
        <v>9574</v>
      </c>
      <c r="E945" t="s">
        <v>9549</v>
      </c>
    </row>
    <row r="946" spans="1:10" hidden="1">
      <c r="A946" t="s">
        <v>11195</v>
      </c>
      <c r="B946" t="s">
        <v>11196</v>
      </c>
      <c r="C946" t="s">
        <v>9574</v>
      </c>
      <c r="D946" t="s">
        <v>9574</v>
      </c>
      <c r="E946" t="s">
        <v>9549</v>
      </c>
    </row>
    <row r="947" spans="1:10" hidden="1">
      <c r="A947" t="s">
        <v>11197</v>
      </c>
      <c r="B947" t="s">
        <v>11198</v>
      </c>
      <c r="C947" t="s">
        <v>9574</v>
      </c>
      <c r="D947" t="s">
        <v>9574</v>
      </c>
      <c r="E947" t="s">
        <v>9549</v>
      </c>
    </row>
    <row r="948" spans="1:10" ht="18.75" hidden="1">
      <c r="A948" t="s">
        <v>11199</v>
      </c>
      <c r="B948" t="s">
        <v>11200</v>
      </c>
      <c r="C948" t="s">
        <v>9574</v>
      </c>
      <c r="D948" t="s">
        <v>9574</v>
      </c>
      <c r="E948" t="s">
        <v>9549</v>
      </c>
      <c r="J948" s="36"/>
    </row>
    <row r="949" spans="1:10" hidden="1">
      <c r="A949" t="s">
        <v>11201</v>
      </c>
      <c r="B949" t="s">
        <v>11202</v>
      </c>
      <c r="C949" t="s">
        <v>9574</v>
      </c>
      <c r="D949" t="s">
        <v>9574</v>
      </c>
      <c r="E949" t="s">
        <v>9574</v>
      </c>
    </row>
    <row r="950" spans="1:10" hidden="1">
      <c r="A950" t="s">
        <v>11203</v>
      </c>
      <c r="B950" t="s">
        <v>11204</v>
      </c>
      <c r="C950" t="s">
        <v>9574</v>
      </c>
      <c r="D950" t="s">
        <v>9574</v>
      </c>
      <c r="E950" t="s">
        <v>9574</v>
      </c>
    </row>
    <row r="951" spans="1:10" hidden="1">
      <c r="A951" t="s">
        <v>11205</v>
      </c>
      <c r="B951" t="s">
        <v>11206</v>
      </c>
      <c r="C951" t="s">
        <v>9574</v>
      </c>
      <c r="D951" t="s">
        <v>9574</v>
      </c>
      <c r="E951" t="s">
        <v>9574</v>
      </c>
    </row>
    <row r="952" spans="1:10" hidden="1">
      <c r="A952" t="s">
        <v>11207</v>
      </c>
      <c r="B952" t="s">
        <v>11208</v>
      </c>
      <c r="C952" t="s">
        <v>9574</v>
      </c>
      <c r="D952" t="s">
        <v>9574</v>
      </c>
      <c r="E952" t="s">
        <v>9574</v>
      </c>
    </row>
    <row r="953" spans="1:10" hidden="1">
      <c r="A953" t="s">
        <v>11209</v>
      </c>
      <c r="B953" t="s">
        <v>11210</v>
      </c>
      <c r="C953" t="s">
        <v>9574</v>
      </c>
      <c r="D953" t="s">
        <v>9574</v>
      </c>
      <c r="E953" t="s">
        <v>9574</v>
      </c>
    </row>
    <row r="954" spans="1:10" hidden="1">
      <c r="A954" t="s">
        <v>11211</v>
      </c>
      <c r="B954" t="s">
        <v>11212</v>
      </c>
      <c r="C954" t="s">
        <v>9574</v>
      </c>
      <c r="D954" t="s">
        <v>9574</v>
      </c>
      <c r="E954" t="s">
        <v>9601</v>
      </c>
    </row>
    <row r="955" spans="1:10" hidden="1">
      <c r="A955" t="s">
        <v>11213</v>
      </c>
      <c r="B955" t="s">
        <v>11214</v>
      </c>
      <c r="C955" t="s">
        <v>9574</v>
      </c>
      <c r="D955" t="s">
        <v>9738</v>
      </c>
      <c r="E955" t="s">
        <v>9574</v>
      </c>
    </row>
    <row r="956" spans="1:10" hidden="1">
      <c r="A956" t="s">
        <v>11215</v>
      </c>
      <c r="B956" t="s">
        <v>11216</v>
      </c>
      <c r="C956" t="s">
        <v>9574</v>
      </c>
      <c r="D956" t="s">
        <v>9574</v>
      </c>
      <c r="E956" t="s">
        <v>9574</v>
      </c>
    </row>
    <row r="957" spans="1:10" hidden="1">
      <c r="A957" t="s">
        <v>11217</v>
      </c>
      <c r="B957" t="s">
        <v>11218</v>
      </c>
      <c r="C957" t="s">
        <v>9574</v>
      </c>
      <c r="D957" t="s">
        <v>9574</v>
      </c>
      <c r="E957" t="s">
        <v>9574</v>
      </c>
    </row>
    <row r="958" spans="1:10" hidden="1">
      <c r="A958" t="s">
        <v>11219</v>
      </c>
      <c r="B958" t="s">
        <v>11220</v>
      </c>
      <c r="C958" t="s">
        <v>9574</v>
      </c>
      <c r="D958" t="s">
        <v>9574</v>
      </c>
      <c r="E958" t="s">
        <v>9574</v>
      </c>
    </row>
    <row r="959" spans="1:10" hidden="1">
      <c r="A959" t="s">
        <v>11221</v>
      </c>
      <c r="B959" t="s">
        <v>11222</v>
      </c>
      <c r="C959" t="s">
        <v>9565</v>
      </c>
      <c r="D959" t="s">
        <v>9565</v>
      </c>
      <c r="E959" t="s">
        <v>9565</v>
      </c>
    </row>
    <row r="960" spans="1:10" hidden="1">
      <c r="A960" t="s">
        <v>11223</v>
      </c>
      <c r="B960" t="s">
        <v>11224</v>
      </c>
      <c r="C960" t="s">
        <v>9574</v>
      </c>
      <c r="D960" t="s">
        <v>9574</v>
      </c>
      <c r="E960" t="s">
        <v>9574</v>
      </c>
    </row>
    <row r="961" spans="1:5" hidden="1">
      <c r="A961" t="s">
        <v>11225</v>
      </c>
      <c r="B961" t="s">
        <v>11226</v>
      </c>
      <c r="C961" t="s">
        <v>9574</v>
      </c>
      <c r="D961" t="s">
        <v>9574</v>
      </c>
      <c r="E961" t="s">
        <v>9601</v>
      </c>
    </row>
    <row r="962" spans="1:5" hidden="1">
      <c r="A962" t="s">
        <v>11227</v>
      </c>
      <c r="B962" t="s">
        <v>11228</v>
      </c>
      <c r="C962" t="s">
        <v>9574</v>
      </c>
      <c r="D962" t="s">
        <v>9574</v>
      </c>
      <c r="E962" t="s">
        <v>9601</v>
      </c>
    </row>
    <row r="963" spans="1:5" hidden="1">
      <c r="A963" t="s">
        <v>11229</v>
      </c>
      <c r="B963" t="s">
        <v>11230</v>
      </c>
      <c r="C963" t="s">
        <v>9574</v>
      </c>
      <c r="D963" t="s">
        <v>9574</v>
      </c>
      <c r="E963" t="s">
        <v>9601</v>
      </c>
    </row>
    <row r="964" spans="1:5" hidden="1">
      <c r="A964" t="s">
        <v>11231</v>
      </c>
      <c r="B964" t="s">
        <v>11232</v>
      </c>
      <c r="C964" t="s">
        <v>9574</v>
      </c>
      <c r="D964" t="s">
        <v>9574</v>
      </c>
      <c r="E964" t="s">
        <v>9601</v>
      </c>
    </row>
    <row r="965" spans="1:5" hidden="1">
      <c r="A965" t="s">
        <v>11233</v>
      </c>
      <c r="B965" t="s">
        <v>11234</v>
      </c>
      <c r="C965" t="s">
        <v>9574</v>
      </c>
      <c r="D965" t="s">
        <v>9574</v>
      </c>
      <c r="E965" t="s">
        <v>9601</v>
      </c>
    </row>
    <row r="966" spans="1:5" hidden="1">
      <c r="A966" t="s">
        <v>11235</v>
      </c>
      <c r="B966" t="s">
        <v>11236</v>
      </c>
      <c r="C966" t="s">
        <v>9574</v>
      </c>
      <c r="D966" t="s">
        <v>9574</v>
      </c>
      <c r="E966" t="s">
        <v>9574</v>
      </c>
    </row>
    <row r="967" spans="1:5" hidden="1">
      <c r="A967" t="s">
        <v>11237</v>
      </c>
      <c r="B967" t="s">
        <v>11238</v>
      </c>
      <c r="C967" t="s">
        <v>9574</v>
      </c>
      <c r="D967" t="s">
        <v>9574</v>
      </c>
      <c r="E967" t="s">
        <v>9574</v>
      </c>
    </row>
    <row r="968" spans="1:5" hidden="1">
      <c r="A968" t="s">
        <v>483</v>
      </c>
      <c r="B968" t="s">
        <v>484</v>
      </c>
      <c r="C968" t="s">
        <v>9565</v>
      </c>
      <c r="D968" t="s">
        <v>9565</v>
      </c>
      <c r="E968" t="s">
        <v>9565</v>
      </c>
    </row>
    <row r="969" spans="1:5" hidden="1">
      <c r="A969" t="s">
        <v>11239</v>
      </c>
      <c r="B969" t="s">
        <v>11240</v>
      </c>
      <c r="C969" t="s">
        <v>9574</v>
      </c>
      <c r="D969" t="s">
        <v>9574</v>
      </c>
      <c r="E969" t="s">
        <v>9574</v>
      </c>
    </row>
    <row r="970" spans="1:5" hidden="1">
      <c r="A970" t="s">
        <v>11241</v>
      </c>
      <c r="B970" t="s">
        <v>11242</v>
      </c>
      <c r="C970" t="s">
        <v>9574</v>
      </c>
      <c r="D970" t="s">
        <v>9574</v>
      </c>
      <c r="E970" t="s">
        <v>9574</v>
      </c>
    </row>
    <row r="971" spans="1:5" hidden="1">
      <c r="A971" t="s">
        <v>11243</v>
      </c>
      <c r="B971" t="s">
        <v>11244</v>
      </c>
      <c r="C971" t="s">
        <v>9574</v>
      </c>
      <c r="D971" t="s">
        <v>9574</v>
      </c>
      <c r="E971" t="s">
        <v>9574</v>
      </c>
    </row>
    <row r="972" spans="1:5" hidden="1">
      <c r="A972" t="s">
        <v>11245</v>
      </c>
      <c r="B972" t="s">
        <v>11246</v>
      </c>
      <c r="C972" t="s">
        <v>9574</v>
      </c>
      <c r="D972" t="s">
        <v>9574</v>
      </c>
      <c r="E972" t="s">
        <v>9574</v>
      </c>
    </row>
    <row r="973" spans="1:5" hidden="1">
      <c r="A973" t="s">
        <v>11247</v>
      </c>
      <c r="B973" t="s">
        <v>11248</v>
      </c>
      <c r="C973" t="s">
        <v>9565</v>
      </c>
      <c r="D973" t="s">
        <v>9565</v>
      </c>
      <c r="E973" t="s">
        <v>9565</v>
      </c>
    </row>
    <row r="974" spans="1:5" hidden="1">
      <c r="A974" t="s">
        <v>11249</v>
      </c>
      <c r="B974" t="s">
        <v>11250</v>
      </c>
      <c r="C974" t="s">
        <v>9574</v>
      </c>
      <c r="D974" t="s">
        <v>9574</v>
      </c>
      <c r="E974" t="s">
        <v>9574</v>
      </c>
    </row>
    <row r="975" spans="1:5" hidden="1">
      <c r="A975" t="s">
        <v>12667</v>
      </c>
      <c r="B975" t="s">
        <v>12663</v>
      </c>
      <c r="C975" t="s">
        <v>9565</v>
      </c>
      <c r="D975" t="s">
        <v>9565</v>
      </c>
      <c r="E975" t="s">
        <v>9565</v>
      </c>
    </row>
    <row r="976" spans="1:5" hidden="1">
      <c r="A976" t="s">
        <v>12668</v>
      </c>
      <c r="B976" t="s">
        <v>12664</v>
      </c>
      <c r="C976" t="s">
        <v>9565</v>
      </c>
      <c r="D976" t="s">
        <v>9565</v>
      </c>
      <c r="E976" t="s">
        <v>9565</v>
      </c>
    </row>
    <row r="977" spans="1:5">
      <c r="A977" s="48" t="s">
        <v>12913</v>
      </c>
      <c r="B977" t="s">
        <v>12672</v>
      </c>
      <c r="C977" t="s">
        <v>9565</v>
      </c>
      <c r="D977" t="s">
        <v>9565</v>
      </c>
      <c r="E977" t="s">
        <v>9565</v>
      </c>
    </row>
    <row r="978" spans="1:5" hidden="1">
      <c r="A978" t="s">
        <v>13024</v>
      </c>
      <c r="B978" t="s">
        <v>13021</v>
      </c>
      <c r="C978" t="s">
        <v>9565</v>
      </c>
      <c r="D978" t="s">
        <v>9565</v>
      </c>
      <c r="E978" t="s">
        <v>9565</v>
      </c>
    </row>
  </sheetData>
  <conditionalFormatting sqref="A1:A1048576">
    <cfRule type="duplicateValues" dxfId="14" priority="1"/>
  </conditionalFormatting>
  <conditionalFormatting sqref="A977">
    <cfRule type="duplicateValues" dxfId="13"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201" zoomScale="85" zoomScaleNormal="85" workbookViewId="0">
      <selection activeCell="A220" sqref="A220"/>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79100</v>
      </c>
      <c r="E184" s="8" t="s">
        <v>500</v>
      </c>
    </row>
    <row r="185" spans="1:5">
      <c r="A185" s="8" t="s">
        <v>376</v>
      </c>
      <c r="B185" s="21" t="s">
        <v>377</v>
      </c>
      <c r="C185" s="8" t="s">
        <v>378</v>
      </c>
      <c r="D185" s="9">
        <v>35424</v>
      </c>
      <c r="E185" s="8" t="s">
        <v>500</v>
      </c>
    </row>
    <row r="186" spans="1:5">
      <c r="A186" s="8" t="s">
        <v>379</v>
      </c>
      <c r="B186" s="21" t="s">
        <v>380</v>
      </c>
      <c r="C186" s="8" t="s">
        <v>381</v>
      </c>
      <c r="D186" s="9">
        <v>80190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46980</v>
      </c>
      <c r="E191" s="8" t="s">
        <v>500</v>
      </c>
    </row>
    <row r="192" spans="1:5">
      <c r="A192" s="8" t="s">
        <v>397</v>
      </c>
      <c r="B192" s="21" t="s">
        <v>398</v>
      </c>
      <c r="C192" s="8" t="s">
        <v>399</v>
      </c>
      <c r="D192" s="9">
        <v>49400</v>
      </c>
      <c r="E192" s="8" t="s">
        <v>500</v>
      </c>
    </row>
    <row r="193" spans="1:5">
      <c r="A193" s="8" t="s">
        <v>400</v>
      </c>
      <c r="B193" s="21" t="s">
        <v>401</v>
      </c>
      <c r="C193" s="8" t="s">
        <v>402</v>
      </c>
      <c r="D193" s="9">
        <v>16254</v>
      </c>
      <c r="E193" s="8" t="s">
        <v>500</v>
      </c>
    </row>
    <row r="194" spans="1:5">
      <c r="A194" s="8" t="s">
        <v>403</v>
      </c>
      <c r="B194" s="21" t="s">
        <v>404</v>
      </c>
      <c r="C194" s="8" t="s">
        <v>405</v>
      </c>
      <c r="D194" s="9">
        <v>21100</v>
      </c>
      <c r="E194" s="8" t="s">
        <v>500</v>
      </c>
    </row>
    <row r="195" spans="1:5">
      <c r="A195" s="8" t="s">
        <v>406</v>
      </c>
      <c r="B195" s="21" t="s">
        <v>407</v>
      </c>
      <c r="C195" s="8" t="s">
        <v>408</v>
      </c>
      <c r="D195" s="9">
        <v>50220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52920</v>
      </c>
      <c r="E198" s="8" t="s">
        <v>500</v>
      </c>
    </row>
    <row r="199" spans="1:5">
      <c r="A199" s="8" t="s">
        <v>418</v>
      </c>
      <c r="B199" s="21" t="s">
        <v>419</v>
      </c>
      <c r="C199" s="8" t="s">
        <v>420</v>
      </c>
      <c r="D199" s="9">
        <v>53900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70956</v>
      </c>
      <c r="E202" s="8" t="s">
        <v>500</v>
      </c>
    </row>
    <row r="203" spans="1:5">
      <c r="A203" s="8" t="s">
        <v>430</v>
      </c>
      <c r="B203" s="21" t="s">
        <v>431</v>
      </c>
      <c r="C203" s="8" t="s">
        <v>432</v>
      </c>
      <c r="D203" s="9">
        <v>75636</v>
      </c>
      <c r="E203" s="8" t="s">
        <v>500</v>
      </c>
    </row>
    <row r="204" spans="1:5">
      <c r="A204" s="8" t="s">
        <v>433</v>
      </c>
      <c r="B204" s="21" t="s">
        <v>10368</v>
      </c>
      <c r="C204" s="8" t="s">
        <v>435</v>
      </c>
      <c r="D204" s="9">
        <v>64476</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35500</v>
      </c>
      <c r="E215" s="8" t="s">
        <v>500</v>
      </c>
    </row>
    <row r="216" spans="1:5">
      <c r="A216" s="8" t="s">
        <v>467</v>
      </c>
      <c r="B216" s="21" t="s">
        <v>468</v>
      </c>
      <c r="C216" s="8" t="s">
        <v>469</v>
      </c>
      <c r="D216" s="9">
        <v>13500</v>
      </c>
      <c r="E216" s="8" t="s">
        <v>500</v>
      </c>
    </row>
    <row r="217" spans="1:5">
      <c r="A217" s="8" t="s">
        <v>470</v>
      </c>
      <c r="B217" s="21" t="s">
        <v>10962</v>
      </c>
      <c r="C217" s="8" t="s">
        <v>12949</v>
      </c>
      <c r="D217" s="9">
        <v>39150</v>
      </c>
      <c r="E217" s="8" t="s">
        <v>500</v>
      </c>
    </row>
    <row r="218" spans="1:5">
      <c r="A218" s="8" t="s">
        <v>473</v>
      </c>
      <c r="B218" s="21" t="s">
        <v>474</v>
      </c>
      <c r="C218" s="8" t="s">
        <v>475</v>
      </c>
      <c r="D218" s="9">
        <v>17400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100000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12" priority="2"/>
    <cfRule type="duplicateValues" dxfId="11" priority="7"/>
  </conditionalFormatting>
  <conditionalFormatting sqref="B2:B232">
    <cfRule type="duplicateValues" dxfId="1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16"/>
  <sheetViews>
    <sheetView tabSelected="1" topLeftCell="A85" zoomScale="58" zoomScaleNormal="58" zoomScaleSheetLayoutView="40" workbookViewId="0">
      <selection activeCell="K117" sqref="K117"/>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79100</v>
      </c>
      <c r="K2" s="32"/>
      <c r="L2" s="29">
        <f>ROUND((1-gia_khuyen_mai[[#This Row],[% Giảm giá]]) * gia_khuyen_mai[[#This Row],[Giá gốc]], 0)</f>
        <v>79100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70956</v>
      </c>
      <c r="K4" s="6">
        <v>0.3</v>
      </c>
      <c r="L4" s="7">
        <f>ROUND((1-gia_khuyen_mai[[#This Row],[% Giảm giá]]) * gia_khuyen_mai[[#This Row],[Giá gốc]], 0)</f>
        <v>49669</v>
      </c>
      <c r="M4" s="7"/>
      <c r="O4" s="3" t="str">
        <f>IFERROR(VLOOKUP(gia_khuyen_mai[[#This Row],[Mã hàng tặng]],'Giá gốc'!B:C,2,0),"")</f>
        <v/>
      </c>
      <c r="Q4" s="3" t="str">
        <f>VLOOKUP(gia_khuyen_mai[[#This Row],[Mã sản phẩm]],product[[Mã sản phẩm]:[DS - ĐV]],3,0)</f>
        <v>Food Đức Việt</v>
      </c>
    </row>
    <row r="5" spans="1:17" ht="21.75"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6">
        <v>0.3</v>
      </c>
      <c r="L5" s="7">
        <f>ROUND((1-gia_khuyen_mai[[#This Row],[% Giảm giá]]) * gia_khuyen_mai[[#This Row],[Giá gốc]], 0)</f>
        <v>34580</v>
      </c>
      <c r="M5" s="7"/>
      <c r="O5" s="3" t="str">
        <f>IFERROR(VLOOKUP(gia_khuyen_mai[[#This Row],[Mã hàng tặng]],'Giá gốc'!B:C,2,0),"")</f>
        <v/>
      </c>
      <c r="Q5" s="3" t="str">
        <f>VLOOKUP(gia_khuyen_mai[[#This Row],[Mã sản phẩm]],product[[Mã sản phẩm]:[DS - ĐV]],3,0)</f>
        <v>Food Đức Việt</v>
      </c>
    </row>
    <row r="6" spans="1:17" ht="21.75"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6">
        <v>0.3</v>
      </c>
      <c r="L6" s="7">
        <f>ROUND((1-gia_khuyen_mai[[#This Row],[% Giảm giá]]) * gia_khuyen_mai[[#This Row],[Giá gốc]], 0)</f>
        <v>24850</v>
      </c>
      <c r="M6" s="7"/>
      <c r="O6" s="3" t="str">
        <f>IFERROR(VLOOKUP(gia_khuyen_mai[[#This Row],[Mã hàng tặng]],'Giá gốc'!B:C,2,0),"")</f>
        <v/>
      </c>
      <c r="Q6" s="3" t="str">
        <f>VLOOKUP(gia_khuyen_mai[[#This Row],[Mã sản phẩm]],product[[Mã sản phẩm]:[DS - ĐV]],3,0)</f>
        <v>Food Đức Việt</v>
      </c>
    </row>
    <row r="7" spans="1:17" ht="21.75"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6">
        <v>0.25</v>
      </c>
      <c r="L7" s="7">
        <f>ROUND((1-gia_khuyen_mai[[#This Row],[% Giảm giá]]) * gia_khuyen_mai[[#This Row],[Giá gốc]], 0)</f>
        <v>40425</v>
      </c>
      <c r="M7" s="7"/>
      <c r="O7" s="3" t="str">
        <f>IFERROR(VLOOKUP(gia_khuyen_mai[[#This Row],[Mã hàng tặng]],'Giá gốc'!B:C,2,0),"")</f>
        <v/>
      </c>
      <c r="Q7" s="3" t="str">
        <f>VLOOKUP(gia_khuyen_mai[[#This Row],[Mã sản phẩm]],product[[Mã sản phẩm]:[DS - ĐV]],3,0)</f>
        <v>Food Đức Việt</v>
      </c>
    </row>
    <row r="8" spans="1:17" ht="21.75"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46980</v>
      </c>
      <c r="K10" s="6">
        <v>0.3</v>
      </c>
      <c r="L10" s="7">
        <f>ROUND((1-gia_khuyen_mai[[#This Row],[% Giảm giá]]) * gia_khuyen_mai[[#This Row],[Giá gốc]], 0)</f>
        <v>32886</v>
      </c>
      <c r="M10" s="7"/>
      <c r="O10" s="3" t="str">
        <f>IFERROR(VLOOKUP(gia_khuyen_mai[[#This Row],[Mã hàng tặng]],'Giá gốc'!B:C,2,0),"")</f>
        <v/>
      </c>
      <c r="Q10" s="3" t="str">
        <f>VLOOKUP(gia_khuyen_mai[[#This Row],[Mã sản phẩm]],product[[Mã sản phẩm]:[DS - ĐV]],3,0)</f>
        <v>Food Đức Việt</v>
      </c>
    </row>
    <row r="11" spans="1:17" ht="21.75"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35424</v>
      </c>
      <c r="K14" s="6">
        <v>0.2</v>
      </c>
      <c r="L14" s="7">
        <f>ROUND((1-gia_khuyen_mai[[#This Row],[% Giảm giá]]) * gia_khuyen_mai[[#This Row],[Giá gốc]], 0)</f>
        <v>28339</v>
      </c>
      <c r="M14" s="7"/>
      <c r="O14" s="3" t="str">
        <f>IFERROR(VLOOKUP(gia_khuyen_mai[[#This Row],[Mã hàng tặng]],'Giá gốc'!B:C,2,0),"")</f>
        <v/>
      </c>
      <c r="Q14" s="3" t="str">
        <f>VLOOKUP(gia_khuyen_mai[[#This Row],[Mã sản phẩm]],product[[Mã sản phẩm]:[DS - ĐV]],3,0)</f>
        <v>Food Đức Việt</v>
      </c>
    </row>
    <row r="15" spans="1:17" ht="21.75"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6">
        <v>0.2</v>
      </c>
      <c r="L15" s="7">
        <f>ROUND((1-gia_khuyen_mai[[#This Row],[% Giảm giá]]) * gia_khuyen_mai[[#This Row],[Giá gốc]], 0)</f>
        <v>16880</v>
      </c>
      <c r="M15" s="7"/>
      <c r="O15" s="3" t="str">
        <f>IFERROR(VLOOKUP(gia_khuyen_mai[[#This Row],[Mã hàng tặng]],'Giá gốc'!B:C,2,0),"")</f>
        <v/>
      </c>
      <c r="Q15" s="3" t="str">
        <f>VLOOKUP(gia_khuyen_mai[[#This Row],[Mã sản phẩm]],product[[Mã sản phẩm]:[DS - ĐV]],3,0)</f>
        <v>Food Đức Việt</v>
      </c>
    </row>
    <row r="16" spans="1:17" ht="21.75"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80190</v>
      </c>
      <c r="K18" s="6"/>
      <c r="L18" s="7">
        <f>ROUND((1-gia_khuyen_mai[[#This Row],[% Giảm giá]]) * gia_khuyen_mai[[#This Row],[Giá gốc]], 0)</f>
        <v>80190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70956</v>
      </c>
      <c r="K19" s="6">
        <v>0.3</v>
      </c>
      <c r="L19" s="7">
        <f>ROUND((1-gia_khuyen_mai[[#This Row],[% Giảm giá]]) * gia_khuyen_mai[[#This Row],[Giá gốc]], 0)</f>
        <v>49669</v>
      </c>
      <c r="M19" s="7"/>
      <c r="O19" s="3" t="str">
        <f>IFERROR(VLOOKUP(gia_khuyen_mai[[#This Row],[Mã hàng tặng]],'Giá gốc'!B:C,2,0),"")</f>
        <v/>
      </c>
      <c r="Q19" s="3" t="str">
        <f>VLOOKUP(gia_khuyen_mai[[#This Row],[Mã sản phẩm]],product[[Mã sản phẩm]:[DS - ĐV]],3,0)</f>
        <v>Food Đức Việt</v>
      </c>
    </row>
    <row r="20" spans="1:17" ht="21.75"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52920</v>
      </c>
      <c r="K28" s="6">
        <v>0.22</v>
      </c>
      <c r="L28" s="7">
        <f>ROUND((1-gia_khuyen_mai[[#This Row],[% Giảm giá]]) * gia_khuyen_mai[[#This Row],[Giá gốc]], 0)</f>
        <v>41278</v>
      </c>
      <c r="M28" s="7"/>
      <c r="O28" s="3" t="str">
        <f>IFERROR(VLOOKUP(gia_khuyen_mai[[#This Row],[Mã hàng tặng]],'Giá gốc'!B:C,2,0),"")</f>
        <v/>
      </c>
      <c r="Q28" s="3" t="str">
        <f>VLOOKUP(gia_khuyen_mai[[#This Row],[Mã sản phẩm]],product[[Mã sản phẩm]:[DS - ĐV]],3,0)</f>
        <v>Food Đức Việt</v>
      </c>
    </row>
    <row r="29" spans="1:17" ht="21.75"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64476</v>
      </c>
      <c r="K29" s="6">
        <v>0.2</v>
      </c>
      <c r="L29" s="7">
        <f>ROUND((1-gia_khuyen_mai[[#This Row],[% Giảm giá]]) * gia_khuyen_mai[[#This Row],[Giá gốc]], 0)</f>
        <v>51581</v>
      </c>
      <c r="M29" s="7"/>
      <c r="O29" s="3" t="str">
        <f>IFERROR(VLOOKUP(gia_khuyen_mai[[#This Row],[Mã hàng tặng]],'Giá gốc'!B:C,2,0),"")</f>
        <v/>
      </c>
      <c r="Q29" s="3" t="str">
        <f>VLOOKUP(gia_khuyen_mai[[#This Row],[Mã sản phẩm]],product[[Mã sản phẩm]:[DS - ĐV]],3,0)</f>
        <v>Food Đức Việt</v>
      </c>
    </row>
    <row r="30" spans="1:17" ht="21.75"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6">
        <v>0.25</v>
      </c>
      <c r="L31" s="7">
        <f>ROUND((1-gia_khuyen_mai[[#This Row],[% Giảm giá]]) * gia_khuyen_mai[[#This Row],[Giá gốc]], 0)</f>
        <v>59325</v>
      </c>
      <c r="M31" s="7"/>
      <c r="O31" s="3" t="str">
        <f>IFERROR(VLOOKUP(gia_khuyen_mai[[#This Row],[Mã hàng tặng]],'Giá gốc'!B:C,2,0),"")</f>
        <v/>
      </c>
      <c r="Q31" s="3" t="str">
        <f>VLOOKUP(gia_khuyen_mai[[#This Row],[Mã sản phẩm]],product[[Mã sản phẩm]:[DS - ĐV]],3,0)</f>
        <v>Food Đức Việt</v>
      </c>
    </row>
    <row r="32" spans="1:17" ht="21.75"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6">
        <v>0.3</v>
      </c>
      <c r="L32" s="7">
        <f>ROUND((1-gia_khuyen_mai[[#This Row],[% Giảm giá]]) * gia_khuyen_mai[[#This Row],[Giá gốc]], 0)</f>
        <v>34580</v>
      </c>
      <c r="M32" s="7"/>
      <c r="O32" s="3" t="str">
        <f>IFERROR(VLOOKUP(gia_khuyen_mai[[#This Row],[Mã hàng tặng]],'Giá gốc'!B:C,2,0),"")</f>
        <v/>
      </c>
      <c r="Q32" s="3" t="str">
        <f>VLOOKUP(gia_khuyen_mai[[#This Row],[Mã sản phẩm]],product[[Mã sản phẩm]:[DS - ĐV]],3,0)</f>
        <v>Food Đức Việt</v>
      </c>
    </row>
    <row r="33" spans="1:17" ht="21.75"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6">
        <v>0.25</v>
      </c>
      <c r="L33" s="7">
        <f>ROUND((1-gia_khuyen_mai[[#This Row],[% Giảm giá]]) * gia_khuyen_mai[[#This Row],[Giá gốc]], 0)</f>
        <v>40425</v>
      </c>
      <c r="M33" s="7"/>
      <c r="O33" s="3" t="str">
        <f>IFERROR(VLOOKUP(gia_khuyen_mai[[#This Row],[Mã hàng tặng]],'Giá gốc'!B:C,2,0),"")</f>
        <v/>
      </c>
      <c r="Q33" s="3" t="str">
        <f>VLOOKUP(gia_khuyen_mai[[#This Row],[Mã sản phẩm]],product[[Mã sản phẩm]:[DS - ĐV]],3,0)</f>
        <v>Food Đức Việt</v>
      </c>
    </row>
    <row r="34" spans="1:17" ht="21.75"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46980</v>
      </c>
      <c r="K34" s="6">
        <v>0.3</v>
      </c>
      <c r="L34" s="7">
        <f>ROUND((1-gia_khuyen_mai[[#This Row],[% Giảm giá]]) * gia_khuyen_mai[[#This Row],[Giá gốc]], 0)</f>
        <v>32886</v>
      </c>
      <c r="M34" s="7"/>
      <c r="O34" s="3" t="str">
        <f>IFERROR(VLOOKUP(gia_khuyen_mai[[#This Row],[Mã hàng tặng]],'Giá gốc'!B:C,2,0),"")</f>
        <v/>
      </c>
      <c r="Q34" s="3" t="str">
        <f>VLOOKUP(gia_khuyen_mai[[#This Row],[Mã sản phẩm]],product[[Mã sản phẩm]:[DS - ĐV]],3,0)</f>
        <v>Food Đức Việt</v>
      </c>
    </row>
    <row r="35" spans="1:17" ht="21.75"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17400</v>
      </c>
      <c r="K40" s="6">
        <v>0.25</v>
      </c>
      <c r="L40" s="7">
        <f>ROUND((1-gia_khuyen_mai[[#This Row],[% Giảm giá]]) * gia_khuyen_mai[[#This Row],[Giá gốc]], 0)</f>
        <v>13050</v>
      </c>
      <c r="M40" s="7"/>
      <c r="O40" s="3" t="str">
        <f>IFERROR(VLOOKUP(gia_khuyen_mai[[#This Row],[Mã hàng tặng]],'Giá gốc'!B:C,2,0),"")</f>
        <v/>
      </c>
      <c r="Q40" s="3" t="str">
        <f>VLOOKUP(gia_khuyen_mai[[#This Row],[Mã sản phẩm]],product[[Mã sản phẩm]:[DS - ĐV]],3,0)</f>
        <v>Food Đức Việt</v>
      </c>
    </row>
    <row r="41" spans="1:17" ht="21.75"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35424</v>
      </c>
      <c r="K41" s="6">
        <v>0.2</v>
      </c>
      <c r="L41" s="7">
        <f>ROUND((1-gia_khuyen_mai[[#This Row],[% Giảm giá]]) * gia_khuyen_mai[[#This Row],[Giá gốc]], 0)</f>
        <v>28339</v>
      </c>
      <c r="M41" s="7"/>
      <c r="O41" s="3" t="str">
        <f>IFERROR(VLOOKUP(gia_khuyen_mai[[#This Row],[Mã hàng tặng]],'Giá gốc'!B:C,2,0),"")</f>
        <v/>
      </c>
      <c r="Q41" s="3" t="str">
        <f>VLOOKUP(gia_khuyen_mai[[#This Row],[Mã sản phẩm]],product[[Mã sản phẩm]:[DS - ĐV]],3,0)</f>
        <v>Food Đức Việt</v>
      </c>
    </row>
    <row r="42" spans="1:17" ht="21.75"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6">
        <v>0.35</v>
      </c>
      <c r="L45" s="7">
        <f>ROUND((1-gia_khuyen_mai[[#This Row],[% Giảm giá]]) * gia_khuyen_mai[[#This Row],[Giá gốc]], 0)</f>
        <v>23075</v>
      </c>
      <c r="M45" s="7"/>
      <c r="O45" s="3" t="str">
        <f>IFERROR(VLOOKUP(gia_khuyen_mai[[#This Row],[Mã hàng tặng]],'Giá gốc'!B:C,2,0),"")</f>
        <v/>
      </c>
      <c r="Q45" s="3" t="str">
        <f>VLOOKUP(gia_khuyen_mai[[#This Row],[Mã sản phẩm]],product[[Mã sản phẩm]:[DS - ĐV]],3,0)</f>
        <v>Food Đức Việt</v>
      </c>
    </row>
    <row r="46" spans="1:17" ht="21.75"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70956</v>
      </c>
      <c r="K46" s="6">
        <v>0.3</v>
      </c>
      <c r="L46" s="7">
        <f>ROUND((1-gia_khuyen_mai[[#This Row],[% Giảm giá]]) * gia_khuyen_mai[[#This Row],[Giá gốc]], 0)</f>
        <v>49669</v>
      </c>
      <c r="M46" s="7"/>
      <c r="O46" s="3" t="str">
        <f>IFERROR(VLOOKUP(gia_khuyen_mai[[#This Row],[Mã hàng tặng]],'Giá gốc'!B:C,2,0),"")</f>
        <v/>
      </c>
      <c r="Q46" s="3" t="str">
        <f>VLOOKUP(gia_khuyen_mai[[#This Row],[Mã sản phẩm]],product[[Mã sản phẩm]:[DS - ĐV]],3,0)</f>
        <v>Food Đức Việt</v>
      </c>
    </row>
    <row r="47" spans="1:17" ht="21.75"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c r="A56" s="30">
        <f t="shared" si="0"/>
        <v>55</v>
      </c>
      <c r="B56" s="4" t="s">
        <v>12669</v>
      </c>
      <c r="C56" s="4" t="s">
        <v>5</v>
      </c>
      <c r="D56" s="4" t="s">
        <v>496</v>
      </c>
      <c r="E56" s="4" t="s">
        <v>12917</v>
      </c>
      <c r="F56" s="4" t="s">
        <v>13038</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customHeight="1">
      <c r="A58" s="42">
        <f t="shared" si="0"/>
        <v>57</v>
      </c>
      <c r="B58" s="43" t="s">
        <v>12669</v>
      </c>
      <c r="C58" s="43" t="s">
        <v>5</v>
      </c>
      <c r="D58" s="43" t="s">
        <v>496</v>
      </c>
      <c r="E58" s="43" t="s">
        <v>12914</v>
      </c>
      <c r="F58" s="43" t="s">
        <v>13038</v>
      </c>
      <c r="G58" s="44" t="s">
        <v>12657</v>
      </c>
      <c r="H58" s="44" t="str">
        <f>VLOOKUP(gia_khuyen_mai[[#This Row],[Barcode]],'Giá gốc'!$A:$B,2,0)</f>
        <v>2151765</v>
      </c>
      <c r="I58" s="44" t="str">
        <f>VLOOKUP(gia_khuyen_mai[[#This Row],[Mã sản phẩm]],'Giá gốc'!$B:$C,2,0)</f>
        <v>Ức gà hong khói 100g</v>
      </c>
      <c r="J58" s="45">
        <f>VLOOKUP(gia_khuyen_mai[[#This Row],[Mã sản phẩm]],'Giá gốc'!B:D,3,0)</f>
        <v>26000</v>
      </c>
      <c r="K58" s="46">
        <v>0.25</v>
      </c>
      <c r="L58" s="4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customHeight="1">
      <c r="A59" s="30">
        <f t="shared" si="0"/>
        <v>58</v>
      </c>
      <c r="B59" s="4" t="s">
        <v>12669</v>
      </c>
      <c r="C59" s="4" t="s">
        <v>5</v>
      </c>
      <c r="D59" s="4" t="s">
        <v>496</v>
      </c>
      <c r="E59" s="4" t="s">
        <v>12914</v>
      </c>
      <c r="F59" s="4" t="s">
        <v>12824</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80190</v>
      </c>
      <c r="K62" s="6">
        <v>0.22</v>
      </c>
      <c r="L62" s="7">
        <f>ROUND((1-gia_khuyen_mai[[#This Row],[% Giảm giá]]) * gia_khuyen_mai[[#This Row],[Giá gốc]], 0)</f>
        <v>62548</v>
      </c>
      <c r="M62" s="7"/>
      <c r="O62" s="3" t="str">
        <f>IFERROR(VLOOKUP(gia_khuyen_mai[[#This Row],[Mã hàng tặng]],'Giá gốc'!B:C,2,0),"")</f>
        <v/>
      </c>
      <c r="Q62" s="3" t="str">
        <f>VLOOKUP(gia_khuyen_mai[[#This Row],[Mã sản phẩm]],product[[Mã sản phẩm]:[DS - ĐV]],3,0)</f>
        <v>Food Đức Việt</v>
      </c>
    </row>
    <row r="63" spans="1:17" ht="21.75"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6">
        <v>0.2</v>
      </c>
      <c r="L65" s="7">
        <f>ROUND((1-gia_khuyen_mai[[#This Row],[% Giảm giá]]) * gia_khuyen_mai[[#This Row],[Giá gốc]], 0)</f>
        <v>16880</v>
      </c>
      <c r="M65" s="7"/>
      <c r="O65" s="3" t="str">
        <f>IFERROR(VLOOKUP(gia_khuyen_mai[[#This Row],[Mã hàng tặng]],'Giá gốc'!B:C,2,0),"")</f>
        <v/>
      </c>
      <c r="Q65" s="3" t="str">
        <f>VLOOKUP(gia_khuyen_mai[[#This Row],[Mã sản phẩm]],product[[Mã sản phẩm]:[DS - ĐV]],3,0)</f>
        <v>Food Đức Việt</v>
      </c>
    </row>
    <row r="66" spans="1:17" ht="21.75"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100000</v>
      </c>
      <c r="K66" s="6">
        <v>0.2</v>
      </c>
      <c r="L66" s="7">
        <f>ROUND((1-gia_khuyen_mai[[#This Row],[% Giảm giá]]) * gia_khuyen_mai[[#This Row],[Giá gốc]], 0)</f>
        <v>80000</v>
      </c>
      <c r="M66" s="7"/>
      <c r="O66" s="3" t="str">
        <f>IFERROR(VLOOKUP(gia_khuyen_mai[[#This Row],[Mã hàng tặng]],'Giá gốc'!B:C,2,0),"")</f>
        <v/>
      </c>
      <c r="Q66" s="3" t="str">
        <f>VLOOKUP(gia_khuyen_mai[[#This Row],[Mã sản phẩm]],product[[Mã sản phẩm]:[DS - ĐV]],3,0)</f>
        <v>Food Đức Việt</v>
      </c>
    </row>
    <row r="67" spans="1:17" ht="21.75"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52920</v>
      </c>
      <c r="K67" s="6">
        <v>0.2</v>
      </c>
      <c r="L67" s="7">
        <f>ROUND((1-gia_khuyen_mai[[#This Row],[% Giảm giá]]) * gia_khuyen_mai[[#This Row],[Giá gốc]], 0)</f>
        <v>42336</v>
      </c>
      <c r="M67" s="7"/>
      <c r="O67" s="3" t="str">
        <f>IFERROR(VLOOKUP(gia_khuyen_mai[[#This Row],[Mã hàng tặng]],'Giá gốc'!B:C,2,0),"")</f>
        <v/>
      </c>
      <c r="Q67" s="3" t="str">
        <f>VLOOKUP(gia_khuyen_mai[[#This Row],[Mã sản phẩm]],product[[Mã sản phẩm]:[DS - ĐV]],3,0)</f>
        <v>Food Đức Việt</v>
      </c>
    </row>
    <row r="68" spans="1:17" ht="21.75"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13500</v>
      </c>
      <c r="K71" s="6">
        <v>0.2</v>
      </c>
      <c r="L71" s="7">
        <f>ROUND((1-gia_khuyen_mai[[#This Row],[% Giảm giá]]) * gia_khuyen_mai[[#This Row],[Giá gốc]], 0)</f>
        <v>10800</v>
      </c>
      <c r="M71" s="7"/>
      <c r="O71" s="3" t="str">
        <f>IFERROR(VLOOKUP(gia_khuyen_mai[[#This Row],[Mã hàng tặng]],'Giá gốc'!B:C,2,0),"")</f>
        <v/>
      </c>
      <c r="Q71" s="3" t="str">
        <f>VLOOKUP(gia_khuyen_mai[[#This Row],[Mã sản phẩm]],product[[Mã sản phẩm]:[DS - ĐV]],3,0)</f>
        <v>Food Đức Việt</v>
      </c>
    </row>
    <row r="72" spans="1:17" ht="21.75"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6">
        <v>0.22</v>
      </c>
      <c r="L72" s="7">
        <f>ROUND((1-gia_khuyen_mai[[#This Row],[% Giảm giá]]) * gia_khuyen_mai[[#This Row],[Giá gốc]], 0)</f>
        <v>61698</v>
      </c>
      <c r="M72" s="7"/>
      <c r="O72" s="3" t="str">
        <f>IFERROR(VLOOKUP(gia_khuyen_mai[[#This Row],[Mã hàng tặng]],'Giá gốc'!B:C,2,0),"")</f>
        <v/>
      </c>
      <c r="Q72" s="3" t="str">
        <f>VLOOKUP(gia_khuyen_mai[[#This Row],[Mã sản phẩm]],product[[Mã sản phẩm]:[DS - ĐV]],3,0)</f>
        <v>Food Đức Việt</v>
      </c>
    </row>
    <row r="73" spans="1:17" ht="21.75"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6">
        <v>0.25</v>
      </c>
      <c r="L73" s="7">
        <f>ROUND((1-gia_khuyen_mai[[#This Row],[% Giảm giá]]) * gia_khuyen_mai[[#This Row],[Giá gốc]], 0)</f>
        <v>37050</v>
      </c>
      <c r="M73" s="7"/>
      <c r="O73" s="3" t="str">
        <f>IFERROR(VLOOKUP(gia_khuyen_mai[[#This Row],[Mã hàng tặng]],'Giá gốc'!B:C,2,0),"")</f>
        <v/>
      </c>
      <c r="Q73" s="3" t="str">
        <f>VLOOKUP(gia_khuyen_mai[[#This Row],[Mã sản phẩm]],product[[Mã sản phẩm]:[DS - ĐV]],3,0)</f>
        <v>Food Đức Việt</v>
      </c>
    </row>
    <row r="74" spans="1:17" ht="21.75"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6">
        <v>0.22</v>
      </c>
      <c r="L74" s="7">
        <f>ROUND((1-gia_khuyen_mai[[#This Row],[% Giảm giá]]) * gia_khuyen_mai[[#This Row],[Giá gốc]], 0)</f>
        <v>42042</v>
      </c>
      <c r="M74" s="7"/>
      <c r="O74" s="3" t="str">
        <f>IFERROR(VLOOKUP(gia_khuyen_mai[[#This Row],[Mã hàng tặng]],'Giá gốc'!B:C,2,0),"")</f>
        <v/>
      </c>
      <c r="Q74" s="3" t="str">
        <f>VLOOKUP(gia_khuyen_mai[[#This Row],[Mã sản phẩm]],product[[Mã sản phẩm]:[DS - ĐV]],3,0)</f>
        <v>Food Đức Việt</v>
      </c>
    </row>
    <row r="75" spans="1:17" ht="21.75"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50220</v>
      </c>
      <c r="K75" s="6">
        <v>0.2</v>
      </c>
      <c r="L75" s="7">
        <f>ROUND((1-gia_khuyen_mai[[#This Row],[% Giảm giá]]) * gia_khuyen_mai[[#This Row],[Giá gốc]], 0)</f>
        <v>40176</v>
      </c>
      <c r="M75" s="7"/>
      <c r="O75" s="3" t="str">
        <f>IFERROR(VLOOKUP(gia_khuyen_mai[[#This Row],[Mã hàng tặng]],'Giá gốc'!B:C,2,0),"")</f>
        <v/>
      </c>
      <c r="Q75" s="3" t="str">
        <f>VLOOKUP(gia_khuyen_mai[[#This Row],[Mã sản phẩm]],product[[Mã sản phẩm]:[DS - ĐV]],3,0)</f>
        <v>Food Đức Việt</v>
      </c>
    </row>
    <row r="76" spans="1:17" ht="21.75"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35500</v>
      </c>
      <c r="K79" s="6">
        <v>0.3</v>
      </c>
      <c r="L79" s="7">
        <f>ROUND((1-gia_khuyen_mai[[#This Row],[% Giảm giá]]) * gia_khuyen_mai[[#This Row],[Giá gốc]], 0)</f>
        <v>24850</v>
      </c>
      <c r="M79" s="7"/>
      <c r="O79" s="3" t="str">
        <f>IFERROR(VLOOKUP(gia_khuyen_mai[[#This Row],[Mã hàng tặng]],'Giá gốc'!B:C,2,0),"")</f>
        <v/>
      </c>
      <c r="Q79" s="3" t="str">
        <f>VLOOKUP(gia_khuyen_mai[[#This Row],[Mã sản phẩm]],product[[Mã sản phẩm]:[DS - ĐV]],3,0)</f>
        <v>Food Đức Việt</v>
      </c>
    </row>
    <row r="80" spans="1:17" ht="21.75"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35424</v>
      </c>
      <c r="K84" s="6">
        <v>0.2</v>
      </c>
      <c r="L84" s="7">
        <f>ROUND((1-gia_khuyen_mai[[#This Row],[% Giảm giá]]) * gia_khuyen_mai[[#This Row],[Giá gốc]], 0)</f>
        <v>28339</v>
      </c>
      <c r="M84" s="7"/>
      <c r="O84" s="3" t="str">
        <f>IFERROR(VLOOKUP(gia_khuyen_mai[[#This Row],[Mã hàng tặng]],'Giá gốc'!B:C,2,0),"")</f>
        <v/>
      </c>
      <c r="Q84" s="3" t="str">
        <f>VLOOKUP(gia_khuyen_mai[[#This Row],[Mã sản phẩm]],product[[Mã sản phẩm]:[DS - ĐV]],3,0)</f>
        <v>Food Đức Việt</v>
      </c>
    </row>
    <row r="85" spans="1:17" ht="21.75"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17400</v>
      </c>
      <c r="K85" s="6">
        <v>0.25</v>
      </c>
      <c r="L85" s="7">
        <f>ROUND((1-gia_khuyen_mai[[#This Row],[% Giảm giá]]) * gia_khuyen_mai[[#This Row],[Giá gốc]], 0)</f>
        <v>13050</v>
      </c>
      <c r="M85" s="7"/>
      <c r="O85" s="3" t="str">
        <f>IFERROR(VLOOKUP(gia_khuyen_mai[[#This Row],[Mã hàng tặng]],'Giá gốc'!B:C,2,0),"")</f>
        <v/>
      </c>
      <c r="Q85" s="3" t="str">
        <f>VLOOKUP(gia_khuyen_mai[[#This Row],[Mã sản phẩm]],product[[Mã sản phẩm]:[DS - ĐV]],3,0)</f>
        <v>Food Đức Việt</v>
      </c>
    </row>
    <row r="86" spans="1:17" ht="21.75"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46980</v>
      </c>
      <c r="K88" s="6">
        <v>0.25</v>
      </c>
      <c r="L88" s="7">
        <f>ROUND((1-gia_khuyen_mai[[#This Row],[% Giảm giá]]) * gia_khuyen_mai[[#This Row],[Giá gốc]], 0)</f>
        <v>35235</v>
      </c>
      <c r="M88" s="7"/>
      <c r="O88" s="3" t="str">
        <f>IFERROR(VLOOKUP(gia_khuyen_mai[[#This Row],[Mã hàng tặng]],'Giá gốc'!B:C,2,0),"")</f>
        <v/>
      </c>
      <c r="Q88" s="3" t="str">
        <f>VLOOKUP(gia_khuyen_mai[[#This Row],[Mã sản phẩm]],product[[Mã sản phẩm]:[DS - ĐV]],3,0)</f>
        <v>Food Đức Việt</v>
      </c>
    </row>
    <row r="89" spans="1:17" ht="21.75"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70956</v>
      </c>
      <c r="K89" s="6">
        <v>0.3</v>
      </c>
      <c r="L89" s="7">
        <f>ROUND((1-gia_khuyen_mai[[#This Row],[% Giảm giá]]) * gia_khuyen_mai[[#This Row],[Giá gốc]], 0)</f>
        <v>49669</v>
      </c>
      <c r="M89" s="7"/>
      <c r="O89" s="3" t="str">
        <f>IFERROR(VLOOKUP(gia_khuyen_mai[[#This Row],[Mã hàng tặng]],'Giá gốc'!B:C,2,0),"")</f>
        <v/>
      </c>
      <c r="Q89" s="3" t="str">
        <f>VLOOKUP(gia_khuyen_mai[[#This Row],[Mã sản phẩm]],product[[Mã sản phẩm]:[DS - ĐV]],3,0)</f>
        <v>Food Đức Việt</v>
      </c>
    </row>
    <row r="90" spans="1:17" ht="21.75"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customHeight="1">
      <c r="A92" s="30">
        <f t="shared" si="1"/>
        <v>91</v>
      </c>
      <c r="B92" s="4" t="s">
        <v>13018</v>
      </c>
      <c r="C92" s="4" t="s">
        <v>500</v>
      </c>
      <c r="D92" s="4" t="s">
        <v>496</v>
      </c>
      <c r="E92" s="4" t="s">
        <v>12824</v>
      </c>
      <c r="F92" s="4" t="s">
        <v>13131</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64476</v>
      </c>
      <c r="K93" s="6">
        <v>0.2</v>
      </c>
      <c r="L93" s="7">
        <f>ROUND((1-gia_khuyen_mai[[#This Row],[% Giảm giá]]) * gia_khuyen_mai[[#This Row],[Giá gốc]], 0)</f>
        <v>51581</v>
      </c>
      <c r="M93" s="7"/>
      <c r="O93" s="3" t="str">
        <f>IFERROR(VLOOKUP(gia_khuyen_mai[[#This Row],[Mã hàng tặng]],'Giá gốc'!B:C,2,0),"")</f>
        <v/>
      </c>
      <c r="Q93" s="3" t="str">
        <f>VLOOKUP(gia_khuyen_mai[[#This Row],[Mã sản phẩm]],product[[Mã sản phẩm]:[DS - ĐV]],3,0)</f>
        <v>Food Đức Việt</v>
      </c>
    </row>
    <row r="94" spans="1:17" ht="21.75" customHeight="1">
      <c r="A94" s="40">
        <v>93</v>
      </c>
      <c r="B94" s="4" t="s">
        <v>13035</v>
      </c>
      <c r="C94" s="4" t="s">
        <v>183</v>
      </c>
      <c r="D94" s="4" t="s">
        <v>496</v>
      </c>
      <c r="E94" s="4" t="s">
        <v>12824</v>
      </c>
      <c r="F94" s="4" t="s">
        <v>12826</v>
      </c>
      <c r="G94" s="3" t="s">
        <v>13020</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6"/>
      <c r="L94" s="7">
        <f>ROUND((1-gia_khuyen_mai[[#This Row],[% Giảm giá]]) * gia_khuyen_mai[[#This Row],[Giá gốc]], 0)</f>
        <v>36000</v>
      </c>
      <c r="M94" s="7"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40">
        <f>ROW()-1</f>
        <v>94</v>
      </c>
      <c r="B95" s="4" t="s">
        <v>13036</v>
      </c>
      <c r="C95" s="4" t="s">
        <v>500</v>
      </c>
      <c r="D95" s="4" t="s">
        <v>496</v>
      </c>
      <c r="E95" s="4" t="s">
        <v>12826</v>
      </c>
      <c r="F95" s="4" t="s">
        <v>13037</v>
      </c>
      <c r="G95" s="41"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80190</v>
      </c>
      <c r="K95" s="6">
        <v>0.05</v>
      </c>
      <c r="L95" s="7">
        <f>ROUND((1-gia_khuyen_mai[[#This Row],[% Giảm giá]]) * gia_khuyen_mai[[#This Row],[Giá gốc]], 0)</f>
        <v>76181</v>
      </c>
      <c r="M95" s="7" t="s">
        <v>503</v>
      </c>
      <c r="N95" s="21"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c r="A96" s="40">
        <f t="shared" ref="A96:A107" si="2">ROW()-1</f>
        <v>95</v>
      </c>
      <c r="B96" s="4" t="s">
        <v>13036</v>
      </c>
      <c r="C96" s="4" t="s">
        <v>500</v>
      </c>
      <c r="D96" s="4" t="s">
        <v>496</v>
      </c>
      <c r="E96" s="4" t="s">
        <v>12826</v>
      </c>
      <c r="F96" s="4" t="s">
        <v>13037</v>
      </c>
      <c r="G96" s="41"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36080</v>
      </c>
      <c r="K96" s="6">
        <v>0.2</v>
      </c>
      <c r="L96" s="7">
        <f>ROUND((1-gia_khuyen_mai[[#This Row],[% Giảm giá]]) * gia_khuyen_mai[[#This Row],[Giá gốc]], 0)</f>
        <v>28864</v>
      </c>
      <c r="M96" s="7"/>
      <c r="O96" s="3" t="str">
        <f>IFERROR(VLOOKUP(gia_khuyen_mai[[#This Row],[Mã hàng tặng]],'Giá gốc'!B:C,2,0),"")</f>
        <v/>
      </c>
      <c r="Q96" s="3" t="str">
        <f>VLOOKUP(gia_khuyen_mai[[#This Row],[Mã sản phẩm]],product[[Mã sản phẩm]:[DS - ĐV]],3,0)</f>
        <v>Food Đức Việt</v>
      </c>
    </row>
    <row r="97" spans="1:17" ht="21.75" customHeight="1">
      <c r="A97" s="40">
        <f t="shared" si="2"/>
        <v>96</v>
      </c>
      <c r="B97" s="4" t="s">
        <v>13036</v>
      </c>
      <c r="C97" s="4" t="s">
        <v>500</v>
      </c>
      <c r="D97" s="4" t="s">
        <v>496</v>
      </c>
      <c r="E97" s="4" t="s">
        <v>12826</v>
      </c>
      <c r="F97" s="4" t="s">
        <v>13037</v>
      </c>
      <c r="G97" s="41" t="s">
        <v>415</v>
      </c>
      <c r="H97" s="3" t="str">
        <f>VLOOKUP(gia_khuyen_mai[[#This Row],[Barcode]],'Giá gốc'!$A:$B,2,0)</f>
        <v>2145767</v>
      </c>
      <c r="I97" s="3" t="str">
        <f>VLOOKUP(gia_khuyen_mai[[#This Row],[Mã sản phẩm]],'Giá gốc'!$B:$C,2,0)</f>
        <v>Xúc xích Mỹ 500g</v>
      </c>
      <c r="J97" s="5">
        <f>VLOOKUP(gia_khuyen_mai[[#This Row],[Mã sản phẩm]],'Giá gốc'!B:D,3,0)</f>
        <v>52920</v>
      </c>
      <c r="K97" s="6">
        <v>0.2</v>
      </c>
      <c r="L97" s="7">
        <f>ROUND((1-gia_khuyen_mai[[#This Row],[% Giảm giá]]) * gia_khuyen_mai[[#This Row],[Giá gốc]], 0)</f>
        <v>42336</v>
      </c>
      <c r="M97" s="7"/>
      <c r="O97" s="3" t="str">
        <f>IFERROR(VLOOKUP(gia_khuyen_mai[[#This Row],[Mã hàng tặng]],'Giá gốc'!B:C,2,0),"")</f>
        <v/>
      </c>
      <c r="Q97" s="3" t="str">
        <f>VLOOKUP(gia_khuyen_mai[[#This Row],[Mã sản phẩm]],product[[Mã sản phẩm]:[DS - ĐV]],3,0)</f>
        <v>Food Đức Việt</v>
      </c>
    </row>
    <row r="98" spans="1:17" ht="21.75" customHeight="1">
      <c r="A98" s="40">
        <f t="shared" si="2"/>
        <v>97</v>
      </c>
      <c r="B98" s="4" t="s">
        <v>13036</v>
      </c>
      <c r="C98" s="4" t="s">
        <v>500</v>
      </c>
      <c r="D98" s="4" t="s">
        <v>496</v>
      </c>
      <c r="E98" s="4" t="s">
        <v>12826</v>
      </c>
      <c r="F98" s="4" t="s">
        <v>13037</v>
      </c>
      <c r="G98" s="41"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8845</v>
      </c>
      <c r="K98" s="6">
        <v>0.2</v>
      </c>
      <c r="L98" s="7">
        <f>ROUND((1-gia_khuyen_mai[[#This Row],[% Giảm giá]]) * gia_khuyen_mai[[#This Row],[Giá gốc]], 0)</f>
        <v>7076</v>
      </c>
      <c r="M98" s="7"/>
      <c r="O98" s="3" t="str">
        <f>IFERROR(VLOOKUP(gia_khuyen_mai[[#This Row],[Mã hàng tặng]],'Giá gốc'!B:C,2,0),"")</f>
        <v/>
      </c>
      <c r="Q98" s="3" t="str">
        <f>VLOOKUP(gia_khuyen_mai[[#This Row],[Mã sản phẩm]],product[[Mã sản phẩm]:[DS - ĐV]],3,0)</f>
        <v>Food Đức Việt</v>
      </c>
    </row>
    <row r="99" spans="1:17" ht="21.75" customHeight="1">
      <c r="A99" s="40">
        <f t="shared" si="2"/>
        <v>98</v>
      </c>
      <c r="B99" s="4" t="s">
        <v>13036</v>
      </c>
      <c r="C99" s="4" t="s">
        <v>500</v>
      </c>
      <c r="D99" s="4" t="s">
        <v>496</v>
      </c>
      <c r="E99" s="4" t="s">
        <v>12826</v>
      </c>
      <c r="F99" s="4" t="s">
        <v>13037</v>
      </c>
      <c r="G99" s="41"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8845</v>
      </c>
      <c r="K99" s="6">
        <v>0.2</v>
      </c>
      <c r="L99" s="7">
        <f>ROUND((1-gia_khuyen_mai[[#This Row],[% Giảm giá]]) * gia_khuyen_mai[[#This Row],[Giá gốc]], 0)</f>
        <v>7076</v>
      </c>
      <c r="M99" s="7"/>
      <c r="O99" s="3" t="str">
        <f>IFERROR(VLOOKUP(gia_khuyen_mai[[#This Row],[Mã hàng tặng]],'Giá gốc'!B:C,2,0),"")</f>
        <v/>
      </c>
      <c r="Q99" s="3" t="str">
        <f>VLOOKUP(gia_khuyen_mai[[#This Row],[Mã sản phẩm]],product[[Mã sản phẩm]:[DS - ĐV]],3,0)</f>
        <v>Food Đức Việt</v>
      </c>
    </row>
    <row r="100" spans="1:17" ht="21.75" customHeight="1">
      <c r="A100" s="40">
        <f t="shared" si="2"/>
        <v>99</v>
      </c>
      <c r="B100" s="4" t="s">
        <v>13036</v>
      </c>
      <c r="C100" s="4" t="s">
        <v>500</v>
      </c>
      <c r="D100" s="4" t="s">
        <v>496</v>
      </c>
      <c r="E100" s="4" t="s">
        <v>12826</v>
      </c>
      <c r="F100" s="4" t="s">
        <v>13037</v>
      </c>
      <c r="G100" s="41" t="s">
        <v>451</v>
      </c>
      <c r="H100" s="3" t="str">
        <f>VLOOKUP(gia_khuyen_mai[[#This Row],[Barcode]],'Giá gốc'!$A:$B,2,0)</f>
        <v>2145697</v>
      </c>
      <c r="I100" s="3" t="str">
        <f>VLOOKUP(gia_khuyen_mai[[#This Row],[Mã sản phẩm]],'Giá gốc'!$B:$C,2,0)</f>
        <v>Seoul nhân phô mai 250g</v>
      </c>
      <c r="J100" s="5">
        <f>VLOOKUP(gia_khuyen_mai[[#This Row],[Mã sản phẩm]],'Giá gốc'!B:D,3,0)</f>
        <v>39960</v>
      </c>
      <c r="K100" s="6">
        <v>0.22</v>
      </c>
      <c r="L100" s="7">
        <f>ROUND((1-gia_khuyen_mai[[#This Row],[% Giảm giá]]) * gia_khuyen_mai[[#This Row],[Giá gốc]], 0)</f>
        <v>31169</v>
      </c>
      <c r="M100" s="7"/>
      <c r="O100" s="3" t="str">
        <f>IFERROR(VLOOKUP(gia_khuyen_mai[[#This Row],[Mã hàng tặng]],'Giá gốc'!B:C,2,0),"")</f>
        <v/>
      </c>
      <c r="Q100" s="3" t="str">
        <f>VLOOKUP(gia_khuyen_mai[[#This Row],[Mã sản phẩm]],product[[Mã sản phẩm]:[DS - ĐV]],3,0)</f>
        <v>Food Đức Việt</v>
      </c>
    </row>
    <row r="101" spans="1:17" ht="21.75" customHeight="1">
      <c r="A101" s="40">
        <f t="shared" si="2"/>
        <v>100</v>
      </c>
      <c r="B101" s="4" t="s">
        <v>13036</v>
      </c>
      <c r="C101" s="4" t="s">
        <v>500</v>
      </c>
      <c r="D101" s="4" t="s">
        <v>496</v>
      </c>
      <c r="E101" s="4" t="s">
        <v>12826</v>
      </c>
      <c r="F101" s="4" t="s">
        <v>13037</v>
      </c>
      <c r="G101" s="41" t="s">
        <v>12655</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6">
        <v>0.3</v>
      </c>
      <c r="L101" s="7">
        <f>ROUND((1-gia_khuyen_mai[[#This Row],[% Giảm giá]]) * gia_khuyen_mai[[#This Row],[Giá gốc]], 0)</f>
        <v>29400</v>
      </c>
      <c r="M101" s="7"/>
      <c r="O101" s="3" t="str">
        <f>IFERROR(VLOOKUP(gia_khuyen_mai[[#This Row],[Mã hàng tặng]],'Giá gốc'!B:C,2,0),"")</f>
        <v/>
      </c>
      <c r="Q101" s="3" t="str">
        <f>VLOOKUP(gia_khuyen_mai[[#This Row],[Mã sản phẩm]],product[[Mã sản phẩm]:[DS - ĐV]],3,0)</f>
        <v>Food Đức Việt</v>
      </c>
    </row>
    <row r="102" spans="1:17" ht="21.75" customHeight="1">
      <c r="A102" s="40">
        <f t="shared" si="2"/>
        <v>101</v>
      </c>
      <c r="B102" s="4" t="s">
        <v>13036</v>
      </c>
      <c r="C102" s="4" t="s">
        <v>500</v>
      </c>
      <c r="D102" s="4" t="s">
        <v>496</v>
      </c>
      <c r="E102" s="4" t="s">
        <v>12826</v>
      </c>
      <c r="F102" s="4" t="s">
        <v>13037</v>
      </c>
      <c r="G102" s="41" t="s">
        <v>12657</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6">
        <v>0.22</v>
      </c>
      <c r="L102" s="7">
        <f>ROUND((1-gia_khuyen_mai[[#This Row],[% Giảm giá]]) * gia_khuyen_mai[[#This Row],[Giá gốc]], 0)</f>
        <v>20280</v>
      </c>
      <c r="M102" s="7"/>
      <c r="O102" s="3" t="str">
        <f>IFERROR(VLOOKUP(gia_khuyen_mai[[#This Row],[Mã hàng tặng]],'Giá gốc'!B:C,2,0),"")</f>
        <v/>
      </c>
      <c r="Q102" s="3" t="str">
        <f>VLOOKUP(gia_khuyen_mai[[#This Row],[Mã sản phẩm]],product[[Mã sản phẩm]:[DS - ĐV]],3,0)</f>
        <v>Food Đức Việt</v>
      </c>
    </row>
    <row r="103" spans="1:17" ht="21.75" customHeight="1">
      <c r="A103" s="40">
        <f t="shared" si="2"/>
        <v>102</v>
      </c>
      <c r="B103" s="4" t="s">
        <v>13036</v>
      </c>
      <c r="C103" s="4" t="s">
        <v>500</v>
      </c>
      <c r="D103" s="4" t="s">
        <v>496</v>
      </c>
      <c r="E103" s="4" t="s">
        <v>12826</v>
      </c>
      <c r="F103" s="4" t="s">
        <v>13037</v>
      </c>
      <c r="G103" s="41"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100000</v>
      </c>
      <c r="K103" s="6">
        <v>0.25</v>
      </c>
      <c r="L103" s="7">
        <f>ROUND((1-gia_khuyen_mai[[#This Row],[% Giảm giá]]) * gia_khuyen_mai[[#This Row],[Giá gốc]], 0)</f>
        <v>75000</v>
      </c>
      <c r="M103" s="7"/>
      <c r="O103" s="3" t="str">
        <f>IFERROR(VLOOKUP(gia_khuyen_mai[[#This Row],[Mã hàng tặng]],'Giá gốc'!B:C,2,0),"")</f>
        <v/>
      </c>
      <c r="Q103" s="3" t="str">
        <f>VLOOKUP(gia_khuyen_mai[[#This Row],[Mã sản phẩm]],product[[Mã sản phẩm]:[DS - ĐV]],3,0)</f>
        <v>Food Đức Việt</v>
      </c>
    </row>
    <row r="104" spans="1:17" ht="21.75" customHeight="1">
      <c r="A104" s="40">
        <f t="shared" si="2"/>
        <v>103</v>
      </c>
      <c r="B104" s="4" t="s">
        <v>13036</v>
      </c>
      <c r="C104" s="4" t="s">
        <v>500</v>
      </c>
      <c r="D104" s="4" t="s">
        <v>496</v>
      </c>
      <c r="E104" s="4" t="s">
        <v>12826</v>
      </c>
      <c r="F104" s="4" t="s">
        <v>13037</v>
      </c>
      <c r="G104" s="41"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13500</v>
      </c>
      <c r="K104" s="6">
        <v>0.25</v>
      </c>
      <c r="L104" s="7">
        <f>ROUND((1-gia_khuyen_mai[[#This Row],[% Giảm giá]]) * gia_khuyen_mai[[#This Row],[Giá gốc]], 0)</f>
        <v>10125</v>
      </c>
      <c r="M104" s="7"/>
      <c r="O104" s="3" t="str">
        <f>IFERROR(VLOOKUP(gia_khuyen_mai[[#This Row],[Mã hàng tặng]],'Giá gốc'!B:C,2,0),"")</f>
        <v/>
      </c>
      <c r="Q104" s="3" t="str">
        <f>VLOOKUP(gia_khuyen_mai[[#This Row],[Mã sản phẩm]],product[[Mã sản phẩm]:[DS - ĐV]],3,0)</f>
        <v>Food Đức Việt</v>
      </c>
    </row>
    <row r="105" spans="1:17" ht="21.75" customHeight="1">
      <c r="A105" s="40">
        <f t="shared" si="2"/>
        <v>104</v>
      </c>
      <c r="B105" s="4" t="s">
        <v>13036</v>
      </c>
      <c r="C105" s="4" t="s">
        <v>500</v>
      </c>
      <c r="D105" s="4" t="s">
        <v>496</v>
      </c>
      <c r="E105" s="4" t="s">
        <v>12826</v>
      </c>
      <c r="F105" s="4" t="s">
        <v>13037</v>
      </c>
      <c r="G105" s="41" t="s">
        <v>12671</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6">
        <v>0.22</v>
      </c>
      <c r="L105" s="7">
        <f>ROUND((1-gia_khuyen_mai[[#This Row],[% Giảm giá]]) * gia_khuyen_mai[[#This Row],[Giá gốc]], 0)</f>
        <v>34320</v>
      </c>
      <c r="M105" s="7"/>
      <c r="O105" s="3" t="str">
        <f>IFERROR(VLOOKUP(gia_khuyen_mai[[#This Row],[Mã hàng tặng]],'Giá gốc'!B:C,2,0),"")</f>
        <v/>
      </c>
      <c r="Q105" s="3" t="str">
        <f>VLOOKUP(gia_khuyen_mai[[#This Row],[Mã sản phẩm]],product[[Mã sản phẩm]:[DS - ĐV]],3,0)</f>
        <v>Food Đức Việt</v>
      </c>
    </row>
    <row r="106" spans="1:17" ht="21.75" customHeight="1">
      <c r="A106" s="40">
        <f t="shared" si="2"/>
        <v>105</v>
      </c>
      <c r="B106" s="4" t="s">
        <v>13036</v>
      </c>
      <c r="C106" s="4" t="s">
        <v>500</v>
      </c>
      <c r="D106" s="4" t="s">
        <v>496</v>
      </c>
      <c r="E106" s="4" t="s">
        <v>12826</v>
      </c>
      <c r="F106" s="4" t="s">
        <v>13037</v>
      </c>
      <c r="G106" s="41" t="s">
        <v>13022</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6">
        <v>0.3</v>
      </c>
      <c r="L106" s="7">
        <f>ROUND((1-gia_khuyen_mai[[#This Row],[% Giảm giá]]) * gia_khuyen_mai[[#This Row],[Giá gốc]], 0)</f>
        <v>36400</v>
      </c>
      <c r="M106" s="7"/>
      <c r="O106" s="3" t="str">
        <f>IFERROR(VLOOKUP(gia_khuyen_mai[[#This Row],[Mã hàng tặng]],'Giá gốc'!B:C,2,0),"")</f>
        <v/>
      </c>
      <c r="Q106" s="3" t="str">
        <f>VLOOKUP(gia_khuyen_mai[[#This Row],[Mã sản phẩm]],product[[Mã sản phẩm]:[DS - ĐV]],3,0)</f>
        <v>Food Đức Việt</v>
      </c>
    </row>
    <row r="107" spans="1:17" ht="21.75" customHeight="1">
      <c r="A107" s="40">
        <f t="shared" si="2"/>
        <v>106</v>
      </c>
      <c r="B107" s="4" t="s">
        <v>13036</v>
      </c>
      <c r="C107" s="4" t="s">
        <v>5</v>
      </c>
      <c r="D107" s="4" t="s">
        <v>496</v>
      </c>
      <c r="E107" s="4" t="s">
        <v>13019</v>
      </c>
      <c r="F107" s="4" t="s">
        <v>13037</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6"/>
      <c r="L107" s="7">
        <f>ROUND((1-gia_khuyen_mai[[#This Row],[% Giảm giá]]) * gia_khuyen_mai[[#This Row],[Giá gốc]], 0)</f>
        <v>35500</v>
      </c>
      <c r="M107" s="7"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c r="A108" s="40">
        <f>ROW()-1</f>
        <v>107</v>
      </c>
      <c r="B108" s="4" t="s">
        <v>13129</v>
      </c>
      <c r="C108" s="4" t="s">
        <v>5</v>
      </c>
      <c r="D108" s="4" t="s">
        <v>496</v>
      </c>
      <c r="E108" s="4" t="s">
        <v>12829</v>
      </c>
      <c r="F108" s="4" t="s">
        <v>13130</v>
      </c>
      <c r="G108" s="3" t="s">
        <v>373</v>
      </c>
      <c r="H108" s="52" t="str">
        <f>VLOOKUP(gia_khuyen_mai[[#This Row],[Barcode]],'Giá gốc'!$A:$B,2,0)</f>
        <v>2145686</v>
      </c>
      <c r="I108" s="52" t="str">
        <f>VLOOKUP(gia_khuyen_mai[[#This Row],[Mã sản phẩm]],'Giá gốc'!$B:$C,2,0)</f>
        <v>Xúc xích hong khói 450g</v>
      </c>
      <c r="J108" s="5">
        <f>VLOOKUP(gia_khuyen_mai[[#This Row],[Mã sản phẩm]],'Giá gốc'!B:D,3,0)</f>
        <v>79100</v>
      </c>
      <c r="K108" s="6"/>
      <c r="L108" s="7">
        <f>ROUND((1-gia_khuyen_mai[[#This Row],[% Giảm giá]]) * gia_khuyen_mai[[#This Row],[Giá gốc]], 0)</f>
        <v>79100</v>
      </c>
      <c r="M108" s="7" t="s">
        <v>503</v>
      </c>
      <c r="N108" s="3" t="s">
        <v>404</v>
      </c>
      <c r="O108" s="52" t="str">
        <f>IFERROR(VLOOKUP(gia_khuyen_mai[[#This Row],[Mã hàng tặng]],'Giá gốc'!B:C,2,0),"")</f>
        <v>Xúc xích Cocktail 200g</v>
      </c>
      <c r="Q108" s="52" t="str">
        <f>VLOOKUP(gia_khuyen_mai[[#This Row],[Mã sản phẩm]],product[[Mã sản phẩm]:[DS - ĐV]],3,0)</f>
        <v>Food Đức Việt</v>
      </c>
    </row>
    <row r="109" spans="1:17" ht="21.75" customHeight="1">
      <c r="A109" s="40">
        <f>ROW()-1</f>
        <v>108</v>
      </c>
      <c r="B109" s="4" t="s">
        <v>13129</v>
      </c>
      <c r="C109" s="4" t="s">
        <v>5</v>
      </c>
      <c r="D109" s="4" t="s">
        <v>496</v>
      </c>
      <c r="E109" s="4" t="s">
        <v>12829</v>
      </c>
      <c r="F109" s="4" t="s">
        <v>13130</v>
      </c>
      <c r="G109" s="3" t="s">
        <v>403</v>
      </c>
      <c r="H109" s="52" t="str">
        <f>VLOOKUP(gia_khuyen_mai[[#This Row],[Barcode]],'Giá gốc'!$A:$B,2,0)</f>
        <v>2145762</v>
      </c>
      <c r="I109" s="52" t="str">
        <f>VLOOKUP(gia_khuyen_mai[[#This Row],[Mã sản phẩm]],'Giá gốc'!$B:$C,2,0)</f>
        <v>Xúc xích Cocktail 200g</v>
      </c>
      <c r="J109" s="5">
        <f>VLOOKUP(gia_khuyen_mai[[#This Row],[Mã sản phẩm]],'Giá gốc'!B:D,3,0)</f>
        <v>21100</v>
      </c>
      <c r="K109" s="6">
        <v>0.2</v>
      </c>
      <c r="L109" s="7">
        <f>ROUND((1-gia_khuyen_mai[[#This Row],[% Giảm giá]]) * gia_khuyen_mai[[#This Row],[Giá gốc]], 0)</f>
        <v>16880</v>
      </c>
      <c r="M109" s="7"/>
      <c r="O109" s="52" t="str">
        <f>IFERROR(VLOOKUP(gia_khuyen_mai[[#This Row],[Mã hàng tặng]],'Giá gốc'!B:C,2,0),"")</f>
        <v/>
      </c>
      <c r="Q109" s="52" t="str">
        <f>VLOOKUP(gia_khuyen_mai[[#This Row],[Mã sản phẩm]],product[[Mã sản phẩm]:[DS - ĐV]],3,0)</f>
        <v>Food Đức Việt</v>
      </c>
    </row>
    <row r="110" spans="1:17" ht="21.75" customHeight="1">
      <c r="A110" s="40">
        <f>ROW()-1</f>
        <v>109</v>
      </c>
      <c r="B110" s="4" t="s">
        <v>13129</v>
      </c>
      <c r="C110" s="4" t="s">
        <v>5</v>
      </c>
      <c r="D110" s="4" t="s">
        <v>496</v>
      </c>
      <c r="E110" s="4" t="s">
        <v>12829</v>
      </c>
      <c r="F110" s="4" t="s">
        <v>13130</v>
      </c>
      <c r="G110" s="3" t="s">
        <v>12658</v>
      </c>
      <c r="H110" s="52" t="str">
        <f>VLOOKUP(gia_khuyen_mai[[#This Row],[Barcode]],'Giá gốc'!$A:$B,2,0)</f>
        <v>2145747</v>
      </c>
      <c r="I110" s="52" t="str">
        <f>VLOOKUP(gia_khuyen_mai[[#This Row],[Mã sản phẩm]],'Giá gốc'!$B:$C,2,0)</f>
        <v>Xúc xích thịt heo Bragenwurst 400g</v>
      </c>
      <c r="J110" s="5">
        <f>VLOOKUP(gia_khuyen_mai[[#This Row],[Mã sản phẩm]],'Giá gốc'!B:D,3,0)</f>
        <v>82080</v>
      </c>
      <c r="K110" s="6">
        <v>0.3</v>
      </c>
      <c r="L110" s="7">
        <f>ROUND((1-gia_khuyen_mai[[#This Row],[% Giảm giá]]) * gia_khuyen_mai[[#This Row],[Giá gốc]], 0)</f>
        <v>57456</v>
      </c>
      <c r="M110" s="7"/>
      <c r="O110" s="52" t="str">
        <f>IFERROR(VLOOKUP(gia_khuyen_mai[[#This Row],[Mã hàng tặng]],'Giá gốc'!B:C,2,0),"")</f>
        <v/>
      </c>
      <c r="Q110" s="52" t="str">
        <f>VLOOKUP(gia_khuyen_mai[[#This Row],[Mã sản phẩm]],product[[Mã sản phẩm]:[DS - ĐV]],3,0)</f>
        <v>Food Đức Việt</v>
      </c>
    </row>
    <row r="111" spans="1:17" ht="21.75" customHeight="1">
      <c r="A111" s="40">
        <f>ROW()-1</f>
        <v>110</v>
      </c>
      <c r="B111" s="4" t="s">
        <v>13129</v>
      </c>
      <c r="C111" s="4" t="s">
        <v>5</v>
      </c>
      <c r="D111" s="4" t="s">
        <v>496</v>
      </c>
      <c r="E111" s="4" t="s">
        <v>12829</v>
      </c>
      <c r="F111" s="4" t="s">
        <v>13130</v>
      </c>
      <c r="G111" s="3" t="s">
        <v>418</v>
      </c>
      <c r="H111" s="52" t="str">
        <f>VLOOKUP(gia_khuyen_mai[[#This Row],[Barcode]],'Giá gốc'!$A:$B,2,0)</f>
        <v>2145783</v>
      </c>
      <c r="I111" s="52" t="str">
        <f>VLOOKUP(gia_khuyen_mai[[#This Row],[Mã sản phẩm]],'Giá gốc'!$B:$C,2,0)</f>
        <v>Xúc xích Romas ( 50g) 500g</v>
      </c>
      <c r="J111" s="5">
        <f>VLOOKUP(gia_khuyen_mai[[#This Row],[Mã sản phẩm]],'Giá gốc'!B:D,3,0)</f>
        <v>53900</v>
      </c>
      <c r="K111" s="6">
        <v>0.22</v>
      </c>
      <c r="L111" s="7">
        <f>ROUND((1-gia_khuyen_mai[[#This Row],[% Giảm giá]]) * gia_khuyen_mai[[#This Row],[Giá gốc]], 0)</f>
        <v>42042</v>
      </c>
      <c r="M111" s="7"/>
      <c r="O111" s="52" t="str">
        <f>IFERROR(VLOOKUP(gia_khuyen_mai[[#This Row],[Mã hàng tặng]],'Giá gốc'!B:C,2,0),"")</f>
        <v/>
      </c>
      <c r="Q111" s="52" t="str">
        <f>VLOOKUP(gia_khuyen_mai[[#This Row],[Mã sản phẩm]],product[[Mã sản phẩm]:[DS - ĐV]],3,0)</f>
        <v>Food Đức Việt</v>
      </c>
    </row>
    <row r="112" spans="1:17" ht="21.75" customHeight="1">
      <c r="A112" s="40">
        <f>ROW()-1</f>
        <v>111</v>
      </c>
      <c r="B112" s="4" t="s">
        <v>13129</v>
      </c>
      <c r="C112" s="4" t="s">
        <v>5</v>
      </c>
      <c r="D112" s="4" t="s">
        <v>496</v>
      </c>
      <c r="E112" s="4" t="s">
        <v>12829</v>
      </c>
      <c r="F112" s="4" t="s">
        <v>13130</v>
      </c>
      <c r="G112" s="3" t="s">
        <v>397</v>
      </c>
      <c r="H112" s="52" t="str">
        <f>VLOOKUP(gia_khuyen_mai[[#This Row],[Barcode]],'Giá gốc'!$A:$B,2,0)</f>
        <v>2145726</v>
      </c>
      <c r="I112" s="52" t="str">
        <f>VLOOKUP(gia_khuyen_mai[[#This Row],[Mã sản phẩm]],'Giá gốc'!$B:$C,2,0)</f>
        <v>Xúc xích phô mai Cheesy 250g</v>
      </c>
      <c r="J112" s="5">
        <f>VLOOKUP(gia_khuyen_mai[[#This Row],[Mã sản phẩm]],'Giá gốc'!B:D,3,0)</f>
        <v>49400</v>
      </c>
      <c r="K112" s="6">
        <v>0.25</v>
      </c>
      <c r="L112" s="7">
        <f>ROUND((1-gia_khuyen_mai[[#This Row],[% Giảm giá]]) * gia_khuyen_mai[[#This Row],[Giá gốc]], 0)</f>
        <v>37050</v>
      </c>
      <c r="M112" s="7"/>
      <c r="O112" s="52" t="str">
        <f>IFERROR(VLOOKUP(gia_khuyen_mai[[#This Row],[Mã hàng tặng]],'Giá gốc'!B:C,2,0),"")</f>
        <v/>
      </c>
      <c r="Q112" s="52" t="str">
        <f>VLOOKUP(gia_khuyen_mai[[#This Row],[Mã sản phẩm]],product[[Mã sản phẩm]:[DS - ĐV]],3,0)</f>
        <v>Food Đức Việt</v>
      </c>
    </row>
    <row r="113" spans="1:17" ht="21.75" customHeight="1">
      <c r="A113" s="40">
        <f>ROW()-1</f>
        <v>112</v>
      </c>
      <c r="B113" s="4" t="s">
        <v>13129</v>
      </c>
      <c r="C113" s="4" t="s">
        <v>5</v>
      </c>
      <c r="D113" s="4" t="s">
        <v>496</v>
      </c>
      <c r="E113" s="4" t="s">
        <v>12829</v>
      </c>
      <c r="F113" s="4" t="s">
        <v>13130</v>
      </c>
      <c r="G113" s="3" t="s">
        <v>470</v>
      </c>
      <c r="H113" s="52" t="str">
        <f>VLOOKUP(gia_khuyen_mai[[#This Row],[Barcode]],'Giá gốc'!$A:$B,2,0)</f>
        <v>2145699</v>
      </c>
      <c r="I113" s="52" t="str">
        <f>VLOOKUP(gia_khuyen_mai[[#This Row],[Mã sản phẩm]],'Giá gốc'!$B:$C,2,0)</f>
        <v>Seoul's Hotdog Chiên xù 250g (Đ)</v>
      </c>
      <c r="J113" s="5">
        <f>VLOOKUP(gia_khuyen_mai[[#This Row],[Mã sản phẩm]],'Giá gốc'!B:D,3,0)</f>
        <v>39150</v>
      </c>
      <c r="K113" s="6">
        <v>0.25</v>
      </c>
      <c r="L113" s="7">
        <f>ROUND((1-gia_khuyen_mai[[#This Row],[% Giảm giá]]) * gia_khuyen_mai[[#This Row],[Giá gốc]], 0)</f>
        <v>29363</v>
      </c>
      <c r="M113" s="7"/>
      <c r="O113" s="52" t="str">
        <f>IFERROR(VLOOKUP(gia_khuyen_mai[[#This Row],[Mã hàng tặng]],'Giá gốc'!B:C,2,0),"")</f>
        <v/>
      </c>
      <c r="Q113" s="52" t="str">
        <f>VLOOKUP(gia_khuyen_mai[[#This Row],[Mã sản phẩm]],product[[Mã sản phẩm]:[DS - ĐV]],3,0)</f>
        <v>Food Đức Việt</v>
      </c>
    </row>
    <row r="114" spans="1:17" ht="21.75" customHeight="1">
      <c r="A114" s="40">
        <f>ROW()-1</f>
        <v>113</v>
      </c>
      <c r="B114" s="4" t="s">
        <v>13129</v>
      </c>
      <c r="C114" s="4" t="s">
        <v>5</v>
      </c>
      <c r="D114" s="4" t="s">
        <v>496</v>
      </c>
      <c r="E114" s="4" t="s">
        <v>13132</v>
      </c>
      <c r="F114" s="4" t="s">
        <v>13130</v>
      </c>
      <c r="G114" s="4" t="s">
        <v>464</v>
      </c>
      <c r="H114" s="52" t="str">
        <f>VLOOKUP(gia_khuyen_mai[[#This Row],[Barcode]],'Giá gốc'!$A:$B,2,0)</f>
        <v>2145622</v>
      </c>
      <c r="I114" s="52" t="str">
        <f>VLOOKUP(gia_khuyen_mai[[#This Row],[Mã sản phẩm]],'Giá gốc'!$B:$C,2,0)</f>
        <v>Kim chi 450</v>
      </c>
      <c r="J114" s="5">
        <f>VLOOKUP(gia_khuyen_mai[[#This Row],[Mã sản phẩm]],'Giá gốc'!B:D,3,0)</f>
        <v>35500</v>
      </c>
      <c r="K114" s="6"/>
      <c r="L114" s="7">
        <f>ROUND((1-gia_khuyen_mai[[#This Row],[% Giảm giá]]) * gia_khuyen_mai[[#This Row],[Giá gốc]], 0)</f>
        <v>35500</v>
      </c>
      <c r="M114" s="7" t="s">
        <v>503</v>
      </c>
      <c r="N114" s="21" t="s">
        <v>12667</v>
      </c>
      <c r="O114" s="52" t="str">
        <f>IFERROR(VLOOKUP(gia_khuyen_mai[[#This Row],[Mã hàng tặng]],'Giá gốc'!B:C,2,0),"")</f>
        <v>Jongga Kim chi Củ cải 150g</v>
      </c>
      <c r="Q114" s="52" t="str">
        <f>VLOOKUP(gia_khuyen_mai[[#This Row],[Mã sản phẩm]],product[[Mã sản phẩm]:[DS - ĐV]],3,0)</f>
        <v>Food Đức Việt</v>
      </c>
    </row>
    <row r="115" spans="1:17" ht="21.75" customHeight="1">
      <c r="A115" s="40">
        <f>ROW()-1</f>
        <v>114</v>
      </c>
      <c r="B115" s="4" t="s">
        <v>13129</v>
      </c>
      <c r="C115" s="4" t="s">
        <v>5</v>
      </c>
      <c r="D115" s="4" t="s">
        <v>496</v>
      </c>
      <c r="E115" s="4" t="s">
        <v>13132</v>
      </c>
      <c r="F115" s="4" t="s">
        <v>13130</v>
      </c>
      <c r="G115" s="3" t="s">
        <v>12656</v>
      </c>
      <c r="H115" s="52" t="str">
        <f>VLOOKUP(gia_khuyen_mai[[#This Row],[Barcode]],'Giá gốc'!$A:$B,2,0)</f>
        <v>2151140</v>
      </c>
      <c r="I115" s="52" t="str">
        <f>VLOOKUP(gia_khuyen_mai[[#This Row],[Mã sản phẩm]],'Giá gốc'!$B:$C,2,0)</f>
        <v>Jongga Kim chi Củ cải 150g</v>
      </c>
      <c r="J115" s="5">
        <f>VLOOKUP(gia_khuyen_mai[[#This Row],[Mã sản phẩm]],'Giá gốc'!B:D,3,0)</f>
        <v>16500</v>
      </c>
      <c r="K115" s="6">
        <v>0.25</v>
      </c>
      <c r="L115" s="7">
        <f>ROUND((1-gia_khuyen_mai[[#This Row],[% Giảm giá]]) * gia_khuyen_mai[[#This Row],[Giá gốc]], 0)</f>
        <v>12375</v>
      </c>
      <c r="M115" s="7"/>
      <c r="O115" s="52" t="str">
        <f>IFERROR(VLOOKUP(gia_khuyen_mai[[#This Row],[Mã hàng tặng]],'Giá gốc'!B:C,2,0),"")</f>
        <v/>
      </c>
      <c r="Q115" s="52" t="str">
        <f>VLOOKUP(gia_khuyen_mai[[#This Row],[Mã sản phẩm]],product[[Mã sản phẩm]:[DS - ĐV]],3,0)</f>
        <v>Food Đức Việt</v>
      </c>
    </row>
    <row r="116" spans="1:17" ht="21.75" customHeight="1">
      <c r="A116" s="40">
        <f>ROW()-1</f>
        <v>115</v>
      </c>
      <c r="B116" s="4" t="s">
        <v>13129</v>
      </c>
      <c r="C116" s="4" t="s">
        <v>5</v>
      </c>
      <c r="D116" s="4" t="s">
        <v>496</v>
      </c>
      <c r="E116" s="4" t="s">
        <v>13132</v>
      </c>
      <c r="F116" s="4" t="s">
        <v>13130</v>
      </c>
      <c r="G116" s="3" t="s">
        <v>479</v>
      </c>
      <c r="H116" s="52" t="str">
        <f>VLOOKUP(gia_khuyen_mai[[#This Row],[Barcode]],'Giá gốc'!$A:$B,2,0)</f>
        <v>2150338</v>
      </c>
      <c r="I116" s="52" t="str">
        <f>VLOOKUP(gia_khuyen_mai[[#This Row],[Mã sản phẩm]],'Giá gốc'!$B:$C,2,0)</f>
        <v>O'food Chả giò da xốp hải sản 300g</v>
      </c>
      <c r="J116" s="5">
        <f>VLOOKUP(gia_khuyen_mai[[#This Row],[Mã sản phẩm]],'Giá gốc'!B:D,3,0)</f>
        <v>31524</v>
      </c>
      <c r="K116" s="6">
        <v>0.25</v>
      </c>
      <c r="L116" s="7">
        <f>ROUND((1-gia_khuyen_mai[[#This Row],[% Giảm giá]]) * gia_khuyen_mai[[#This Row],[Giá gốc]], 0)</f>
        <v>23643</v>
      </c>
      <c r="M116" s="7"/>
      <c r="O116" s="52" t="str">
        <f>IFERROR(VLOOKUP(gia_khuyen_mai[[#This Row],[Mã hàng tặng]],'Giá gốc'!B:C,2,0),"")</f>
        <v/>
      </c>
      <c r="Q116" s="52" t="str">
        <f>VLOOKUP(gia_khuyen_mai[[#This Row],[Mã sản phẩm]],product[[Mã sản phẩm]:[DS - ĐV]],3,0)</f>
        <v>Food Đức Việt</v>
      </c>
    </row>
  </sheetData>
  <phoneticPr fontId="5" type="noConversion"/>
  <conditionalFormatting sqref="N83">
    <cfRule type="duplicateValues" dxfId="9" priority="8"/>
    <cfRule type="duplicateValues" dxfId="8" priority="9"/>
  </conditionalFormatting>
  <conditionalFormatting sqref="N95">
    <cfRule type="duplicateValues" dxfId="7" priority="6"/>
    <cfRule type="duplicateValues" dxfId="6" priority="7"/>
  </conditionalFormatting>
  <conditionalFormatting sqref="N114">
    <cfRule type="duplicateValues" dxfId="2" priority="2"/>
    <cfRule type="duplicateValues" dxfId="1" priority="3"/>
  </conditionalFormatting>
  <conditionalFormatting sqref="N114">
    <cfRule type="duplicateValues" dxfId="0" priority="1"/>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C2:C116</xm:sqref>
        </x14:dataValidation>
        <x14:dataValidation type="list" allowBlank="1" showInputMessage="1" showErrorMessage="1" xr:uid="{70682026-A2D1-4D89-B7D7-4AB945F4B9A2}">
          <x14:formula1>
            <xm:f>'Data Validation'!$E$2:$E$3</xm:f>
          </x14:formula1>
          <xm:sqref>M2:M116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64"/>
  <sheetViews>
    <sheetView topLeftCell="A3599" zoomScale="70" zoomScaleNormal="70" workbookViewId="0">
      <selection activeCell="B3652" sqref="B3652"/>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12" t="s">
        <v>13039</v>
      </c>
      <c r="B3820" s="10" t="s">
        <v>5</v>
      </c>
      <c r="C3820" s="11" t="s">
        <v>13054</v>
      </c>
      <c r="D3820" s="22"/>
      <c r="E3820" s="33" t="s">
        <v>11401</v>
      </c>
      <c r="F3820" s="23" t="str">
        <f>VLOOKUP(Table8[[#This Row],[Mã khách hàng]],code_khach_hang[],2,0)</f>
        <v>CHI NHÁNH HÀ TĨNH - CÔNG TY CỔ PHẦN DỊCH VỤ THƯƠNG MẠI TỔNG HỢP WINCOMMERCE</v>
      </c>
      <c r="G3820" s="11"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c r="A3821" s="15" t="s">
        <v>13040</v>
      </c>
      <c r="B3821" s="10" t="s">
        <v>5</v>
      </c>
      <c r="C3821" s="17" t="s">
        <v>13055</v>
      </c>
      <c r="D3821" s="22"/>
      <c r="E3821" s="34" t="s">
        <v>11399</v>
      </c>
      <c r="F3821" s="23" t="str">
        <f>VLOOKUP(Table8[[#This Row],[Mã khách hàng]],code_khach_hang[],2,0)</f>
        <v>CHI NHÁNH THANH HÓA - CÔNG TY CỔ PHẦN DỊCH VỤ THƯƠNG MẠI TỔNG HỢP WINCOMMERCE</v>
      </c>
      <c r="G3821" s="17"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c r="A3822" s="15" t="s">
        <v>13041</v>
      </c>
      <c r="B3822" s="10" t="s">
        <v>5</v>
      </c>
      <c r="C3822" s="17" t="s">
        <v>13056</v>
      </c>
      <c r="D3822" s="22"/>
      <c r="E3822" s="34" t="s">
        <v>11410</v>
      </c>
      <c r="F3822" s="23" t="str">
        <f>VLOOKUP(Table8[[#This Row],[Mã khách hàng]],code_khach_hang[],2,0)</f>
        <v>CHI NHÁNH LAI CHÂU - CÔNG TY CỔ PHẦN DỊCH VỤ THƯƠNG MẠI TỔNG HỢP WINCOMMERCE</v>
      </c>
      <c r="G3822" s="17"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c r="A3823" s="15" t="s">
        <v>13042</v>
      </c>
      <c r="B3823" s="10" t="s">
        <v>5</v>
      </c>
      <c r="C3823" s="17" t="s">
        <v>13057</v>
      </c>
      <c r="D3823" s="22"/>
      <c r="E3823" s="34" t="s">
        <v>11395</v>
      </c>
      <c r="F3823" s="23" t="str">
        <f>VLOOKUP(Table8[[#This Row],[Mã khách hàng]],code_khach_hang[],2,0)</f>
        <v>CHI NHÁNH PHÚ THỌ - CÔNG TY CỔ PHẦN DỊCH VỤ THƯƠNG MẠI TỔNG HỢP WINCOMMERCE</v>
      </c>
      <c r="G3823" s="17"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c r="A3824" s="15" t="s">
        <v>13043</v>
      </c>
      <c r="B3824" s="10" t="s">
        <v>5</v>
      </c>
      <c r="C3824" s="17" t="s">
        <v>13058</v>
      </c>
      <c r="D3824" s="22"/>
      <c r="E3824" s="34" t="s">
        <v>11399</v>
      </c>
      <c r="F3824" s="23" t="str">
        <f>VLOOKUP(Table8[[#This Row],[Mã khách hàng]],code_khach_hang[],2,0)</f>
        <v>CHI NHÁNH THANH HÓA - CÔNG TY CỔ PHẦN DỊCH VỤ THƯƠNG MẠI TỔNG HỢP WINCOMMERCE</v>
      </c>
      <c r="G3824" s="17"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c r="A3825" s="15" t="s">
        <v>13044</v>
      </c>
      <c r="B3825" s="10" t="s">
        <v>5</v>
      </c>
      <c r="C3825" s="17" t="s">
        <v>13059</v>
      </c>
      <c r="D3825" s="22"/>
      <c r="E3825" s="34" t="s">
        <v>11411</v>
      </c>
      <c r="F3825" s="23" t="str">
        <f>VLOOKUP(Table8[[#This Row],[Mã khách hàng]],code_khach_hang[],2,0)</f>
        <v>CHI NHÁNH HÀ NỘI - CÔNG TY CỔ PHẦN DỊCH VỤ THƯƠNG MẠI TỔNG HỢP WINCOMMERCE</v>
      </c>
      <c r="G3825" s="17"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c r="A3826" s="15" t="s">
        <v>13045</v>
      </c>
      <c r="B3826" s="10" t="s">
        <v>5</v>
      </c>
      <c r="C3826" s="17" t="s">
        <v>13060</v>
      </c>
      <c r="D3826" s="22"/>
      <c r="E3826" s="34" t="s">
        <v>11394</v>
      </c>
      <c r="F3826" s="23" t="str">
        <f>VLOOKUP(Table8[[#This Row],[Mã khách hàng]],code_khach_hang[],2,0)</f>
        <v>CHI NHÁNH HẢI PHÒNG - CÔNG TY CỔ PHẦN DỊCH VỤ THƯƠNG MẠI TỔNG HỢP WINCOMMERCE</v>
      </c>
      <c r="G3826" s="17"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c r="A3827" s="15" t="s">
        <v>13046</v>
      </c>
      <c r="B3827" s="10" t="s">
        <v>5</v>
      </c>
      <c r="C3827" s="17" t="s">
        <v>13061</v>
      </c>
      <c r="D3827" s="22"/>
      <c r="E3827" s="34" t="s">
        <v>11411</v>
      </c>
      <c r="F3827" s="23" t="str">
        <f>VLOOKUP(Table8[[#This Row],[Mã khách hàng]],code_khach_hang[],2,0)</f>
        <v>CHI NHÁNH HÀ NỘI - CÔNG TY CỔ PHẦN DỊCH VỤ THƯƠNG MẠI TỔNG HỢP WINCOMMERCE</v>
      </c>
      <c r="G3827" s="17"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c r="A3828" s="15" t="s">
        <v>13047</v>
      </c>
      <c r="B3828" s="10" t="s">
        <v>5</v>
      </c>
      <c r="C3828" s="17" t="s">
        <v>13062</v>
      </c>
      <c r="D3828" s="22"/>
      <c r="E3828" s="34" t="s">
        <v>11393</v>
      </c>
      <c r="F3828" s="23" t="str">
        <f>VLOOKUP(Table8[[#This Row],[Mã khách hàng]],code_khach_hang[],2,0)</f>
        <v>CHI NHÁNH QUẢNG NINH - CÔNG TY CỔ PHẦN DỊCH VỤ THƯƠNG MẠI TỔNG HỢP WINCOMMERCE</v>
      </c>
      <c r="G3828" s="17"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c r="A3829" s="15" t="s">
        <v>13048</v>
      </c>
      <c r="B3829" s="10" t="s">
        <v>5</v>
      </c>
      <c r="C3829" s="17" t="s">
        <v>13063</v>
      </c>
      <c r="D3829" s="22"/>
      <c r="E3829" s="34" t="s">
        <v>11401</v>
      </c>
      <c r="F3829" s="23" t="str">
        <f>VLOOKUP(Table8[[#This Row],[Mã khách hàng]],code_khach_hang[],2,0)</f>
        <v>CHI NHÁNH HÀ TĨNH - CÔNG TY CỔ PHẦN DỊCH VỤ THƯƠNG MẠI TỔNG HỢP WINCOMMERCE</v>
      </c>
      <c r="G3829" s="17"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c r="A3830" s="15" t="s">
        <v>13049</v>
      </c>
      <c r="B3830" s="10" t="s">
        <v>5</v>
      </c>
      <c r="C3830" s="17" t="s">
        <v>13064</v>
      </c>
      <c r="D3830" s="22"/>
      <c r="E3830" s="34" t="s">
        <v>11401</v>
      </c>
      <c r="F3830" s="23" t="str">
        <f>VLOOKUP(Table8[[#This Row],[Mã khách hàng]],code_khach_hang[],2,0)</f>
        <v>CHI NHÁNH HÀ TĨNH - CÔNG TY CỔ PHẦN DỊCH VỤ THƯƠNG MẠI TỔNG HỢP WINCOMMERCE</v>
      </c>
      <c r="G3830" s="17"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c r="A3831" s="15" t="s">
        <v>13050</v>
      </c>
      <c r="B3831" s="10" t="s">
        <v>5</v>
      </c>
      <c r="C3831" s="17" t="s">
        <v>13065</v>
      </c>
      <c r="D3831" s="22"/>
      <c r="E3831" s="34" t="s">
        <v>11412</v>
      </c>
      <c r="F3831" s="23" t="str">
        <f>VLOOKUP(Table8[[#This Row],[Mã khách hàng]],code_khach_hang[],2,0)</f>
        <v>CHI NHÁNH HƯNG YÊN - CÔNG TY CỔ PHẦN DỊCH VỤ THƯƠNG MẠI TỔNG HỢP WINCOMMERCE</v>
      </c>
      <c r="G3831" s="17"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c r="A3832" s="15" t="s">
        <v>13051</v>
      </c>
      <c r="B3832" s="10" t="s">
        <v>5</v>
      </c>
      <c r="C3832" s="17" t="s">
        <v>13066</v>
      </c>
      <c r="D3832" s="22"/>
      <c r="E3832" s="34" t="s">
        <v>11392</v>
      </c>
      <c r="F3832" s="23" t="str">
        <f>VLOOKUP(Table8[[#This Row],[Mã khách hàng]],code_khach_hang[],2,0)</f>
        <v>CHI NHÁNH NINH BÌNH - CÔNG TY CỔ PHẦN DỊCH VỤ THƯƠNG MẠI TỔNG HỢP WINCOMMERCE</v>
      </c>
      <c r="G3832" s="17"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c r="A3833" s="15" t="s">
        <v>13052</v>
      </c>
      <c r="B3833" s="10" t="s">
        <v>5</v>
      </c>
      <c r="C3833" s="17" t="s">
        <v>13067</v>
      </c>
      <c r="D3833" s="22"/>
      <c r="E3833" s="34" t="s">
        <v>11389</v>
      </c>
      <c r="F3833" s="23" t="str">
        <f>VLOOKUP(Table8[[#This Row],[Mã khách hàng]],code_khach_hang[],2,0)</f>
        <v>CHI NHÁNH BẮC NINH - CÔNG TY CỔ PHẦN DỊCH VỤ THƯƠNG MẠI TỔNG HỢP WINCOMMERCE</v>
      </c>
      <c r="G3833" s="17"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c r="A3834" s="15" t="s">
        <v>13053</v>
      </c>
      <c r="B3834" s="10" t="s">
        <v>5</v>
      </c>
      <c r="C3834" s="17" t="s">
        <v>13068</v>
      </c>
      <c r="D3834" s="22"/>
      <c r="E3834" s="34" t="s">
        <v>11395</v>
      </c>
      <c r="F3834" s="23" t="str">
        <f>VLOOKUP(Table8[[#This Row],[Mã khách hàng]],code_khach_hang[],2,0)</f>
        <v>CHI NHÁNH PHÚ THỌ - CÔNG TY CỔ PHẦN DỊCH VỤ THƯƠNG MẠI TỔNG HỢP WINCOMMERCE</v>
      </c>
      <c r="G3834" s="17"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c r="A3835" s="12" t="s">
        <v>13069</v>
      </c>
      <c r="B3835" s="10" t="s">
        <v>5</v>
      </c>
      <c r="C3835" s="11" t="s">
        <v>13075</v>
      </c>
      <c r="D3835" s="22"/>
      <c r="E3835" s="33" t="s">
        <v>11389</v>
      </c>
      <c r="F3835" s="23" t="str">
        <f>VLOOKUP(Table8[[#This Row],[Mã khách hàng]],code_khach_hang[],2,0)</f>
        <v>CHI NHÁNH BẮC NINH - CÔNG TY CỔ PHẦN DỊCH VỤ THƯƠNG MẠI TỔNG HỢP WINCOMMERCE</v>
      </c>
      <c r="G3835" s="11"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c r="A3836" s="15" t="s">
        <v>13070</v>
      </c>
      <c r="B3836" s="10" t="s">
        <v>5</v>
      </c>
      <c r="C3836" s="17" t="s">
        <v>13076</v>
      </c>
      <c r="D3836" s="22"/>
      <c r="E3836" s="34" t="s">
        <v>11389</v>
      </c>
      <c r="F3836" s="23" t="str">
        <f>VLOOKUP(Table8[[#This Row],[Mã khách hàng]],code_khach_hang[],2,0)</f>
        <v>CHI NHÁNH BẮC NINH - CÔNG TY CỔ PHẦN DỊCH VỤ THƯƠNG MẠI TỔNG HỢP WINCOMMERCE</v>
      </c>
      <c r="G3836" s="17"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c r="A3837" s="15" t="s">
        <v>13071</v>
      </c>
      <c r="B3837" s="10" t="s">
        <v>5</v>
      </c>
      <c r="C3837" s="17" t="s">
        <v>13077</v>
      </c>
      <c r="D3837" s="22"/>
      <c r="E3837" s="34" t="s">
        <v>11392</v>
      </c>
      <c r="F3837" s="23" t="str">
        <f>VLOOKUP(Table8[[#This Row],[Mã khách hàng]],code_khach_hang[],2,0)</f>
        <v>CHI NHÁNH NINH BÌNH - CÔNG TY CỔ PHẦN DỊCH VỤ THƯƠNG MẠI TỔNG HỢP WINCOMMERCE</v>
      </c>
      <c r="G3837" s="17"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c r="A3838" s="15" t="s">
        <v>13072</v>
      </c>
      <c r="B3838" s="10" t="s">
        <v>5</v>
      </c>
      <c r="C3838" s="17" t="s">
        <v>13078</v>
      </c>
      <c r="D3838" s="22"/>
      <c r="E3838" s="34" t="s">
        <v>11395</v>
      </c>
      <c r="F3838" s="23" t="str">
        <f>VLOOKUP(Table8[[#This Row],[Mã khách hàng]],code_khach_hang[],2,0)</f>
        <v>CHI NHÁNH PHÚ THỌ - CÔNG TY CỔ PHẦN DỊCH VỤ THƯƠNG MẠI TỔNG HỢP WINCOMMERCE</v>
      </c>
      <c r="G3838" s="17"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c r="A3839" s="15" t="s">
        <v>13073</v>
      </c>
      <c r="B3839" s="10" t="s">
        <v>5</v>
      </c>
      <c r="C3839" s="17" t="s">
        <v>13079</v>
      </c>
      <c r="D3839" s="22"/>
      <c r="E3839" s="34" t="s">
        <v>11400</v>
      </c>
      <c r="F3839" s="23" t="str">
        <f>VLOOKUP(Table8[[#This Row],[Mã khách hàng]],code_khach_hang[],2,0)</f>
        <v>CHI NHÁNH TUYÊN QUANG - CÔNG TY CỔ PHẦN DỊCH VỤ THƯƠNG MẠI TỔNG HỢP WINCOMMERCE</v>
      </c>
      <c r="G3839" s="17"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c r="A3840" s="15" t="s">
        <v>13074</v>
      </c>
      <c r="B3840" s="10" t="s">
        <v>5</v>
      </c>
      <c r="C3840" s="17" t="s">
        <v>13080</v>
      </c>
      <c r="D3840" s="22"/>
      <c r="E3840" s="34" t="s">
        <v>11404</v>
      </c>
      <c r="F3840" s="23" t="str">
        <f>VLOOKUP(Table8[[#This Row],[Mã khách hàng]],code_khach_hang[],2,0)</f>
        <v>CHI NHÁNH LẠNG SƠN - CÔNG TY CỔ PHẦN DỊCH VỤ THƯƠNG MẠI TỔNG HỢP WINCOMMERCE</v>
      </c>
      <c r="G3840" s="17"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c r="A3841" s="49" t="s">
        <v>13081</v>
      </c>
      <c r="B3841" s="10" t="s">
        <v>5</v>
      </c>
      <c r="C3841" s="51" t="s">
        <v>13083</v>
      </c>
      <c r="D3841" s="22"/>
      <c r="E3841" s="39" t="s">
        <v>11411</v>
      </c>
      <c r="F3841" s="23" t="str">
        <f>VLOOKUP(Table8[[#This Row],[Mã khách hàng]],code_khach_hang[],2,0)</f>
        <v>CHI NHÁNH HÀ NỘI - CÔNG TY CỔ PHẦN DỊCH VỤ THƯƠNG MẠI TỔNG HỢP WINCOMMERCE</v>
      </c>
      <c r="G3841" s="11"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c r="A3842" s="50" t="s">
        <v>13082</v>
      </c>
      <c r="B3842" s="10" t="s">
        <v>5</v>
      </c>
      <c r="C3842" s="51" t="s">
        <v>13084</v>
      </c>
      <c r="D3842" s="22"/>
      <c r="E3842" s="39" t="s">
        <v>11400</v>
      </c>
      <c r="F3842" s="23" t="str">
        <f>VLOOKUP(Table8[[#This Row],[Mã khách hàng]],code_khach_hang[],2,0)</f>
        <v>CHI NHÁNH TUYÊN QUANG - CÔNG TY CỔ PHẦN DỊCH VỤ THƯƠNG MẠI TỔNG HỢP WINCOMMERCE</v>
      </c>
      <c r="G3842" s="17"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c r="A3843" s="49" t="s">
        <v>13085</v>
      </c>
      <c r="B3843" s="10" t="s">
        <v>5</v>
      </c>
      <c r="C3843" s="51" t="s">
        <v>13087</v>
      </c>
      <c r="D3843" s="22"/>
      <c r="E3843" s="39" t="s">
        <v>11389</v>
      </c>
      <c r="F3843" s="23" t="str">
        <f>VLOOKUP(Table8[[#This Row],[Mã khách hàng]],code_khach_hang[],2,0)</f>
        <v>CHI NHÁNH BẮC NINH - CÔNG TY CỔ PHẦN DỊCH VỤ THƯƠNG MẠI TỔNG HỢP WINCOMMERCE</v>
      </c>
      <c r="G3843" s="11"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c r="A3844" s="50" t="s">
        <v>13086</v>
      </c>
      <c r="B3844" s="10" t="s">
        <v>5</v>
      </c>
      <c r="C3844" s="51" t="s">
        <v>13088</v>
      </c>
      <c r="D3844" s="22"/>
      <c r="E3844" s="39" t="s">
        <v>11403</v>
      </c>
      <c r="F3844" s="23" t="str">
        <f>VLOOKUP(Table8[[#This Row],[Mã khách hàng]],code_khach_hang[],2,0)</f>
        <v>CHI NHÁNH THÁI NGUYÊN - CÔNG TY CỔ PHẦN DỊCH VỤ THƯƠNG MẠI TỔNG HỢP WINCOMMERCE</v>
      </c>
      <c r="G3844" s="17"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c r="A3845" s="49" t="s">
        <v>13089</v>
      </c>
      <c r="B3845" s="10" t="s">
        <v>5</v>
      </c>
      <c r="C3845" s="51" t="s">
        <v>13108</v>
      </c>
      <c r="D3845" s="22"/>
      <c r="E3845" s="39" t="s">
        <v>11404</v>
      </c>
      <c r="F3845" s="23" t="str">
        <f>VLOOKUP(Table8[[#This Row],[Mã khách hàng]],code_khach_hang[],2,0)</f>
        <v>CHI NHÁNH LẠNG SƠN - CÔNG TY CỔ PHẦN DỊCH VỤ THƯƠNG MẠI TỔNG HỢP WINCOMMERCE</v>
      </c>
      <c r="G3845" s="11"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c r="A3846" s="50" t="s">
        <v>13090</v>
      </c>
      <c r="B3846" s="10" t="s">
        <v>5</v>
      </c>
      <c r="C3846" s="38" t="s">
        <v>13109</v>
      </c>
      <c r="D3846" s="22"/>
      <c r="E3846" s="39" t="s">
        <v>11411</v>
      </c>
      <c r="F3846" s="23" t="str">
        <f>VLOOKUP(Table8[[#This Row],[Mã khách hàng]],code_khach_hang[],2,0)</f>
        <v>CHI NHÁNH HÀ NỘI - CÔNG TY CỔ PHẦN DỊCH VỤ THƯƠNG MẠI TỔNG HỢP WINCOMMERCE</v>
      </c>
      <c r="G3846" s="17"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c r="A3847" s="50" t="s">
        <v>13091</v>
      </c>
      <c r="B3847" s="10" t="s">
        <v>5</v>
      </c>
      <c r="C3847" s="38" t="s">
        <v>13110</v>
      </c>
      <c r="D3847" s="22"/>
      <c r="E3847" s="39" t="s">
        <v>11411</v>
      </c>
      <c r="F3847" s="23" t="str">
        <f>VLOOKUP(Table8[[#This Row],[Mã khách hàng]],code_khach_hang[],2,0)</f>
        <v>CHI NHÁNH HÀ NỘI - CÔNG TY CỔ PHẦN DỊCH VỤ THƯƠNG MẠI TỔNG HỢP WINCOMMERCE</v>
      </c>
      <c r="G3847" s="17"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c r="A3848" s="50" t="s">
        <v>13092</v>
      </c>
      <c r="B3848" s="10" t="s">
        <v>5</v>
      </c>
      <c r="C3848" s="38" t="s">
        <v>13111</v>
      </c>
      <c r="D3848" s="22"/>
      <c r="E3848" s="39" t="s">
        <v>11403</v>
      </c>
      <c r="F3848" s="23" t="str">
        <f>VLOOKUP(Table8[[#This Row],[Mã khách hàng]],code_khach_hang[],2,0)</f>
        <v>CHI NHÁNH THÁI NGUYÊN - CÔNG TY CỔ PHẦN DỊCH VỤ THƯƠNG MẠI TỔNG HỢP WINCOMMERCE</v>
      </c>
      <c r="G3848" s="17"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c r="A3849" s="50" t="s">
        <v>13093</v>
      </c>
      <c r="B3849" s="10" t="s">
        <v>5</v>
      </c>
      <c r="C3849" s="38" t="s">
        <v>13112</v>
      </c>
      <c r="D3849" s="22"/>
      <c r="E3849" s="39" t="s">
        <v>11389</v>
      </c>
      <c r="F3849" s="23" t="str">
        <f>VLOOKUP(Table8[[#This Row],[Mã khách hàng]],code_khach_hang[],2,0)</f>
        <v>CHI NHÁNH BẮC NINH - CÔNG TY CỔ PHẦN DỊCH VỤ THƯƠNG MẠI TỔNG HỢP WINCOMMERCE</v>
      </c>
      <c r="G3849" s="17"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c r="A3850" s="50" t="s">
        <v>13094</v>
      </c>
      <c r="B3850" s="10" t="s">
        <v>5</v>
      </c>
      <c r="C3850" s="38" t="s">
        <v>13113</v>
      </c>
      <c r="D3850" s="22"/>
      <c r="E3850" s="39" t="s">
        <v>11402</v>
      </c>
      <c r="F3850" s="23" t="str">
        <f>VLOOKUP(Table8[[#This Row],[Mã khách hàng]],code_khach_hang[],2,0)</f>
        <v>CHI NHÁNH SƠN LA - CÔNG TY CỔ PHẦN DỊCH VỤ THƯƠNG MẠI TỔNG HỢP WINCOMMERCE</v>
      </c>
      <c r="G3850" s="17"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c r="A3851" s="50" t="s">
        <v>13095</v>
      </c>
      <c r="B3851" s="10" t="s">
        <v>5</v>
      </c>
      <c r="C3851" s="38" t="s">
        <v>13114</v>
      </c>
      <c r="D3851" s="22"/>
      <c r="E3851" s="39" t="s">
        <v>11411</v>
      </c>
      <c r="F3851" s="23" t="str">
        <f>VLOOKUP(Table8[[#This Row],[Mã khách hàng]],code_khach_hang[],2,0)</f>
        <v>CHI NHÁNH HÀ NỘI - CÔNG TY CỔ PHẦN DỊCH VỤ THƯƠNG MẠI TỔNG HỢP WINCOMMERCE</v>
      </c>
      <c r="G3851" s="17"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c r="A3852" s="50" t="s">
        <v>13096</v>
      </c>
      <c r="B3852" s="10" t="s">
        <v>5</v>
      </c>
      <c r="C3852" s="38" t="s">
        <v>13115</v>
      </c>
      <c r="D3852" s="22"/>
      <c r="E3852" s="39" t="s">
        <v>11389</v>
      </c>
      <c r="F3852" s="23" t="str">
        <f>VLOOKUP(Table8[[#This Row],[Mã khách hàng]],code_khach_hang[],2,0)</f>
        <v>CHI NHÁNH BẮC NINH - CÔNG TY CỔ PHẦN DỊCH VỤ THƯƠNG MẠI TỔNG HỢP WINCOMMERCE</v>
      </c>
      <c r="G3852" s="17"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c r="A3853" s="50" t="s">
        <v>13097</v>
      </c>
      <c r="B3853" s="10" t="s">
        <v>5</v>
      </c>
      <c r="C3853" s="38" t="s">
        <v>13116</v>
      </c>
      <c r="D3853" s="22"/>
      <c r="E3853" s="39" t="s">
        <v>11389</v>
      </c>
      <c r="F3853" s="23" t="str">
        <f>VLOOKUP(Table8[[#This Row],[Mã khách hàng]],code_khach_hang[],2,0)</f>
        <v>CHI NHÁNH BẮC NINH - CÔNG TY CỔ PHẦN DỊCH VỤ THƯƠNG MẠI TỔNG HỢP WINCOMMERCE</v>
      </c>
      <c r="G3853" s="17"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c r="A3854" s="50" t="s">
        <v>13098</v>
      </c>
      <c r="B3854" s="10" t="s">
        <v>5</v>
      </c>
      <c r="C3854" s="38" t="s">
        <v>13117</v>
      </c>
      <c r="D3854" s="22"/>
      <c r="E3854" s="39" t="s">
        <v>11394</v>
      </c>
      <c r="F3854" s="23" t="str">
        <f>VLOOKUP(Table8[[#This Row],[Mã khách hàng]],code_khach_hang[],2,0)</f>
        <v>CHI NHÁNH HẢI PHÒNG - CÔNG TY CỔ PHẦN DỊCH VỤ THƯƠNG MẠI TỔNG HỢP WINCOMMERCE</v>
      </c>
      <c r="G3854" s="17"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c r="A3855" s="50" t="s">
        <v>13099</v>
      </c>
      <c r="B3855" s="10" t="s">
        <v>5</v>
      </c>
      <c r="C3855" s="38" t="s">
        <v>13118</v>
      </c>
      <c r="D3855" s="22"/>
      <c r="E3855" s="39" t="s">
        <v>11389</v>
      </c>
      <c r="F3855" s="23" t="str">
        <f>VLOOKUP(Table8[[#This Row],[Mã khách hàng]],code_khach_hang[],2,0)</f>
        <v>CHI NHÁNH BẮC NINH - CÔNG TY CỔ PHẦN DỊCH VỤ THƯƠNG MẠI TỔNG HỢP WINCOMMERCE</v>
      </c>
      <c r="G3855" s="17"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c r="A3856" s="50" t="s">
        <v>13100</v>
      </c>
      <c r="B3856" s="10" t="s">
        <v>5</v>
      </c>
      <c r="C3856" s="38" t="s">
        <v>13119</v>
      </c>
      <c r="D3856" s="22"/>
      <c r="E3856" s="39" t="s">
        <v>11395</v>
      </c>
      <c r="F3856" s="23" t="str">
        <f>VLOOKUP(Table8[[#This Row],[Mã khách hàng]],code_khach_hang[],2,0)</f>
        <v>CHI NHÁNH PHÚ THỌ - CÔNG TY CỔ PHẦN DỊCH VỤ THƯƠNG MẠI TỔNG HỢP WINCOMMERCE</v>
      </c>
      <c r="G3856" s="17"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c r="A3857" s="50" t="s">
        <v>13101</v>
      </c>
      <c r="B3857" s="10" t="s">
        <v>5</v>
      </c>
      <c r="C3857" s="38" t="s">
        <v>13120</v>
      </c>
      <c r="D3857" s="22"/>
      <c r="E3857" s="39" t="s">
        <v>11395</v>
      </c>
      <c r="F3857" s="23" t="str">
        <f>VLOOKUP(Table8[[#This Row],[Mã khách hàng]],code_khach_hang[],2,0)</f>
        <v>CHI NHÁNH PHÚ THỌ - CÔNG TY CỔ PHẦN DỊCH VỤ THƯƠNG MẠI TỔNG HỢP WINCOMMERCE</v>
      </c>
      <c r="G3857" s="17"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c r="A3858" s="50" t="s">
        <v>13102</v>
      </c>
      <c r="B3858" s="10" t="s">
        <v>5</v>
      </c>
      <c r="C3858" s="38" t="s">
        <v>13121</v>
      </c>
      <c r="D3858" s="22"/>
      <c r="E3858" s="39" t="s">
        <v>11400</v>
      </c>
      <c r="F3858" s="23" t="str">
        <f>VLOOKUP(Table8[[#This Row],[Mã khách hàng]],code_khach_hang[],2,0)</f>
        <v>CHI NHÁNH TUYÊN QUANG - CÔNG TY CỔ PHẦN DỊCH VỤ THƯƠNG MẠI TỔNG HỢP WINCOMMERCE</v>
      </c>
      <c r="G3858" s="17"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c r="A3859" s="50" t="s">
        <v>13103</v>
      </c>
      <c r="B3859" s="10" t="s">
        <v>5</v>
      </c>
      <c r="C3859" s="38" t="s">
        <v>13122</v>
      </c>
      <c r="D3859" s="22"/>
      <c r="E3859" s="39" t="s">
        <v>11389</v>
      </c>
      <c r="F3859" s="23" t="str">
        <f>VLOOKUP(Table8[[#This Row],[Mã khách hàng]],code_khach_hang[],2,0)</f>
        <v>CHI NHÁNH BẮC NINH - CÔNG TY CỔ PHẦN DỊCH VỤ THƯƠNG MẠI TỔNG HỢP WINCOMMERCE</v>
      </c>
      <c r="G3859" s="17"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c r="A3860" s="50" t="s">
        <v>13104</v>
      </c>
      <c r="B3860" s="10" t="s">
        <v>5</v>
      </c>
      <c r="C3860" s="38" t="s">
        <v>13123</v>
      </c>
      <c r="D3860" s="22"/>
      <c r="E3860" s="39" t="s">
        <v>11403</v>
      </c>
      <c r="F3860" s="23" t="str">
        <f>VLOOKUP(Table8[[#This Row],[Mã khách hàng]],code_khach_hang[],2,0)</f>
        <v>CHI NHÁNH THÁI NGUYÊN - CÔNG TY CỔ PHẦN DỊCH VỤ THƯƠNG MẠI TỔNG HỢP WINCOMMERCE</v>
      </c>
      <c r="G3860" s="17"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c r="A3861" s="50" t="s">
        <v>13105</v>
      </c>
      <c r="B3861" s="10" t="s">
        <v>5</v>
      </c>
      <c r="C3861" s="38" t="s">
        <v>13124</v>
      </c>
      <c r="D3861" s="22"/>
      <c r="E3861" s="39" t="s">
        <v>11389</v>
      </c>
      <c r="F3861" s="23" t="str">
        <f>VLOOKUP(Table8[[#This Row],[Mã khách hàng]],code_khach_hang[],2,0)</f>
        <v>CHI NHÁNH BẮC NINH - CÔNG TY CỔ PHẦN DỊCH VỤ THƯƠNG MẠI TỔNG HỢP WINCOMMERCE</v>
      </c>
      <c r="G3861" s="17"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c r="A3862" s="50" t="s">
        <v>13106</v>
      </c>
      <c r="B3862" s="10" t="s">
        <v>5</v>
      </c>
      <c r="C3862" s="38" t="s">
        <v>13125</v>
      </c>
      <c r="D3862" s="22"/>
      <c r="E3862" s="39" t="s">
        <v>11404</v>
      </c>
      <c r="F3862" s="23" t="str">
        <f>VLOOKUP(Table8[[#This Row],[Mã khách hàng]],code_khach_hang[],2,0)</f>
        <v>CHI NHÁNH LẠNG SƠN - CÔNG TY CỔ PHẦN DỊCH VỤ THƯƠNG MẠI TỔNG HỢP WINCOMMERCE</v>
      </c>
      <c r="G3862" s="17"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c r="A3863" s="50" t="s">
        <v>13107</v>
      </c>
      <c r="B3863" s="10" t="s">
        <v>5</v>
      </c>
      <c r="C3863" s="38" t="s">
        <v>13126</v>
      </c>
      <c r="D3863" s="22"/>
      <c r="E3863" s="39" t="s">
        <v>11411</v>
      </c>
      <c r="F3863" s="23" t="str">
        <f>VLOOKUP(Table8[[#This Row],[Mã khách hàng]],code_khach_hang[],2,0)</f>
        <v>CHI NHÁNH HÀ NỘI - CÔNG TY CỔ PHẦN DỊCH VỤ THƯƠNG MẠI TỔNG HỢP WINCOMMERCE</v>
      </c>
      <c r="G3863" s="17"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c r="A3864" s="49" t="s">
        <v>13127</v>
      </c>
      <c r="B3864" s="10" t="s">
        <v>5</v>
      </c>
      <c r="C3864" s="51" t="s">
        <v>13128</v>
      </c>
      <c r="D3864" s="22"/>
      <c r="E3864" s="39" t="s">
        <v>11414</v>
      </c>
      <c r="F3864" s="23" t="str">
        <f>VLOOKUP(Table8[[#This Row],[Mã khách hàng]],code_khach_hang[],2,0)</f>
        <v>CHI NHÁNH LÀO CAI - CÔNG TY CỔ PHẦN DỊCH VỤ THƯƠNG MẠI TỔNG HỢP WINCOMMERCE</v>
      </c>
      <c r="G3864" s="11" t="str">
        <f>VLOOKUP(Table8[[#This Row],[Mã khách hàng]],code_khach_hang[],3,0)</f>
        <v>Miền Bắc đặc biệt 1</v>
      </c>
      <c r="H3864" t="str">
        <f>VLOOKUP(Table8[[#This Row],[Mã khách hàng]],'Khách hàng'!A:D,4,0)</f>
        <v>Food Đức Việt</v>
      </c>
      <c r="I3864" t="str">
        <f>VLOOKUP(Table8[[#This Row],[Mã khách hàng]],'Khách hàng'!A:E,5,0)</f>
        <v>HN0040</v>
      </c>
    </row>
  </sheetData>
  <phoneticPr fontId="5" type="noConversion"/>
  <conditionalFormatting sqref="A2:A3864">
    <cfRule type="duplicateValues" dxfId="5" priority="8"/>
    <cfRule type="duplicateValues" dxfId="4" priority="9"/>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B2:B3864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2026-06-26T04:09:33Z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