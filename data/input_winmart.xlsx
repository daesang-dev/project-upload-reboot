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E:\project-upload-reboot\data\"/>
    </mc:Choice>
  </mc:AlternateContent>
  <xr:revisionPtr revIDLastSave="0" documentId="13_ncr:1_{BA494F63-199C-4B80-992F-DF8A078AC94B}" xr6:coauthVersionLast="47" xr6:coauthVersionMax="47" xr10:uidLastSave="{00000000-0000-0000-0000-000000000000}"/>
  <bookViews>
    <workbookView xWindow="-98" yWindow="-98" windowWidth="21795" windowHeight="13695" tabRatio="988" activeTab="1"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 name="Sheet1" sheetId="8" r:id="rId8"/>
  </sheets>
  <definedNames>
    <definedName name="ExternalData_1" localSheetId="0" hidden="1">'Sản phẩm'!$A$1:$E$977</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17" i="2" l="1"/>
  <c r="J217" i="2" s="1"/>
  <c r="L217" i="2" s="1"/>
  <c r="H218" i="2"/>
  <c r="Q218" i="2" s="1"/>
  <c r="H219" i="2"/>
  <c r="Q219" i="2" s="1"/>
  <c r="H220" i="2"/>
  <c r="Q220" i="2" s="1"/>
  <c r="H221" i="2"/>
  <c r="I221" i="2" s="1"/>
  <c r="H222" i="2"/>
  <c r="Q222" i="2" s="1"/>
  <c r="H223" i="2"/>
  <c r="Q223" i="2" s="1"/>
  <c r="J221" i="2"/>
  <c r="O217" i="2"/>
  <c r="O218" i="2"/>
  <c r="O219" i="2"/>
  <c r="O220" i="2"/>
  <c r="O221" i="2"/>
  <c r="O222" i="2"/>
  <c r="O223" i="2"/>
  <c r="H216" i="2"/>
  <c r="I216" i="2" s="1"/>
  <c r="O216" i="2"/>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207" i="2"/>
  <c r="I207" i="2" s="1"/>
  <c r="O207" i="2"/>
  <c r="H208" i="2"/>
  <c r="J208" i="2" s="1"/>
  <c r="L208" i="2" s="1"/>
  <c r="O208" i="2"/>
  <c r="H209" i="2"/>
  <c r="I209" i="2" s="1"/>
  <c r="O209" i="2"/>
  <c r="H210" i="2"/>
  <c r="I210" i="2" s="1"/>
  <c r="O210" i="2"/>
  <c r="H211" i="2"/>
  <c r="I211" i="2" s="1"/>
  <c r="O211" i="2"/>
  <c r="H212" i="2"/>
  <c r="I212" i="2" s="1"/>
  <c r="O212" i="2"/>
  <c r="H213" i="2"/>
  <c r="I213" i="2" s="1"/>
  <c r="O213" i="2"/>
  <c r="H214" i="2"/>
  <c r="I214" i="2" s="1"/>
  <c r="O214" i="2"/>
  <c r="H215" i="2"/>
  <c r="I215" i="2" s="1"/>
  <c r="O215" i="2"/>
  <c r="N205" i="2"/>
  <c r="O205" i="2" s="1"/>
  <c r="N204" i="2"/>
  <c r="O204" i="2" s="1"/>
  <c r="N200" i="2"/>
  <c r="O200" i="2" s="1"/>
  <c r="H201" i="2"/>
  <c r="I201" i="2" s="1"/>
  <c r="O201" i="2"/>
  <c r="H202" i="2"/>
  <c r="J202" i="2" s="1"/>
  <c r="L202" i="2" s="1"/>
  <c r="O202" i="2"/>
  <c r="H203" i="2"/>
  <c r="I203" i="2" s="1"/>
  <c r="O203" i="2"/>
  <c r="H204" i="2"/>
  <c r="J204" i="2" s="1"/>
  <c r="L204" i="2" s="1"/>
  <c r="H205" i="2"/>
  <c r="I205" i="2" s="1"/>
  <c r="H206" i="2"/>
  <c r="J206" i="2" s="1"/>
  <c r="L206" i="2" s="1"/>
  <c r="O206" i="2"/>
  <c r="H200" i="2"/>
  <c r="I200"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199" i="2"/>
  <c r="I199" i="2" s="1"/>
  <c r="O199" i="2"/>
  <c r="N198" i="2"/>
  <c r="O198" i="2" s="1"/>
  <c r="H198" i="2"/>
  <c r="I198" i="2" s="1"/>
  <c r="N197" i="2"/>
  <c r="O197" i="2" s="1"/>
  <c r="H197" i="2"/>
  <c r="I197" i="2" s="1"/>
  <c r="H196" i="2"/>
  <c r="J196" i="2" s="1"/>
  <c r="L196" i="2" s="1"/>
  <c r="O196" i="2"/>
  <c r="H195" i="2"/>
  <c r="I195" i="2" s="1"/>
  <c r="O195" i="2"/>
  <c r="H194" i="2"/>
  <c r="I194" i="2" s="1"/>
  <c r="O194" i="2"/>
  <c r="N193" i="2"/>
  <c r="O193" i="2" s="1"/>
  <c r="H193" i="2"/>
  <c r="I193" i="2" s="1"/>
  <c r="H192" i="2"/>
  <c r="I192" i="2" s="1"/>
  <c r="O192" i="2"/>
  <c r="H191" i="2"/>
  <c r="I191" i="2" s="1"/>
  <c r="O191" i="2"/>
  <c r="H190" i="2"/>
  <c r="J190" i="2" s="1"/>
  <c r="L190" i="2" s="1"/>
  <c r="O190" i="2"/>
  <c r="H189" i="2"/>
  <c r="I189" i="2" s="1"/>
  <c r="O189" i="2"/>
  <c r="H188" i="2"/>
  <c r="I188" i="2" s="1"/>
  <c r="O188" i="2"/>
  <c r="H187" i="2"/>
  <c r="I187" i="2" s="1"/>
  <c r="O187" i="2"/>
  <c r="H186" i="2"/>
  <c r="I186" i="2" s="1"/>
  <c r="O186" i="2"/>
  <c r="H185" i="2"/>
  <c r="I185" i="2" s="1"/>
  <c r="O185" i="2"/>
  <c r="H184" i="2"/>
  <c r="I184" i="2" s="1"/>
  <c r="O184" i="2"/>
  <c r="H183" i="2"/>
  <c r="I183" i="2" s="1"/>
  <c r="O183"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181" i="2"/>
  <c r="I181" i="2" s="1"/>
  <c r="H182" i="2"/>
  <c r="J182" i="2" s="1"/>
  <c r="L182" i="2" s="1"/>
  <c r="O181" i="2"/>
  <c r="O182" i="2"/>
  <c r="H179" i="2"/>
  <c r="I179" i="2" s="1"/>
  <c r="H180" i="2"/>
  <c r="I180" i="2" s="1"/>
  <c r="O179" i="2"/>
  <c r="O180" i="2"/>
  <c r="H178" i="2"/>
  <c r="I178" i="2" s="1"/>
  <c r="O178" i="2"/>
  <c r="H177" i="2"/>
  <c r="I177" i="2" s="1"/>
  <c r="O177" i="2"/>
  <c r="H175" i="2"/>
  <c r="I175" i="2" s="1"/>
  <c r="H176" i="2"/>
  <c r="J176" i="2" s="1"/>
  <c r="L176" i="2" s="1"/>
  <c r="O175" i="2"/>
  <c r="O176" i="2"/>
  <c r="H174" i="2"/>
  <c r="I174" i="2" s="1"/>
  <c r="O174" i="2"/>
  <c r="H173" i="2"/>
  <c r="I173" i="2" s="1"/>
  <c r="O173"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172" i="2"/>
  <c r="I172" i="2" s="1"/>
  <c r="O172" i="2"/>
  <c r="H171" i="2"/>
  <c r="I171" i="2" s="1"/>
  <c r="O171" i="2"/>
  <c r="H170" i="2"/>
  <c r="I170" i="2" s="1"/>
  <c r="O170" i="2"/>
  <c r="H169" i="2"/>
  <c r="I169" i="2" s="1"/>
  <c r="O169" i="2"/>
  <c r="H168" i="2"/>
  <c r="I168" i="2" s="1"/>
  <c r="O168" i="2"/>
  <c r="H167" i="2"/>
  <c r="I167" i="2" s="1"/>
  <c r="O167" i="2"/>
  <c r="H166" i="2"/>
  <c r="I166" i="2" s="1"/>
  <c r="O166" i="2"/>
  <c r="H165" i="2"/>
  <c r="I165" i="2" s="1"/>
  <c r="O165" i="2"/>
  <c r="H164" i="2"/>
  <c r="I164" i="2" s="1"/>
  <c r="O164" i="2"/>
  <c r="H163" i="2"/>
  <c r="I163" i="2" s="1"/>
  <c r="O163" i="2"/>
  <c r="H162" i="2"/>
  <c r="I162" i="2" s="1"/>
  <c r="O162" i="2"/>
  <c r="O161"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54" i="2"/>
  <c r="I154" i="2" s="1"/>
  <c r="H155" i="2"/>
  <c r="I155" i="2" s="1"/>
  <c r="H156" i="2"/>
  <c r="J156" i="2" s="1"/>
  <c r="L156" i="2" s="1"/>
  <c r="H157" i="2"/>
  <c r="I157" i="2" s="1"/>
  <c r="H158" i="2"/>
  <c r="J158" i="2" s="1"/>
  <c r="L158" i="2" s="1"/>
  <c r="H159" i="2"/>
  <c r="I159" i="2" s="1"/>
  <c r="H160" i="2"/>
  <c r="I160" i="2" s="1"/>
  <c r="H161" i="2"/>
  <c r="J161" i="2" s="1"/>
  <c r="L161" i="2" s="1"/>
  <c r="O154" i="2"/>
  <c r="O155" i="2"/>
  <c r="O156" i="2"/>
  <c r="O157" i="2"/>
  <c r="O158" i="2"/>
  <c r="O159" i="2"/>
  <c r="O160"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H153" i="2"/>
  <c r="I153"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146" i="2"/>
  <c r="I146" i="2" s="1"/>
  <c r="H147" i="2"/>
  <c r="I147" i="2" s="1"/>
  <c r="H148" i="2"/>
  <c r="I148" i="2" s="1"/>
  <c r="H149" i="2"/>
  <c r="J149" i="2" s="1"/>
  <c r="L149" i="2" s="1"/>
  <c r="H150" i="2"/>
  <c r="I150" i="2" s="1"/>
  <c r="H151" i="2"/>
  <c r="J151" i="2" s="1"/>
  <c r="L151" i="2" s="1"/>
  <c r="H152" i="2"/>
  <c r="I152"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222" i="2" l="1"/>
  <c r="L222" i="2" s="1"/>
  <c r="J220" i="2"/>
  <c r="J218" i="2"/>
  <c r="L218" i="2" s="1"/>
  <c r="I219" i="2"/>
  <c r="I217" i="2"/>
  <c r="Q221" i="2"/>
  <c r="I223" i="2"/>
  <c r="Q217" i="2"/>
  <c r="I222" i="2"/>
  <c r="I220" i="2"/>
  <c r="I218" i="2"/>
  <c r="J223" i="2"/>
  <c r="L223" i="2" s="1"/>
  <c r="J219" i="2"/>
  <c r="L219" i="2" s="1"/>
  <c r="Q199" i="2"/>
  <c r="J216" i="2"/>
  <c r="L216" i="2" s="1"/>
  <c r="Q216" i="2"/>
  <c r="I208" i="2"/>
  <c r="Q214" i="2"/>
  <c r="Q210" i="2"/>
  <c r="J199" i="2"/>
  <c r="L199" i="2" s="1"/>
  <c r="J210" i="2"/>
  <c r="L210" i="2" s="1"/>
  <c r="Q212" i="2"/>
  <c r="Q208" i="2"/>
  <c r="J212" i="2"/>
  <c r="L212" i="2" s="1"/>
  <c r="J205" i="2"/>
  <c r="L205" i="2" s="1"/>
  <c r="J214" i="2"/>
  <c r="L214" i="2" s="1"/>
  <c r="Q206" i="2"/>
  <c r="J215" i="2"/>
  <c r="L215" i="2" s="1"/>
  <c r="J213" i="2"/>
  <c r="L213" i="2" s="1"/>
  <c r="J211" i="2"/>
  <c r="L211" i="2" s="1"/>
  <c r="J209" i="2"/>
  <c r="L209" i="2" s="1"/>
  <c r="J207" i="2"/>
  <c r="L207" i="2" s="1"/>
  <c r="I206" i="2"/>
  <c r="Q215" i="2"/>
  <c r="Q213" i="2"/>
  <c r="Q211" i="2"/>
  <c r="Q209" i="2"/>
  <c r="Q207" i="2"/>
  <c r="Q202" i="2"/>
  <c r="J201" i="2"/>
  <c r="L201" i="2" s="1"/>
  <c r="Q205" i="2"/>
  <c r="I204" i="2"/>
  <c r="Q204" i="2"/>
  <c r="J203" i="2"/>
  <c r="L203" i="2" s="1"/>
  <c r="Q203" i="2"/>
  <c r="I202" i="2"/>
  <c r="Q201" i="2"/>
  <c r="J200" i="2"/>
  <c r="L200" i="2" s="1"/>
  <c r="Q200" i="2"/>
  <c r="I196" i="2"/>
  <c r="Q197" i="2"/>
  <c r="Q196" i="2"/>
  <c r="J198" i="2"/>
  <c r="L198" i="2" s="1"/>
  <c r="J195" i="2"/>
  <c r="L195" i="2" s="1"/>
  <c r="J197" i="2"/>
  <c r="L197" i="2" s="1"/>
  <c r="Q198" i="2"/>
  <c r="Q195" i="2"/>
  <c r="J194" i="2"/>
  <c r="L194" i="2" s="1"/>
  <c r="Q194" i="2"/>
  <c r="J193" i="2"/>
  <c r="L193" i="2" s="1"/>
  <c r="Q193" i="2"/>
  <c r="Q192" i="2"/>
  <c r="J192" i="2"/>
  <c r="L192" i="2" s="1"/>
  <c r="Q190" i="2"/>
  <c r="J189" i="2"/>
  <c r="L189" i="2" s="1"/>
  <c r="I190" i="2"/>
  <c r="J191" i="2"/>
  <c r="L191" i="2" s="1"/>
  <c r="Q191" i="2"/>
  <c r="Q189" i="2"/>
  <c r="J188" i="2"/>
  <c r="L188" i="2" s="1"/>
  <c r="Q188" i="2"/>
  <c r="J187" i="2"/>
  <c r="L187" i="2" s="1"/>
  <c r="J181" i="2"/>
  <c r="L181" i="2" s="1"/>
  <c r="Q187" i="2"/>
  <c r="I182" i="2"/>
  <c r="J186" i="2"/>
  <c r="L186" i="2" s="1"/>
  <c r="Q186" i="2"/>
  <c r="J184" i="2"/>
  <c r="L184" i="2" s="1"/>
  <c r="J185" i="2"/>
  <c r="L185" i="2" s="1"/>
  <c r="Q185" i="2"/>
  <c r="Q182" i="2"/>
  <c r="Q184" i="2"/>
  <c r="J180" i="2"/>
  <c r="L180" i="2" s="1"/>
  <c r="Q183" i="2"/>
  <c r="Q179" i="2"/>
  <c r="J179" i="2"/>
  <c r="L179" i="2" s="1"/>
  <c r="Q181" i="2"/>
  <c r="J183" i="2"/>
  <c r="L183" i="2" s="1"/>
  <c r="J177" i="2"/>
  <c r="L177" i="2" s="1"/>
  <c r="Q180" i="2"/>
  <c r="J178" i="2"/>
  <c r="L178" i="2" s="1"/>
  <c r="Q178" i="2"/>
  <c r="Q177" i="2"/>
  <c r="J174" i="2"/>
  <c r="L174" i="2" s="1"/>
  <c r="J175" i="2"/>
  <c r="L175" i="2" s="1"/>
  <c r="I176" i="2"/>
  <c r="Q176" i="2"/>
  <c r="Q175" i="2"/>
  <c r="Q174" i="2"/>
  <c r="J173" i="2"/>
  <c r="L173" i="2" s="1"/>
  <c r="Q173" i="2"/>
  <c r="Q171" i="2"/>
  <c r="Q172" i="2"/>
  <c r="J172" i="2"/>
  <c r="L172" i="2" s="1"/>
  <c r="J171" i="2"/>
  <c r="L171" i="2" s="1"/>
  <c r="J169" i="2"/>
  <c r="L169" i="2" s="1"/>
  <c r="Q170" i="2"/>
  <c r="J170" i="2"/>
  <c r="L170" i="2" s="1"/>
  <c r="Q169" i="2"/>
  <c r="Q167" i="2"/>
  <c r="J167" i="2"/>
  <c r="L167" i="2" s="1"/>
  <c r="Q168" i="2"/>
  <c r="J168" i="2"/>
  <c r="L168" i="2" s="1"/>
  <c r="Q165" i="2"/>
  <c r="Q166" i="2"/>
  <c r="J166" i="2"/>
  <c r="L166" i="2" s="1"/>
  <c r="J165" i="2"/>
  <c r="L165" i="2" s="1"/>
  <c r="J163" i="2"/>
  <c r="L163" i="2" s="1"/>
  <c r="Q164" i="2"/>
  <c r="J164" i="2"/>
  <c r="L164" i="2" s="1"/>
  <c r="Q163" i="2"/>
  <c r="Q162" i="2"/>
  <c r="J162" i="2"/>
  <c r="L162" i="2" s="1"/>
  <c r="J157" i="2"/>
  <c r="L157" i="2" s="1"/>
  <c r="J155" i="2"/>
  <c r="L155" i="2" s="1"/>
  <c r="J160" i="2"/>
  <c r="L160" i="2" s="1"/>
  <c r="J159" i="2"/>
  <c r="L159" i="2" s="1"/>
  <c r="J154" i="2"/>
  <c r="L154" i="2" s="1"/>
  <c r="Q161" i="2"/>
  <c r="I161" i="2"/>
  <c r="Q160" i="2"/>
  <c r="Q159" i="2"/>
  <c r="Q158" i="2"/>
  <c r="I158" i="2"/>
  <c r="Q157" i="2"/>
  <c r="Q156" i="2"/>
  <c r="I156" i="2"/>
  <c r="Q155" i="2"/>
  <c r="Q154" i="2"/>
  <c r="Q153" i="2"/>
  <c r="Q152" i="2"/>
  <c r="Q151" i="2"/>
  <c r="Q150" i="2"/>
  <c r="Q149" i="2"/>
  <c r="Q148" i="2"/>
  <c r="Q147" i="2"/>
  <c r="Q146" i="2"/>
  <c r="J153" i="2"/>
  <c r="L153" i="2" s="1"/>
  <c r="J146" i="2"/>
  <c r="L146" i="2" s="1"/>
  <c r="J147" i="2"/>
  <c r="L147" i="2" s="1"/>
  <c r="J152" i="2"/>
  <c r="L152" i="2" s="1"/>
  <c r="J150" i="2"/>
  <c r="L150" i="2" s="1"/>
  <c r="J148" i="2"/>
  <c r="L148" i="2" s="1"/>
  <c r="I151" i="2"/>
  <c r="I149"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H3" i="2" l="1"/>
  <c r="Q3" i="2" s="1"/>
  <c r="H4" i="2"/>
  <c r="Q4" i="2" s="1"/>
  <c r="H5" i="2"/>
  <c r="Q5" i="2" s="1"/>
  <c r="H6" i="2"/>
  <c r="Q6" i="2" s="1"/>
  <c r="H7" i="2"/>
  <c r="Q7" i="2" s="1"/>
  <c r="H8" i="2"/>
  <c r="Q8" i="2" s="1"/>
  <c r="H9" i="2"/>
  <c r="Q9" i="2" s="1"/>
  <c r="H10" i="2"/>
  <c r="Q10" i="2" s="1"/>
  <c r="H11" i="2"/>
  <c r="Q11" i="2" s="1"/>
  <c r="H12" i="2"/>
  <c r="Q12" i="2" s="1"/>
  <c r="H13" i="2"/>
  <c r="Q13" i="2" s="1"/>
  <c r="H14" i="2"/>
  <c r="Q14" i="2" s="1"/>
  <c r="H15" i="2"/>
  <c r="Q15" i="2" s="1"/>
  <c r="H16" i="2"/>
  <c r="Q16" i="2" s="1"/>
  <c r="H17" i="2"/>
  <c r="Q17" i="2" s="1"/>
  <c r="H18" i="2"/>
  <c r="Q18" i="2" s="1"/>
  <c r="H19" i="2"/>
  <c r="Q19" i="2" s="1"/>
  <c r="H20" i="2"/>
  <c r="Q20" i="2" s="1"/>
  <c r="H21" i="2"/>
  <c r="Q21" i="2" s="1"/>
  <c r="H22" i="2"/>
  <c r="Q22" i="2" s="1"/>
  <c r="H23" i="2"/>
  <c r="Q23" i="2" s="1"/>
  <c r="H24" i="2"/>
  <c r="Q24" i="2" s="1"/>
  <c r="H25" i="2"/>
  <c r="Q25" i="2" s="1"/>
  <c r="H26" i="2"/>
  <c r="Q26" i="2" s="1"/>
  <c r="H27" i="2"/>
  <c r="Q27" i="2" s="1"/>
  <c r="H28" i="2"/>
  <c r="Q28" i="2" s="1"/>
  <c r="H29" i="2"/>
  <c r="Q29" i="2" s="1"/>
  <c r="H30" i="2"/>
  <c r="Q30" i="2" s="1"/>
  <c r="H31" i="2"/>
  <c r="Q31" i="2" s="1"/>
  <c r="H32" i="2"/>
  <c r="Q32" i="2" s="1"/>
  <c r="H33" i="2"/>
  <c r="Q33" i="2" s="1"/>
  <c r="H34" i="2"/>
  <c r="Q34" i="2" s="1"/>
  <c r="H35" i="2"/>
  <c r="Q35" i="2" s="1"/>
  <c r="H36" i="2"/>
  <c r="Q36" i="2" s="1"/>
  <c r="H37" i="2"/>
  <c r="Q37" i="2" s="1"/>
  <c r="H38" i="2"/>
  <c r="Q38" i="2" s="1"/>
  <c r="H39" i="2"/>
  <c r="Q39" i="2" s="1"/>
  <c r="H40" i="2"/>
  <c r="Q40" i="2" s="1"/>
  <c r="H41" i="2"/>
  <c r="Q41" i="2" s="1"/>
  <c r="H42" i="2"/>
  <c r="Q42" i="2" s="1"/>
  <c r="H43" i="2"/>
  <c r="Q43" i="2" s="1"/>
  <c r="H44" i="2"/>
  <c r="Q44" i="2" s="1"/>
  <c r="H45" i="2"/>
  <c r="H46" i="2"/>
  <c r="Q46" i="2" s="1"/>
  <c r="H47" i="2"/>
  <c r="Q47" i="2" s="1"/>
  <c r="H48" i="2"/>
  <c r="Q48" i="2" s="1"/>
  <c r="H49" i="2"/>
  <c r="Q49" i="2" s="1"/>
  <c r="H50" i="2"/>
  <c r="Q50" i="2" s="1"/>
  <c r="H51" i="2"/>
  <c r="Q51" i="2" s="1"/>
  <c r="H52" i="2"/>
  <c r="Q52" i="2" s="1"/>
  <c r="H53" i="2"/>
  <c r="Q53" i="2" s="1"/>
  <c r="H54" i="2"/>
  <c r="Q54" i="2" s="1"/>
  <c r="H55" i="2"/>
  <c r="Q55" i="2" s="1"/>
  <c r="H56" i="2"/>
  <c r="Q56" i="2" s="1"/>
  <c r="H57" i="2"/>
  <c r="Q57" i="2" s="1"/>
  <c r="H58" i="2"/>
  <c r="Q58" i="2" s="1"/>
  <c r="H59" i="2"/>
  <c r="Q59" i="2" s="1"/>
  <c r="H60" i="2"/>
  <c r="Q60" i="2" s="1"/>
  <c r="H61" i="2"/>
  <c r="Q61" i="2" s="1"/>
  <c r="H62" i="2"/>
  <c r="Q62" i="2" s="1"/>
  <c r="H63" i="2"/>
  <c r="Q63" i="2" s="1"/>
  <c r="H64" i="2"/>
  <c r="Q64" i="2" s="1"/>
  <c r="H65" i="2"/>
  <c r="Q65" i="2" s="1"/>
  <c r="H66" i="2"/>
  <c r="Q66" i="2" s="1"/>
  <c r="H67" i="2"/>
  <c r="Q67" i="2" s="1"/>
  <c r="H68" i="2"/>
  <c r="Q68" i="2" s="1"/>
  <c r="H69" i="2"/>
  <c r="Q69" i="2" s="1"/>
  <c r="H70" i="2"/>
  <c r="Q70" i="2" s="1"/>
  <c r="H71" i="2"/>
  <c r="Q71" i="2" s="1"/>
  <c r="H72" i="2"/>
  <c r="Q72" i="2" s="1"/>
  <c r="H73" i="2"/>
  <c r="Q73" i="2" s="1"/>
  <c r="H74" i="2"/>
  <c r="Q74" i="2" s="1"/>
  <c r="H75" i="2"/>
  <c r="Q75" i="2" s="1"/>
  <c r="H76" i="2"/>
  <c r="Q76" i="2" s="1"/>
  <c r="H77" i="2"/>
  <c r="Q77" i="2" s="1"/>
  <c r="H78" i="2"/>
  <c r="Q78" i="2" s="1"/>
  <c r="H79" i="2"/>
  <c r="Q79" i="2" s="1"/>
  <c r="H80" i="2"/>
  <c r="Q80" i="2" s="1"/>
  <c r="H81" i="2"/>
  <c r="Q81" i="2" s="1"/>
  <c r="H82" i="2"/>
  <c r="Q82" i="2" s="1"/>
  <c r="H83" i="2"/>
  <c r="Q83" i="2" s="1"/>
  <c r="H84" i="2"/>
  <c r="Q84" i="2" s="1"/>
  <c r="H85" i="2"/>
  <c r="Q85" i="2" s="1"/>
  <c r="H86" i="2"/>
  <c r="Q86" i="2" s="1"/>
  <c r="H87" i="2"/>
  <c r="Q87" i="2" s="1"/>
  <c r="H88" i="2"/>
  <c r="Q88" i="2" s="1"/>
  <c r="H89" i="2"/>
  <c r="Q89" i="2" s="1"/>
  <c r="H90" i="2"/>
  <c r="Q90" i="2" s="1"/>
  <c r="H91" i="2"/>
  <c r="Q91" i="2" s="1"/>
  <c r="H92" i="2"/>
  <c r="Q92" i="2" s="1"/>
  <c r="H93" i="2"/>
  <c r="Q93" i="2" s="1"/>
  <c r="H94" i="2"/>
  <c r="Q94" i="2" s="1"/>
  <c r="H95" i="2"/>
  <c r="Q95" i="2" s="1"/>
  <c r="H96" i="2"/>
  <c r="H97" i="2"/>
  <c r="Q97" i="2" s="1"/>
  <c r="H98" i="2"/>
  <c r="Q98" i="2" s="1"/>
  <c r="H99" i="2"/>
  <c r="Q99" i="2" s="1"/>
  <c r="H100" i="2"/>
  <c r="Q100" i="2" s="1"/>
  <c r="H101" i="2"/>
  <c r="Q101" i="2" s="1"/>
  <c r="H102" i="2"/>
  <c r="Q102" i="2" s="1"/>
  <c r="H103" i="2"/>
  <c r="Q103" i="2" s="1"/>
  <c r="H104" i="2"/>
  <c r="Q104" i="2" s="1"/>
  <c r="H105" i="2"/>
  <c r="Q105" i="2" s="1"/>
  <c r="H106" i="2"/>
  <c r="Q106" i="2" s="1"/>
  <c r="H107" i="2"/>
  <c r="Q107" i="2" s="1"/>
  <c r="H108" i="2"/>
  <c r="Q108" i="2" s="1"/>
  <c r="H109" i="2"/>
  <c r="Q109" i="2" s="1"/>
  <c r="H110" i="2"/>
  <c r="Q110" i="2" s="1"/>
  <c r="H111" i="2"/>
  <c r="Q111" i="2" s="1"/>
  <c r="H112" i="2"/>
  <c r="Q112" i="2" s="1"/>
  <c r="H113" i="2"/>
  <c r="Q113" i="2" s="1"/>
  <c r="H114" i="2"/>
  <c r="Q114" i="2" s="1"/>
  <c r="H115" i="2"/>
  <c r="Q115" i="2" s="1"/>
  <c r="H116" i="2"/>
  <c r="Q116" i="2" s="1"/>
  <c r="H117" i="2"/>
  <c r="Q117" i="2" s="1"/>
  <c r="H118" i="2"/>
  <c r="Q118" i="2" s="1"/>
  <c r="H119" i="2"/>
  <c r="Q119" i="2" s="1"/>
  <c r="H120" i="2"/>
  <c r="Q120" i="2" s="1"/>
  <c r="H121" i="2"/>
  <c r="Q121" i="2" s="1"/>
  <c r="H122" i="2"/>
  <c r="Q122" i="2" s="1"/>
  <c r="H123" i="2"/>
  <c r="Q123" i="2" s="1"/>
  <c r="H124" i="2"/>
  <c r="Q124" i="2" s="1"/>
  <c r="H125" i="2"/>
  <c r="Q125" i="2" s="1"/>
  <c r="H126" i="2"/>
  <c r="Q126" i="2" s="1"/>
  <c r="H127" i="2"/>
  <c r="Q127" i="2" s="1"/>
  <c r="H128" i="2"/>
  <c r="Q128" i="2" s="1"/>
  <c r="H129" i="2"/>
  <c r="Q129" i="2" s="1"/>
  <c r="H130" i="2"/>
  <c r="Q130" i="2" s="1"/>
  <c r="H131" i="2"/>
  <c r="Q131" i="2" s="1"/>
  <c r="H132" i="2"/>
  <c r="Q132" i="2" s="1"/>
  <c r="H133" i="2"/>
  <c r="Q133" i="2" s="1"/>
  <c r="H134" i="2"/>
  <c r="Q134" i="2" s="1"/>
  <c r="H135" i="2"/>
  <c r="H136" i="2"/>
  <c r="Q136" i="2" s="1"/>
  <c r="H137" i="2"/>
  <c r="Q137" i="2" s="1"/>
  <c r="H138" i="2"/>
  <c r="Q138" i="2" s="1"/>
  <c r="H139" i="2"/>
  <c r="Q139" i="2" s="1"/>
  <c r="H140" i="2"/>
  <c r="Q140" i="2" s="1"/>
  <c r="H141" i="2"/>
  <c r="Q141" i="2" s="1"/>
  <c r="H142" i="2"/>
  <c r="Q142" i="2" s="1"/>
  <c r="H143" i="2"/>
  <c r="Q143" i="2" s="1"/>
  <c r="H144" i="2"/>
  <c r="Q144" i="2" s="1"/>
  <c r="H145" i="2"/>
  <c r="Q145" i="2" s="1"/>
  <c r="H2" i="2"/>
  <c r="Q2" i="2"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Q96" i="2" l="1"/>
  <c r="Q45" i="2"/>
  <c r="Q135" i="2"/>
  <c r="I139" i="2"/>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J64" i="2"/>
  <c r="L64" i="2" s="1"/>
  <c r="I65" i="2"/>
  <c r="I66" i="2"/>
  <c r="I67" i="2"/>
  <c r="J68" i="2"/>
  <c r="L68" i="2" s="1"/>
  <c r="J70" i="2"/>
  <c r="L70" i="2" s="1"/>
  <c r="J71" i="2"/>
  <c r="L71" i="2" s="1"/>
  <c r="J72" i="2"/>
  <c r="L72" i="2" s="1"/>
  <c r="I74" i="2"/>
  <c r="J76" i="2"/>
  <c r="L76" i="2" s="1"/>
  <c r="J80" i="2"/>
  <c r="L80" i="2" s="1"/>
  <c r="J81" i="2"/>
  <c r="L81" i="2" s="1"/>
  <c r="J82" i="2"/>
  <c r="L82" i="2" s="1"/>
  <c r="I83" i="2"/>
  <c r="I84" i="2"/>
  <c r="J85" i="2"/>
  <c r="L85" i="2" s="1"/>
  <c r="I86" i="2"/>
  <c r="J87" i="2"/>
  <c r="L87" i="2" s="1"/>
  <c r="J88" i="2"/>
  <c r="L88" i="2" s="1"/>
  <c r="I91" i="2"/>
  <c r="I97" i="2"/>
  <c r="J98" i="2"/>
  <c r="L98" i="2" s="1"/>
  <c r="I99" i="2"/>
  <c r="I100" i="2"/>
  <c r="I101" i="2"/>
  <c r="J102" i="2"/>
  <c r="L102" i="2" s="1"/>
  <c r="J103" i="2"/>
  <c r="L103" i="2" s="1"/>
  <c r="J104" i="2"/>
  <c r="L104" i="2" s="1"/>
  <c r="I107" i="2"/>
  <c r="J109" i="2"/>
  <c r="L109" i="2" s="1"/>
  <c r="J112" i="2"/>
  <c r="L112" i="2" s="1"/>
  <c r="J114" i="2"/>
  <c r="L114" i="2" s="1"/>
  <c r="J115" i="2"/>
  <c r="L115" i="2" s="1"/>
  <c r="I116" i="2"/>
  <c r="J117" i="2"/>
  <c r="L117" i="2" s="1"/>
  <c r="J118" i="2"/>
  <c r="L118" i="2" s="1"/>
  <c r="J119" i="2"/>
  <c r="L119" i="2" s="1"/>
  <c r="I120" i="2"/>
  <c r="I123" i="2"/>
  <c r="J125" i="2"/>
  <c r="L125" i="2" s="1"/>
  <c r="I128" i="2"/>
  <c r="I129" i="2"/>
  <c r="J130" i="2"/>
  <c r="L130" i="2" s="1"/>
  <c r="J131" i="2"/>
  <c r="L131" i="2" s="1"/>
  <c r="I132" i="2"/>
  <c r="J133" i="2"/>
  <c r="L133" i="2" s="1"/>
  <c r="J134" i="2"/>
  <c r="L134" i="2" s="1"/>
  <c r="J135" i="2"/>
  <c r="L135" i="2" s="1"/>
  <c r="J136" i="2"/>
  <c r="L136" i="2" s="1"/>
  <c r="J138" i="2"/>
  <c r="L138" i="2" s="1"/>
  <c r="I140" i="2"/>
  <c r="I141" i="2"/>
  <c r="J142" i="2"/>
  <c r="L142" i="2" s="1"/>
  <c r="J143" i="2"/>
  <c r="L143" i="2" s="1"/>
  <c r="I144" i="2"/>
  <c r="I46" i="2"/>
  <c r="I25" i="2"/>
  <c r="I24" i="2"/>
  <c r="I26" i="2"/>
  <c r="J7" i="2"/>
  <c r="L7" i="2" s="1"/>
  <c r="I20" i="2"/>
  <c r="I21" i="2"/>
  <c r="I6" i="2"/>
  <c r="J5" i="2"/>
  <c r="L5" i="2" s="1"/>
  <c r="I12" i="2"/>
  <c r="J14" i="2"/>
  <c r="L14" i="2" s="1"/>
  <c r="J23" i="2"/>
  <c r="L23" i="2" s="1"/>
  <c r="I22" i="2"/>
  <c r="I13" i="2"/>
  <c r="I11" i="2"/>
  <c r="I4" i="2"/>
  <c r="I16" i="2"/>
  <c r="I10" i="2"/>
  <c r="J26" i="2"/>
  <c r="L26" i="2" s="1"/>
  <c r="I2" i="2"/>
  <c r="I3" i="2"/>
  <c r="I15" i="2"/>
  <c r="I17" i="2"/>
  <c r="I9" i="2"/>
  <c r="I8" i="2"/>
  <c r="I18" i="2"/>
  <c r="J19" i="2"/>
  <c r="L19" i="2" s="1"/>
  <c r="J12" i="2" l="1"/>
  <c r="L12" i="2" s="1"/>
  <c r="I142" i="2"/>
  <c r="J145" i="2"/>
  <c r="L145" i="2" s="1"/>
  <c r="I145" i="2"/>
  <c r="I62" i="2"/>
  <c r="J62" i="2"/>
  <c r="L62" i="2" s="1"/>
  <c r="J63" i="2"/>
  <c r="L63" i="2" s="1"/>
  <c r="I63" i="2"/>
  <c r="J69" i="2"/>
  <c r="L69" i="2" s="1"/>
  <c r="I69" i="2"/>
  <c r="I73" i="2"/>
  <c r="J73" i="2"/>
  <c r="L73" i="2" s="1"/>
  <c r="I75" i="2"/>
  <c r="J75" i="2"/>
  <c r="L75" i="2" s="1"/>
  <c r="J78" i="2"/>
  <c r="L78" i="2" s="1"/>
  <c r="I78" i="2"/>
  <c r="I79" i="2"/>
  <c r="J79" i="2"/>
  <c r="L79" i="2" s="1"/>
  <c r="I89" i="2"/>
  <c r="J89" i="2"/>
  <c r="L89" i="2" s="1"/>
  <c r="I90" i="2"/>
  <c r="J90" i="2"/>
  <c r="L90" i="2" s="1"/>
  <c r="I92" i="2"/>
  <c r="J92" i="2"/>
  <c r="L92" i="2" s="1"/>
  <c r="J93" i="2"/>
  <c r="L93" i="2" s="1"/>
  <c r="I93" i="2"/>
  <c r="I94" i="2"/>
  <c r="J94" i="2"/>
  <c r="L94" i="2" s="1"/>
  <c r="I95" i="2"/>
  <c r="J95" i="2"/>
  <c r="L95" i="2" s="1"/>
  <c r="I96" i="2"/>
  <c r="J96" i="2"/>
  <c r="L96" i="2" s="1"/>
  <c r="I105" i="2"/>
  <c r="J105" i="2"/>
  <c r="L105" i="2" s="1"/>
  <c r="I106" i="2"/>
  <c r="J106" i="2"/>
  <c r="L106" i="2" s="1"/>
  <c r="J108" i="2"/>
  <c r="L108" i="2" s="1"/>
  <c r="I108" i="2"/>
  <c r="I110" i="2"/>
  <c r="J110" i="2"/>
  <c r="L110" i="2" s="1"/>
  <c r="I111" i="2"/>
  <c r="J111" i="2"/>
  <c r="L111" i="2" s="1"/>
  <c r="I121" i="2"/>
  <c r="J121" i="2"/>
  <c r="L121" i="2" s="1"/>
  <c r="J122" i="2"/>
  <c r="L122" i="2" s="1"/>
  <c r="I122" i="2"/>
  <c r="I124" i="2"/>
  <c r="J124" i="2"/>
  <c r="L124" i="2" s="1"/>
  <c r="J126" i="2"/>
  <c r="L126" i="2" s="1"/>
  <c r="I126" i="2"/>
  <c r="I127" i="2"/>
  <c r="J127" i="2"/>
  <c r="L127" i="2" s="1"/>
  <c r="I137" i="2"/>
  <c r="J137" i="2"/>
  <c r="L137" i="2" s="1"/>
  <c r="J101" i="2"/>
  <c r="L101" i="2" s="1"/>
  <c r="J140" i="2"/>
  <c r="L140" i="2" s="1"/>
  <c r="I125" i="2"/>
  <c r="J141" i="2"/>
  <c r="L141" i="2" s="1"/>
  <c r="J139" i="2"/>
  <c r="L139" i="2" s="1"/>
  <c r="I109" i="2"/>
  <c r="I117" i="2"/>
  <c r="I112" i="2"/>
  <c r="J107" i="2"/>
  <c r="L107" i="2" s="1"/>
  <c r="I81" i="2"/>
  <c r="J65" i="2"/>
  <c r="L65" i="2" s="1"/>
  <c r="I118" i="2"/>
  <c r="J97" i="2"/>
  <c r="L97" i="2" s="1"/>
  <c r="J129" i="2"/>
  <c r="L129" i="2" s="1"/>
  <c r="I138" i="2"/>
  <c r="J91" i="2"/>
  <c r="L91" i="2" s="1"/>
  <c r="J123" i="2"/>
  <c r="L123" i="2" s="1"/>
  <c r="I133" i="2"/>
  <c r="I114" i="2"/>
  <c r="I76" i="2"/>
  <c r="J144" i="2"/>
  <c r="L144" i="2" s="1"/>
  <c r="I119" i="2"/>
  <c r="I82" i="2"/>
  <c r="I136" i="2"/>
  <c r="I135" i="2"/>
  <c r="I115" i="2"/>
  <c r="I70" i="2"/>
  <c r="I72" i="2"/>
  <c r="I71" i="2"/>
  <c r="I131" i="2"/>
  <c r="I88" i="2"/>
  <c r="I64" i="2"/>
  <c r="J120" i="2"/>
  <c r="L120" i="2" s="1"/>
  <c r="I130" i="2"/>
  <c r="I87" i="2"/>
  <c r="I85" i="2"/>
  <c r="I104" i="2"/>
  <c r="I134" i="2"/>
  <c r="J128" i="2"/>
  <c r="L128" i="2" s="1"/>
  <c r="J86" i="2"/>
  <c r="L86" i="2" s="1"/>
  <c r="I103" i="2"/>
  <c r="I143" i="2"/>
  <c r="I102" i="2"/>
  <c r="I80" i="2"/>
  <c r="I98" i="2"/>
  <c r="J100" i="2"/>
  <c r="L100" i="2" s="1"/>
  <c r="J84" i="2"/>
  <c r="L84" i="2" s="1"/>
  <c r="J67" i="2"/>
  <c r="L67" i="2" s="1"/>
  <c r="J132" i="2"/>
  <c r="L132" i="2" s="1"/>
  <c r="J116" i="2"/>
  <c r="L116" i="2" s="1"/>
  <c r="J99" i="2"/>
  <c r="L99" i="2" s="1"/>
  <c r="J83" i="2"/>
  <c r="L83" i="2" s="1"/>
  <c r="J66" i="2"/>
  <c r="L66" i="2" s="1"/>
  <c r="I68" i="2"/>
  <c r="J74" i="2"/>
  <c r="L74" i="2" s="1"/>
  <c r="I28" i="2"/>
  <c r="J28" i="2"/>
  <c r="L28" i="2" s="1"/>
  <c r="I77" i="2"/>
  <c r="J77" i="2"/>
  <c r="L77" i="2" s="1"/>
  <c r="J113" i="2"/>
  <c r="L113" i="2" s="1"/>
  <c r="I113" i="2"/>
  <c r="I27" i="2"/>
  <c r="J27" i="2"/>
  <c r="L27" i="2" s="1"/>
  <c r="I30" i="2"/>
  <c r="J30" i="2"/>
  <c r="L30" i="2" s="1"/>
  <c r="I31" i="2"/>
  <c r="J31" i="2"/>
  <c r="L31" i="2" s="1"/>
  <c r="J32" i="2"/>
  <c r="L32" i="2" s="1"/>
  <c r="I32" i="2"/>
  <c r="J33" i="2"/>
  <c r="L33" i="2" s="1"/>
  <c r="I33" i="2"/>
  <c r="J34" i="2"/>
  <c r="L34" i="2" s="1"/>
  <c r="I34" i="2"/>
  <c r="J35" i="2"/>
  <c r="L35" i="2" s="1"/>
  <c r="I35" i="2"/>
  <c r="J36" i="2"/>
  <c r="L36" i="2" s="1"/>
  <c r="I36" i="2"/>
  <c r="J37" i="2"/>
  <c r="L37" i="2" s="1"/>
  <c r="I37" i="2"/>
  <c r="J38" i="2"/>
  <c r="L38" i="2" s="1"/>
  <c r="I38" i="2"/>
  <c r="J39" i="2"/>
  <c r="L39" i="2" s="1"/>
  <c r="I39" i="2"/>
  <c r="J40" i="2"/>
  <c r="L40" i="2" s="1"/>
  <c r="I40" i="2"/>
  <c r="J41" i="2"/>
  <c r="L41" i="2" s="1"/>
  <c r="I41" i="2"/>
  <c r="J42" i="2"/>
  <c r="L42" i="2" s="1"/>
  <c r="I42" i="2"/>
  <c r="J43" i="2"/>
  <c r="L43" i="2" s="1"/>
  <c r="I43" i="2"/>
  <c r="J44" i="2"/>
  <c r="L44" i="2" s="1"/>
  <c r="I44" i="2"/>
  <c r="J53" i="2"/>
  <c r="L53" i="2" s="1"/>
  <c r="I53" i="2"/>
  <c r="J54" i="2"/>
  <c r="L54" i="2" s="1"/>
  <c r="I54" i="2"/>
  <c r="J55" i="2"/>
  <c r="L55" i="2" s="1"/>
  <c r="I55" i="2"/>
  <c r="J56" i="2"/>
  <c r="L56" i="2" s="1"/>
  <c r="I56" i="2"/>
  <c r="J57" i="2"/>
  <c r="L57" i="2" s="1"/>
  <c r="I57" i="2"/>
  <c r="J58" i="2"/>
  <c r="L58" i="2" s="1"/>
  <c r="I58" i="2"/>
  <c r="J59" i="2"/>
  <c r="L59" i="2" s="1"/>
  <c r="I59" i="2"/>
  <c r="J60" i="2"/>
  <c r="L60" i="2" s="1"/>
  <c r="I60" i="2"/>
  <c r="J61" i="2"/>
  <c r="L61" i="2" s="1"/>
  <c r="I61" i="2"/>
  <c r="I45" i="2"/>
  <c r="J45" i="2"/>
  <c r="L45" i="2" s="1"/>
  <c r="J46" i="2"/>
  <c r="L46" i="2" s="1"/>
  <c r="I47" i="2"/>
  <c r="J47" i="2"/>
  <c r="L47" i="2" s="1"/>
  <c r="I48" i="2"/>
  <c r="J48" i="2"/>
  <c r="L48" i="2" s="1"/>
  <c r="I49" i="2"/>
  <c r="J49" i="2"/>
  <c r="L49" i="2" s="1"/>
  <c r="I50" i="2"/>
  <c r="J50" i="2"/>
  <c r="L50" i="2" s="1"/>
  <c r="I51" i="2"/>
  <c r="J51" i="2"/>
  <c r="L51" i="2" s="1"/>
  <c r="I52" i="2"/>
  <c r="J52" i="2"/>
  <c r="L52" i="2" s="1"/>
  <c r="I29" i="2"/>
  <c r="J29" i="2"/>
  <c r="L29" i="2" s="1"/>
  <c r="J25" i="2"/>
  <c r="L25" i="2" s="1"/>
  <c r="J24" i="2"/>
  <c r="L24" i="2" s="1"/>
  <c r="I14" i="2"/>
  <c r="I23" i="2"/>
  <c r="I7" i="2"/>
  <c r="I19" i="2"/>
  <c r="I5" i="2"/>
  <c r="J6" i="2"/>
  <c r="L6" i="2" s="1"/>
  <c r="J21" i="2"/>
  <c r="L21" i="2" s="1"/>
  <c r="J20" i="2"/>
  <c r="L20" i="2" s="1"/>
  <c r="J16" i="2"/>
  <c r="L16" i="2" s="1"/>
  <c r="J4" i="2"/>
  <c r="L4" i="2" s="1"/>
  <c r="J13" i="2"/>
  <c r="L13" i="2" s="1"/>
  <c r="J22" i="2"/>
  <c r="L22" i="2" s="1"/>
  <c r="J10" i="2"/>
  <c r="L10" i="2" s="1"/>
  <c r="J11" i="2"/>
  <c r="L11" i="2" s="1"/>
  <c r="J9" i="2"/>
  <c r="L9" i="2" s="1"/>
  <c r="J8" i="2"/>
  <c r="L8" i="2" s="1"/>
  <c r="J18" i="2"/>
  <c r="L18" i="2" s="1"/>
  <c r="J17" i="2"/>
  <c r="L17" i="2" s="1"/>
  <c r="J15" i="2"/>
  <c r="L15" i="2" s="1"/>
  <c r="J3" i="2"/>
  <c r="L3" i="2" s="1"/>
  <c r="J2" i="2"/>
  <c r="L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<sst xmlns="http://schemas.openxmlformats.org/spreadsheetml/2006/main" count="25753" uniqueCount="12941">
  <si>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</si>
  <si>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</si>
  <si>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</si>
  <si>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</si>
  <si>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</si>
  <si>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</si>
  <si>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</si>
  <si>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</si>
  <si>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</si>
  <si>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</si>
  <si>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</si>
  <si>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</si>
  <si>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</si>
  <si>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</si>
  <si>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</si>
  <si>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</si>
  <si>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</si>
  <si>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</si>
  <si>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</si>
  <si>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</si>
  <si>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</si>
  <si>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</si>
  <si>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</si>
  <si>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</si>
  <si>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</si>
  <si>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</si>
  <si>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</si>
  <si>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</si>
  <si>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</si>
  <si>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</si>
  <si>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</si>
  <si>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</si>
  <si>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</si>
  <si>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</si>
  <si>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</si>
  <si>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</si>
  <si>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</si>
  <si>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</si>
  <si>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</si>
  <si>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</si>
  <si>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</si>
  <si>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</si>
  <si>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</si>
  <si>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</si>
  <si>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</si>
  <si>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</si>
  <si>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</si>
  <si>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</si>
  <si>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</si>
  <si>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</si>
  <si>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</si>
  <si>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</si>
  <si>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</si>
  <si>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</si>
  <si>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</si>
  <si>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</si>
  <si>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</si>
  <si>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</si>
  <si>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</si>
  <si>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</si>
  <si>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</si>
  <si>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</si>
  <si>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</si>
  <si>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</si>
  <si>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</si>
  <si>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</si>
  <si>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</si>
  <si>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</si>
  <si>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</si>
  <si>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</si>
  <si>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</si>
  <si>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</si>
  <si>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</si>
  <si>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</si>
  <si>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</si>
  <si>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</si>
  <si>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</si>
  <si>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</si>
  <si>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</si>
  <si>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</si>
  <si>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</si>
  <si>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</si>
  <si>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</si>
  <si>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</si>
  <si>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</si>
  <si>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</si>
  <si>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</si>
  <si>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</si>
  <si>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</si>
  <si>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</si>
  <si>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</si>
  <si>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</si>
  <si>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</si>
  <si>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</si>
  <si>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</si>
  <si>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</si>
  <si>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</si>
  <si>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</si>
  <si>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</si>
  <si>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</si>
  <si>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</si>
  <si>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</si>
  <si>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</si>
  <si>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</si>
  <si>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</si>
  <si>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</si>
  <si>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</si>
  <si>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</si>
  <si>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</si>
  <si>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</si>
  <si>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</si>
  <si>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</si>
  <si>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</si>
  <si>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</si>
  <si>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</si>
  <si>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</si>
  <si>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</si>
  <si>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</si>
  <si>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</si>
  <si>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</si>
  <si>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</si>
  <si>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</si>
  <si>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</si>
  <si>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</si>
  <si>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</si>
  <si>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</si>
  <si>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</si>
  <si>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</si>
  <si>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</si>
  <si>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</si>
  <si>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</si>
  <si>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</si>
  <si>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</si>
  <si>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</si>
  <si>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</si>
  <si>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</si>
  <si>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</si>
  <si>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</si>
  <si>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</si>
  <si>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</si>
  <si>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</si>
  <si>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</si>
  <si>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</si>
  <si>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</si>
  <si>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</si>
  <si>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</si>
  <si>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</si>
  <si>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</si>
  <si>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</si>
  <si>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</si>
  <si>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</si>
  <si>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</si>
  <si>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</si>
  <si>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</si>
  <si>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</si>
  <si>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</si>
  <si>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</si>
  <si>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</si>
  <si>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</si>
  <si>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</si>
  <si>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</si>
  <si>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</si>
  <si>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</si>
  <si>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</si>
  <si>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</si>
  <si>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</si>
  <si>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</si>
  <si>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</si>
  <si>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</si>
  <si>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</si>
  <si>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</si>
  <si>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</si>
  <si>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</si>
  <si>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</si>
  <si>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</si>
  <si>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</si>
  <si>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</si>
  <si>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</si>
  <si>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</si>
  <si>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</si>
  <si>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</si>
  <si>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</si>
  <si>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</si>
  <si>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</si>
  <si>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</si>
  <si>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</si>
  <si>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</si>
  <si>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</si>
  <si>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</si>
  <si>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</si>
  <si>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</si>
  <si>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</si>
  <si>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</si>
  <si>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</si>
  <si>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</si>
  <si>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</si>
  <si>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</si>
  <si>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</si>
  <si>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</si>
  <si>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</si>
  <si>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</si>
  <si>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</si>
  <si>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</si>
  <si>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</si>
  <si>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</si>
  <si>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</si>
  <si>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</si>
  <si>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</si>
  <si>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</si>
  <si>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</si>
  <si>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</si>
  <si>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</si>
  <si>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</si>
  <si>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</si>
  <si>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</si>
  <si>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</si>
  <si>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</si>
  <si>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</si>
  <si>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</si>
  <si>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</si>
  <si>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</si>
  <si>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</si>
  <si>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</si>
  <si>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</si>
  <si>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</si>
  <si>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</si>
  <si>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</si>
  <si>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</si>
  <si>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</si>
  <si>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</si>
  <si>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</si>
  <si>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</si>
  <si>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</si>
  <si>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</si>
  <si>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</si>
  <si>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</si>
  <si>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</si>
  <si>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</si>
  <si>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</si>
  <si>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</si>
  <si>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</si>
  <si>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</si>
  <si>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</si>
  <si>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</si>
  <si>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</si>
  <si>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</si>
  <si>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</si>
  <si>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</si>
  <si>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</si>
  <si>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</si>
  <si>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</si>
  <si>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</si>
  <si>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</si>
  <si>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</si>
  <si>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</si>
  <si>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</si>
  <si>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</si>
  <si>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</si>
  <si>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</si>
  <si>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</si>
  <si>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</si>
  <si>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</si>
  <si>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</si>
  <si>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</si>
  <si>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</si>
  <si>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</si>
  <si>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</si>
  <si>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</si>
  <si>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</si>
  <si>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</si>
  <si>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</si>
  <si>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</si>
  <si>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</si>
  <si>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</si>
  <si>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</si>
  <si>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</si>
  <si>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</si>
  <si>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</si>
  <si>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</si>
  <si>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</si>
  <si>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</si>
  <si>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</si>
  <si>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</si>
  <si>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</si>
  <si>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</si>
  <si>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</si>
  <si>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</si>
  <si>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</si>
  <si>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</si>
  <si>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</si>
  <si>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</si>
  <si>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</si>
  <si>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</si>
  <si>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</si>
  <si>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</si>
  <si>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</si>
  <si>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</si>
  <si>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</si>
  <si>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</si>
  <si>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</si>
  <si>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</si>
  <si>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</si>
  <si>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</si>
  <si>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</si>
  <si>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</si>
  <si>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</si>
  <si>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</si>
  <si>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</si>
  <si>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</si>
  <si>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</si>
  <si>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</si>
  <si>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</si>
  <si>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</si>
  <si>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</si>
  <si>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</si>
  <si>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</si>
  <si>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</si>
  <si>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</si>
  <si>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</si>
  <si>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</si>
  <si>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</si>
  <si>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</si>
  <si>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</si>
  <si>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</si>
  <si>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</si>
  <si>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</si>
  <si>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</si>
  <si>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</si>
  <si>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</si>
  <si>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</si>
  <si>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</si>
  <si>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</si>
  <si>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</si>
  <si>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</si>
  <si>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</si>
  <si>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</si>
  <si>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</si>
  <si>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</si>
  <si>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</si>
  <si>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</si>
  <si>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</si>
  <si>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</si>
  <si>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</si>
  <si>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</si>
  <si>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</si>
  <si>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</si>
  <si>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</si>
  <si>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</si>
  <si>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</si>
  <si>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</si>
  <si>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</si>
  <si>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</si>
  <si>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</si>
  <si>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</si>
  <si>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</si>
  <si>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</si>
  <si>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</si>
  <si>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</si>
  <si>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</si>
  <si>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</si>
  <si>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</si>
  <si>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</si>
  <si>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</si>
  <si>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</si>
  <si>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</si>
  <si>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</si>
  <si>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</si>
  <si>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</si>
  <si>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</si>
  <si>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</si>
  <si>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</si>
  <si>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</si>
  <si>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</si>
  <si>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</si>
  <si>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</si>
  <si>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</si>
  <si>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</si>
  <si>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</si>
  <si>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</si>
  <si>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</si>
  <si>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</si>
  <si>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</si>
  <si>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</si>
  <si>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</si>
  <si>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</si>
  <si>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</si>
  <si>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</si>
  <si>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</si>
  <si>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</si>
  <si>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</si>
  <si>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</si>
  <si>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</si>
  <si>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</si>
  <si>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</si>
  <si>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</si>
  <si>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</si>
  <si>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</si>
  <si>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</si>
  <si>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</si>
  <si>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</si>
  <si>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</si>
  <si>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</si>
  <si>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</si>
  <si>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</si>
  <si>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</si>
  <si>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</si>
  <si>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</si>
  <si>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</si>
  <si>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</si>
  <si>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</si>
  <si>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</si>
  <si>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</si>
  <si>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</si>
  <si>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</si>
  <si>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</si>
  <si>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</si>
  <si>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</si>
  <si>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</si>
  <si>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</si>
  <si>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</si>
  <si>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</si>
  <si>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</si>
  <si>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</si>
  <si>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</si>
  <si>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</si>
  <si>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</si>
  <si>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</si>
  <si>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</si>
  <si>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</si>
  <si>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</si>
  <si>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</si>
  <si>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</si>
  <si>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</si>
  <si>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</si>
  <si>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</si>
  <si>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</si>
  <si>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</si>
  <si>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</si>
  <si>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</si>
  <si>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</si>
  <si>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</si>
  <si>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</si>
  <si>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</si>
  <si>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</si>
  <si>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</si>
  <si>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</si>
  <si>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</si>
  <si>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</si>
  <si>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</si>
  <si>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</si>
  <si>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</si>
  <si>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</si>
  <si>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</si>
  <si>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</si>
  <si>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</si>
  <si>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</si>
  <si>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</si>
  <si>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</si>
  <si>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</si>
  <si>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</si>
  <si>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</si>
  <si>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</si>
  <si>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</si>
  <si>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</si>
  <si>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</si>
  <si>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</si>
  <si>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</si>
  <si>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</si>
  <si>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</si>
  <si>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</si>
  <si>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</si>
  <si>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</si>
  <si>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</si>
  <si>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</si>
  <si>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</si>
  <si>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</si>
  <si>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</si>
  <si>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</si>
  <si>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</si>
  <si>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</si>
  <si>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</si>
  <si>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</si>
  <si>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</si>
  <si>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</si>
  <si>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</si>
  <si>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</si>
  <si>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</si>
  <si>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</si>
  <si>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</si>
  <si>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</si>
  <si>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</si>
  <si>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</si>
  <si>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</si>
  <si>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</si>
  <si>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</si>
  <si>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</si>
  <si>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20/01/2026</t>
  </si>
  <si>
    <t>24/02/2026</t>
  </si>
  <si>
    <t>Toàn quốc</t>
  </si>
  <si>
    <t>Miền Bắc</t>
  </si>
  <si>
    <t>Miền Nam</t>
  </si>
  <si>
    <t>Miền Trung</t>
  </si>
  <si>
    <t>Toàn bộ</t>
  </si>
  <si>
    <t>Tết 03</t>
  </si>
  <si>
    <t>05/02/2026</t>
  </si>
  <si>
    <t>04/03/2026</t>
  </si>
  <si>
    <t>Chương trình KM</t>
  </si>
  <si>
    <t>Mua 2 tặng 1</t>
  </si>
  <si>
    <t>Mua 1 tặng 1</t>
  </si>
  <si>
    <t>Post 04 - Tết 3 - Mở lộc đầu xuân</t>
  </si>
  <si>
    <t>10/02/2026</t>
  </si>
  <si>
    <t>26/01/2026</t>
  </si>
  <si>
    <t>25/02/2026</t>
  </si>
  <si>
    <t>CTKM bổ sung tết 2026</t>
  </si>
  <si>
    <t>04/02/2026</t>
  </si>
  <si>
    <t>14/02/2026</t>
  </si>
  <si>
    <t>STT</t>
  </si>
  <si>
    <t>POST 03.26</t>
  </si>
  <si>
    <t>21/01/2026</t>
  </si>
  <si>
    <t>15/01/2026</t>
  </si>
  <si>
    <t>Giảm giá 25%</t>
  </si>
  <si>
    <t>Giảm giá 15%</t>
  </si>
  <si>
    <t>Giảm giá 5% Mua 2+1</t>
  </si>
  <si>
    <t>Giảm 7%</t>
  </si>
  <si>
    <t>Giảm 5%</t>
  </si>
  <si>
    <t>Giảm 5% mua 1 tặng 1 gói 4g</t>
  </si>
  <si>
    <t>Mua 1 tặng 1 gói 4g</t>
  </si>
  <si>
    <t>Mì Ý Spaghetti O'Food 250g * 40EA</t>
  </si>
  <si>
    <t>1025313</t>
  </si>
  <si>
    <t>Lá Kim tẩm dầu Ô liu 4g lốc 3 * 24 lốc (HD) + 12 lốc KM</t>
  </si>
  <si>
    <t>Mua 1 tặng 1 mì spahgetti 250g ( Dự kiến 300 box)</t>
  </si>
  <si>
    <t>Mì Spaghetti 250g</t>
  </si>
  <si>
    <t>POST 04.26</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</si>
  <si>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</si>
  <si>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</si>
  <si>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</si>
  <si>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</si>
  <si>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</si>
  <si>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</si>
  <si>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</si>
  <si>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</si>
  <si>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</si>
  <si>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</si>
  <si>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</si>
  <si>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</si>
  <si>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</si>
  <si>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</si>
  <si>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</si>
  <si>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</si>
  <si>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</si>
  <si>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</si>
  <si>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</si>
  <si>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</si>
  <si>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</si>
  <si>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</si>
  <si>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</si>
  <si>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</si>
  <si>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</si>
  <si>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</si>
  <si>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</si>
  <si>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</si>
  <si>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</si>
  <si>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</si>
  <si>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</si>
  <si>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</si>
  <si>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</si>
  <si>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</si>
  <si>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</si>
  <si>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</si>
  <si>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</si>
  <si>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</si>
  <si>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</si>
  <si>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</si>
  <si>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</si>
  <si>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</si>
  <si>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</si>
  <si>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</si>
  <si>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</si>
  <si>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</si>
  <si>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</si>
  <si>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</si>
  <si>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</si>
  <si>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</si>
  <si>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</si>
  <si>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</si>
  <si>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</si>
  <si>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</si>
  <si>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</si>
  <si>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</si>
  <si>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</si>
  <si>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</si>
  <si>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</si>
  <si>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</si>
  <si>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</si>
  <si>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</si>
  <si>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</si>
  <si>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</si>
  <si>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</si>
  <si>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</si>
  <si>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</si>
  <si>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</si>
  <si>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</si>
  <si>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</si>
  <si>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</si>
  <si>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</si>
  <si>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</si>
  <si>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</si>
  <si>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</si>
  <si>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</si>
  <si>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</si>
  <si>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</si>
  <si>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</si>
  <si>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</si>
  <si>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</si>
  <si>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</si>
  <si>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</si>
  <si>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</si>
  <si>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</si>
  <si>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</si>
  <si>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</si>
  <si>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</si>
  <si>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</si>
  <si>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</si>
  <si>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</si>
  <si>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</si>
  <si>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</si>
  <si>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</si>
  <si>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</si>
  <si>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</si>
  <si>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</si>
  <si>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</si>
  <si>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</si>
  <si>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</si>
  <si>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</si>
  <si>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</si>
  <si>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</si>
  <si>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</si>
  <si>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</si>
  <si>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</si>
  <si>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</si>
  <si>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</si>
  <si>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</si>
  <si>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</si>
  <si>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</si>
  <si>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</si>
  <si>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</si>
  <si>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</si>
  <si>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</si>
  <si>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</si>
  <si>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</si>
  <si>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</si>
  <si>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</si>
  <si>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</si>
  <si>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</si>
  <si>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</si>
  <si>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</si>
  <si>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</si>
  <si>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</si>
  <si>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</si>
  <si>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</si>
  <si>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</si>
  <si>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</si>
  <si>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</si>
  <si>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</si>
  <si>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</si>
  <si>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</si>
  <si>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</si>
  <si>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</si>
  <si>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</si>
  <si>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</si>
  <si>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</si>
  <si>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</si>
  <si>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</si>
  <si>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</si>
  <si>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</si>
  <si>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</si>
  <si>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</si>
  <si>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</si>
  <si>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</si>
  <si>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</si>
  <si>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</si>
  <si>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</si>
  <si>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</si>
  <si>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</si>
  <si>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</si>
  <si>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</si>
  <si>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</si>
  <si>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</si>
  <si>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</si>
  <si>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</si>
  <si>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</si>
  <si>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</si>
  <si>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</si>
  <si>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</si>
  <si>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</si>
  <si>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</si>
  <si>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</si>
  <si>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</si>
  <si>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</si>
  <si>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</si>
  <si>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</si>
  <si>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</si>
  <si>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</si>
  <si>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</si>
  <si>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</si>
  <si>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</si>
  <si>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</si>
  <si>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</si>
  <si>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</si>
  <si>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</si>
  <si>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</si>
  <si>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</si>
  <si>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</si>
  <si>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</si>
  <si>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</si>
  <si>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</si>
  <si>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</si>
  <si>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</si>
  <si>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</si>
  <si>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</si>
  <si>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</si>
  <si>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</si>
  <si>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</si>
  <si>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</si>
  <si>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</si>
  <si>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</si>
  <si>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</si>
  <si>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</si>
  <si>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</si>
  <si>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</si>
  <si>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</si>
  <si>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</si>
  <si>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</si>
  <si>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</si>
  <si>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</si>
  <si>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</si>
  <si>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</si>
  <si>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</si>
  <si>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</si>
  <si>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</si>
  <si>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</si>
  <si>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</si>
  <si>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</si>
  <si>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</si>
  <si>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</si>
  <si>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</si>
  <si>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</si>
  <si>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</si>
  <si>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</si>
  <si>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</si>
  <si>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</si>
  <si>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</si>
  <si>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</si>
  <si>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</si>
  <si>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</si>
  <si>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</si>
  <si>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</si>
  <si>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</si>
  <si>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</si>
  <si>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</si>
  <si>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</si>
  <si>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</si>
  <si>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</si>
  <si>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</si>
  <si>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</si>
  <si>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</si>
  <si>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</si>
  <si>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</si>
  <si>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</si>
  <si>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</si>
  <si>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</si>
  <si>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</si>
  <si>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</si>
  <si>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</si>
  <si>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</si>
  <si>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</si>
  <si>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</si>
  <si>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</si>
  <si>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</si>
  <si>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</si>
  <si>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</si>
  <si>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</si>
  <si>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</si>
  <si>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</si>
  <si>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</si>
  <si>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</si>
  <si>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</si>
  <si>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</si>
  <si>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</si>
  <si>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</si>
  <si>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</si>
  <si>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</si>
  <si>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</si>
  <si>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</si>
  <si>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</si>
  <si>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</si>
  <si>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</si>
  <si>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</si>
  <si>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</si>
  <si>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</si>
  <si>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</si>
  <si>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</si>
  <si>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</si>
  <si>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</si>
  <si>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</si>
  <si>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</si>
  <si>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</si>
  <si>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</si>
  <si>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</si>
  <si>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</si>
  <si>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</si>
  <si>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</si>
  <si>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</si>
  <si>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</si>
  <si>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</si>
  <si>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</si>
  <si>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</si>
  <si>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</si>
  <si>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</si>
  <si>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</si>
  <si>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</si>
  <si>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</si>
  <si>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</si>
  <si>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</si>
  <si>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</si>
  <si>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</si>
  <si>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</si>
  <si>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</si>
  <si>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</si>
  <si>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</si>
  <si>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</si>
  <si>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</si>
  <si>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</si>
  <si>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</si>
  <si>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</si>
  <si>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</si>
  <si>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</si>
  <si>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</si>
  <si>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</si>
  <si>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</si>
  <si>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</si>
  <si>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</si>
  <si>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</si>
  <si>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</si>
  <si>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</si>
  <si>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</si>
  <si>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</si>
  <si>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</si>
  <si>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</si>
  <si>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</si>
  <si>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</si>
  <si>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</si>
  <si>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</si>
  <si>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</si>
  <si>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</si>
  <si>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</si>
  <si>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</si>
  <si>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</si>
  <si>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</si>
  <si>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</si>
  <si>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</si>
  <si>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</si>
  <si>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</si>
  <si>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</si>
  <si>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</si>
  <si>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</si>
  <si>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</si>
  <si>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</si>
  <si>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</si>
  <si>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</si>
  <si>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</si>
  <si>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</si>
  <si>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</si>
  <si>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</si>
  <si>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</si>
  <si>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</si>
  <si>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</si>
  <si>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</si>
  <si>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</si>
  <si>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</si>
  <si>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</si>
  <si>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</si>
  <si>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</si>
  <si>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</si>
  <si>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</si>
  <si>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</si>
  <si>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</si>
  <si>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</si>
  <si>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</si>
  <si>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</si>
  <si>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</si>
  <si>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</si>
  <si>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</si>
  <si>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</si>
  <si>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</si>
  <si>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</si>
  <si>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</si>
  <si>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</si>
  <si>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</si>
  <si>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</si>
  <si>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</si>
  <si>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</si>
  <si>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</si>
  <si>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</si>
  <si>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</si>
  <si>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</si>
  <si>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</si>
  <si>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</si>
  <si>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</si>
  <si>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</si>
  <si>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</si>
  <si>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</si>
  <si>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</si>
  <si>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</si>
  <si>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</si>
  <si>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</si>
  <si>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</si>
  <si>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</si>
  <si>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</si>
  <si>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</si>
  <si>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</si>
  <si>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</si>
  <si>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</si>
  <si>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</si>
  <si>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</si>
  <si>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</si>
  <si>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</si>
  <si>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</si>
  <si>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</si>
  <si>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</si>
  <si>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</si>
  <si>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</si>
  <si>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</si>
  <si>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</si>
  <si>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</si>
  <si>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</si>
  <si>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</si>
  <si>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</si>
  <si>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</si>
  <si>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</si>
  <si>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</si>
  <si>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</si>
  <si>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</si>
  <si>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</si>
  <si>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</si>
  <si>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</si>
  <si>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</si>
  <si>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</si>
  <si>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</si>
  <si>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</si>
  <si>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</si>
  <si>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</si>
  <si>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</si>
  <si>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</si>
  <si>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</si>
  <si>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</si>
  <si>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</si>
  <si>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</si>
  <si>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</si>
  <si>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</si>
  <si>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</si>
  <si>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</si>
  <si>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</si>
  <si>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</si>
  <si>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</si>
  <si>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</si>
  <si>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</si>
  <si>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</si>
  <si>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</si>
  <si>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</si>
  <si>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</si>
  <si>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</si>
  <si>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</si>
  <si>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</si>
  <si>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</si>
  <si>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</si>
  <si>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</si>
  <si>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</si>
  <si>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</si>
  <si>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</si>
  <si>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</si>
  <si>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</si>
  <si>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</si>
  <si>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</si>
  <si>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</si>
  <si>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</si>
  <si>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</si>
  <si>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</si>
  <si>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</si>
  <si>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</si>
  <si>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</si>
  <si>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</si>
  <si>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</si>
  <si>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</si>
  <si>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</si>
  <si>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</si>
  <si>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</si>
  <si>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</si>
  <si>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</si>
  <si>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</si>
  <si>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</si>
  <si>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</si>
  <si>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</si>
  <si>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</si>
  <si>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</si>
  <si>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</si>
  <si>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</si>
  <si>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</si>
  <si>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</si>
  <si>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</si>
  <si>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</si>
  <si>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</si>
  <si>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</si>
  <si>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</si>
  <si>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</si>
  <si>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</si>
  <si>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</si>
  <si>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</si>
  <si>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</si>
  <si>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</si>
  <si>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</si>
  <si>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</si>
  <si>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</si>
  <si>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</si>
  <si>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</si>
  <si>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</si>
  <si>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</si>
  <si>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</si>
  <si>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</si>
  <si>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</si>
  <si>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</si>
  <si>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</si>
  <si>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</si>
  <si>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</si>
  <si>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</si>
  <si>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</si>
  <si>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</si>
  <si>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</si>
  <si>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</si>
  <si>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</si>
  <si>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</si>
  <si>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</si>
  <si>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</si>
  <si>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</si>
  <si>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</si>
  <si>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</si>
  <si>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</si>
  <si>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</si>
  <si>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</si>
  <si>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</si>
  <si>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</si>
  <si>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</si>
  <si>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</si>
  <si>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</si>
  <si>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</si>
  <si>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</si>
  <si>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</si>
  <si>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</si>
  <si>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</si>
  <si>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</si>
  <si>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</si>
  <si>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</si>
  <si>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</si>
  <si>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</si>
  <si>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</si>
  <si>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</si>
  <si>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</si>
  <si>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</si>
  <si>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</si>
  <si>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</si>
  <si>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</si>
  <si>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</si>
  <si>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</si>
  <si>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</si>
  <si>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</si>
  <si>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</si>
  <si>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</si>
  <si>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</si>
  <si>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</si>
  <si>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</si>
  <si>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</si>
  <si>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</si>
  <si>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</si>
  <si>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</si>
  <si>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</si>
  <si>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</si>
  <si>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</si>
  <si>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</si>
  <si>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</si>
  <si>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</si>
  <si>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</si>
  <si>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</si>
  <si>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</si>
  <si>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</si>
  <si>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</si>
  <si>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</si>
  <si>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</si>
  <si>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</si>
  <si>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</si>
  <si>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</si>
  <si>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</si>
  <si>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</si>
  <si>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</si>
  <si>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</si>
  <si>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</si>
  <si>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</si>
  <si>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</si>
  <si>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</si>
  <si>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</si>
  <si>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</si>
  <si>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</si>
  <si>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</si>
  <si>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</si>
  <si>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</si>
  <si>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</si>
  <si>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</si>
  <si>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</si>
  <si>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</si>
  <si>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</si>
  <si>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</si>
  <si>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</si>
  <si>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</si>
  <si>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</si>
  <si>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</si>
  <si>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</si>
  <si>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</si>
  <si>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</si>
  <si>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</si>
  <si>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</si>
  <si>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</si>
  <si>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</si>
  <si>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</si>
  <si>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</si>
  <si>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</si>
  <si>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</si>
  <si>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</si>
  <si>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</si>
  <si>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</si>
  <si>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</si>
  <si>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</si>
  <si>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</si>
  <si>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</si>
  <si>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</si>
  <si>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</si>
  <si>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</si>
  <si>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</si>
  <si>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</si>
  <si>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</si>
  <si>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</si>
  <si>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</si>
  <si>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</si>
  <si>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</si>
  <si>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</si>
  <si>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</si>
  <si>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</si>
  <si>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</si>
  <si>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</si>
  <si>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</si>
  <si>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</si>
  <si>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</si>
  <si>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</si>
  <si>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</si>
  <si>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</si>
  <si>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</si>
  <si>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</si>
  <si>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</si>
  <si>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</si>
  <si>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</si>
  <si>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</si>
  <si>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</si>
  <si>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</si>
  <si>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</si>
  <si>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</si>
  <si>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</si>
  <si>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</si>
  <si>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</si>
  <si>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</si>
  <si>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</si>
  <si>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</si>
  <si>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</si>
  <si>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</si>
  <si>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</si>
  <si>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</si>
  <si>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</si>
  <si>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</si>
  <si>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</si>
  <si>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</si>
  <si>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</si>
  <si>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</si>
  <si>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</si>
  <si>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</si>
  <si>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</si>
  <si>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</si>
  <si>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</si>
  <si>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</si>
  <si>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</si>
  <si>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</si>
  <si>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</si>
  <si>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</si>
  <si>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</si>
  <si>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</si>
  <si>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</si>
  <si>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</si>
  <si>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</si>
  <si>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</si>
  <si>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</si>
  <si>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</si>
  <si>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</si>
  <si>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</si>
  <si>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</si>
  <si>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</si>
  <si>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</si>
  <si>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</si>
  <si>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</si>
  <si>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</si>
  <si>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</si>
  <si>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</si>
  <si>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</si>
  <si>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</si>
  <si>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</si>
  <si>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</si>
  <si>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</si>
  <si>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</si>
  <si>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</si>
  <si>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</si>
  <si>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</si>
  <si>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</si>
  <si>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</si>
  <si>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</si>
  <si>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</si>
  <si>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</si>
  <si>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</si>
  <si>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</si>
  <si>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</si>
  <si>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</si>
  <si>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</si>
  <si>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</si>
  <si>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</si>
  <si>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</si>
  <si>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</si>
  <si>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</si>
  <si>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</si>
  <si>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</si>
  <si>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</si>
  <si>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</si>
  <si>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</si>
  <si>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</si>
  <si>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</si>
  <si>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</si>
  <si>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</si>
  <si>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</si>
  <si>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</si>
  <si>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</si>
  <si>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</si>
  <si>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</si>
  <si>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</si>
  <si>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</si>
  <si>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</si>
  <si>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</si>
  <si>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</si>
  <si>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</si>
  <si>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</si>
  <si>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</si>
  <si>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</si>
  <si>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</si>
  <si>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</si>
  <si>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</si>
  <si>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</si>
  <si>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</si>
  <si>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</si>
  <si>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</si>
  <si>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</si>
  <si>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</si>
  <si>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</si>
  <si>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</si>
  <si>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</si>
  <si>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</si>
  <si>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</si>
  <si>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</si>
  <si>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</si>
  <si>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</si>
  <si>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</si>
  <si>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</si>
  <si>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</si>
  <si>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</si>
  <si>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</si>
  <si>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</si>
  <si>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</si>
  <si>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</si>
  <si>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</si>
  <si>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</si>
  <si>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</si>
  <si>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</si>
  <si>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</si>
  <si>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</si>
  <si>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</si>
  <si>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</si>
  <si>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</si>
  <si>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</si>
  <si>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</si>
  <si>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</si>
  <si>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</si>
  <si>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</si>
  <si>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</si>
  <si>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</si>
  <si>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</si>
  <si>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</si>
  <si>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</si>
  <si>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</si>
  <si>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</si>
  <si>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</si>
  <si>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</si>
  <si>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</si>
  <si>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</si>
  <si>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</si>
  <si>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</si>
  <si>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</si>
  <si>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</si>
  <si>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</si>
  <si>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</si>
  <si>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</si>
  <si>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</si>
  <si>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</si>
  <si>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</si>
  <si>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</si>
  <si>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</si>
  <si>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</si>
  <si>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</si>
  <si>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</si>
  <si>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</si>
  <si>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</si>
  <si>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</si>
  <si>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</si>
  <si>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</si>
  <si>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</si>
  <si>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</si>
  <si>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</si>
  <si>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</si>
  <si>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</si>
  <si>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</si>
  <si>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</si>
  <si>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</si>
  <si>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</si>
  <si>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</si>
  <si>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</si>
  <si>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</si>
  <si>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</si>
  <si>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</si>
  <si>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</si>
  <si>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</si>
  <si>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</si>
  <si>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</si>
  <si>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</si>
  <si>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</si>
  <si>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</si>
  <si>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</si>
  <si>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</si>
  <si>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</si>
  <si>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</si>
  <si>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</si>
  <si>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</si>
  <si>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</si>
  <si>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</si>
  <si>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</si>
  <si>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</si>
  <si>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</si>
  <si>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</si>
  <si>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</si>
  <si>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</si>
  <si>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</si>
  <si>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</si>
  <si>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</si>
  <si>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</si>
  <si>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</si>
  <si>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</si>
  <si>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</si>
  <si>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</si>
  <si>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</si>
  <si>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</si>
  <si>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</si>
  <si>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</si>
  <si>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</si>
  <si>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</si>
  <si>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</si>
  <si>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</si>
  <si>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</si>
  <si>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</si>
  <si>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</si>
  <si>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</si>
  <si>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</si>
  <si>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</si>
  <si>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</si>
  <si>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</si>
  <si>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</si>
  <si>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</si>
  <si>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</si>
  <si>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</si>
  <si>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</si>
  <si>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</si>
  <si>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</si>
  <si>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</si>
  <si>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</si>
  <si>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</si>
  <si>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</si>
  <si>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</si>
  <si>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</si>
  <si>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</si>
  <si>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</si>
  <si>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</si>
  <si>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</si>
  <si>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</si>
  <si>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</si>
  <si>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</si>
  <si>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</si>
  <si>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</si>
  <si>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</si>
  <si>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</si>
  <si>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</si>
  <si>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</si>
  <si>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</si>
  <si>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</si>
  <si>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</si>
  <si>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</si>
  <si>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</si>
  <si>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</si>
  <si>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</si>
  <si>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</si>
  <si>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</si>
  <si>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</si>
  <si>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</si>
  <si>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</si>
  <si>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</si>
  <si>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</si>
  <si>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</si>
  <si>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</si>
  <si>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</si>
  <si>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</si>
  <si>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</si>
  <si>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</si>
  <si>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</si>
  <si>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</si>
  <si>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</si>
  <si>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</si>
  <si>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</si>
  <si>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</si>
  <si>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</si>
  <si>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</si>
  <si>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</si>
  <si>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</si>
  <si>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</si>
  <si>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</si>
  <si>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</si>
  <si>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</si>
  <si>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</si>
  <si>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</si>
  <si>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</si>
  <si>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</si>
  <si>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</si>
  <si>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</si>
  <si>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</si>
  <si>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</si>
  <si>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</si>
  <si>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</si>
  <si>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</si>
  <si>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</si>
  <si>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</si>
  <si>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</si>
  <si>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</si>
  <si>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</si>
  <si>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</si>
  <si>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</si>
  <si>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</si>
  <si>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</si>
  <si>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</si>
  <si>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</si>
  <si>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</si>
  <si>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</si>
  <si>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</si>
  <si>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</si>
  <si>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</si>
  <si>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</si>
  <si>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</si>
  <si>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</si>
  <si>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</si>
  <si>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</si>
  <si>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</si>
  <si>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</si>
  <si>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</si>
  <si>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</si>
  <si>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</si>
  <si>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</si>
  <si>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</si>
  <si>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</si>
  <si>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</si>
  <si>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</si>
  <si>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</si>
  <si>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</si>
  <si>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</si>
  <si>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</si>
  <si>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</si>
  <si>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</si>
  <si>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</si>
  <si>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</si>
  <si>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</si>
  <si>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</si>
  <si>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</si>
  <si>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</si>
  <si>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</si>
  <si>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</si>
  <si>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</si>
  <si>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</si>
  <si>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</si>
  <si>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</si>
  <si>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</si>
  <si>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</si>
  <si>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</si>
  <si>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</si>
  <si>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</si>
  <si>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</si>
  <si>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</si>
  <si>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</si>
  <si>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</si>
  <si>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</si>
  <si>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</si>
  <si>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</si>
  <si>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</si>
  <si>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</si>
  <si>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</si>
  <si>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</si>
  <si>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</si>
  <si>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</si>
  <si>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</si>
  <si>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</si>
  <si>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</si>
  <si>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</si>
  <si>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</si>
  <si>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</si>
  <si>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</si>
  <si>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</si>
  <si>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</si>
  <si>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</si>
  <si>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</si>
  <si>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</si>
  <si>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</si>
  <si>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</si>
  <si>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</si>
  <si>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</si>
  <si>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</si>
  <si>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</si>
  <si>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</si>
  <si>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</si>
  <si>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</si>
  <si>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</si>
  <si>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</si>
  <si>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</si>
  <si>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</si>
  <si>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</si>
  <si>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</si>
  <si>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</si>
  <si>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</si>
  <si>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</si>
  <si>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</si>
  <si>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</si>
  <si>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</si>
  <si>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</si>
  <si>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</si>
  <si>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</si>
  <si>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</si>
  <si>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</si>
  <si>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</si>
  <si>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</si>
  <si>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</si>
  <si>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</si>
  <si>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</si>
  <si>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</si>
  <si>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</si>
  <si>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</si>
  <si>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</si>
  <si>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</si>
  <si>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</si>
  <si>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</si>
  <si>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</si>
  <si>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</si>
  <si>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</si>
  <si>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</si>
  <si>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</si>
  <si>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</si>
  <si>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</si>
  <si>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</si>
  <si>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</si>
  <si>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</si>
  <si>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</si>
  <si>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</si>
  <si>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</si>
  <si>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</si>
  <si>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</si>
  <si>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</si>
  <si>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</si>
  <si>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</si>
  <si>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</si>
  <si>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</si>
  <si>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</si>
  <si>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</si>
  <si>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</si>
  <si>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</si>
  <si>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</si>
  <si>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</si>
  <si>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</si>
  <si>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</si>
  <si>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</si>
  <si>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</si>
  <si>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</si>
  <si>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</si>
  <si>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</si>
  <si>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</si>
  <si>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</si>
  <si>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</si>
  <si>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</si>
  <si>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</si>
  <si>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</si>
  <si>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</si>
  <si>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</si>
  <si>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</si>
  <si>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</si>
  <si>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</si>
  <si>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</si>
  <si>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</si>
  <si>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</si>
  <si>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</si>
  <si>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</si>
  <si>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</si>
  <si>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</si>
  <si>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</si>
  <si>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</si>
  <si>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</si>
  <si>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</si>
  <si>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</si>
  <si>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</si>
  <si>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</si>
  <si>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</si>
  <si>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</si>
  <si>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</si>
  <si>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</si>
  <si>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</si>
  <si>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</si>
  <si>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</si>
  <si>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</si>
  <si>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</si>
  <si>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</si>
  <si>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</si>
  <si>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</si>
  <si>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</si>
  <si>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</si>
  <si>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</si>
  <si>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</si>
  <si>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</si>
  <si>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</si>
  <si>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</si>
  <si>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</si>
  <si>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</si>
  <si>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</si>
  <si>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</si>
  <si>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</si>
  <si>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</si>
  <si>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</si>
  <si>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</si>
  <si>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</si>
  <si>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</si>
  <si>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</si>
  <si>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</si>
  <si>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</si>
  <si>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</si>
  <si>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</si>
  <si>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</si>
  <si>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</si>
  <si>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</si>
  <si>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</si>
  <si>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</si>
  <si>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</si>
  <si>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</si>
  <si>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</si>
  <si>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</si>
  <si>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</si>
  <si>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</si>
  <si>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</si>
  <si>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</si>
  <si>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</si>
  <si>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</si>
  <si>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</si>
  <si>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</si>
  <si>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</si>
  <si>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</si>
  <si>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</si>
  <si>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</si>
  <si>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</si>
  <si>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</si>
  <si>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</si>
  <si>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</si>
  <si>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</si>
  <si>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</si>
  <si>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</si>
  <si>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</si>
  <si>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</si>
  <si>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</si>
  <si>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</si>
  <si>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</si>
  <si>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</si>
  <si>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</si>
  <si>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</si>
  <si>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</si>
  <si>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</si>
  <si>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</si>
  <si>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</si>
  <si>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</si>
  <si>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</si>
  <si>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</si>
  <si>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</si>
  <si>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</si>
  <si>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</si>
  <si>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</si>
  <si>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</si>
  <si>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</si>
  <si>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</si>
  <si>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</si>
  <si>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</si>
  <si>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</si>
  <si>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</si>
  <si>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</si>
  <si>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</si>
  <si>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</si>
  <si>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</si>
  <si>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</si>
  <si>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</si>
  <si>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</si>
  <si>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</si>
  <si>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</si>
  <si>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</si>
  <si>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</si>
  <si>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</si>
  <si>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</si>
  <si>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</si>
  <si>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</si>
  <si>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</si>
  <si>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</si>
  <si>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</si>
  <si>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</si>
  <si>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</si>
  <si>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</si>
  <si>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</si>
  <si>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</si>
  <si>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</si>
  <si>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</si>
  <si>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</si>
  <si>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</si>
  <si>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</si>
  <si>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</si>
  <si>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</si>
  <si>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</si>
  <si>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</si>
  <si>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</si>
  <si>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</si>
  <si>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</si>
  <si>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</si>
  <si>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</si>
  <si>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</si>
  <si>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</si>
  <si>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</si>
  <si>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</si>
  <si>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</si>
  <si>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</si>
  <si>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</si>
  <si>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</si>
  <si>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</si>
  <si>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</si>
  <si>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</si>
  <si>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</si>
  <si>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</si>
  <si>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</si>
  <si>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</si>
  <si>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</si>
  <si>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</si>
  <si>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</si>
  <si>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</si>
  <si>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</si>
  <si>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</si>
  <si>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</si>
  <si>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</si>
  <si>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</si>
  <si>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</si>
  <si>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</si>
  <si>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</si>
  <si>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</si>
  <si>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</si>
  <si>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</si>
  <si>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</si>
  <si>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</si>
  <si>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</si>
  <si>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</si>
  <si>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</si>
  <si>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</si>
  <si>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</si>
  <si>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</si>
  <si>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</si>
  <si>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</si>
  <si>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</si>
  <si>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</si>
  <si>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</si>
  <si>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</si>
  <si>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</si>
  <si>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</si>
  <si>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</si>
  <si>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</si>
  <si>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</si>
  <si>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</si>
  <si>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</si>
  <si>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</si>
  <si>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</si>
  <si>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</si>
  <si>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</si>
  <si>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</si>
  <si>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</si>
  <si>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</si>
  <si>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</si>
  <si>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</si>
  <si>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</si>
  <si>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</si>
  <si>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</si>
  <si>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</si>
  <si>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</si>
  <si>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</si>
  <si>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</si>
  <si>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</si>
  <si>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</si>
  <si>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</si>
  <si>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</si>
  <si>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</si>
  <si>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</si>
  <si>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</si>
  <si>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</si>
  <si>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</si>
  <si>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</si>
  <si>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</si>
  <si>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</si>
  <si>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</si>
  <si>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</si>
  <si>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</si>
  <si>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</si>
  <si>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</si>
  <si>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</si>
  <si>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</si>
  <si>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</si>
  <si>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</si>
  <si>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</si>
  <si>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</si>
  <si>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</si>
  <si>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</si>
  <si>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</si>
  <si>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</si>
  <si>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</si>
  <si>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</si>
  <si>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</si>
  <si>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</si>
  <si>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</si>
  <si>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</si>
  <si>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</si>
  <si>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</si>
  <si>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</si>
  <si>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</si>
  <si>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</si>
  <si>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</si>
  <si>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</si>
  <si>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</si>
  <si>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</si>
  <si>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</si>
  <si>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</si>
  <si>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</si>
  <si>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</si>
  <si>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</si>
  <si>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</si>
  <si>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</si>
  <si>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</si>
  <si>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</si>
  <si>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</si>
  <si>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</si>
  <si>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</si>
  <si>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</si>
  <si>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</si>
  <si>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</si>
  <si>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</si>
  <si>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</si>
  <si>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</si>
  <si>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</si>
  <si>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</si>
  <si>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</si>
  <si>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</si>
  <si>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</si>
  <si>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</si>
  <si>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</si>
  <si>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</si>
  <si>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</si>
  <si>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</si>
  <si>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</si>
  <si>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</si>
  <si>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</si>
  <si>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</si>
  <si>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</si>
  <si>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</si>
  <si>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</si>
  <si>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</si>
  <si>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</si>
  <si>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</si>
  <si>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</si>
  <si>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</si>
  <si>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</si>
  <si>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</si>
  <si>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</si>
  <si>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</si>
  <si>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</si>
  <si>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</si>
  <si>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</si>
  <si>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</si>
  <si>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</si>
  <si>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</si>
  <si>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</si>
  <si>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</si>
  <si>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</si>
  <si>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</si>
  <si>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</si>
  <si>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</si>
  <si>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</si>
  <si>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</si>
  <si>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</si>
  <si>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</si>
  <si>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</si>
  <si>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</si>
  <si>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</si>
  <si>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</si>
  <si>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</si>
  <si>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</si>
  <si>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</si>
  <si>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</si>
  <si>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</si>
  <si>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</si>
  <si>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</si>
  <si>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</si>
  <si>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</si>
  <si>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</si>
  <si>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</si>
  <si>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</si>
  <si>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</si>
  <si>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</si>
  <si>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</si>
  <si>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</si>
  <si>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</si>
  <si>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</si>
  <si>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</si>
  <si>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</si>
  <si>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</si>
  <si>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</si>
  <si>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</si>
  <si>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</si>
  <si>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</si>
  <si>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</si>
  <si>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</si>
  <si>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</si>
  <si>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</si>
  <si>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</si>
  <si>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</si>
  <si>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</si>
  <si>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</si>
  <si>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</si>
  <si>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</si>
  <si>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</si>
  <si>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</si>
  <si>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</si>
  <si>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</si>
  <si>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</si>
  <si>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</si>
  <si>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</si>
  <si>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</si>
  <si>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</si>
  <si>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</si>
  <si>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</si>
  <si>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</si>
  <si>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</si>
  <si>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</si>
  <si>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</si>
  <si>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</si>
  <si>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</si>
  <si>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</si>
  <si>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</si>
  <si>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</si>
  <si>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</si>
  <si>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</si>
  <si>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</si>
  <si>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</si>
  <si>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</si>
  <si>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</si>
  <si>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</si>
  <si>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</si>
  <si>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</si>
  <si>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</si>
  <si>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</si>
  <si>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</si>
  <si>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</si>
  <si>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</si>
  <si>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</si>
  <si>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</si>
  <si>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</si>
  <si>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</si>
  <si>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</si>
  <si>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</si>
  <si>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</si>
  <si>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</si>
  <si>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</si>
  <si>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</si>
  <si>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</si>
  <si>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</si>
  <si>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</si>
  <si>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</si>
  <si>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</si>
  <si>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</si>
  <si>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</si>
  <si>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</si>
  <si>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</si>
  <si>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</si>
  <si>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</si>
  <si>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</si>
  <si>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</si>
  <si>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</si>
  <si>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</si>
  <si>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</si>
  <si>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</si>
  <si>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</si>
  <si>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</si>
  <si>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</si>
  <si>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</si>
  <si>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</si>
  <si>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</si>
  <si>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</si>
  <si>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</si>
  <si>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</si>
  <si>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</si>
  <si>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</si>
  <si>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</si>
  <si>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</si>
  <si>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</si>
  <si>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</si>
  <si>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</si>
  <si>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</si>
  <si>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</si>
  <si>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</si>
  <si>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</si>
  <si>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</si>
  <si>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</si>
  <si>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</si>
  <si>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</si>
  <si>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</si>
  <si>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</si>
  <si>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</si>
  <si>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</si>
  <si>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</si>
  <si>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</si>
  <si>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</si>
  <si>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</si>
  <si>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</si>
  <si>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</si>
  <si>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</si>
  <si>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</si>
  <si>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</si>
  <si>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</si>
  <si>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</si>
  <si>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</si>
  <si>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</si>
  <si>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</si>
  <si>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</si>
  <si>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</si>
  <si>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</si>
  <si>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</si>
  <si>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</si>
  <si>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</si>
  <si>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</si>
  <si>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</si>
  <si>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</si>
  <si>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</si>
  <si>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</si>
  <si>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</si>
  <si>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</si>
  <si>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</si>
  <si>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</si>
  <si>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</si>
  <si>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</si>
  <si>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</si>
  <si>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</si>
  <si>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</si>
  <si>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</si>
  <si>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</si>
  <si>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</si>
  <si>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</si>
  <si>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</si>
  <si>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</si>
  <si>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</si>
  <si>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</si>
  <si>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</si>
  <si>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</si>
  <si>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</si>
  <si>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</si>
  <si>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</si>
  <si>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</si>
  <si>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</si>
  <si>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</si>
  <si>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</si>
  <si>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</si>
  <si>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</si>
  <si>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</si>
  <si>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</si>
  <si>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</si>
  <si>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</si>
  <si>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</si>
  <si>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</si>
  <si>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</si>
  <si>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</si>
  <si>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</si>
  <si>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</si>
  <si>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</si>
  <si>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</si>
  <si>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</si>
  <si>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</si>
  <si>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</si>
  <si>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</si>
  <si>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</si>
  <si>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</si>
  <si>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</si>
  <si>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</si>
  <si>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</si>
  <si>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</si>
  <si>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</si>
  <si>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</si>
  <si>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</si>
  <si>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</si>
  <si>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</si>
  <si>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</si>
  <si>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</si>
  <si>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</si>
  <si>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</si>
  <si>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</si>
  <si>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</si>
  <si>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</si>
  <si>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</si>
  <si>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</si>
  <si>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</si>
  <si>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</si>
  <si>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</si>
  <si>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</si>
  <si>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</si>
  <si>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</si>
  <si>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</si>
  <si>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</si>
  <si>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</si>
  <si>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</si>
  <si>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</si>
  <si>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</si>
  <si>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</si>
  <si>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</si>
  <si>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</si>
  <si>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</si>
  <si>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</si>
  <si>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</si>
  <si>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</si>
  <si>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</si>
  <si>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</si>
  <si>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</si>
  <si>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</si>
  <si>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</si>
  <si>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</si>
  <si>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</si>
  <si>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</si>
  <si>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</si>
  <si>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</si>
  <si>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</si>
  <si>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</si>
  <si>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</si>
  <si>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</si>
  <si>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</si>
  <si>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</si>
  <si>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</si>
  <si>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</si>
  <si>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</si>
  <si>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</si>
  <si>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</si>
  <si>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</si>
  <si>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</si>
  <si>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</si>
  <si>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</si>
  <si>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</si>
  <si>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</si>
  <si>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</si>
  <si>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</si>
  <si>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</si>
  <si>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</si>
  <si>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</si>
  <si>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</si>
  <si>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</si>
  <si>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</si>
  <si>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</si>
  <si>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</si>
  <si>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</si>
  <si>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</si>
  <si>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</si>
  <si>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</si>
  <si>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</si>
  <si>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</si>
  <si>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</si>
  <si>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</si>
  <si>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</si>
  <si>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</si>
  <si>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</si>
  <si>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</si>
  <si>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</si>
  <si>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</si>
  <si>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</si>
  <si>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</si>
  <si>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</si>
  <si>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</si>
  <si>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</si>
  <si>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</si>
  <si>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</si>
  <si>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</si>
  <si>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</si>
  <si>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</si>
  <si>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</si>
  <si>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</si>
  <si>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</si>
  <si>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</si>
  <si>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</si>
  <si>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</si>
  <si>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</si>
  <si>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</si>
  <si>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</si>
  <si>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</si>
  <si>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</si>
  <si>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</si>
  <si>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</si>
  <si>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</si>
  <si>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</si>
  <si>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</si>
  <si>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</si>
  <si>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</si>
  <si>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</si>
  <si>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</si>
  <si>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</si>
  <si>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</si>
  <si>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</si>
  <si>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</si>
  <si>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</si>
  <si>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</si>
  <si>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</si>
  <si>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</si>
  <si>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</si>
  <si>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</si>
  <si>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</si>
  <si>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</si>
  <si>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</si>
  <si>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</si>
  <si>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</si>
  <si>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</si>
  <si>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</si>
  <si>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</si>
  <si>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</si>
  <si>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</si>
  <si>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</si>
  <si>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</si>
  <si>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</si>
  <si>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</si>
  <si>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</si>
  <si>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</si>
  <si>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</si>
  <si>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</si>
  <si>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</si>
  <si>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</si>
  <si>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</si>
  <si>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</si>
  <si>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</si>
  <si>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</si>
  <si>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</si>
  <si>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</si>
  <si>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</si>
  <si>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</si>
  <si>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</si>
  <si>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</si>
  <si>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</si>
  <si>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</si>
  <si>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</si>
  <si>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</si>
  <si>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</si>
  <si>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</si>
  <si>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</si>
  <si>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</si>
  <si>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</si>
  <si>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</si>
  <si>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</si>
  <si>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</si>
  <si>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</si>
  <si>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</si>
  <si>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</si>
  <si>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</si>
  <si>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</si>
  <si>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</si>
  <si>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</si>
  <si>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</si>
  <si>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</si>
  <si>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</si>
  <si>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</si>
  <si>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</si>
  <si>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</si>
  <si>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</si>
  <si>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</si>
  <si>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</si>
  <si>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</si>
  <si>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</si>
  <si>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</si>
  <si>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</si>
  <si>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</si>
  <si>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</si>
  <si>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</si>
  <si>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</si>
  <si>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</si>
  <si>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</si>
  <si>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</si>
  <si>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</si>
  <si>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</si>
  <si>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</si>
  <si>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</si>
  <si>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</si>
  <si>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</si>
  <si>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</si>
  <si>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</si>
  <si>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</si>
  <si>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</si>
  <si>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</si>
  <si>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</si>
  <si>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</si>
  <si>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</si>
  <si>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</si>
  <si>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</si>
  <si>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</si>
  <si>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</si>
  <si>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</si>
  <si>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</si>
  <si>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</si>
  <si>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</si>
  <si>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</si>
  <si>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</si>
  <si>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</si>
  <si>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</si>
  <si>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</si>
  <si>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</si>
  <si>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</si>
  <si>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</si>
  <si>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</si>
  <si>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</si>
  <si>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</si>
  <si>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</si>
  <si>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</si>
  <si>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</si>
  <si>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</si>
  <si>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</si>
  <si>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</si>
  <si>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</si>
  <si>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</si>
  <si>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</si>
  <si>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</si>
  <si>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</si>
  <si>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</si>
  <si>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</si>
  <si>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</si>
  <si>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</si>
  <si>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</si>
  <si>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</si>
  <si>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</si>
  <si>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</si>
  <si>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</si>
  <si>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</si>
  <si>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</si>
  <si>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</si>
  <si>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</si>
  <si>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</si>
  <si>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</si>
  <si>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</si>
  <si>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</si>
  <si>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</si>
  <si>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</si>
  <si>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</si>
  <si>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</si>
  <si>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</si>
  <si>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</si>
  <si>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</si>
  <si>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</si>
  <si>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</si>
  <si>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</si>
  <si>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</si>
  <si>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</si>
  <si>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</si>
  <si>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</si>
  <si>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</si>
  <si>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</si>
  <si>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</si>
  <si>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</si>
  <si>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</si>
  <si>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</si>
  <si>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</si>
  <si>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</si>
  <si>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</si>
  <si>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</si>
  <si>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</si>
  <si>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</si>
  <si>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</si>
  <si>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</si>
  <si>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</si>
  <si>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</si>
  <si>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</si>
  <si>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</si>
  <si>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</si>
  <si>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</si>
  <si>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</si>
  <si>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</si>
  <si>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</si>
  <si>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</si>
  <si>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</si>
  <si>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</si>
  <si>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</si>
  <si>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</si>
  <si>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</si>
  <si>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</si>
  <si>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</si>
  <si>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</si>
  <si>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</si>
  <si>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</si>
  <si>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</si>
  <si>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</si>
  <si>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</si>
  <si>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</si>
  <si>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</si>
  <si>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</si>
  <si>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</si>
  <si>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</si>
  <si>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</si>
  <si>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</si>
  <si>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</si>
  <si>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</si>
  <si>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</si>
  <si>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</si>
  <si>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</si>
  <si>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</si>
  <si>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</si>
  <si>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</si>
  <si>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</si>
  <si>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</si>
  <si>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</si>
  <si>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</si>
  <si>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</si>
  <si>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</si>
  <si>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</si>
  <si>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</si>
  <si>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</si>
  <si>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</si>
  <si>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</si>
  <si>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</si>
  <si>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</si>
  <si>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</si>
  <si>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</si>
  <si>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</si>
  <si>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</si>
  <si>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</si>
  <si>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</si>
  <si>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</si>
  <si>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</si>
  <si>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</si>
  <si>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</si>
  <si>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</si>
  <si>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</si>
  <si>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</si>
  <si>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</si>
  <si>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</si>
  <si>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</si>
  <si>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</si>
  <si>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</si>
  <si>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</si>
  <si>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</si>
  <si>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</si>
  <si>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</si>
  <si>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</si>
  <si>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</si>
  <si>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</si>
  <si>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</si>
  <si>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</si>
  <si>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</si>
  <si>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</si>
  <si>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</si>
  <si>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</si>
  <si>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</si>
  <si>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</si>
  <si>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</si>
  <si>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</si>
  <si>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</si>
  <si>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</si>
  <si>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</si>
  <si>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</si>
  <si>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</si>
  <si>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</si>
  <si>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</si>
  <si>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</si>
  <si>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</si>
  <si>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</si>
  <si>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</si>
  <si>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</si>
  <si>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</si>
  <si>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</si>
  <si>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</si>
  <si>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</si>
  <si>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</si>
  <si>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</si>
  <si>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</si>
  <si>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</si>
  <si>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</si>
  <si>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</si>
  <si>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</si>
  <si>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</si>
  <si>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</si>
  <si>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</si>
  <si>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</si>
  <si>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</si>
  <si>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</si>
  <si>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</si>
  <si>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</si>
  <si>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</si>
  <si>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</si>
  <si>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</si>
  <si>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</si>
  <si>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</si>
  <si>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</si>
  <si>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</si>
  <si>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</si>
  <si>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</si>
  <si>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</si>
  <si>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</si>
  <si>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</si>
  <si>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</si>
  <si>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</si>
  <si>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</si>
  <si>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</si>
  <si>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</si>
  <si>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</si>
  <si>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</si>
  <si>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</si>
  <si>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</si>
  <si>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</si>
  <si>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</si>
  <si>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</si>
  <si>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</si>
  <si>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</si>
  <si>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</si>
  <si>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</si>
  <si>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</si>
  <si>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</si>
  <si>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</si>
  <si>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</si>
  <si>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</si>
  <si>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</si>
  <si>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</si>
  <si>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</si>
  <si>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</si>
  <si>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</si>
  <si>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</si>
  <si>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</si>
  <si>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</si>
  <si>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</si>
  <si>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</si>
  <si>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</si>
  <si>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</si>
  <si>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</si>
  <si>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</si>
  <si>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</si>
  <si>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</si>
  <si>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</si>
  <si>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</si>
  <si>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</si>
  <si>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</si>
  <si>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</si>
  <si>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</si>
  <si>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</si>
  <si>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</si>
  <si>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</si>
  <si>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</si>
  <si>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</si>
  <si>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</si>
  <si>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</si>
  <si>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</si>
  <si>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</si>
  <si>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</si>
  <si>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</si>
  <si>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</si>
  <si>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</si>
  <si>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</si>
  <si>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</si>
  <si>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</si>
  <si>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</si>
  <si>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</si>
  <si>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</si>
  <si>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</si>
  <si>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</si>
  <si>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</si>
  <si>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</si>
  <si>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</si>
  <si>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</si>
  <si>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</si>
  <si>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</si>
  <si>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</si>
  <si>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</si>
  <si>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</si>
  <si>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</si>
  <si>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</si>
  <si>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</si>
  <si>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</si>
  <si>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</si>
  <si>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</si>
  <si>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</si>
  <si>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</si>
  <si>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</si>
  <si>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</si>
  <si>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</si>
  <si>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</si>
  <si>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</si>
  <si>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</si>
  <si>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</si>
  <si>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</si>
  <si>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</si>
  <si>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</si>
  <si>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</si>
  <si>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</si>
  <si>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</si>
  <si>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</si>
  <si>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</si>
  <si>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</si>
  <si>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</si>
  <si>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</si>
  <si>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</si>
  <si>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</si>
  <si>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</si>
  <si>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</si>
  <si>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</si>
  <si>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</si>
  <si>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</si>
  <si>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</si>
  <si>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</si>
  <si>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</si>
  <si>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</si>
  <si>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</si>
  <si>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</si>
  <si>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</si>
  <si>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</si>
  <si>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</si>
  <si>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</si>
  <si>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</si>
  <si>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</si>
  <si>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</si>
  <si>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</si>
  <si>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</si>
  <si>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</si>
  <si>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</si>
  <si>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</si>
  <si>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</si>
  <si>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</si>
  <si>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</si>
  <si>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</si>
  <si>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</si>
  <si>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</si>
  <si>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</si>
  <si>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</si>
  <si>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</si>
  <si>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</si>
  <si>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</si>
  <si>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</si>
  <si>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</si>
  <si>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</si>
  <si>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</si>
  <si>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</si>
  <si>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</si>
  <si>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</si>
  <si>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</si>
  <si>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</si>
  <si>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</si>
  <si>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</si>
  <si>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</si>
  <si>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</si>
  <si>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</si>
  <si>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</si>
  <si>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</si>
  <si>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</si>
  <si>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</si>
  <si>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</si>
  <si>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</si>
  <si>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</si>
  <si>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</si>
  <si>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</si>
  <si>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</si>
  <si>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</si>
  <si>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</si>
  <si>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</si>
  <si>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</si>
  <si>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</si>
  <si>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</si>
  <si>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</si>
  <si>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</si>
  <si>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</si>
  <si>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</si>
  <si>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</si>
  <si>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</si>
  <si>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</si>
  <si>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</si>
  <si>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</si>
  <si>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</si>
  <si>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</si>
  <si>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</si>
  <si>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</si>
  <si>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</si>
  <si>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</si>
  <si>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</si>
  <si>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</si>
  <si>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</si>
  <si>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</si>
  <si>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</si>
  <si>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</si>
  <si>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</si>
  <si>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</si>
  <si>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</si>
  <si>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</si>
  <si>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</si>
  <si>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</si>
  <si>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</si>
  <si>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</si>
  <si>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</si>
  <si>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</si>
  <si>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</si>
  <si>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</si>
  <si>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</si>
  <si>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</si>
  <si>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</si>
  <si>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</si>
  <si>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</si>
  <si>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</si>
  <si>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</si>
  <si>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</si>
  <si>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</si>
  <si>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</si>
  <si>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</si>
  <si>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</si>
  <si>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</si>
  <si>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</si>
  <si>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</si>
  <si>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</si>
  <si>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</si>
  <si>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</si>
  <si>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</si>
  <si>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</si>
  <si>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</si>
  <si>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</si>
  <si>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</si>
  <si>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</si>
  <si>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</si>
  <si>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</si>
  <si>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</si>
  <si>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</si>
  <si>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</si>
  <si>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</si>
  <si>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</si>
  <si>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</si>
  <si>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</si>
  <si>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</si>
  <si>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</si>
  <si>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</si>
  <si>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</si>
  <si>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</si>
  <si>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</si>
  <si>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</si>
  <si>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</si>
  <si>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</si>
  <si>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</si>
  <si>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</si>
  <si>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</si>
  <si>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</si>
  <si>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</si>
  <si>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</si>
  <si>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</si>
  <si>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</si>
  <si>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</si>
  <si>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</si>
  <si>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</si>
  <si>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</si>
  <si>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</si>
  <si>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</si>
  <si>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</si>
  <si>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</si>
  <si>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</si>
  <si>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</si>
  <si>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</si>
  <si>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</si>
  <si>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</si>
  <si>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</si>
  <si>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</si>
  <si>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</si>
  <si>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</si>
  <si>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</si>
  <si>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</si>
  <si>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</si>
  <si>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</si>
  <si>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</si>
  <si>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</si>
  <si>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</si>
  <si>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</si>
  <si>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</si>
  <si>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</si>
  <si>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</si>
  <si>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</si>
  <si>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</si>
  <si>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</si>
  <si>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</si>
  <si>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</si>
  <si>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</si>
  <si>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</si>
  <si>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</si>
  <si>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</si>
  <si>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</si>
  <si>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</si>
  <si>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</si>
  <si>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</si>
  <si>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</si>
  <si>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</si>
  <si>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</si>
  <si>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</si>
  <si>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</si>
  <si>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</si>
  <si>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</si>
  <si>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</si>
  <si>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</si>
  <si>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</si>
  <si>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</si>
  <si>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</si>
  <si>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</si>
  <si>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</si>
  <si>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</si>
  <si>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</si>
  <si>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</si>
  <si>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</si>
  <si>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</si>
  <si>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</si>
  <si>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</si>
  <si>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</si>
  <si>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</si>
  <si>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</si>
  <si>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</si>
  <si>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</si>
  <si>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</si>
  <si>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</si>
  <si>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</si>
  <si>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</si>
  <si>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</si>
  <si>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</si>
  <si>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</si>
  <si>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</si>
  <si>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</si>
  <si>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</si>
  <si>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</si>
  <si>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</si>
  <si>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</si>
  <si>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</si>
  <si>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</si>
  <si>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</si>
  <si>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</si>
  <si>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</si>
  <si>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</si>
  <si>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</si>
  <si>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</si>
  <si>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</si>
  <si>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</si>
  <si>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</si>
  <si>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</si>
  <si>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</si>
  <si>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</si>
  <si>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</si>
  <si>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</si>
  <si>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</si>
  <si>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</si>
  <si>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</si>
  <si>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</si>
  <si>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</si>
  <si>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</si>
  <si>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</si>
  <si>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</si>
  <si>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</si>
  <si>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</si>
  <si>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</si>
  <si>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</si>
  <si>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</si>
  <si>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</si>
  <si>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</si>
  <si>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</si>
  <si>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</si>
  <si>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</si>
  <si>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</si>
  <si>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</si>
  <si>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</si>
  <si>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</si>
  <si>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</si>
  <si>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</si>
  <si>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</si>
  <si>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</si>
  <si>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</si>
  <si>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</si>
  <si>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</si>
  <si>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</si>
  <si>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</si>
  <si>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</si>
  <si>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</si>
  <si>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</si>
  <si>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</si>
  <si>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</si>
  <si>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</si>
  <si>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</si>
  <si>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</si>
  <si>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</si>
  <si>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</si>
  <si>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</si>
  <si>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</si>
  <si>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</si>
  <si>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</si>
  <si>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</si>
  <si>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</si>
  <si>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</si>
  <si>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</si>
  <si>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</si>
  <si>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</si>
  <si>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</si>
  <si>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</si>
  <si>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</si>
  <si>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</si>
  <si>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</si>
  <si>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</si>
  <si>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</si>
  <si>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</si>
  <si>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</si>
  <si>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</si>
  <si>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</si>
  <si>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</si>
  <si>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</si>
  <si>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</si>
  <si>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</si>
  <si>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</si>
  <si>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</si>
  <si>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</si>
  <si>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</si>
  <si>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</si>
  <si>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</si>
  <si>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</si>
  <si>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</si>
  <si>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</si>
  <si>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</si>
  <si>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</si>
  <si>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</si>
  <si>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</si>
  <si>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</si>
  <si>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</si>
  <si>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</si>
  <si>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</si>
  <si>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</si>
  <si>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</si>
  <si>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</si>
  <si>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</si>
  <si>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</si>
  <si>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</si>
  <si>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</si>
  <si>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</si>
  <si>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</si>
  <si>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</si>
  <si>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</si>
  <si>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</si>
  <si>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</si>
  <si>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</si>
  <si>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</si>
  <si>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</si>
  <si>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</si>
  <si>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</si>
  <si>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</si>
  <si>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</si>
  <si>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</si>
  <si>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</si>
  <si>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</si>
  <si>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</si>
  <si>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</si>
  <si>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</si>
  <si>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</si>
  <si>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</si>
  <si>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</si>
  <si>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</si>
  <si>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</si>
  <si>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</si>
  <si>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</si>
  <si>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</si>
  <si>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</si>
  <si>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</si>
  <si>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</si>
  <si>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</si>
  <si>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</si>
  <si>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</si>
  <si>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</si>
  <si>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</si>
  <si>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</si>
  <si>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</si>
  <si>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</si>
  <si>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</si>
  <si>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</si>
  <si>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</si>
  <si>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</si>
  <si>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</si>
  <si>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</si>
  <si>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</si>
  <si>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</si>
  <si>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</si>
  <si>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</si>
  <si>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</si>
  <si>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</si>
  <si>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</si>
  <si>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</si>
  <si>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</si>
  <si>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</si>
  <si>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</si>
  <si>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</si>
  <si>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</si>
  <si>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</si>
  <si>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</si>
  <si>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</si>
  <si>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</si>
  <si>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</si>
  <si>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</si>
  <si>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</si>
  <si>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</si>
  <si>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</si>
  <si>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</si>
  <si>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</si>
  <si>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</si>
  <si>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</si>
  <si>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</si>
  <si>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</si>
  <si>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</si>
  <si>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</si>
  <si>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</si>
  <si>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</si>
  <si>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</si>
  <si>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</si>
  <si>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</si>
  <si>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</si>
  <si>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</si>
  <si>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</si>
  <si>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</si>
  <si>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</si>
  <si>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</si>
  <si>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</si>
  <si>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</si>
  <si>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</si>
  <si>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</si>
  <si>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</si>
  <si>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</si>
  <si>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</si>
  <si>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</si>
  <si>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</si>
  <si>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</si>
  <si>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</si>
  <si>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</si>
  <si>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</si>
  <si>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</si>
  <si>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</si>
  <si>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</si>
  <si>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</si>
  <si>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</si>
  <si>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</si>
  <si>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</si>
  <si>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</si>
  <si>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</si>
  <si>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</si>
  <si>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</si>
  <si>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</si>
  <si>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</si>
  <si>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</si>
  <si>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</si>
  <si>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</si>
  <si>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</si>
  <si>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</si>
  <si>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</si>
  <si>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</si>
  <si>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</si>
  <si>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</si>
  <si>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</si>
  <si>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</si>
  <si>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</si>
  <si>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</si>
  <si>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</si>
  <si>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</si>
  <si>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</si>
  <si>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</si>
  <si>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</si>
  <si>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</si>
  <si>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</si>
  <si>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</si>
  <si>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</si>
  <si>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</si>
  <si>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</si>
  <si>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</si>
  <si>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</si>
  <si>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</si>
  <si>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</si>
  <si>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</si>
  <si>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</si>
  <si>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</si>
  <si>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</si>
  <si>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</si>
  <si>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</si>
  <si>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</si>
  <si>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</si>
  <si>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</si>
  <si>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</si>
  <si>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</si>
  <si>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</si>
  <si>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</si>
  <si>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</si>
  <si>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</si>
  <si>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</si>
  <si>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</si>
  <si>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</si>
  <si>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</si>
  <si>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</si>
  <si>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</si>
  <si>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</si>
  <si>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</si>
  <si>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</si>
  <si>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</si>
  <si>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</si>
  <si>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</si>
  <si>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</si>
  <si>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</si>
  <si>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</si>
  <si>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</si>
  <si>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</si>
  <si>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</si>
  <si>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</si>
  <si>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</si>
  <si>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</si>
  <si>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</si>
  <si>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</si>
  <si>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</si>
  <si>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</si>
  <si>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</si>
  <si>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</si>
  <si>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</si>
  <si>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</si>
  <si>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</si>
  <si>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</si>
  <si>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</si>
  <si>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</si>
  <si>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</si>
  <si>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</si>
  <si>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</si>
  <si>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</si>
  <si>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</si>
  <si>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</si>
  <si>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</si>
  <si>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</si>
  <si>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</si>
  <si>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</si>
  <si>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</si>
  <si>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</si>
  <si>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</si>
  <si>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</si>
  <si>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</si>
  <si>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</si>
  <si>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</si>
  <si>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</si>
  <si>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</si>
  <si>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</si>
  <si>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</si>
  <si>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</si>
  <si>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</si>
  <si>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</si>
  <si>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</si>
  <si>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</si>
  <si>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</si>
  <si>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</si>
  <si>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</si>
  <si>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</si>
  <si>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</si>
  <si>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</si>
  <si>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</si>
  <si>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</si>
  <si>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</si>
  <si>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</si>
  <si>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</si>
  <si>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</si>
  <si>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</si>
  <si>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</si>
  <si>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</si>
  <si>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</si>
  <si>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</si>
  <si>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</si>
  <si>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</si>
  <si>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</si>
  <si>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</si>
  <si>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</si>
  <si>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</si>
  <si>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</si>
  <si>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</si>
  <si>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</si>
  <si>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</si>
  <si>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</si>
  <si>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</si>
  <si>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</si>
  <si>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</si>
  <si>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</si>
  <si>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</si>
  <si>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</si>
  <si>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</si>
  <si>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</si>
  <si>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</si>
  <si>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</si>
  <si>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</si>
  <si>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</si>
  <si>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</si>
  <si>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</si>
  <si>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</si>
  <si>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</si>
  <si>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</si>
  <si>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</si>
  <si>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</si>
  <si>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</si>
  <si>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</si>
  <si>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</si>
  <si>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</si>
  <si>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</si>
  <si>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</si>
  <si>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</si>
  <si>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</si>
  <si>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</si>
  <si>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</si>
  <si>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</si>
  <si>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</si>
  <si>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</si>
  <si>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</si>
  <si>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</si>
  <si>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</si>
  <si>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</si>
  <si>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</si>
  <si>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</si>
  <si>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</si>
  <si>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</si>
  <si>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</si>
  <si>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</si>
  <si>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</si>
  <si>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</si>
  <si>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</si>
  <si>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</si>
  <si>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</si>
  <si>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</si>
  <si>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</si>
  <si>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</si>
  <si>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</si>
  <si>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</si>
  <si>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</si>
  <si>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</si>
  <si>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</si>
  <si>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</si>
  <si>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</si>
  <si>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</si>
  <si>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</si>
  <si>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</si>
  <si>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</si>
  <si>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</si>
  <si>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</si>
  <si>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</si>
  <si>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</si>
  <si>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</si>
  <si>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</si>
  <si>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</si>
  <si>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</si>
  <si>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</si>
  <si>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</si>
  <si>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</si>
  <si>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</si>
  <si>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</si>
  <si>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</si>
  <si>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</si>
  <si>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</si>
  <si>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</si>
  <si>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</si>
  <si>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</si>
  <si>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</si>
  <si>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</si>
  <si>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</si>
  <si>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</si>
  <si>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</si>
  <si>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</si>
  <si>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</si>
  <si>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</si>
  <si>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</si>
  <si>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</si>
  <si>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</si>
  <si>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</si>
  <si>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</si>
  <si>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</si>
  <si>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</si>
  <si>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</si>
  <si>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</si>
  <si>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</si>
  <si>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</si>
  <si>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</si>
  <si>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</si>
  <si>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</si>
  <si>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</si>
  <si>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</si>
  <si>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</si>
  <si>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</si>
  <si>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</si>
  <si>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</si>
  <si>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</si>
  <si>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</si>
  <si>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</si>
  <si>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</si>
  <si>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</si>
  <si>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</si>
  <si>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</si>
  <si>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</si>
  <si>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</si>
  <si>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</si>
  <si>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</si>
  <si>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</si>
  <si>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</si>
  <si>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</si>
  <si>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</si>
  <si>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</si>
  <si>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</si>
  <si>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</si>
  <si>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</si>
  <si>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</si>
  <si>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</si>
  <si>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</si>
  <si>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</si>
  <si>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</si>
  <si>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</si>
  <si>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</si>
  <si>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</si>
  <si>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</si>
  <si>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</si>
  <si>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</si>
  <si>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</si>
  <si>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</si>
  <si>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</si>
  <si>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</si>
  <si>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</si>
  <si>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</si>
  <si>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</si>
  <si>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</si>
  <si>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</si>
  <si>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</si>
  <si>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</si>
  <si>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</si>
  <si>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</si>
  <si>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</si>
  <si>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</si>
  <si>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</si>
  <si>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</si>
  <si>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</si>
  <si>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</si>
  <si>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</si>
  <si>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</si>
  <si>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</si>
  <si>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</si>
  <si>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</si>
  <si>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</si>
  <si>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</si>
  <si>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</si>
  <si>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</si>
  <si>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</si>
  <si>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</si>
  <si>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</si>
  <si>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</si>
  <si>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</si>
  <si>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</si>
  <si>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</si>
  <si>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</si>
  <si>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</si>
  <si>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</si>
  <si>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</si>
  <si>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</si>
  <si>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</si>
  <si>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</si>
  <si>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</si>
  <si>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</si>
  <si>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</si>
  <si>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</si>
  <si>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</si>
  <si>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</si>
  <si>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</si>
  <si>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</si>
  <si>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</si>
  <si>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</si>
  <si>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</si>
  <si>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</si>
  <si>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</si>
  <si>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</si>
  <si>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</si>
  <si>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</si>
  <si>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</si>
  <si>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</si>
  <si>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</si>
  <si>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</si>
  <si>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</si>
  <si>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</si>
  <si>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</si>
  <si>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</si>
  <si>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</si>
  <si>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</si>
  <si>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</si>
  <si>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</si>
  <si>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</si>
  <si>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</si>
  <si>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</si>
  <si>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</si>
  <si>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</si>
  <si>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</si>
  <si>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</si>
  <si>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</si>
  <si>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</si>
  <si>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</si>
  <si>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</si>
  <si>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</si>
  <si>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</si>
  <si>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</si>
  <si>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</si>
  <si>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</si>
  <si>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</si>
  <si>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</si>
  <si>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</si>
  <si>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</si>
  <si>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</si>
  <si>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</si>
  <si>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</si>
  <si>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</si>
  <si>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</si>
  <si>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</si>
  <si>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</si>
  <si>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</si>
  <si>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</si>
  <si>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</si>
  <si>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</si>
  <si>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</si>
  <si>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</si>
  <si>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</si>
  <si>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</si>
  <si>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</si>
  <si>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</si>
  <si>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</si>
  <si>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</si>
  <si>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</si>
  <si>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</si>
  <si>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</si>
  <si>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</si>
  <si>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</si>
  <si>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</si>
  <si>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</si>
  <si>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</si>
  <si>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</si>
  <si>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</si>
  <si>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</si>
  <si>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</si>
  <si>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</si>
  <si>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</si>
  <si>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</si>
  <si>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</si>
  <si>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</si>
  <si>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</si>
  <si>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</si>
  <si>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</si>
  <si>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</si>
  <si>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</si>
  <si>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</si>
  <si>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</si>
  <si>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</si>
  <si>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</si>
  <si>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</si>
  <si>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</si>
  <si>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</si>
  <si>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</si>
  <si>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</si>
  <si>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</si>
  <si>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</si>
  <si>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</si>
  <si>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</si>
  <si>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</si>
  <si>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</si>
  <si>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</si>
  <si>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</si>
  <si>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</si>
  <si>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</si>
  <si>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</si>
  <si>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</si>
  <si>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</si>
  <si>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</si>
  <si>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</si>
  <si>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</si>
  <si>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</si>
  <si>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</si>
  <si>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</si>
  <si>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</si>
  <si>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</si>
  <si>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</si>
  <si>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</si>
  <si>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</si>
  <si>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</si>
  <si>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</si>
  <si>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</si>
  <si>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</si>
  <si>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</si>
  <si>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</si>
  <si>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</si>
  <si>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</si>
  <si>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</si>
  <si>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</si>
  <si>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</si>
  <si>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</si>
  <si>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</si>
  <si>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</si>
  <si>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</si>
  <si>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</si>
  <si>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</si>
  <si>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</si>
  <si>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</si>
  <si>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</si>
  <si>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</si>
  <si>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</si>
  <si>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</si>
  <si>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</si>
  <si>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</si>
  <si>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</si>
  <si>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</si>
  <si>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</si>
  <si>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</si>
  <si>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</si>
  <si>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</si>
  <si>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</si>
  <si>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</si>
  <si>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</si>
  <si>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</si>
  <si>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</si>
  <si>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</si>
  <si>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</si>
  <si>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</si>
  <si>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</si>
  <si>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</si>
  <si>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</si>
  <si>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</si>
  <si>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</si>
  <si>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</si>
  <si>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</si>
  <si>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</si>
  <si>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</si>
  <si>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</si>
  <si>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</si>
  <si>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</si>
  <si>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</si>
  <si>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</si>
  <si>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</si>
  <si>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</si>
  <si>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</si>
  <si>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</si>
  <si>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</si>
  <si>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</si>
  <si>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</si>
  <si>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</si>
  <si>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</si>
  <si>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</si>
  <si>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</si>
  <si>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</si>
  <si>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</si>
  <si>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</si>
  <si>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</si>
  <si>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</si>
  <si>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</si>
  <si>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</si>
  <si>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</si>
  <si>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</si>
  <si>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</si>
  <si>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</si>
  <si>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</si>
  <si>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</si>
  <si>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</si>
  <si>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</si>
  <si>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</si>
  <si>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</si>
  <si>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</si>
  <si>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</si>
  <si>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</si>
  <si>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</si>
  <si>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</si>
  <si>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</si>
  <si>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</si>
  <si>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</si>
  <si>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</si>
  <si>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</si>
  <si>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</si>
  <si>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</si>
  <si>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</si>
  <si>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</si>
  <si>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</si>
  <si>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</si>
  <si>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</si>
  <si>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</si>
  <si>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</si>
  <si>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</si>
  <si>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</si>
  <si>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</si>
  <si>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</si>
  <si>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</si>
  <si>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</si>
  <si>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</si>
  <si>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</si>
  <si>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</si>
  <si>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</si>
  <si>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</si>
  <si>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</si>
  <si>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</si>
  <si>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</si>
  <si>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</si>
  <si>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</si>
  <si>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</si>
  <si>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</si>
  <si>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</si>
  <si>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</si>
  <si>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</si>
  <si>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</si>
  <si>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</si>
  <si>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</si>
  <si>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</si>
  <si>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</si>
  <si>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</si>
  <si>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</si>
  <si>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</si>
  <si>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</si>
  <si>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</si>
  <si>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</si>
  <si>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</si>
  <si>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</si>
  <si>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</si>
  <si>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</si>
  <si>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</si>
  <si>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</si>
  <si>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</si>
  <si>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</si>
  <si>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</si>
  <si>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</si>
  <si>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</si>
  <si>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</si>
  <si>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</si>
  <si>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</si>
  <si>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</si>
  <si>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</si>
  <si>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</si>
  <si>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</si>
  <si>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</si>
  <si>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</si>
  <si>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</si>
  <si>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</si>
  <si>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</si>
  <si>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</si>
  <si>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</si>
  <si>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</si>
  <si>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</si>
  <si>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</si>
  <si>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</si>
  <si>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</si>
  <si>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</si>
  <si>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</si>
  <si>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</si>
  <si>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</si>
  <si>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</si>
  <si>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</si>
  <si>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</si>
  <si>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</si>
  <si>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</si>
  <si>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</si>
  <si>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</si>
  <si>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</si>
  <si>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</si>
  <si>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</si>
  <si>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</si>
  <si>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</si>
  <si>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</si>
  <si>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</si>
  <si>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</si>
  <si>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</si>
  <si>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</si>
  <si>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</si>
  <si>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</si>
  <si>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</si>
  <si>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</si>
  <si>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</si>
  <si>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</si>
  <si>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</si>
  <si>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</si>
  <si>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</si>
  <si>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</si>
  <si>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</si>
  <si>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</si>
  <si>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</si>
  <si>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</si>
  <si>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</si>
  <si>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</si>
  <si>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</si>
  <si>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</si>
  <si>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</si>
  <si>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</si>
  <si>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</si>
  <si>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</si>
  <si>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</si>
  <si>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</si>
  <si>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</si>
  <si>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</si>
  <si>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</si>
  <si>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</si>
  <si>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</si>
  <si>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</si>
  <si>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</si>
  <si>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</si>
  <si>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</si>
  <si>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</si>
  <si>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</si>
  <si>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</si>
  <si>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</si>
  <si>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</si>
  <si>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</si>
  <si>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</si>
  <si>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</si>
  <si>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</si>
  <si>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</si>
  <si>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</si>
  <si>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</si>
  <si>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</si>
  <si>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</si>
  <si>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</si>
  <si>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</si>
  <si>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</si>
  <si>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</si>
  <si>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</si>
  <si>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</si>
  <si>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</si>
  <si>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</si>
  <si>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</si>
  <si>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</si>
  <si>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</si>
  <si>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</si>
  <si>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</si>
  <si>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</si>
  <si>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</si>
  <si>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</si>
  <si>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</si>
  <si>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</si>
  <si>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</si>
  <si>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</si>
  <si>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</si>
  <si>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</si>
  <si>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</si>
  <si>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</si>
  <si>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</si>
  <si>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</si>
  <si>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</si>
  <si>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</si>
  <si>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</si>
  <si>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</si>
  <si>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</si>
  <si>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</si>
  <si>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</si>
  <si>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</si>
  <si>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</si>
  <si>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</si>
  <si>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</si>
  <si>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</si>
  <si>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</si>
  <si>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</si>
  <si>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</si>
  <si>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</si>
  <si>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</si>
  <si>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</si>
  <si>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</si>
  <si>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</si>
  <si>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</si>
  <si>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</si>
  <si>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</si>
  <si>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</si>
  <si>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</si>
  <si>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</si>
  <si>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</si>
  <si>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</si>
  <si>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</si>
  <si>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</si>
  <si>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</si>
  <si>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</si>
  <si>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</si>
  <si>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</si>
  <si>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</si>
  <si>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</si>
  <si>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</si>
  <si>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</si>
  <si>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</si>
  <si>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</si>
  <si>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</si>
  <si>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</si>
  <si>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</si>
  <si>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</si>
  <si>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</si>
  <si>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</si>
  <si>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</si>
  <si>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</si>
  <si>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</si>
  <si>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</si>
  <si>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</si>
  <si>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</si>
  <si>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</si>
  <si>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</si>
  <si>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</si>
  <si>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</si>
  <si>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</si>
  <si>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</si>
  <si>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</si>
  <si>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</si>
  <si>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</si>
  <si>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</si>
  <si>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</si>
  <si>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</si>
  <si>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</si>
  <si>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</si>
  <si>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</si>
  <si>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</si>
  <si>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</si>
  <si>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</si>
  <si>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</si>
  <si>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</si>
  <si>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</si>
  <si>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</si>
  <si>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</si>
  <si>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</si>
  <si>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</si>
  <si>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</si>
  <si>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</si>
  <si>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</si>
  <si>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</si>
  <si>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</si>
  <si>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</si>
  <si>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</si>
  <si>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</si>
  <si>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</si>
  <si>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</si>
  <si>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</si>
  <si>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</si>
  <si>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</si>
  <si>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</si>
  <si>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</si>
  <si>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</si>
  <si>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</si>
  <si>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</si>
  <si>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</si>
  <si>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</si>
  <si>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</si>
  <si>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</si>
  <si>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</si>
  <si>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</si>
  <si>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</si>
  <si>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</si>
  <si>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</si>
  <si>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</si>
  <si>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</si>
  <si>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</si>
  <si>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</si>
  <si>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</si>
  <si>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</si>
  <si>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</si>
  <si>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</si>
  <si>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</si>
  <si>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</si>
  <si>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</si>
  <si>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</si>
  <si>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</si>
  <si>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</si>
  <si>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</si>
  <si>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</si>
  <si>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</si>
  <si>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</si>
  <si>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</si>
  <si>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</si>
  <si>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</si>
  <si>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</si>
  <si>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</si>
  <si>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</si>
  <si>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</si>
  <si>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</si>
  <si>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</si>
  <si>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</si>
  <si>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</si>
  <si>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</si>
  <si>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</si>
  <si>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</si>
  <si>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</si>
  <si>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</si>
  <si>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</si>
  <si>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</si>
  <si>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</si>
  <si>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</si>
  <si>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</si>
  <si>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</si>
  <si>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</si>
  <si>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</si>
  <si>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</si>
  <si>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</si>
  <si>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</si>
  <si>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</si>
  <si>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</si>
  <si>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</si>
  <si>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</si>
  <si>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</si>
  <si>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</si>
  <si>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</si>
  <si>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</si>
  <si>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</si>
  <si>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</si>
  <si>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</si>
  <si>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</si>
  <si>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</si>
  <si>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</si>
  <si>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</si>
  <si>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</si>
  <si>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</si>
  <si>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</si>
  <si>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</si>
  <si>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</si>
  <si>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</si>
  <si>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</si>
  <si>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</si>
  <si>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</si>
  <si>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</si>
  <si>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</si>
  <si>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</si>
  <si>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</si>
  <si>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</si>
  <si>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</si>
  <si>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</si>
  <si>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</si>
  <si>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</si>
  <si>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</si>
  <si>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</si>
  <si>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</si>
  <si>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</si>
  <si>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</si>
  <si>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</si>
  <si>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</si>
  <si>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</si>
  <si>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</si>
  <si>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</si>
  <si>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</si>
  <si>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</si>
  <si>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</si>
  <si>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</si>
  <si>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</si>
  <si>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</si>
  <si>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</si>
  <si>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</si>
  <si>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</si>
  <si>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</si>
  <si>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</si>
  <si>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</si>
  <si>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</si>
  <si>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</si>
  <si>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</si>
  <si>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</si>
  <si>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</si>
  <si>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</si>
  <si>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</si>
  <si>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</si>
  <si>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</si>
  <si>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</si>
  <si>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</si>
  <si>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</si>
  <si>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</si>
  <si>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</si>
  <si>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</si>
  <si>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</si>
  <si>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</si>
  <si>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</si>
  <si>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</si>
  <si>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</si>
  <si>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</si>
  <si>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</si>
  <si>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</si>
  <si>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</si>
  <si>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</si>
  <si>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</si>
  <si>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</si>
  <si>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</si>
  <si>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</si>
  <si>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</si>
  <si>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</si>
  <si>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</si>
  <si>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</si>
  <si>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</si>
  <si>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</si>
  <si>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</si>
  <si>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</si>
  <si>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</si>
  <si>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</si>
  <si>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</si>
  <si>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</si>
  <si>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</si>
  <si>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</si>
  <si>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</si>
  <si>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</si>
  <si>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</si>
  <si>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</si>
  <si>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</si>
  <si>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</si>
  <si>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</si>
  <si>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</si>
  <si>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</si>
  <si>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</si>
  <si>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</si>
  <si>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</si>
  <si>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</si>
  <si>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</si>
  <si>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</si>
  <si>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</si>
  <si>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</si>
  <si>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</si>
  <si>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</si>
  <si>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</si>
  <si>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</si>
  <si>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</si>
  <si>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</si>
  <si>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</si>
  <si>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</si>
  <si>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</si>
  <si>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</si>
  <si>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</si>
  <si>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</si>
  <si>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</si>
  <si>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</si>
  <si>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</si>
  <si>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</si>
  <si>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</si>
  <si>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</si>
  <si>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</si>
  <si>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</si>
  <si>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</si>
  <si>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</si>
  <si>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</si>
  <si>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</si>
  <si>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</si>
  <si>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</si>
  <si>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</si>
  <si>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</si>
  <si>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</si>
  <si>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</si>
  <si>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</si>
  <si>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</si>
  <si>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</si>
  <si>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</si>
  <si>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</si>
  <si>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</si>
  <si>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</si>
  <si>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</si>
  <si>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</si>
  <si>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</si>
  <si>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</si>
  <si>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</si>
  <si>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</si>
  <si>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</si>
  <si>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</si>
  <si>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</si>
  <si>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</si>
  <si>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</si>
  <si>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</si>
  <si>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</si>
  <si>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</si>
  <si>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</si>
  <si>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</si>
  <si>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</si>
  <si>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</si>
  <si>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</si>
  <si>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</si>
  <si>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</si>
  <si>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</si>
  <si>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</si>
  <si>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</si>
  <si>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</si>
  <si>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</si>
  <si>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</si>
  <si>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</si>
  <si>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</si>
  <si>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</si>
  <si>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</si>
  <si>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</si>
  <si>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</si>
  <si>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</si>
  <si>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</si>
  <si>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</si>
  <si>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</si>
  <si>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</si>
  <si>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</si>
  <si>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</si>
  <si>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</si>
  <si>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</si>
  <si>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</si>
  <si>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</si>
  <si>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</si>
  <si>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</si>
  <si>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</si>
  <si>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</si>
  <si>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</si>
  <si>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</si>
  <si>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</si>
  <si>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</si>
  <si>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</si>
  <si>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</si>
  <si>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</si>
  <si>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</si>
  <si>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</si>
  <si>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</si>
  <si>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</si>
  <si>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</si>
  <si>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</si>
  <si>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</si>
  <si>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</si>
  <si>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</si>
  <si>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</si>
  <si>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</si>
  <si>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</si>
  <si>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</si>
  <si>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</si>
  <si>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</si>
  <si>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</si>
  <si>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</si>
  <si>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</si>
  <si>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</si>
  <si>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</si>
  <si>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</si>
  <si>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</si>
  <si>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</si>
  <si>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</si>
  <si>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</si>
  <si>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</si>
  <si>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</si>
  <si>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</si>
  <si>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</si>
  <si>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</si>
  <si>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</si>
  <si>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</si>
  <si>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</si>
  <si>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</si>
  <si>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</si>
  <si>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</si>
  <si>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</si>
  <si>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</si>
  <si>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</si>
  <si>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</si>
  <si>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</si>
  <si>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</si>
  <si>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</si>
  <si>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</si>
  <si>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</si>
  <si>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</si>
  <si>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</si>
  <si>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</si>
  <si>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</si>
  <si>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</si>
  <si>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</si>
  <si>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</si>
  <si>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</si>
  <si>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</si>
  <si>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</si>
  <si>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</si>
  <si>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</si>
  <si>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</si>
  <si>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</si>
  <si>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</si>
  <si>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</si>
  <si>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</si>
  <si>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</si>
  <si>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</si>
  <si>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</si>
  <si>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</si>
  <si>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</si>
  <si>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</si>
  <si>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</si>
  <si>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</si>
  <si>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</si>
  <si>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</si>
  <si>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</si>
  <si>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</si>
  <si>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</si>
  <si>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</si>
  <si>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</si>
  <si>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</si>
  <si>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</si>
  <si>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</si>
  <si>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</si>
  <si>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</si>
  <si>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</si>
  <si>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</si>
  <si>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</si>
  <si>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</si>
  <si>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</si>
  <si>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</si>
  <si>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</si>
  <si>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</si>
  <si>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</si>
  <si>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</si>
  <si>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</si>
  <si>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</si>
  <si>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</si>
  <si>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</si>
  <si>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</si>
  <si>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</si>
  <si>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</si>
  <si>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</si>
  <si>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</si>
  <si>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</si>
  <si>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</si>
  <si>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</si>
  <si>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</si>
  <si>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</si>
  <si>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</si>
  <si>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</si>
  <si>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</si>
  <si>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</si>
  <si>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</si>
  <si>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</si>
  <si>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</si>
  <si>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</si>
  <si>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</si>
  <si>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</si>
  <si>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</si>
  <si>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</si>
  <si>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</si>
  <si>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</si>
  <si>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</si>
  <si>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</si>
  <si>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</si>
  <si>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</si>
  <si>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</si>
  <si>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</si>
  <si>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</si>
  <si>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</si>
  <si>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</si>
  <si>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</si>
  <si>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</si>
  <si>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</si>
  <si>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</si>
  <si>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</si>
  <si>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</si>
  <si>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</si>
  <si>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</si>
  <si>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</si>
  <si>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</si>
  <si>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</si>
  <si>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</si>
  <si>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</si>
  <si>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</si>
  <si>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</si>
  <si>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</si>
  <si>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</si>
  <si>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</si>
  <si>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</si>
  <si>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</si>
  <si>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</si>
  <si>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</si>
  <si>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</si>
  <si>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</si>
  <si>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</si>
  <si>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</si>
  <si>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</si>
  <si>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</si>
  <si>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</si>
  <si>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</si>
  <si>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</si>
  <si>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</si>
  <si>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</si>
  <si>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</si>
  <si>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</si>
  <si>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</si>
  <si>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</si>
  <si>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</si>
  <si>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</si>
  <si>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</si>
  <si>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</si>
  <si>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</si>
  <si>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</si>
  <si>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</si>
  <si>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</si>
  <si>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</si>
  <si>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</si>
  <si>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</si>
  <si>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</si>
  <si>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</si>
  <si>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</si>
  <si>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</si>
  <si>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</si>
  <si>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</si>
  <si>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</si>
  <si>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</si>
  <si>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</si>
  <si>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</si>
  <si>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</si>
  <si>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</si>
  <si>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</si>
  <si>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</si>
  <si>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</si>
  <si>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</si>
  <si>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</si>
  <si>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</si>
  <si>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</si>
  <si>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</si>
  <si>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</si>
  <si>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</si>
  <si>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</si>
  <si>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</si>
  <si>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</si>
  <si>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</si>
  <si>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</si>
  <si>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</si>
  <si>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</si>
  <si>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</si>
  <si>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</si>
  <si>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</si>
  <si>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</si>
  <si>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</si>
  <si>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</si>
  <si>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</si>
  <si>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</si>
  <si>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</si>
  <si>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</si>
  <si>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</si>
  <si>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</si>
  <si>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</si>
  <si>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</si>
  <si>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</si>
  <si>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</si>
  <si>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</si>
  <si>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</si>
  <si>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</si>
  <si>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</si>
  <si>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</si>
  <si>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</si>
  <si>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</si>
  <si>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</si>
  <si>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</si>
  <si>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</si>
  <si>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</si>
  <si>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</si>
  <si>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</si>
  <si>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</si>
  <si>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</si>
  <si>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</si>
  <si>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</si>
  <si>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</si>
  <si>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</si>
  <si>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</si>
  <si>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</si>
  <si>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</si>
  <si>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</si>
  <si>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</si>
  <si>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</si>
  <si>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</si>
  <si>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</si>
  <si>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</si>
  <si>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</si>
  <si>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</si>
  <si>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</si>
  <si>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</si>
  <si>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</si>
  <si>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</si>
  <si>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</si>
  <si>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</si>
  <si>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</si>
  <si>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</si>
  <si>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</si>
  <si>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</si>
  <si>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</si>
  <si>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</si>
  <si>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</si>
  <si>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</si>
  <si>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</si>
  <si>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</si>
  <si>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</si>
  <si>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</si>
  <si>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</si>
  <si>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</si>
  <si>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</si>
  <si>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</si>
  <si>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</si>
  <si>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</si>
  <si>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</si>
  <si>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</si>
  <si>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</si>
  <si>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</si>
  <si>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</si>
  <si>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</si>
  <si>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</si>
  <si>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</si>
  <si>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</si>
  <si>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</si>
  <si>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</si>
  <si>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</si>
  <si>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</si>
  <si>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</si>
  <si>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</si>
  <si>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</si>
  <si>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</si>
  <si>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</si>
  <si>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</si>
  <si>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</si>
  <si>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</si>
  <si>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</si>
  <si>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</si>
  <si>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</si>
  <si>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</si>
  <si>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</si>
  <si>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</si>
  <si>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</si>
  <si>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</si>
  <si>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</si>
  <si>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</si>
  <si>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</si>
  <si>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</si>
  <si>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</si>
  <si>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</si>
  <si>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</si>
  <si>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</si>
  <si>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</si>
  <si>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</si>
  <si>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</si>
  <si>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</si>
  <si>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</si>
  <si>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</si>
  <si>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</si>
  <si>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</si>
  <si>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</si>
  <si>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</si>
  <si>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</si>
  <si>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</si>
  <si>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</si>
  <si>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</si>
  <si>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</si>
  <si>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</si>
  <si>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</si>
  <si>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</si>
  <si>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</si>
  <si>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</si>
  <si>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</si>
  <si>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</si>
  <si>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</si>
  <si>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</si>
  <si>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</si>
  <si>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</si>
  <si>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</si>
  <si>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</si>
  <si>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</si>
  <si>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</si>
  <si>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</si>
  <si>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</si>
  <si>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</si>
  <si>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</si>
  <si>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</si>
  <si>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</si>
  <si>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</si>
  <si>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</si>
  <si>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</si>
  <si>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</si>
  <si>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</si>
  <si>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</si>
  <si>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</si>
  <si>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</si>
  <si>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</si>
  <si>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</si>
  <si>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</si>
  <si>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</si>
  <si>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</si>
  <si>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</si>
  <si>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</si>
  <si>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</si>
  <si>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</si>
  <si>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</si>
  <si>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</si>
  <si>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</si>
  <si>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</si>
  <si>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</si>
  <si>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</si>
  <si>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</si>
  <si>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</si>
  <si>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</si>
  <si>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</si>
  <si>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</si>
  <si>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</si>
  <si>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</si>
  <si>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</si>
  <si>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</si>
  <si>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</si>
  <si>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</si>
  <si>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</si>
  <si>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</si>
  <si>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</si>
  <si>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</si>
  <si>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</si>
  <si>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</si>
  <si>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</si>
  <si>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</si>
  <si>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</si>
  <si>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</si>
  <si>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</si>
  <si>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</si>
  <si>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</si>
  <si>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</si>
  <si>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</si>
  <si>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</si>
  <si>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</si>
  <si>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</si>
  <si>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</si>
  <si>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</si>
  <si>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</si>
  <si>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</si>
  <si>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</si>
  <si>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</si>
  <si>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</si>
  <si>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</si>
  <si>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</si>
  <si>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</si>
  <si>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</si>
  <si>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</si>
  <si>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</si>
  <si>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</si>
  <si>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</si>
  <si>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</si>
  <si>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</si>
  <si>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</si>
  <si>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</si>
  <si>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</si>
  <si>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</si>
  <si>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</si>
  <si>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</si>
  <si>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</si>
  <si>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</si>
  <si>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</si>
  <si>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</si>
  <si>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</si>
  <si>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</si>
  <si>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</si>
  <si>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</si>
  <si>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</si>
  <si>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</si>
  <si>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</si>
  <si>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</si>
  <si>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</si>
  <si>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</si>
  <si>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</si>
  <si>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</si>
  <si>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</si>
  <si>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</si>
  <si>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</si>
  <si>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</si>
  <si>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</si>
  <si>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</si>
  <si>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</si>
  <si>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</si>
  <si>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</si>
  <si>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</si>
  <si>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</si>
  <si>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</si>
  <si>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</si>
  <si>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</si>
  <si>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</si>
  <si>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</si>
  <si>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</si>
  <si>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</si>
  <si>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</si>
  <si>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</si>
  <si>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</si>
  <si>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</si>
  <si>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</si>
  <si>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</si>
  <si>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</si>
  <si>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</si>
  <si>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</si>
  <si>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</si>
  <si>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</si>
  <si>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</si>
  <si>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</si>
  <si>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</si>
  <si>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</si>
  <si>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</si>
  <si>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</si>
  <si>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</si>
  <si>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</si>
  <si>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</si>
  <si>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</si>
  <si>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</si>
  <si>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</si>
  <si>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</si>
  <si>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</si>
  <si>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</si>
  <si>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</si>
  <si>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</si>
  <si>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</si>
  <si>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</si>
  <si>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</si>
  <si>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</si>
  <si>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</si>
  <si>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</si>
  <si>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</si>
  <si>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</si>
  <si>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</si>
  <si>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</si>
  <si>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</si>
  <si>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</si>
  <si>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</si>
  <si>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</si>
  <si>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</si>
  <si>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</si>
  <si>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</si>
  <si>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</si>
  <si>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</si>
  <si>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</si>
  <si>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</si>
  <si>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</si>
  <si>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</si>
  <si>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</si>
  <si>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</si>
  <si>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</si>
  <si>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</si>
  <si>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</si>
  <si>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</si>
  <si>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</si>
  <si>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</si>
  <si>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</si>
  <si>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</si>
  <si>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</si>
  <si>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</si>
  <si>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</si>
  <si>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</si>
  <si>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</si>
  <si>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</si>
  <si>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</si>
  <si>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</si>
  <si>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</si>
  <si>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</si>
  <si>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</si>
  <si>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</si>
  <si>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</si>
  <si>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</si>
  <si>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</si>
  <si>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</si>
  <si>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</si>
  <si>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</si>
  <si>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</si>
  <si>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</si>
  <si>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</si>
  <si>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</si>
  <si>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</si>
  <si>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</si>
  <si>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</si>
  <si>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</si>
  <si>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</si>
  <si>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</si>
  <si>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</si>
  <si>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</si>
  <si>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</si>
  <si>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</si>
  <si>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</si>
  <si>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</si>
  <si>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</si>
  <si>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</si>
  <si>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</si>
  <si>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</si>
  <si>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</si>
  <si>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</si>
  <si>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</si>
  <si>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</si>
  <si>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</si>
  <si>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</si>
  <si>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</si>
  <si>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</si>
  <si>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</si>
  <si>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</si>
  <si>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</si>
  <si>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</si>
  <si>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</si>
  <si>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</si>
  <si>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</si>
  <si>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</si>
  <si>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</si>
  <si>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</si>
  <si>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</si>
  <si>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</si>
  <si>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</si>
  <si>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</si>
  <si>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</si>
  <si>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</si>
  <si>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</si>
  <si>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</si>
  <si>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</si>
  <si>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</si>
  <si>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</si>
  <si>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</si>
  <si>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</si>
  <si>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</si>
  <si>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</si>
  <si>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</si>
  <si>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</si>
  <si>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</si>
  <si>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</si>
  <si>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</si>
  <si>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</si>
  <si>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</si>
  <si>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</si>
  <si>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</si>
  <si>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</si>
  <si>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</si>
  <si>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</si>
  <si>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</si>
  <si>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</si>
  <si>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</si>
  <si>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</si>
  <si>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</si>
  <si>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</si>
  <si>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</si>
  <si>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</si>
  <si>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</si>
  <si>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</si>
  <si>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</si>
  <si>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</si>
  <si>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</si>
  <si>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</si>
  <si>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</si>
  <si>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</si>
  <si>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</si>
  <si>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</si>
  <si>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</si>
  <si>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</si>
  <si>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</si>
  <si>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</si>
  <si>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</si>
  <si>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</si>
  <si>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</si>
  <si>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</si>
  <si>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</si>
  <si>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</si>
  <si>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</si>
  <si>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</si>
  <si>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</si>
  <si>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</si>
  <si>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</si>
  <si>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</si>
  <si>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</si>
  <si>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</si>
  <si>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</si>
  <si>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</si>
  <si>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</si>
  <si>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</si>
  <si>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</si>
  <si>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</si>
  <si>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</si>
  <si>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</si>
  <si>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</si>
  <si>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</si>
  <si>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</si>
  <si>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</si>
  <si>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</si>
  <si>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</si>
  <si>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</si>
  <si>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</si>
  <si>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</si>
  <si>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</si>
  <si>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</si>
  <si>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</si>
  <si>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</si>
  <si>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</si>
  <si>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</si>
  <si>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</si>
  <si>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</si>
  <si>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</si>
  <si>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</si>
  <si>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</si>
  <si>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</si>
  <si>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</si>
  <si>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</si>
  <si>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</si>
  <si>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</si>
  <si>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</si>
  <si>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</si>
  <si>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</si>
  <si>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</si>
  <si>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</si>
  <si>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</si>
  <si>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</si>
  <si>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</si>
  <si>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</si>
  <si>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</si>
  <si>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</si>
  <si>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</si>
  <si>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</si>
  <si>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</si>
  <si>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</si>
  <si>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</si>
  <si>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</si>
  <si>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</si>
  <si>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</si>
  <si>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</si>
  <si>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</si>
  <si>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</si>
  <si>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</si>
  <si>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</si>
  <si>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</si>
  <si>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</si>
  <si>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</si>
  <si>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</si>
  <si>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</si>
  <si>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</si>
  <si>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</si>
  <si>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</si>
  <si>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</si>
  <si>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</si>
  <si>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</si>
  <si>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</si>
  <si>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</si>
  <si>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</si>
  <si>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</si>
  <si>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</si>
  <si>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</si>
  <si>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</si>
  <si>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</si>
  <si>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</si>
  <si>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</si>
  <si>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</si>
  <si>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</si>
  <si>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</si>
  <si>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</si>
  <si>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</si>
  <si>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</si>
  <si>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</si>
  <si>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</si>
  <si>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</si>
  <si>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</si>
  <si>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</si>
  <si>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</si>
  <si>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</si>
  <si>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</si>
  <si>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</si>
  <si>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</si>
  <si>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</si>
  <si>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</si>
  <si>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</si>
  <si>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</si>
  <si>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</si>
  <si>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</si>
  <si>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</si>
  <si>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</si>
  <si>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</si>
  <si>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</si>
  <si>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</si>
  <si>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</si>
  <si>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</si>
  <si>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</si>
  <si>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</si>
  <si>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</si>
  <si>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</si>
  <si>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</si>
  <si>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</si>
  <si>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</si>
  <si>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</si>
  <si>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</si>
  <si>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</si>
  <si>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</si>
  <si>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</si>
  <si>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</si>
  <si>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</si>
  <si>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</si>
  <si>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</si>
  <si>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</si>
  <si>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</si>
  <si>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</si>
  <si>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</si>
  <si>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</si>
  <si>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</si>
  <si>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</si>
  <si>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</si>
  <si>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</si>
  <si>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</si>
  <si>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</si>
  <si>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</si>
  <si>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</si>
  <si>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</si>
  <si>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</si>
  <si>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</si>
  <si>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</si>
  <si>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</si>
  <si>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</si>
  <si>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</si>
  <si>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</si>
  <si>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</si>
  <si>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</si>
  <si>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</si>
  <si>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</si>
  <si>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</si>
  <si>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</si>
  <si>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</si>
  <si>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</si>
  <si>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</si>
  <si>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</si>
  <si>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</si>
  <si>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</si>
  <si>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</si>
  <si>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</si>
  <si>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</si>
  <si>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</si>
  <si>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</si>
  <si>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</si>
  <si>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</si>
  <si>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</si>
  <si>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</si>
  <si>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</si>
  <si>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</si>
  <si>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</si>
  <si>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</si>
  <si>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</si>
  <si>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</si>
  <si>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</si>
  <si>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</si>
  <si>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</si>
  <si>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</si>
  <si>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</si>
  <si>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</si>
  <si>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</si>
  <si>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</si>
  <si>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</si>
  <si>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</si>
  <si>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</si>
  <si>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</si>
  <si>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</si>
  <si>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</si>
  <si>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</si>
  <si>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</si>
  <si>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</si>
  <si>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</si>
  <si>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</si>
  <si>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</si>
  <si>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</si>
  <si>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</si>
  <si>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</si>
  <si>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</si>
  <si>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</si>
  <si>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</si>
  <si>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</si>
  <si>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</si>
  <si>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</si>
  <si>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</si>
  <si>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</si>
  <si>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</si>
  <si>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</si>
  <si>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</si>
  <si>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</si>
  <si>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</si>
  <si>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</si>
  <si>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</si>
  <si>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</si>
  <si>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</si>
  <si>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</si>
  <si>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</si>
  <si>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</si>
  <si>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</si>
  <si>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</si>
  <si>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</si>
  <si>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</si>
  <si>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</si>
  <si>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</si>
  <si>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</si>
  <si>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</si>
  <si>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</si>
  <si>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</si>
  <si>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</si>
  <si>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</si>
  <si>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</si>
  <si>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</si>
  <si>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</si>
  <si>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</si>
  <si>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</si>
  <si>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</si>
  <si>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</si>
  <si>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</si>
  <si>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</si>
  <si>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</si>
  <si>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</si>
  <si>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</si>
  <si>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</si>
  <si>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</si>
  <si>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</si>
  <si>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</si>
  <si>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</si>
  <si>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</si>
  <si>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</si>
  <si>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</si>
  <si>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</si>
  <si>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</si>
  <si>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</si>
  <si>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</si>
  <si>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</si>
  <si>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</si>
  <si>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</si>
  <si>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</si>
  <si>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</si>
  <si>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</si>
  <si>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</si>
  <si>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</si>
  <si>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</si>
  <si>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</si>
  <si>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</si>
  <si>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</si>
  <si>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</si>
  <si>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</si>
  <si>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</si>
  <si>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</si>
  <si>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</si>
  <si>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</si>
  <si>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</si>
  <si>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</si>
  <si>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</si>
  <si>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</si>
  <si>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</si>
  <si>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</si>
  <si>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</si>
  <si>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</si>
  <si>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</si>
  <si>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</si>
  <si>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</si>
  <si>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</si>
  <si>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</si>
  <si>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</si>
  <si>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</si>
  <si>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</si>
  <si>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</si>
  <si>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</si>
  <si>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</si>
  <si>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</si>
  <si>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</si>
  <si>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</si>
  <si>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</si>
  <si>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</si>
  <si>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</si>
  <si>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</si>
  <si>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</si>
  <si>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</si>
  <si>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</si>
  <si>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</si>
  <si>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</si>
  <si>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</si>
  <si>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</si>
  <si>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</si>
  <si>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</si>
  <si>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</si>
  <si>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</si>
  <si>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</si>
  <si>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</si>
  <si>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</si>
  <si>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</si>
  <si>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</si>
  <si>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</si>
  <si>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</si>
  <si>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</si>
  <si>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</si>
  <si>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</si>
  <si>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</si>
  <si>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</si>
  <si>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</si>
  <si>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</si>
  <si>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</si>
  <si>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</si>
  <si>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</si>
  <si>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</si>
  <si>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</si>
  <si>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</si>
  <si>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</si>
  <si>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</si>
  <si>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</si>
  <si>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</si>
  <si>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</si>
  <si>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</si>
  <si>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</si>
  <si>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</si>
  <si>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</si>
  <si>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</si>
  <si>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</si>
  <si>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</si>
  <si>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</si>
  <si>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</si>
  <si>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</si>
  <si>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</si>
  <si>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</si>
  <si>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</si>
  <si>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</si>
  <si>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</si>
  <si>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</si>
  <si>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</si>
  <si>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</si>
  <si>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</si>
  <si>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</si>
  <si>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</si>
  <si>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</si>
  <si>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</si>
  <si>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</si>
  <si>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</si>
  <si>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</si>
  <si>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</si>
  <si>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</si>
  <si>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</si>
  <si>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</si>
  <si>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</si>
  <si>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</si>
  <si>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</si>
  <si>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</si>
  <si>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</si>
  <si>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</si>
  <si>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</si>
  <si>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</si>
  <si>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</si>
  <si>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</si>
  <si>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</si>
  <si>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</si>
  <si>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</si>
  <si>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</si>
  <si>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</si>
  <si>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</si>
  <si>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</si>
  <si>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</si>
  <si>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</si>
  <si>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</si>
  <si>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</si>
  <si>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</si>
  <si>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</si>
  <si>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</si>
  <si>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</si>
  <si>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</si>
  <si>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</si>
  <si>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</si>
  <si>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</si>
  <si>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</si>
  <si>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</si>
  <si>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</si>
  <si>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</si>
  <si>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</si>
  <si>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</si>
  <si>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</si>
  <si>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</si>
  <si>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</si>
  <si>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</si>
  <si>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</si>
  <si>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</si>
  <si>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</si>
  <si>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</si>
  <si>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</si>
  <si>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</si>
  <si>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</si>
  <si>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</si>
  <si>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</si>
  <si>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</si>
  <si>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</si>
  <si>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</si>
  <si>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</si>
  <si>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</si>
  <si>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</si>
  <si>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</si>
  <si>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</si>
  <si>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</si>
  <si>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</si>
  <si>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</si>
  <si>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</si>
  <si>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</si>
  <si>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</si>
  <si>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</si>
  <si>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</si>
  <si>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</si>
  <si>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</si>
  <si>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</si>
  <si>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</si>
  <si>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</si>
  <si>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</si>
  <si>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</si>
  <si>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</si>
  <si>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</si>
  <si>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</si>
  <si>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</si>
  <si>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</si>
  <si>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</si>
  <si>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</si>
  <si>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</si>
  <si>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</si>
  <si>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</si>
  <si>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</si>
  <si>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</si>
  <si>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</si>
  <si>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</si>
  <si>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</si>
  <si>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</si>
  <si>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</si>
  <si>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</si>
  <si>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</si>
  <si>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</si>
  <si>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</si>
  <si>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</si>
  <si>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</si>
  <si>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</si>
  <si>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</si>
  <si>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</si>
  <si>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</si>
  <si>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</si>
  <si>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</si>
  <si>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</si>
  <si>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</si>
  <si>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</si>
  <si>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</si>
  <si>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</si>
  <si>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</si>
  <si>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</si>
  <si>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</si>
  <si>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</si>
  <si>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</si>
  <si>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</si>
  <si>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</si>
  <si>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</si>
  <si>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</si>
  <si>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</si>
  <si>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</si>
  <si>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</si>
  <si>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</si>
  <si>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</si>
  <si>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</si>
  <si>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</si>
  <si>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</si>
  <si>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</si>
  <si>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</si>
  <si>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</si>
  <si>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</si>
  <si>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</si>
  <si>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</si>
  <si>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</si>
  <si>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</si>
  <si>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</si>
  <si>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</si>
  <si>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</si>
  <si>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</si>
  <si>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</si>
  <si>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</si>
  <si>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</si>
  <si>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</si>
  <si>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</si>
  <si>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</si>
  <si>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</si>
  <si>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</si>
  <si>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</si>
  <si>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</si>
  <si>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</si>
  <si>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</si>
  <si>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</si>
  <si>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</si>
  <si>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</si>
  <si>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</si>
  <si>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</si>
  <si>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</si>
  <si>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</si>
  <si>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</si>
  <si>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</si>
  <si>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</si>
  <si>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</si>
  <si>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</si>
  <si>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</si>
  <si>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</si>
  <si>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</si>
  <si>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</si>
  <si>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</si>
  <si>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</si>
  <si>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</si>
  <si>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</si>
  <si>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</si>
  <si>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</si>
  <si>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</si>
  <si>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</si>
  <si>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</si>
  <si>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</si>
  <si>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</si>
  <si>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</si>
  <si>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</si>
  <si>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</si>
  <si>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</si>
  <si>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</si>
  <si>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</si>
  <si>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</si>
  <si>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</si>
  <si>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</si>
  <si>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</si>
  <si>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</si>
  <si>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</si>
  <si>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</si>
  <si>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</si>
  <si>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</si>
  <si>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</si>
  <si>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</si>
  <si>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</si>
  <si>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</si>
  <si>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</si>
  <si>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</si>
  <si>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</si>
  <si>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</si>
  <si>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</si>
  <si>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</si>
  <si>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</si>
  <si>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</si>
  <si>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</si>
  <si>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</si>
  <si>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</si>
  <si>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</si>
  <si>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</si>
  <si>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</si>
  <si>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</si>
  <si>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</si>
  <si>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</si>
  <si>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</si>
  <si>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</si>
  <si>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</si>
  <si>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</si>
  <si>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</si>
  <si>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</si>
  <si>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</si>
  <si>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</si>
  <si>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</si>
  <si>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</si>
  <si>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</si>
  <si>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</si>
  <si>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</si>
  <si>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</si>
  <si>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</si>
  <si>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</si>
  <si>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</si>
  <si>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</si>
  <si>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</si>
  <si>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</si>
  <si>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</si>
  <si>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</si>
  <si>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</si>
  <si>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</si>
  <si>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</si>
  <si>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</si>
  <si>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</si>
  <si>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</si>
  <si>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</si>
  <si>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</si>
  <si>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</si>
  <si>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</si>
  <si>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</si>
  <si>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</si>
  <si>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</si>
  <si>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</si>
  <si>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</si>
  <si>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</si>
  <si>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</si>
  <si>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</si>
  <si>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</si>
  <si>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</si>
  <si>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</si>
  <si>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</si>
  <si>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</si>
  <si>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</si>
  <si>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</si>
  <si>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</si>
  <si>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</si>
  <si>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</si>
  <si>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</si>
  <si>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</si>
  <si>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</si>
  <si>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</si>
  <si>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</si>
  <si>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</si>
  <si>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</si>
  <si>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</si>
  <si>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</si>
  <si>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</si>
  <si>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</si>
  <si>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</si>
  <si>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</si>
  <si>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</si>
  <si>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</si>
  <si>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</si>
  <si>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</si>
  <si>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</si>
  <si>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</si>
  <si>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</si>
  <si>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</si>
  <si>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</si>
  <si>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</si>
  <si>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</si>
  <si>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</si>
  <si>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</si>
  <si>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</si>
  <si>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</si>
  <si>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</si>
  <si>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</si>
  <si>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</si>
  <si>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</si>
  <si>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</si>
  <si>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</si>
  <si>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</si>
  <si>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</si>
  <si>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</si>
  <si>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</si>
  <si>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</si>
  <si>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</si>
  <si>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</si>
  <si>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</si>
  <si>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</si>
  <si>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</si>
  <si>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</si>
  <si>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</si>
  <si>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</si>
  <si>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</si>
  <si>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</si>
  <si>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</si>
  <si>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</si>
  <si>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</si>
  <si>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</si>
  <si>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</si>
  <si>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</si>
  <si>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</si>
  <si>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</si>
  <si>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</si>
  <si>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</si>
  <si>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</si>
  <si>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</si>
  <si>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</si>
  <si>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</si>
  <si>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</si>
  <si>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</si>
  <si>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</si>
  <si>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</si>
  <si>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</si>
  <si>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</si>
  <si>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</si>
  <si>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</si>
  <si>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</si>
  <si>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</si>
  <si>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</si>
  <si>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</si>
  <si>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</si>
  <si>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</si>
  <si>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</si>
  <si>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</si>
  <si>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</si>
  <si>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</si>
  <si>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</si>
  <si>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</si>
  <si>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</si>
  <si>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</si>
  <si>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</si>
  <si>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</si>
  <si>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</si>
  <si>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</si>
  <si>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</si>
  <si>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</si>
  <si>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</si>
  <si>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</si>
  <si>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</si>
  <si>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</si>
  <si>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</si>
  <si>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</si>
  <si>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</si>
  <si>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</si>
  <si>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</si>
  <si>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</si>
  <si>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</si>
  <si>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</si>
  <si>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</si>
  <si>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</si>
  <si>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</si>
  <si>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</si>
  <si>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</si>
  <si>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</si>
  <si>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</si>
  <si>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</si>
  <si>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</si>
  <si>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</si>
  <si>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</si>
  <si>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</si>
  <si>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</si>
  <si>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</si>
  <si>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</si>
  <si>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</si>
  <si>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</si>
  <si>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</si>
  <si>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</si>
  <si>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</si>
  <si>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</si>
  <si>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</si>
  <si>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</si>
  <si>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</si>
  <si>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</si>
  <si>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</si>
  <si>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</si>
  <si>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</si>
  <si>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</si>
  <si>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</si>
  <si>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</si>
  <si>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</si>
  <si>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</si>
  <si>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</si>
  <si>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</si>
  <si>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</si>
  <si>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</si>
  <si>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</si>
  <si>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</si>
  <si>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</si>
  <si>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</si>
  <si>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</si>
  <si>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</si>
  <si>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</si>
  <si>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</si>
  <si>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</si>
  <si>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</si>
  <si>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</si>
  <si>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</si>
  <si>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</si>
  <si>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</si>
  <si>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</si>
  <si>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</si>
  <si>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</si>
  <si>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</si>
  <si>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</si>
  <si>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</si>
  <si>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</si>
  <si>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</si>
  <si>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</si>
  <si>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</si>
  <si>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</si>
  <si>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</si>
  <si>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</si>
  <si>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</si>
  <si>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</si>
  <si>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</si>
  <si>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</si>
  <si>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</si>
  <si>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</si>
  <si>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</si>
  <si>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</si>
  <si>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</si>
  <si>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</si>
  <si>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</si>
  <si>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</si>
  <si>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</si>
  <si>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</si>
  <si>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</si>
  <si>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</si>
  <si>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</si>
  <si>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</si>
  <si>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</si>
  <si>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</si>
  <si>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</si>
  <si>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</si>
  <si>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</si>
  <si>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</si>
  <si>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</si>
  <si>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</si>
  <si>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</si>
  <si>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</si>
  <si>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</si>
  <si>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</si>
  <si>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</si>
  <si>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</si>
  <si>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</si>
  <si>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</si>
  <si>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</si>
  <si>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</si>
  <si>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</si>
  <si>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</si>
  <si>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</si>
  <si>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</si>
  <si>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</si>
  <si>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</si>
  <si>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</si>
  <si>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</si>
  <si>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</si>
  <si>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</si>
  <si>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</si>
  <si>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</si>
  <si>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</si>
  <si>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</si>
  <si>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</si>
  <si>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</si>
  <si>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</si>
  <si>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</si>
  <si>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</si>
  <si>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</si>
  <si>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</si>
  <si>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</si>
  <si>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</si>
  <si>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</si>
  <si>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</si>
  <si>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</si>
  <si>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</si>
  <si>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</si>
  <si>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</si>
  <si>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</si>
  <si>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</si>
  <si>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</si>
  <si>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</si>
  <si>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</si>
  <si>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</si>
  <si>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</si>
  <si>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</si>
  <si>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</si>
  <si>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</si>
  <si>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</si>
  <si>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</si>
  <si>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</si>
  <si>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</si>
  <si>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</si>
  <si>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</si>
  <si>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</si>
  <si>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</si>
  <si>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</si>
  <si>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</si>
  <si>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</si>
  <si>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</si>
  <si>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</si>
  <si>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</si>
  <si>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</si>
  <si>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</si>
  <si>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</si>
  <si>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</si>
  <si>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</si>
  <si>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</si>
  <si>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</si>
  <si>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</si>
  <si>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</si>
  <si>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</si>
  <si>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</si>
  <si>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</si>
  <si>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</si>
  <si>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</si>
  <si>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</si>
  <si>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</si>
  <si>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</si>
  <si>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</si>
  <si>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</si>
  <si>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</si>
  <si>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</si>
  <si>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</si>
  <si>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</si>
  <si>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</si>
  <si>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</si>
  <si>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</si>
  <si>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</si>
  <si>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</si>
  <si>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</si>
  <si>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</si>
  <si>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</si>
  <si>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</si>
  <si>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</si>
  <si>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</si>
  <si>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</si>
  <si>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</si>
  <si>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</si>
  <si>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</si>
  <si>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</si>
  <si>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</si>
  <si>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</si>
  <si>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</si>
  <si>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</si>
  <si>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</si>
  <si>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</si>
  <si>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</si>
  <si>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</si>
  <si>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</si>
  <si>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</si>
  <si>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</si>
  <si>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</si>
  <si>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</si>
  <si>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</si>
  <si>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</si>
  <si>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</si>
  <si>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</si>
  <si>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</si>
  <si>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</si>
  <si>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</si>
  <si>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</si>
  <si>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</si>
  <si>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</si>
  <si>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</si>
  <si>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</si>
  <si>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</si>
  <si>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</si>
  <si>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</si>
  <si>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</si>
  <si>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</si>
  <si>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</si>
  <si>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</si>
  <si>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</si>
  <si>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</si>
  <si>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</si>
  <si>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</si>
  <si>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</si>
  <si>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</si>
  <si>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</si>
  <si>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</si>
  <si>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</si>
  <si>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</si>
  <si>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</si>
  <si>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</si>
  <si>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</si>
  <si>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</si>
  <si>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</si>
  <si>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</si>
  <si>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</si>
  <si>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</si>
  <si>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</si>
  <si>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</si>
  <si>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</si>
  <si>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</si>
  <si>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</si>
  <si>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</si>
  <si>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</si>
  <si>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</si>
  <si>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</si>
  <si>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</si>
  <si>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</si>
  <si>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</si>
  <si>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</si>
  <si>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</si>
  <si>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</si>
  <si>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</si>
  <si>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</si>
  <si>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</si>
  <si>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</si>
  <si>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</si>
  <si>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</si>
  <si>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</si>
  <si>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</si>
  <si>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</si>
  <si>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</si>
  <si>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</si>
  <si>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</si>
  <si>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</si>
  <si>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</si>
  <si>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</si>
  <si>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</si>
  <si>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</si>
  <si>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</si>
  <si>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</si>
  <si>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</si>
  <si>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</si>
  <si>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</si>
  <si>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</si>
  <si>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</si>
  <si>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</si>
  <si>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</si>
  <si>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</si>
  <si>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</si>
  <si>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</si>
  <si>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</si>
  <si>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</si>
  <si>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</si>
  <si>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</si>
  <si>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</si>
  <si>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</si>
  <si>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</si>
  <si>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</si>
  <si>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</si>
  <si>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</si>
  <si>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</si>
  <si>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</si>
  <si>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</si>
  <si>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</si>
  <si>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</si>
  <si>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</si>
  <si>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</si>
  <si>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</si>
  <si>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</si>
  <si>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</si>
  <si>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</si>
  <si>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</si>
  <si>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</si>
  <si>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</si>
  <si>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</si>
  <si>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</si>
  <si>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</si>
  <si>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</si>
  <si>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</si>
  <si>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</si>
  <si>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</si>
  <si>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</si>
  <si>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</si>
  <si>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</si>
  <si>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</si>
  <si>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</si>
  <si>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</si>
  <si>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</si>
  <si>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</si>
  <si>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</si>
  <si>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</si>
  <si>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</si>
  <si>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</si>
  <si>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</si>
  <si>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</si>
  <si>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</si>
  <si>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</si>
  <si>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</si>
  <si>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</si>
  <si>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</si>
  <si>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</si>
  <si>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</si>
  <si>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</si>
  <si>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</si>
  <si>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</si>
  <si>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</si>
  <si>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</si>
  <si>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</si>
  <si>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</si>
  <si>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</si>
  <si>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</si>
  <si>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</si>
  <si>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</si>
  <si>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</si>
  <si>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</si>
  <si>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</si>
  <si>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</si>
  <si>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</si>
  <si>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</si>
  <si>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</si>
  <si>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</si>
  <si>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</si>
  <si>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</si>
  <si>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</si>
  <si>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</si>
  <si>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</si>
  <si>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</si>
  <si>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</si>
  <si>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</si>
  <si>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</si>
  <si>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</si>
  <si>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</si>
  <si>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</si>
  <si>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</si>
  <si>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</si>
  <si>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</si>
  <si>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</si>
  <si>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</si>
  <si>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</si>
  <si>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</si>
  <si>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</si>
  <si>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</si>
  <si>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</si>
  <si>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</si>
  <si>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</si>
  <si>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</si>
  <si>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</si>
  <si>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</si>
  <si>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</si>
  <si>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</si>
  <si>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</si>
  <si>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</si>
  <si>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</si>
  <si>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</si>
  <si>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</si>
  <si>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</si>
  <si>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</si>
  <si>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</si>
  <si>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</si>
  <si>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</si>
  <si>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</si>
  <si>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</si>
  <si>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</si>
  <si>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</si>
  <si>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</si>
  <si>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</si>
  <si>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</si>
  <si>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</si>
  <si>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</si>
  <si>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</si>
  <si>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</si>
  <si>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</si>
  <si>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</si>
  <si>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</si>
  <si>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</si>
  <si>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</si>
  <si>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</si>
  <si>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</si>
  <si>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</si>
  <si>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</si>
  <si>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</si>
  <si>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</si>
  <si>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</si>
  <si>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</si>
  <si>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</si>
  <si>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</si>
  <si>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</si>
  <si>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</si>
  <si>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</si>
  <si>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</si>
  <si>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</si>
  <si>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</si>
  <si>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</si>
  <si>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</si>
  <si>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</si>
  <si>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</si>
  <si>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</si>
  <si>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</si>
  <si>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</si>
  <si>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</si>
  <si>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</si>
  <si>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</si>
  <si>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</si>
  <si>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</si>
  <si>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</si>
  <si>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</si>
  <si>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</si>
  <si>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</si>
  <si>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</si>
  <si>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</si>
  <si>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</si>
  <si>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</si>
  <si>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</si>
  <si>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</si>
  <si>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</si>
  <si>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</si>
  <si>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</si>
  <si>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</si>
  <si>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</si>
  <si>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</si>
  <si>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</si>
  <si>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</si>
  <si>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</si>
  <si>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</si>
  <si>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</si>
  <si>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</si>
  <si>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</si>
  <si>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</si>
  <si>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</si>
  <si>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</si>
  <si>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</si>
  <si>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</si>
  <si>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</si>
  <si>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</si>
  <si>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</si>
  <si>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</si>
  <si>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</si>
  <si>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</si>
  <si>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</si>
  <si>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</si>
  <si>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</si>
  <si>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</si>
  <si>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</si>
  <si>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</si>
  <si>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</si>
  <si>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</si>
  <si>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</si>
  <si>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</si>
  <si>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</si>
  <si>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</si>
  <si>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</si>
  <si>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</si>
  <si>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</si>
  <si>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</si>
  <si>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</si>
  <si>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</si>
  <si>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</si>
  <si>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</si>
  <si>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</si>
  <si>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</si>
  <si>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</si>
  <si>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</si>
  <si>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</si>
  <si>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</si>
  <si>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</si>
  <si>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</si>
  <si>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</si>
  <si>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</si>
  <si>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</si>
  <si>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</si>
  <si>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</si>
  <si>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</si>
  <si>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</si>
  <si>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</si>
  <si>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</si>
  <si>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</si>
  <si>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</si>
  <si>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</si>
  <si>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</si>
  <si>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</si>
  <si>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</si>
  <si>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</si>
  <si>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</si>
  <si>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</si>
  <si>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</si>
  <si>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</si>
  <si>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</si>
  <si>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</si>
  <si>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</si>
  <si>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</si>
  <si>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</si>
  <si>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</si>
  <si>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</si>
  <si>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</si>
  <si>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</si>
  <si>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</si>
  <si>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</si>
  <si>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</si>
  <si>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</si>
  <si>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</si>
  <si>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</si>
  <si>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</si>
  <si>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</si>
  <si>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</si>
  <si>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</si>
  <si>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</si>
  <si>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</si>
  <si>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</si>
  <si>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</si>
  <si>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</si>
  <si>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</si>
  <si>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</si>
  <si>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</si>
  <si>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</si>
  <si>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</si>
  <si>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</si>
  <si>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</si>
  <si>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</si>
  <si>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</si>
  <si>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</si>
  <si>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</si>
  <si>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</si>
  <si>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</si>
  <si>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</si>
  <si>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</si>
  <si>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</si>
  <si>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</si>
  <si>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</si>
  <si>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</si>
  <si>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</si>
  <si>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</si>
  <si>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</si>
  <si>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</si>
  <si>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</si>
  <si>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</si>
  <si>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</si>
  <si>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</si>
  <si>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</si>
  <si>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</si>
  <si>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</si>
  <si>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</si>
  <si>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</si>
  <si>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</si>
  <si>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</si>
  <si>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</si>
  <si>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</si>
  <si>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</si>
  <si>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</si>
  <si>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</si>
  <si>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</si>
  <si>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</si>
  <si>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</si>
  <si>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</si>
  <si>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</si>
  <si>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</si>
  <si>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</si>
  <si>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</si>
  <si>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</si>
  <si>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</si>
  <si>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</si>
  <si>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</si>
  <si>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</si>
  <si>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</si>
  <si>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</si>
  <si>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</si>
  <si>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</si>
  <si>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</si>
  <si>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</si>
  <si>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</si>
  <si>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</si>
  <si>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</si>
  <si>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</si>
  <si>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</si>
  <si>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</si>
  <si>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</si>
  <si>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</si>
  <si>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</si>
  <si>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</si>
  <si>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</si>
  <si>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</si>
  <si>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</si>
  <si>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</si>
  <si>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</si>
  <si>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</si>
  <si>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</si>
  <si>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</si>
  <si>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</si>
  <si>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</si>
  <si>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</si>
  <si>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</si>
  <si>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</si>
  <si>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</si>
  <si>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</si>
  <si>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</si>
  <si>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</si>
  <si>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</si>
  <si>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</si>
  <si>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</si>
  <si>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</si>
  <si>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</si>
  <si>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</si>
  <si>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</si>
  <si>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</si>
  <si>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</si>
  <si>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</si>
  <si>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</si>
  <si>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</si>
  <si>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</si>
  <si>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</si>
  <si>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</si>
  <si>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</si>
  <si>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</si>
  <si>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</si>
  <si>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</si>
  <si>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</si>
  <si>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</si>
  <si>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</si>
  <si>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</si>
  <si>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</si>
  <si>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</si>
  <si>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</si>
  <si>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</si>
  <si>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</si>
  <si>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</si>
  <si>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</si>
  <si>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</si>
  <si>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</si>
  <si>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</si>
  <si>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</si>
  <si>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</si>
  <si>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</si>
  <si>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</si>
  <si>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</si>
  <si>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</si>
  <si>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</si>
  <si>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</si>
  <si>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</si>
  <si>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</si>
  <si>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</si>
  <si>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</si>
  <si>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</si>
  <si>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</si>
  <si>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</si>
  <si>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</si>
  <si>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</si>
  <si>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</si>
  <si>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</si>
  <si>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</si>
  <si>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</si>
  <si>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</si>
  <si>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</si>
  <si>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</si>
  <si>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</si>
  <si>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</si>
  <si>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</si>
  <si>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</si>
  <si>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</si>
  <si>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</si>
  <si>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</si>
  <si>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</si>
  <si>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</si>
  <si>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</si>
  <si>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</si>
  <si>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</si>
  <si>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</si>
  <si>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</si>
  <si>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</si>
  <si>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</si>
  <si>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</si>
  <si>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</si>
  <si>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</si>
  <si>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</si>
  <si>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</si>
  <si>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</si>
  <si>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</si>
  <si>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</si>
  <si>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</si>
  <si>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</si>
  <si>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</si>
  <si>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</si>
  <si>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</si>
  <si>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</si>
  <si>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</si>
  <si>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</si>
  <si>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</si>
  <si>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</si>
  <si>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</si>
  <si>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</si>
  <si>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</si>
  <si>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</si>
  <si>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</si>
  <si>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</si>
  <si>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</si>
  <si>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</si>
  <si>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</si>
  <si>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</si>
  <si>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</si>
  <si>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</si>
  <si>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</si>
  <si>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</si>
  <si>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</si>
  <si>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</si>
  <si>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</si>
  <si>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</si>
  <si>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</si>
  <si>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</si>
  <si>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</si>
  <si>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</si>
  <si>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</si>
  <si>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</si>
  <si>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</si>
  <si>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</si>
  <si>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</si>
  <si>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</si>
  <si>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</si>
  <si>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</si>
  <si>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</si>
  <si>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</si>
  <si>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</si>
  <si>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</si>
  <si>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</si>
  <si>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</si>
  <si>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</si>
  <si>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</si>
  <si>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</si>
  <si>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</si>
  <si>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</si>
  <si>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</si>
  <si>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</si>
  <si>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</si>
  <si>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</si>
  <si>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</si>
  <si>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</si>
  <si>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</si>
  <si>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</si>
  <si>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</si>
  <si>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</si>
  <si>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</si>
  <si>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</si>
  <si>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</si>
  <si>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</si>
  <si>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</si>
  <si>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</si>
  <si>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</si>
  <si>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</si>
  <si>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</si>
  <si>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</si>
  <si>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</si>
  <si>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</si>
  <si>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</si>
  <si>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</si>
  <si>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</si>
  <si>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</si>
  <si>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</si>
  <si>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</si>
  <si>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</si>
  <si>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</si>
  <si>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</si>
  <si>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</si>
  <si>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</si>
  <si>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</si>
  <si>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</si>
  <si>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</si>
  <si>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</si>
  <si>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</si>
  <si>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</si>
  <si>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</si>
  <si>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</si>
  <si>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</si>
  <si>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</si>
  <si>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</si>
  <si>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</si>
  <si>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</si>
  <si>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</si>
  <si>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</si>
  <si>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</si>
  <si>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</si>
  <si>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</si>
  <si>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</si>
  <si>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</si>
  <si>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</si>
  <si>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</si>
  <si>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</si>
  <si>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</si>
  <si>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</si>
  <si>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</si>
  <si>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</si>
  <si>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</si>
  <si>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</si>
  <si>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</si>
  <si>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</si>
  <si>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</si>
  <si>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</si>
  <si>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</si>
  <si>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</si>
  <si>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</si>
  <si>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</si>
  <si>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</si>
  <si>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</si>
  <si>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</si>
  <si>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</si>
  <si>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</si>
  <si>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</si>
  <si>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</si>
  <si>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</si>
  <si>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</si>
  <si>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</si>
  <si>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</si>
  <si>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</si>
  <si>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</si>
  <si>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</si>
  <si>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</si>
  <si>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</si>
  <si>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</si>
  <si>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</si>
  <si>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</si>
  <si>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</si>
  <si>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</si>
  <si>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</si>
  <si>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</si>
  <si>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</si>
  <si>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</si>
  <si>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</si>
  <si>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</si>
  <si>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</si>
  <si>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</si>
  <si>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</si>
  <si>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</si>
  <si>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</si>
  <si>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</si>
  <si>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</si>
  <si>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</si>
  <si>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</si>
  <si>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</si>
  <si>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</si>
  <si>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</si>
  <si>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</si>
  <si>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</si>
  <si>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</si>
  <si>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</si>
  <si>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</si>
  <si>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</si>
  <si>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</si>
  <si>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</si>
  <si>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</si>
  <si>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</si>
  <si>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</si>
  <si>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</si>
  <si>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</si>
  <si>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</si>
  <si>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</si>
  <si>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</si>
  <si>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</si>
  <si>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</si>
  <si>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</si>
  <si>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</si>
  <si>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</si>
  <si>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</si>
  <si>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</si>
  <si>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</si>
  <si>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</si>
  <si>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</si>
  <si>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</si>
  <si>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</si>
  <si>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</si>
  <si>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</si>
  <si>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</si>
  <si>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</si>
  <si>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</si>
  <si>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</si>
  <si>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</si>
  <si>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</si>
  <si>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</si>
  <si>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</si>
  <si>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</si>
  <si>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</si>
  <si>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</si>
  <si>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</si>
  <si>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</si>
  <si>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</si>
  <si>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</si>
  <si>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</si>
  <si>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</si>
  <si>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</si>
  <si>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</si>
  <si>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</si>
  <si>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</si>
  <si>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</si>
  <si>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</si>
  <si>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</si>
  <si>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</si>
  <si>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</si>
  <si>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</si>
  <si>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</si>
  <si>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</si>
  <si>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</si>
  <si>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</si>
  <si>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</si>
  <si>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</si>
  <si>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</si>
  <si>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</si>
  <si>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</si>
  <si>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</si>
  <si>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</si>
  <si>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</si>
  <si>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</si>
  <si>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</si>
  <si>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</si>
  <si>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</si>
  <si>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</si>
  <si>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</si>
  <si>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</si>
  <si>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</si>
  <si>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</si>
  <si>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</si>
  <si>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</si>
  <si>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</si>
  <si>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</si>
  <si>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</si>
  <si>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</si>
  <si>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</si>
  <si>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</si>
  <si>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</si>
  <si>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</si>
  <si>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</si>
  <si>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</si>
  <si>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</si>
  <si>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</si>
  <si>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</si>
  <si>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</si>
  <si>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</si>
  <si>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</si>
  <si>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</si>
  <si>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</si>
  <si>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</si>
  <si>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</si>
  <si>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</si>
  <si>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</si>
  <si>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</si>
  <si>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</si>
  <si>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</si>
  <si>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</si>
  <si>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</si>
  <si>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</si>
  <si>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</si>
  <si>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</si>
  <si>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</si>
  <si>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</si>
  <si>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</si>
  <si>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</si>
  <si>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</si>
  <si>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</si>
  <si>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</si>
  <si>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</si>
  <si>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</si>
  <si>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</si>
  <si>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</si>
  <si>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</si>
  <si>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</si>
  <si>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</si>
  <si>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</si>
  <si>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</si>
  <si>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</si>
  <si>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</si>
  <si>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</si>
  <si>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</si>
  <si>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</si>
  <si>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</si>
  <si>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</si>
  <si>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</si>
  <si>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</si>
  <si>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</si>
  <si>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</si>
  <si>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</si>
  <si>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</si>
  <si>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</si>
  <si>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</si>
  <si>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</si>
  <si>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</si>
  <si>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</si>
  <si>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</si>
  <si>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</si>
  <si>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</si>
  <si>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</si>
  <si>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</si>
  <si>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</si>
  <si>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</si>
  <si>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</si>
  <si>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</si>
  <si>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</si>
  <si>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</si>
  <si>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</si>
  <si>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</si>
  <si>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</si>
  <si>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</si>
  <si>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</si>
  <si>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</si>
  <si>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</si>
  <si>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</si>
  <si>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</si>
  <si>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</si>
  <si>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</si>
  <si>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</si>
  <si>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</si>
  <si>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</si>
  <si>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</si>
  <si>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</si>
  <si>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</si>
  <si>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</si>
  <si>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</si>
  <si>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</si>
  <si>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</si>
  <si>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</si>
  <si>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</si>
  <si>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</si>
  <si>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</si>
  <si>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</si>
  <si>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</si>
  <si>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</si>
  <si>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</si>
  <si>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</si>
  <si>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</si>
  <si>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</si>
  <si>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</si>
  <si>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</si>
  <si>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</si>
  <si>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</si>
  <si>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</si>
  <si>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</si>
  <si>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</si>
  <si>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</si>
  <si>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</si>
  <si>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</si>
  <si>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</si>
  <si>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</si>
  <si>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</si>
  <si>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</si>
  <si>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</si>
  <si>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</si>
  <si>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</si>
  <si>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</si>
  <si>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</si>
  <si>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</si>
  <si>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</si>
  <si>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</si>
  <si>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</si>
  <si>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</si>
  <si>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</si>
  <si>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</si>
  <si>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</si>
  <si>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</si>
  <si>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</si>
  <si>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</si>
  <si>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</si>
  <si>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</si>
  <si>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</si>
  <si>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</si>
  <si>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</si>
  <si>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</si>
  <si>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</si>
  <si>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</si>
  <si>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</si>
  <si>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</si>
  <si>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</si>
  <si>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</si>
  <si>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</si>
  <si>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</si>
  <si>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</si>
  <si>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</si>
  <si>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</si>
  <si>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</si>
  <si>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</si>
  <si>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</si>
  <si>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</si>
  <si>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</si>
  <si>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</si>
  <si>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</si>
  <si>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</si>
  <si>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</si>
  <si>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</si>
  <si>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</si>
  <si>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</si>
  <si>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</si>
  <si>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</si>
  <si>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</si>
  <si>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</si>
  <si>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</si>
  <si>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</si>
  <si>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</si>
  <si>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</si>
  <si>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</si>
  <si>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</si>
  <si>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</si>
  <si>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</si>
  <si>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</si>
  <si>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</si>
  <si>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</si>
  <si>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</si>
  <si>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</si>
  <si>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</si>
  <si>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</si>
  <si>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</si>
  <si>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</si>
  <si>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</si>
  <si>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</si>
  <si>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</si>
  <si>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</si>
  <si>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</si>
  <si>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</si>
  <si>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</si>
  <si>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</si>
  <si>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</si>
  <si>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</si>
  <si>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</si>
  <si>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</si>
  <si>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</si>
  <si>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</si>
  <si>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</si>
  <si>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</si>
  <si>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</si>
  <si>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</si>
  <si>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</si>
  <si>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</si>
  <si>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</si>
  <si>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</si>
  <si>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</si>
  <si>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</si>
  <si>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</si>
  <si>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</si>
  <si>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</si>
  <si>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</si>
  <si>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</si>
  <si>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</si>
  <si>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</si>
  <si>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</si>
  <si>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</si>
  <si>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</si>
  <si>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</si>
  <si>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</si>
  <si>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</si>
  <si>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</si>
  <si>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</si>
  <si>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</si>
  <si>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</si>
  <si>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</si>
  <si>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</si>
  <si>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</si>
  <si>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</si>
  <si>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</si>
  <si>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</si>
  <si>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</si>
  <si>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</si>
  <si>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</si>
  <si>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</si>
  <si>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</si>
  <si>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</si>
  <si>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</si>
  <si>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</si>
  <si>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</si>
  <si>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</si>
  <si>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</si>
  <si>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</si>
  <si>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</si>
  <si>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</si>
  <si>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</si>
  <si>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</si>
  <si>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</si>
  <si>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</si>
  <si>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</si>
  <si>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</si>
  <si>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</si>
  <si>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</si>
  <si>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</si>
  <si>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</si>
  <si>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</si>
  <si>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</si>
  <si>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</si>
  <si>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</si>
  <si>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</si>
  <si>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</si>
  <si>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</si>
  <si>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</si>
  <si>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</si>
  <si>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</si>
  <si>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</si>
  <si>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</si>
  <si>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</si>
  <si>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</si>
  <si>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</si>
  <si>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</si>
  <si>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</si>
  <si>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</si>
  <si>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</si>
  <si>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</si>
  <si>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</si>
  <si>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</si>
  <si>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</si>
  <si>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</si>
  <si>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</si>
  <si>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</si>
  <si>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</si>
  <si>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</si>
  <si>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</si>
  <si>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</si>
  <si>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</si>
  <si>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</si>
  <si>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</si>
  <si>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</si>
  <si>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</si>
  <si>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</si>
  <si>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</si>
  <si>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</si>
  <si>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</si>
  <si>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</si>
  <si>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</si>
  <si>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</si>
  <si>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</si>
  <si>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</si>
  <si>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</si>
  <si>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</si>
  <si>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</si>
  <si>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</si>
  <si>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</si>
  <si>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</si>
  <si>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</si>
  <si>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</si>
  <si>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</si>
  <si>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</si>
  <si>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</si>
  <si>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</si>
  <si>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</si>
  <si>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</si>
  <si>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</si>
  <si>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</si>
  <si>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</si>
  <si>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</si>
  <si>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</si>
  <si>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</si>
  <si>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</si>
  <si>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</si>
  <si>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</si>
  <si>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</si>
  <si>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</si>
  <si>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</si>
  <si>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</si>
  <si>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</si>
  <si>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</si>
  <si>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</si>
  <si>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</si>
  <si>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</si>
  <si>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</si>
  <si>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</si>
  <si>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</si>
  <si>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</si>
  <si>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</si>
  <si>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</si>
  <si>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</si>
  <si>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</si>
  <si>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</si>
  <si>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</si>
  <si>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</si>
  <si>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</si>
  <si>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</si>
  <si>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</si>
  <si>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</si>
  <si>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</si>
  <si>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</si>
  <si>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</si>
  <si>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</si>
  <si>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</si>
  <si>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</si>
  <si>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</si>
  <si>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</si>
  <si>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</si>
  <si>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</si>
  <si>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</si>
  <si>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</si>
  <si>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</si>
  <si>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</si>
  <si>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</si>
  <si>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</si>
  <si>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</si>
  <si>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</si>
  <si>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</si>
  <si>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</si>
  <si>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</si>
  <si>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</si>
  <si>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</si>
  <si>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</si>
  <si>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</si>
  <si>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</si>
  <si>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</si>
  <si>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</si>
  <si>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</si>
  <si>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</si>
  <si>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</si>
  <si>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</si>
  <si>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</si>
  <si>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</si>
  <si>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</si>
  <si>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</si>
  <si>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</si>
  <si>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</si>
  <si>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</si>
  <si>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</si>
  <si>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</si>
  <si>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</si>
  <si>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</si>
  <si>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</si>
  <si>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</si>
  <si>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</si>
  <si>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</si>
  <si>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</si>
  <si>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</si>
  <si>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</si>
  <si>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</si>
  <si>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</si>
  <si>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</si>
  <si>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</si>
  <si>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</si>
  <si>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</si>
  <si>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</si>
  <si>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</si>
  <si>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</si>
  <si>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</si>
  <si>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</si>
  <si>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</si>
  <si>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</si>
  <si>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</si>
  <si>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</si>
  <si>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</si>
  <si>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</si>
  <si>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</si>
  <si>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</si>
  <si>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</si>
  <si>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</si>
  <si>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</si>
  <si>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</si>
  <si>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</si>
  <si>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</si>
  <si>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</si>
  <si>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</si>
  <si>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</si>
  <si>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</si>
  <si>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</si>
  <si>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</si>
  <si>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</si>
  <si>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</si>
  <si>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</si>
  <si>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</si>
  <si>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</si>
  <si>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</si>
  <si>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</si>
  <si>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</si>
  <si>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</si>
  <si>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</si>
  <si>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</si>
  <si>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</si>
  <si>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</si>
  <si>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</si>
  <si>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</si>
  <si>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</si>
  <si>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</si>
  <si>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</si>
  <si>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</si>
  <si>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</si>
  <si>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</si>
  <si>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</si>
  <si>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</si>
  <si>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</si>
  <si>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</si>
  <si>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</si>
  <si>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</si>
  <si>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</si>
  <si>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</si>
  <si>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</si>
  <si>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</si>
  <si>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</si>
  <si>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</si>
  <si>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</si>
  <si>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</si>
  <si>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</si>
  <si>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</si>
  <si>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</si>
  <si>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</si>
  <si>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</si>
  <si>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</si>
  <si>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</si>
  <si>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</si>
  <si>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</si>
  <si>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</si>
  <si>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</si>
  <si>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</si>
  <si>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</si>
  <si>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</si>
  <si>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</si>
  <si>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</si>
  <si>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</si>
  <si>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</si>
  <si>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</si>
  <si>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</si>
  <si>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</si>
  <si>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</si>
  <si>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</si>
  <si>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</si>
  <si>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</si>
  <si>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</si>
  <si>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</si>
  <si>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</si>
  <si>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</si>
  <si>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</si>
  <si>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</si>
  <si>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</si>
  <si>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</si>
  <si>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</si>
  <si>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</si>
  <si>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</si>
  <si>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</si>
  <si>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</si>
  <si>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</si>
  <si>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</si>
  <si>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</si>
  <si>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</si>
  <si>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</si>
  <si>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</si>
  <si>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</si>
  <si>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</si>
  <si>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</si>
  <si>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</si>
  <si>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</si>
  <si>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</si>
  <si>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</si>
  <si>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</si>
  <si>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</si>
  <si>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</si>
  <si>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</si>
  <si>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</si>
  <si>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</si>
  <si>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</si>
  <si>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</si>
  <si>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</si>
  <si>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</si>
  <si>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</si>
  <si>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</si>
  <si>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</si>
  <si>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</si>
  <si>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</si>
  <si>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</si>
  <si>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</si>
  <si>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</si>
  <si>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</si>
  <si>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</si>
  <si>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</si>
  <si>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</si>
  <si>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</si>
  <si>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</si>
  <si>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</si>
  <si>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</si>
  <si>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</si>
  <si>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</si>
  <si>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</si>
  <si>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</si>
  <si>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</si>
  <si>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</si>
  <si>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</si>
  <si>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</si>
  <si>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</si>
  <si>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</si>
  <si>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</si>
  <si>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</si>
  <si>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</si>
  <si>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</si>
  <si>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</si>
  <si>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</si>
  <si>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</si>
  <si>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</si>
  <si>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</si>
  <si>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</si>
  <si>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</si>
  <si>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</si>
  <si>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</si>
  <si>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</si>
  <si>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</si>
  <si>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</si>
  <si>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</si>
  <si>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</si>
  <si>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</si>
  <si>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</si>
  <si>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</si>
  <si>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</si>
  <si>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</si>
  <si>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</si>
  <si>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</si>
  <si>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</si>
  <si>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</si>
  <si>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</si>
  <si>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</si>
  <si>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</si>
  <si>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</si>
  <si>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</si>
  <si>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</si>
  <si>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</si>
  <si>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</si>
  <si>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</si>
  <si>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</si>
  <si>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</si>
  <si>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</si>
  <si>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</si>
  <si>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</si>
  <si>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</si>
  <si>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</si>
  <si>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</si>
  <si>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</si>
  <si>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</si>
  <si>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</si>
  <si>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</si>
  <si>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</si>
  <si>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</si>
  <si>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</si>
  <si>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</si>
  <si>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</si>
  <si>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</si>
  <si>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</si>
  <si>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</si>
  <si>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</si>
  <si>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</si>
  <si>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</si>
  <si>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</si>
  <si>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</si>
  <si>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</si>
  <si>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</si>
  <si>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</si>
  <si>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</si>
  <si>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</si>
  <si>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</si>
  <si>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</si>
  <si>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</si>
  <si>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</si>
  <si>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</si>
  <si>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</si>
  <si>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</si>
  <si>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</si>
  <si>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</si>
  <si>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</si>
  <si>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</si>
  <si>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</si>
  <si>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</si>
  <si>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</si>
  <si>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</si>
  <si>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</si>
  <si>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</si>
  <si>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</si>
  <si>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</si>
  <si>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</si>
  <si>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</si>
  <si>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</si>
  <si>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</si>
  <si>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</si>
  <si>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</si>
  <si>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</si>
  <si>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</si>
  <si>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</si>
  <si>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</si>
  <si>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</si>
  <si>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</si>
  <si>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</si>
  <si>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</si>
  <si>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</si>
  <si>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</si>
  <si>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</si>
  <si>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</si>
  <si>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</si>
  <si>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</si>
  <si>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</si>
  <si>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</si>
  <si>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</si>
  <si>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</si>
  <si>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</si>
  <si>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</si>
  <si>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</si>
  <si>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</si>
  <si>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</si>
  <si>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</si>
  <si>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</si>
  <si>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</si>
  <si>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</si>
  <si>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</si>
  <si>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</si>
  <si>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</si>
  <si>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</si>
  <si>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</si>
  <si>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</si>
  <si>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</si>
  <si>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</si>
  <si>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</si>
  <si>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</si>
  <si>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</si>
  <si>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</si>
  <si>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</si>
  <si>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</si>
  <si>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</si>
  <si>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</si>
  <si>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</si>
  <si>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</si>
  <si>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</si>
  <si>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</si>
  <si>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</si>
  <si>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</si>
  <si>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</si>
  <si>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</si>
  <si>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</si>
  <si>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</si>
  <si>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</si>
  <si>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</si>
  <si>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</si>
  <si>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</si>
  <si>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</si>
  <si>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</si>
  <si>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</si>
  <si>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</si>
  <si>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</si>
  <si>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</si>
  <si>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</si>
  <si>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</si>
  <si>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</si>
  <si>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</si>
  <si>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</si>
  <si>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</si>
  <si>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</si>
  <si>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</si>
  <si>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</si>
  <si>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</si>
  <si>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</si>
  <si>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</si>
  <si>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</si>
  <si>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</si>
  <si>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</si>
  <si>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</si>
  <si>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</si>
  <si>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</si>
  <si>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</si>
  <si>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</si>
  <si>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</si>
  <si>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</si>
  <si>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</si>
  <si>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</si>
  <si>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</si>
  <si>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</si>
  <si>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</si>
  <si>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</si>
  <si>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</si>
  <si>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</si>
  <si>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</si>
  <si>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</si>
  <si>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</si>
  <si>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</si>
  <si>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</si>
  <si>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</si>
  <si>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</si>
  <si>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</si>
  <si>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</si>
  <si>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</si>
  <si>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</si>
  <si>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</si>
  <si>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</si>
  <si>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</si>
  <si>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</si>
  <si>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</si>
  <si>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</si>
  <si>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</si>
  <si>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</si>
  <si>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</si>
  <si>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</si>
  <si>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</si>
  <si>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</si>
  <si>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</si>
  <si>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</si>
  <si>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</si>
  <si>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</si>
  <si>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</si>
  <si>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</si>
  <si>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</si>
  <si>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</si>
  <si>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</si>
  <si>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</si>
  <si>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</si>
  <si>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</si>
  <si>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</si>
  <si>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</si>
  <si>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</si>
  <si>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</si>
  <si>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</si>
  <si>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</si>
  <si>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</si>
  <si>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</si>
  <si>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</si>
  <si>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</si>
  <si>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</si>
  <si>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</si>
  <si>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</si>
  <si>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</si>
  <si>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</si>
  <si>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</si>
  <si>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</si>
  <si>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</si>
  <si>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</si>
  <si>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</si>
  <si>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</si>
  <si>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</si>
  <si>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</si>
  <si>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</si>
  <si>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</si>
  <si>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</si>
  <si>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</si>
  <si>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</si>
  <si>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</si>
  <si>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</si>
  <si>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</si>
  <si>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</si>
  <si>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</si>
  <si>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</si>
  <si>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</si>
  <si>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</si>
  <si>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</si>
  <si>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</si>
  <si>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</si>
  <si>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</si>
  <si>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</si>
  <si>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</si>
  <si>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</si>
  <si>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</si>
  <si>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</si>
  <si>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</si>
  <si>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</si>
  <si>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</si>
  <si>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</si>
  <si>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</si>
  <si>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</si>
  <si>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</si>
  <si>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</si>
  <si>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</si>
  <si>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</si>
  <si>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</si>
  <si>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</si>
  <si>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</si>
  <si>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</si>
  <si>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</si>
  <si>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</si>
  <si>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</si>
  <si>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</si>
  <si>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</si>
  <si>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</si>
  <si>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</si>
  <si>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</si>
  <si>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</si>
  <si>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</si>
  <si>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</si>
  <si>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</si>
  <si>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</si>
  <si>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</si>
  <si>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</si>
  <si>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</si>
  <si>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</si>
  <si>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</si>
  <si>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</si>
  <si>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</si>
  <si>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</si>
  <si>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</si>
  <si>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</si>
  <si>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</si>
  <si>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</si>
  <si>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</si>
  <si>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</si>
  <si>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</si>
  <si>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</si>
  <si>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</si>
  <si>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</si>
  <si>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</si>
  <si>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</si>
  <si>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</si>
  <si>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</si>
  <si>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</si>
  <si>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</si>
  <si>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</si>
  <si>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</si>
  <si>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</si>
  <si>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</si>
  <si>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</si>
  <si>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</si>
  <si>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</si>
  <si>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</si>
  <si>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</si>
  <si>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</si>
  <si>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</si>
  <si>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</si>
  <si>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</si>
  <si>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</si>
  <si>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</si>
  <si>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</si>
  <si>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</si>
  <si>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</si>
  <si>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</si>
  <si>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</si>
  <si>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</si>
  <si>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</si>
  <si>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</si>
  <si>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</si>
  <si>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</si>
  <si>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</si>
  <si>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</si>
  <si>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</si>
  <si>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</si>
  <si>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</si>
  <si>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</si>
  <si>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</si>
  <si>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</si>
  <si>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</si>
  <si>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</si>
  <si>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</si>
  <si>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</si>
  <si>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</si>
  <si>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</si>
  <si>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</si>
  <si>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</si>
  <si>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</si>
  <si>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</si>
  <si>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</si>
  <si>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</si>
  <si>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</si>
  <si>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</si>
  <si>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</si>
  <si>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</si>
  <si>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</si>
  <si>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</si>
  <si>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</si>
  <si>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</si>
  <si>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</si>
  <si>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</si>
  <si>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</si>
  <si>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</si>
  <si>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</si>
  <si>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</si>
  <si>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</si>
  <si>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</si>
  <si>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</si>
  <si>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</si>
  <si>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</si>
  <si>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</si>
  <si>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</si>
  <si>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</si>
  <si>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</si>
  <si>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</si>
  <si>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</si>
  <si>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</si>
  <si>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</si>
  <si>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</si>
  <si>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</si>
  <si>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</si>
  <si>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</si>
  <si>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</si>
  <si>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</si>
  <si>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</si>
  <si>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</si>
  <si>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</si>
  <si>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</si>
  <si>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</si>
  <si>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</si>
  <si>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</si>
  <si>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</si>
  <si>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</si>
  <si>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</si>
  <si>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</si>
  <si>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</si>
  <si>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</si>
  <si>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</si>
  <si>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</si>
  <si>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</si>
  <si>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</si>
  <si>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</si>
  <si>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</si>
  <si>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</si>
  <si>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</si>
  <si>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</si>
  <si>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</si>
  <si>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</si>
  <si>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</si>
  <si>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</si>
  <si>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</si>
  <si>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</si>
  <si>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</si>
  <si>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</si>
  <si>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</si>
  <si>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</si>
  <si>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</si>
  <si>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</si>
  <si>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</si>
  <si>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</si>
  <si>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</si>
  <si>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</si>
  <si>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</si>
  <si>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</si>
  <si>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</si>
  <si>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</si>
  <si>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</si>
  <si>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</si>
  <si>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</si>
  <si>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</si>
  <si>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</si>
  <si>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</si>
  <si>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</si>
  <si>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</si>
  <si>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</si>
  <si>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</si>
  <si>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</si>
  <si>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</si>
  <si>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</si>
  <si>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</si>
  <si>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</si>
  <si>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</si>
  <si>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</si>
  <si>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</si>
  <si>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</si>
  <si>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</si>
  <si>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</si>
  <si>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</si>
  <si>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</si>
  <si>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</si>
  <si>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</si>
  <si>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</si>
  <si>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</si>
  <si>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</si>
  <si>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</si>
  <si>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</si>
  <si>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</si>
  <si>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</si>
  <si>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</si>
  <si>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</si>
  <si>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</si>
  <si>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</si>
  <si>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</si>
  <si>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</si>
  <si>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</si>
  <si>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</si>
  <si>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</si>
  <si>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</si>
  <si>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</si>
  <si>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</si>
  <si>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</si>
  <si>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</si>
  <si>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</si>
  <si>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</si>
  <si>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</si>
  <si>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</si>
  <si>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</si>
  <si>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</si>
  <si>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</si>
  <si>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</si>
  <si>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</si>
  <si>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</si>
  <si>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</si>
  <si>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</si>
  <si>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</si>
  <si>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</si>
  <si>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</si>
  <si>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</si>
  <si>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</si>
  <si>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</si>
  <si>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</si>
  <si>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</si>
  <si>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</si>
  <si>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</si>
  <si>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</si>
  <si>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</si>
  <si>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</si>
  <si>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</si>
  <si>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</si>
  <si>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</si>
  <si>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</si>
  <si>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</si>
  <si>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</si>
  <si>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</si>
  <si>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</si>
  <si>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</si>
  <si>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</si>
  <si>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</si>
  <si>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</si>
  <si>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</si>
  <si>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</si>
  <si>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</si>
  <si>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</si>
  <si>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</si>
  <si>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</si>
  <si>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</si>
  <si>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</si>
  <si>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</si>
  <si>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</si>
  <si>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</si>
  <si>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</si>
  <si>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</si>
  <si>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</si>
  <si>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</si>
  <si>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</si>
  <si>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</si>
  <si>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</si>
  <si>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</si>
  <si>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</si>
  <si>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</si>
  <si>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</si>
  <si>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</si>
  <si>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</si>
  <si>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</si>
  <si>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</si>
  <si>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</si>
  <si>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</si>
  <si>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</si>
  <si>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</si>
  <si>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</si>
  <si>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</si>
  <si>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</si>
  <si>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</si>
  <si>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</si>
  <si>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</si>
  <si>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</si>
  <si>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</si>
  <si>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</si>
  <si>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</si>
  <si>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</si>
  <si>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</si>
  <si>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</si>
  <si>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</si>
  <si>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</si>
  <si>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</si>
  <si>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</si>
  <si>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</si>
  <si>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</si>
  <si>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</si>
  <si>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</si>
  <si>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</si>
  <si>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</si>
  <si>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</si>
  <si>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</si>
  <si>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</si>
  <si>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</si>
  <si>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</si>
  <si>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</si>
  <si>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</si>
  <si>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</si>
  <si>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</si>
  <si>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</si>
  <si>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</si>
  <si>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</si>
  <si>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</si>
  <si>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</si>
  <si>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</si>
  <si>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</si>
  <si>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</si>
  <si>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</si>
  <si>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</si>
  <si>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</si>
  <si>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</si>
  <si>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</si>
  <si>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</si>
  <si>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</si>
  <si>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</si>
  <si>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</si>
  <si>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</si>
  <si>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</si>
  <si>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</si>
  <si>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</si>
  <si>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</si>
  <si>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</si>
  <si>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</si>
  <si>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</si>
  <si>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</si>
  <si>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</si>
  <si>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</si>
  <si>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</si>
  <si>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</si>
  <si>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</si>
  <si>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</si>
  <si>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</si>
  <si>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</si>
  <si>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</si>
  <si>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</si>
  <si>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</si>
  <si>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</si>
  <si>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</si>
  <si>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</si>
  <si>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</si>
  <si>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</si>
  <si>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</si>
  <si>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</si>
  <si>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</si>
  <si>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</si>
  <si>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</si>
  <si>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</si>
  <si>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</si>
  <si>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</si>
  <si>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</si>
  <si>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</si>
  <si>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</si>
  <si>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</si>
  <si>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</si>
  <si>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</si>
  <si>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</si>
  <si>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</si>
  <si>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</si>
  <si>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</si>
  <si>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</si>
  <si>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</si>
  <si>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</si>
  <si>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</si>
  <si>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</si>
  <si>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</si>
  <si>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</si>
  <si>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</si>
  <si>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</si>
  <si>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</si>
  <si>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</si>
  <si>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</si>
  <si>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</si>
  <si>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</si>
  <si>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</si>
  <si>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</si>
  <si>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</si>
  <si>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</si>
  <si>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</si>
  <si>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</si>
  <si>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</si>
  <si>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</si>
  <si>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</si>
  <si>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</si>
  <si>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</si>
  <si>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</si>
  <si>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</si>
  <si>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</si>
  <si>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</si>
  <si>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</si>
  <si>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</si>
  <si>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</si>
  <si>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</si>
  <si>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</si>
  <si>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</si>
  <si>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</si>
  <si>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</si>
  <si>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</si>
  <si>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</si>
  <si>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</si>
  <si>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</si>
  <si>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</si>
  <si>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</si>
  <si>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</si>
  <si>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</si>
  <si>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</si>
  <si>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</si>
  <si>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</si>
  <si>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</si>
  <si>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</si>
  <si>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</si>
  <si>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</si>
  <si>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</si>
  <si>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</si>
  <si>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</si>
  <si>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</si>
  <si>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</si>
  <si>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</si>
  <si>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</si>
  <si>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</si>
  <si>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</si>
  <si>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</si>
  <si>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</si>
  <si>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</si>
  <si>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</si>
  <si>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</si>
  <si>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</si>
  <si>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</si>
  <si>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</si>
  <si>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</si>
  <si>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</si>
  <si>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</si>
  <si>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</si>
  <si>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</si>
  <si>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</si>
  <si>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</si>
  <si>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</si>
  <si>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</si>
  <si>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</si>
  <si>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</si>
  <si>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</si>
  <si>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</si>
  <si>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</si>
  <si>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</si>
  <si>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</si>
  <si>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</si>
  <si>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</si>
  <si>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</si>
  <si>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</si>
  <si>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</si>
  <si>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</si>
  <si>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</si>
  <si>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</si>
  <si>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</si>
  <si>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</si>
  <si>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</si>
  <si>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</si>
  <si>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</si>
  <si>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</si>
  <si>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</si>
  <si>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</si>
  <si>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</si>
  <si>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</si>
  <si>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</si>
  <si>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</si>
  <si>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</si>
  <si>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</si>
  <si>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</si>
  <si>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</si>
  <si>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</si>
  <si>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</si>
  <si>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</si>
  <si>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</si>
  <si>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</si>
  <si>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</si>
  <si>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</si>
  <si>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</si>
  <si>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</si>
  <si>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</si>
  <si>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</si>
  <si>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</si>
  <si>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</si>
  <si>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</si>
  <si>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</si>
  <si>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</si>
  <si>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</si>
  <si>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</si>
  <si>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</si>
  <si>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</si>
  <si>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</si>
  <si>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</si>
  <si>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</si>
  <si>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</si>
  <si>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</si>
  <si>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</si>
  <si>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</si>
  <si>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</si>
  <si>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</si>
  <si>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</si>
  <si>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</si>
  <si>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</si>
  <si>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</si>
  <si>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</si>
  <si>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</si>
  <si>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</si>
  <si>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</si>
  <si>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</si>
  <si>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</si>
  <si>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</si>
  <si>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</si>
  <si>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</si>
  <si>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</si>
  <si>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</si>
  <si>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</si>
  <si>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</si>
  <si>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</si>
  <si>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</si>
  <si>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</si>
  <si>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</si>
  <si>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</si>
  <si>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</si>
  <si>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</si>
  <si>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</si>
  <si>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</si>
  <si>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</si>
  <si>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</si>
  <si>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</si>
  <si>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</si>
  <si>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</si>
  <si>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</si>
  <si>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</si>
  <si>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</si>
  <si>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</si>
  <si>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</si>
  <si>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</si>
  <si>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</si>
  <si>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</si>
  <si>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</si>
  <si>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</si>
  <si>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</si>
  <si>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</si>
  <si>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</si>
  <si>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</si>
  <si>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</si>
  <si>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</si>
  <si>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</si>
  <si>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</si>
  <si>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</si>
  <si>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</si>
  <si>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</si>
  <si>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</si>
  <si>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</si>
  <si>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</si>
  <si>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</si>
  <si>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</si>
  <si>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</si>
  <si>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</si>
  <si>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</si>
  <si>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</si>
  <si>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</si>
  <si>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</si>
  <si>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</si>
  <si>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</si>
  <si>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</si>
  <si>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</si>
  <si>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</si>
  <si>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</si>
  <si>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</si>
  <si>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</si>
  <si>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</si>
  <si>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</si>
  <si>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</si>
  <si>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</si>
  <si>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</si>
  <si>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</si>
  <si>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</si>
  <si>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</si>
  <si>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</si>
  <si>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</si>
  <si>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</si>
  <si>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</si>
  <si>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</si>
  <si>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</si>
  <si>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</si>
  <si>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</si>
  <si>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</si>
  <si>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</si>
  <si>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</si>
  <si>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</si>
  <si>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</si>
  <si>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</si>
  <si>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</si>
  <si>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</si>
  <si>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</si>
  <si>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</si>
  <si>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</si>
  <si>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</si>
  <si>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</si>
  <si>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</si>
  <si>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</si>
  <si>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</si>
  <si>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</si>
  <si>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</si>
  <si>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</si>
  <si>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</si>
  <si>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</si>
  <si>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</si>
  <si>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</si>
  <si>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</si>
  <si>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</si>
  <si>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</si>
  <si>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</si>
  <si>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</si>
  <si>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</si>
  <si>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</si>
  <si>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</si>
  <si>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</si>
  <si>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</si>
  <si>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</si>
  <si>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</si>
  <si>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</si>
  <si>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</si>
  <si>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</si>
  <si>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</si>
  <si>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</si>
  <si>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</si>
  <si>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</si>
  <si>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</si>
  <si>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</si>
  <si>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</si>
  <si>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</si>
  <si>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</si>
  <si>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</si>
  <si>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</si>
  <si>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</si>
  <si>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</si>
  <si>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</si>
  <si>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</si>
  <si>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</si>
  <si>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</si>
  <si>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</si>
  <si>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</si>
  <si>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</si>
  <si>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</si>
  <si>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</si>
  <si>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</si>
  <si>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</si>
  <si>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</si>
  <si>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</si>
  <si>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</si>
  <si>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</si>
  <si>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</si>
  <si>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</si>
  <si>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</si>
  <si>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</si>
  <si>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</si>
  <si>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</si>
  <si>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</si>
  <si>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</si>
  <si>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</si>
  <si>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</si>
  <si>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</si>
  <si>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</si>
  <si>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</si>
  <si>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</si>
  <si>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</si>
  <si>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</si>
  <si>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</si>
  <si>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</si>
  <si>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</si>
  <si>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</si>
  <si>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</si>
  <si>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</si>
  <si>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</si>
  <si>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</si>
  <si>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</si>
  <si>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</si>
  <si>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</si>
  <si>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</si>
  <si>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</si>
  <si>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</si>
  <si>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</si>
  <si>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</si>
  <si>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</si>
  <si>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</si>
  <si>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</si>
  <si>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</si>
  <si>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</si>
  <si>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</si>
  <si>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</si>
  <si>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</si>
  <si>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</si>
  <si>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</si>
  <si>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</si>
  <si>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</si>
  <si>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</si>
  <si>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</si>
  <si>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</si>
  <si>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</si>
  <si>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</si>
  <si>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</si>
  <si>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</si>
  <si>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</si>
  <si>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</si>
  <si>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</si>
  <si>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</si>
  <si>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</si>
  <si>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</si>
  <si>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</si>
  <si>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</si>
  <si>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</si>
  <si>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</si>
  <si>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</si>
  <si>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</si>
  <si>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</si>
  <si>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</si>
  <si>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</si>
  <si>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</si>
  <si>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</si>
  <si>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</si>
  <si>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</si>
  <si>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</si>
  <si>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</si>
  <si>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</si>
  <si>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</si>
  <si>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</si>
  <si>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</si>
  <si>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</si>
  <si>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</si>
  <si>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</si>
  <si>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</si>
  <si>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</si>
  <si>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</si>
  <si>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</si>
  <si>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</si>
  <si>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</si>
  <si>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</si>
  <si>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</si>
  <si>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</si>
  <si>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</si>
  <si>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</si>
  <si>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</si>
  <si>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</si>
  <si>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</si>
  <si>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</si>
  <si>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</si>
  <si>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</si>
  <si>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</si>
  <si>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</si>
  <si>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</si>
  <si>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</si>
  <si>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</si>
  <si>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</si>
  <si>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</si>
  <si>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</si>
  <si>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</si>
  <si>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</si>
  <si>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</si>
  <si>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</si>
  <si>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</si>
  <si>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</si>
  <si>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</si>
  <si>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</si>
  <si>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</si>
  <si>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</si>
  <si>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</si>
  <si>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</si>
  <si>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</si>
  <si>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</si>
  <si>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</si>
  <si>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</si>
  <si>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</si>
  <si>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</si>
  <si>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</si>
  <si>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</si>
  <si>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</si>
  <si>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</si>
  <si>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</si>
  <si>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</si>
  <si>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</si>
  <si>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</si>
  <si>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</si>
  <si>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</si>
  <si>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</si>
  <si>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</si>
  <si>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</si>
  <si>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</si>
  <si>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</si>
  <si>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</si>
  <si>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</si>
  <si>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</si>
  <si>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</si>
  <si>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</si>
  <si>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</si>
  <si>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</si>
  <si>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</si>
  <si>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</si>
  <si>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</si>
  <si>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</si>
  <si>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</si>
  <si>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</si>
  <si>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</si>
  <si>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</si>
  <si>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</si>
  <si>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</si>
  <si>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</si>
  <si>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</si>
  <si>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</si>
  <si>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</si>
  <si>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</si>
  <si>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</si>
  <si>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</si>
  <si>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</si>
  <si>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</si>
  <si>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</si>
  <si>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</si>
  <si>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</si>
  <si>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</si>
  <si>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</si>
  <si>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</si>
  <si>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</si>
  <si>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</si>
  <si>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</si>
  <si>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</si>
  <si>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</si>
  <si>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</si>
  <si>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</si>
  <si>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</si>
  <si>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</si>
  <si>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</si>
  <si>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</si>
  <si>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</si>
  <si>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</si>
  <si>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</si>
  <si>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</si>
  <si>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</si>
  <si>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</si>
  <si>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</si>
  <si>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</si>
  <si>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</si>
  <si>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</si>
  <si>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</si>
  <si>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</si>
  <si>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</si>
  <si>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</si>
  <si>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</si>
  <si>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</si>
  <si>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</si>
  <si>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</si>
  <si>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</si>
  <si>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</si>
  <si>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</si>
  <si>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</si>
  <si>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</si>
  <si>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</si>
  <si>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</si>
  <si>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</si>
  <si>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</si>
  <si>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</si>
  <si>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</si>
  <si>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</si>
  <si>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</si>
  <si>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</si>
  <si>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</si>
  <si>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</si>
  <si>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</si>
  <si>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</si>
  <si>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</si>
  <si>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</si>
  <si>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</si>
  <si>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</si>
  <si>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</si>
  <si>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</si>
  <si>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</si>
  <si>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</si>
  <si>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</si>
  <si>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</si>
  <si>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</si>
  <si>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</si>
  <si>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</si>
  <si>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</si>
  <si>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</si>
  <si>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</si>
  <si>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</si>
  <si>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</si>
  <si>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</si>
  <si>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</si>
  <si>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</si>
  <si>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</si>
  <si>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</si>
  <si>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</si>
  <si>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</si>
  <si>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</si>
  <si>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</si>
  <si>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</si>
  <si>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</si>
  <si>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</si>
  <si>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</si>
  <si>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</si>
  <si>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</si>
  <si>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</si>
  <si>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</si>
  <si>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</si>
  <si>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</si>
  <si>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</si>
  <si>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</si>
  <si>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</si>
  <si>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</si>
  <si>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</si>
  <si>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</si>
  <si>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</si>
  <si>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</si>
  <si>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</si>
  <si>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</si>
  <si>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</si>
  <si>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</si>
  <si>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</si>
  <si>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</si>
  <si>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</si>
  <si>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</si>
  <si>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</si>
  <si>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</si>
  <si>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</si>
  <si>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</si>
  <si>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</si>
  <si>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</si>
  <si>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</si>
  <si>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</si>
  <si>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</si>
  <si>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</si>
  <si>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</si>
  <si>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</si>
  <si>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</si>
  <si>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</si>
  <si>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</si>
  <si>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</si>
  <si>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</si>
  <si>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</si>
  <si>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</si>
  <si>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</si>
  <si>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</si>
  <si>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</si>
  <si>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</si>
  <si>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</si>
  <si>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</si>
  <si>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</si>
  <si>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</si>
  <si>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</si>
  <si>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</si>
  <si>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</si>
  <si>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</si>
  <si>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</si>
  <si>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</si>
  <si>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</si>
  <si>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</si>
  <si>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</si>
  <si>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</si>
  <si>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</si>
  <si>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</si>
  <si>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</si>
  <si>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</si>
  <si>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</si>
  <si>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</si>
  <si>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</si>
  <si>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</si>
  <si>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</si>
  <si>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</si>
  <si>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</si>
  <si>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</si>
  <si>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</si>
  <si>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</si>
  <si>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</si>
  <si>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</si>
  <si>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</si>
  <si>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</si>
  <si>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</si>
  <si>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</si>
  <si>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</si>
  <si>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</si>
  <si>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</si>
  <si>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</si>
  <si>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</si>
  <si>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</si>
  <si>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</si>
  <si>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</si>
  <si>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</si>
  <si>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</si>
  <si>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</si>
  <si>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</si>
  <si>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</si>
  <si>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</si>
  <si>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</si>
  <si>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</si>
  <si>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</si>
  <si>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</si>
  <si>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</si>
  <si>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</si>
  <si>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</si>
  <si>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</si>
  <si>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</si>
  <si>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</si>
  <si>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</si>
  <si>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</si>
  <si>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</si>
  <si>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</si>
  <si>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</si>
  <si>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</si>
  <si>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</si>
  <si>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</si>
  <si>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</si>
  <si>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</si>
  <si>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</si>
  <si>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</si>
  <si>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</si>
  <si>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</si>
  <si>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</si>
  <si>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</si>
  <si>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</si>
  <si>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</si>
  <si>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</si>
  <si>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</si>
  <si>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</si>
  <si>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</si>
  <si>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</si>
  <si>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</si>
  <si>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</si>
  <si>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</si>
  <si>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</si>
  <si>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</si>
  <si>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</si>
  <si>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</si>
  <si>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</si>
  <si>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</si>
  <si>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</si>
  <si>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</si>
  <si>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</si>
  <si>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</si>
  <si>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</si>
  <si>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</si>
  <si>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</si>
  <si>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</si>
  <si>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</si>
  <si>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</si>
  <si>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</si>
  <si>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</si>
  <si>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</si>
  <si>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</si>
  <si>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</si>
  <si>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</si>
  <si>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</si>
  <si>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</si>
  <si>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</si>
  <si>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</si>
  <si>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</si>
  <si>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</si>
  <si>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</si>
  <si>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</si>
  <si>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</si>
  <si>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</si>
  <si>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</si>
  <si>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</si>
  <si>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</si>
  <si>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</si>
  <si>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</si>
  <si>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</si>
  <si>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</si>
  <si>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</si>
  <si>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</si>
  <si>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</si>
  <si>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</si>
  <si>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</si>
  <si>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</si>
  <si>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</si>
  <si>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</si>
  <si>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</si>
  <si>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</si>
  <si>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</si>
  <si>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</si>
  <si>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</si>
  <si>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</si>
  <si>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</si>
  <si>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</si>
  <si>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</si>
  <si>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</si>
  <si>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</si>
  <si>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</si>
  <si>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</si>
  <si>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</si>
  <si>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</si>
  <si>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</si>
  <si>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</si>
  <si>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</si>
  <si>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</si>
  <si>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</si>
  <si>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</si>
  <si>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</si>
  <si>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</si>
  <si>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</si>
  <si>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</si>
  <si>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</si>
  <si>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</si>
  <si>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</si>
  <si>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</si>
  <si>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</si>
  <si>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</si>
  <si>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</si>
  <si>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</si>
  <si>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</si>
  <si>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</si>
  <si>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</si>
  <si>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</si>
  <si>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</si>
  <si>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</si>
  <si>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</si>
  <si>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</si>
  <si>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</si>
  <si>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</si>
  <si>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</si>
  <si>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</si>
  <si>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</si>
  <si>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</si>
  <si>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</si>
  <si>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</si>
  <si>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</si>
  <si>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</si>
  <si>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</si>
  <si>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</si>
  <si>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</si>
  <si>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</si>
  <si>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</si>
  <si>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</si>
  <si>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</si>
  <si>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</si>
  <si>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</si>
  <si>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</si>
  <si>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</si>
  <si>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</si>
  <si>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</si>
  <si>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</si>
  <si>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</si>
  <si>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</si>
  <si>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</si>
  <si>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</si>
  <si>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</si>
  <si>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</si>
  <si>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</si>
  <si>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</si>
  <si>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</si>
  <si>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</si>
  <si>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</si>
  <si>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</si>
  <si>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</si>
  <si>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</si>
  <si>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</si>
  <si>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</si>
  <si>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</si>
  <si>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</si>
  <si>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</si>
  <si>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</si>
  <si>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</si>
  <si>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</si>
  <si>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</si>
  <si>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</si>
  <si>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</si>
  <si>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</si>
  <si>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</si>
  <si>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</si>
  <si>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</si>
  <si>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</si>
  <si>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</si>
  <si>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</si>
  <si>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</si>
  <si>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</si>
  <si>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</si>
  <si>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</si>
  <si>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</si>
  <si>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</si>
  <si>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</si>
  <si>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</si>
  <si>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</si>
  <si>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</si>
  <si>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</si>
  <si>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</si>
  <si>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</si>
  <si>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</si>
  <si>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</si>
  <si>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</si>
  <si>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</si>
  <si>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</si>
  <si>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</si>
  <si>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</si>
  <si>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</si>
  <si>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</si>
  <si>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</si>
  <si>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</si>
  <si>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</si>
  <si>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</si>
  <si>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</si>
  <si>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</si>
  <si>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</si>
  <si>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</si>
  <si>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</si>
  <si>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</si>
  <si>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</si>
  <si>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</si>
  <si>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</si>
  <si>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</si>
  <si>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</si>
  <si>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</si>
  <si>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</si>
  <si>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</si>
  <si>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</si>
  <si>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</si>
  <si>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</si>
  <si>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</si>
  <si>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</si>
  <si>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</si>
  <si>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</si>
  <si>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</si>
  <si>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</si>
  <si>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</si>
  <si>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</si>
  <si>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</si>
  <si>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</si>
  <si>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</si>
  <si>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</si>
  <si>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</si>
  <si>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</si>
  <si>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</si>
  <si>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</si>
  <si>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</si>
  <si>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</si>
  <si>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</si>
  <si>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</si>
  <si>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</si>
  <si>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</si>
  <si>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</si>
  <si>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</si>
  <si>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</si>
  <si>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</si>
  <si>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</si>
  <si>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</si>
  <si>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</si>
  <si>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</si>
  <si>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</si>
  <si>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</si>
  <si>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</si>
  <si>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</si>
  <si>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</si>
  <si>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</si>
  <si>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</si>
  <si>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</si>
  <si>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</si>
  <si>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</si>
  <si>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</si>
  <si>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</si>
  <si>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</si>
  <si>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</si>
  <si>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</si>
  <si>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</si>
  <si>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</si>
  <si>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</si>
  <si>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</si>
  <si>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</si>
  <si>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</si>
  <si>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</si>
  <si>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</si>
  <si>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</si>
  <si>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</si>
  <si>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</si>
  <si>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</si>
  <si>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</si>
  <si>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</si>
  <si>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</si>
  <si>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</si>
  <si>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</si>
  <si>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</si>
  <si>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</si>
  <si>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</si>
  <si>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</si>
  <si>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</si>
  <si>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</si>
  <si>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</si>
  <si>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</si>
  <si>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</si>
  <si>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</si>
  <si>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</si>
  <si>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</si>
  <si>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</si>
  <si>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</si>
  <si>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</si>
  <si>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</si>
  <si>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</si>
  <si>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</si>
  <si>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</si>
  <si>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</si>
  <si>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</si>
  <si>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</si>
  <si>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</si>
  <si>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</si>
  <si>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</si>
  <si>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</si>
  <si>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</si>
  <si>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</si>
  <si>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</si>
  <si>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</si>
  <si>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</si>
  <si>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</si>
  <si>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</si>
  <si>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</si>
  <si>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</si>
  <si>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</si>
  <si>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</si>
  <si>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</si>
  <si>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</si>
  <si>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</si>
  <si>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</si>
  <si>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</si>
  <si>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</si>
  <si>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</si>
  <si>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</si>
  <si>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</si>
  <si>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</si>
  <si>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</si>
  <si>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</si>
  <si>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</si>
  <si>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</si>
  <si>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</si>
  <si>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</si>
  <si>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</si>
  <si>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</si>
  <si>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</si>
  <si>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</si>
  <si>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</si>
  <si>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</si>
  <si>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</si>
  <si>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</si>
  <si>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</si>
  <si>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</si>
  <si>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</si>
  <si>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</si>
  <si>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</si>
  <si>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</si>
  <si>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</si>
  <si>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</si>
  <si>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</si>
  <si>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</si>
  <si>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</si>
  <si>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</si>
  <si>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</si>
  <si>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</si>
  <si>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</si>
  <si>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</si>
  <si>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</si>
  <si>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</si>
  <si>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</si>
  <si>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</si>
  <si>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</si>
  <si>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</si>
  <si>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</si>
  <si>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</si>
  <si>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</si>
  <si>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</si>
  <si>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</si>
  <si>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</si>
  <si>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</si>
  <si>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</si>
  <si>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</si>
  <si>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</si>
  <si>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</si>
  <si>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</si>
  <si>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</si>
  <si>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</si>
  <si>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</si>
  <si>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</si>
  <si>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</si>
  <si>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</si>
  <si>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</si>
  <si>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</si>
  <si>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</si>
  <si>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</si>
  <si>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</si>
  <si>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</si>
  <si>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</si>
  <si>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</si>
  <si>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</si>
  <si>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</si>
  <si>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</si>
  <si>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</si>
  <si>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</si>
  <si>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</si>
  <si>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</si>
  <si>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</si>
  <si>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</si>
  <si>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</si>
  <si>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</si>
  <si>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</si>
  <si>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</si>
  <si>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</si>
  <si>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</si>
  <si>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</si>
  <si>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</si>
  <si>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</si>
  <si>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</si>
  <si>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</si>
  <si>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</si>
  <si>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</si>
  <si>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</si>
  <si>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</si>
  <si>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</si>
  <si>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</si>
  <si>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</si>
  <si>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</si>
  <si>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</si>
  <si>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</si>
  <si>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</si>
  <si>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</si>
  <si>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</si>
  <si>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</si>
  <si>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</si>
  <si>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</si>
  <si>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</si>
  <si>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</si>
  <si>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</si>
  <si>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</si>
  <si>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</si>
  <si>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</si>
  <si>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</si>
  <si>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</si>
  <si>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</si>
  <si>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</si>
  <si>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</si>
  <si>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</si>
  <si>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</si>
  <si>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</si>
  <si>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</si>
  <si>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</si>
  <si>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</si>
  <si>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</si>
  <si>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</si>
  <si>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</si>
  <si>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</si>
  <si>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</si>
  <si>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</si>
  <si>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</si>
  <si>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</si>
  <si>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</si>
  <si>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</si>
  <si>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</si>
  <si>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</si>
  <si>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</si>
  <si>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</si>
  <si>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</si>
  <si>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</si>
  <si>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</si>
  <si>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</si>
  <si>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</si>
  <si>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</si>
  <si>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</si>
  <si>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</si>
  <si>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</si>
  <si>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</si>
  <si>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</si>
  <si>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</si>
  <si>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</si>
  <si>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</si>
  <si>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</si>
  <si>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</si>
  <si>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</si>
  <si>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</si>
  <si>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</si>
  <si>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</si>
  <si>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</si>
  <si>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</si>
  <si>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</si>
  <si>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</si>
  <si>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</si>
  <si>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</si>
  <si>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</si>
  <si>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</si>
  <si>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</si>
  <si>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</si>
  <si>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</si>
  <si>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</si>
  <si>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</si>
  <si>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</si>
  <si>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</si>
  <si>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</si>
  <si>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</si>
  <si>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</si>
  <si>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</si>
  <si>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</si>
  <si>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</si>
  <si>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</si>
  <si>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</si>
  <si>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</si>
  <si>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</si>
  <si>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</si>
  <si>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</si>
  <si>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</si>
  <si>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</si>
  <si>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</si>
  <si>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</si>
  <si>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</si>
  <si>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</si>
  <si>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</si>
  <si>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</si>
  <si>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</si>
  <si>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</si>
  <si>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</si>
  <si>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</si>
  <si>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</si>
  <si>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</si>
  <si>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</si>
  <si>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</si>
  <si>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</si>
  <si>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</si>
  <si>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</si>
  <si>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</si>
  <si>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</si>
  <si>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</si>
  <si>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</si>
  <si>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</si>
  <si>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</si>
  <si>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</si>
  <si>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</si>
  <si>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</si>
  <si>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</si>
  <si>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</si>
  <si>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</si>
  <si>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</si>
  <si>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</si>
  <si>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</si>
  <si>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</si>
  <si>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</si>
  <si>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</si>
  <si>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</si>
  <si>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</si>
  <si>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</si>
  <si>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</si>
  <si>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</si>
  <si>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</si>
  <si>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</si>
  <si>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</si>
  <si>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</si>
  <si>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</si>
  <si>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</si>
  <si>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</si>
  <si>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</si>
  <si>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</si>
  <si>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</si>
  <si>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</si>
  <si>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</si>
  <si>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</si>
  <si>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</si>
  <si>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</si>
  <si>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</si>
  <si>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</si>
  <si>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</si>
  <si>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</si>
  <si>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</si>
  <si>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</si>
  <si>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</si>
  <si>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</si>
  <si>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</si>
  <si>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</si>
  <si>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</si>
  <si>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</si>
  <si>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</si>
  <si>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</si>
  <si>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</si>
  <si>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</si>
  <si>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</si>
  <si>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</si>
  <si>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</si>
  <si>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</si>
  <si>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</si>
  <si>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</si>
  <si>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</si>
  <si>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</si>
  <si>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</si>
  <si>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</si>
  <si>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</si>
  <si>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</si>
  <si>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</si>
  <si>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</si>
  <si>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</si>
  <si>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</si>
  <si>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</si>
  <si>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</si>
  <si>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</si>
  <si>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</si>
  <si>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</si>
  <si>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</si>
  <si>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</si>
  <si>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</si>
  <si>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</si>
  <si>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</si>
  <si>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</si>
  <si>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</si>
  <si>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</si>
  <si>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</si>
  <si>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</si>
  <si>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</si>
  <si>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</si>
  <si>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</si>
  <si>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</si>
  <si>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</si>
  <si>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</si>
  <si>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</si>
  <si>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</si>
  <si>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</si>
  <si>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</si>
  <si>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</si>
  <si>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</si>
  <si>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</si>
  <si>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</si>
  <si>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</si>
  <si>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</si>
  <si>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</si>
  <si>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</si>
  <si>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</si>
  <si>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</si>
  <si>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</si>
  <si>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</si>
  <si>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</si>
  <si>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</si>
  <si>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</si>
  <si>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</si>
  <si>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</si>
  <si>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</si>
  <si>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</si>
  <si>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</si>
  <si>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</si>
  <si>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</si>
  <si>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</si>
  <si>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</si>
  <si>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</si>
  <si>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</si>
  <si>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</si>
  <si>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</si>
  <si>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</si>
  <si>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</si>
  <si>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</si>
  <si>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</si>
  <si>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</si>
  <si>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</si>
  <si>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</si>
  <si>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</si>
  <si>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</si>
  <si>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</si>
  <si>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</si>
  <si>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</si>
  <si>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</si>
  <si>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</si>
  <si>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</si>
  <si>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</si>
  <si>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</si>
  <si>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</si>
  <si>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</si>
  <si>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</si>
  <si>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</si>
  <si>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</si>
  <si>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</si>
  <si>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</si>
  <si>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</si>
  <si>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</si>
  <si>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</si>
  <si>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</si>
  <si>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</si>
  <si>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</si>
  <si>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</si>
  <si>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</si>
  <si>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</si>
  <si>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</si>
  <si>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</si>
  <si>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</si>
  <si>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</si>
  <si>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</si>
  <si>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</si>
  <si>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</si>
  <si>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</si>
  <si>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</si>
  <si>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</si>
  <si>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</si>
  <si>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</si>
  <si>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</si>
  <si>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</si>
  <si>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</si>
  <si>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</si>
  <si>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</si>
  <si>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</si>
  <si>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</si>
  <si>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</si>
  <si>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</si>
  <si>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</si>
  <si>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</si>
  <si>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</si>
  <si>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</si>
  <si>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</si>
  <si>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</si>
  <si>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</si>
  <si>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</si>
  <si>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</si>
  <si>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</si>
  <si>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</si>
  <si>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</si>
  <si>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</si>
  <si>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</si>
  <si>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</si>
  <si>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</si>
  <si>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</si>
  <si>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</si>
  <si>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</si>
  <si>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</si>
  <si>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</si>
  <si>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</si>
  <si>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</si>
  <si>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</si>
  <si>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</si>
  <si>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</si>
  <si>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</si>
  <si>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</si>
  <si>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</si>
  <si>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</si>
  <si>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</si>
  <si>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</si>
  <si>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</si>
  <si>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</si>
  <si>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</si>
  <si>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</si>
  <si>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</si>
  <si>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</si>
  <si>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</si>
  <si>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</si>
  <si>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</si>
  <si>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</si>
  <si>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</si>
  <si>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</si>
  <si>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</si>
  <si>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</si>
  <si>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</si>
  <si>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</si>
  <si>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</si>
  <si>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</si>
  <si>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</si>
  <si>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</si>
  <si>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</si>
  <si>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</si>
  <si>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</si>
  <si>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</si>
  <si>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</si>
  <si>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</si>
  <si>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</si>
  <si>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</si>
  <si>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</si>
  <si>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</si>
  <si>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</si>
  <si>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</si>
  <si>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</si>
  <si>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</si>
  <si>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</si>
  <si>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</si>
  <si>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</si>
  <si>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</si>
  <si>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</si>
  <si>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</si>
  <si>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</si>
  <si>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</si>
  <si>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</si>
  <si>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</si>
  <si>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</si>
  <si>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</si>
  <si>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</si>
  <si>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</si>
  <si>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</si>
  <si>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</si>
  <si>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</si>
  <si>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</si>
  <si>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</si>
  <si>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</si>
  <si>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</si>
  <si>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</si>
  <si>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</si>
  <si>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</si>
  <si>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</si>
  <si>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</si>
  <si>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</si>
  <si>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</si>
  <si>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</si>
  <si>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</si>
  <si>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</si>
  <si>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</si>
  <si>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</si>
  <si>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</si>
  <si>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</si>
  <si>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</si>
  <si>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</si>
  <si>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</si>
  <si>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</si>
  <si>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</si>
  <si>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</si>
  <si>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</si>
  <si>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</si>
  <si>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</si>
  <si>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</si>
  <si>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</si>
  <si>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</si>
  <si>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</si>
  <si>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</si>
  <si>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</si>
  <si>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</si>
  <si>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</si>
  <si>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</si>
  <si>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</si>
  <si>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</si>
  <si>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</si>
  <si>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</si>
  <si>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</si>
  <si>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</si>
  <si>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</si>
  <si>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</si>
  <si>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</si>
  <si>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</si>
  <si>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</si>
  <si>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</si>
  <si>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</si>
  <si>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</si>
  <si>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</si>
  <si>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</si>
  <si>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</si>
  <si>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</si>
  <si>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</si>
  <si>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</si>
  <si>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</si>
  <si>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</si>
  <si>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</si>
  <si>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</si>
  <si>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</si>
  <si>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</si>
  <si>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</si>
  <si>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</si>
  <si>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</si>
  <si>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</si>
  <si>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</si>
  <si>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</si>
  <si>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</si>
  <si>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</si>
  <si>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</si>
  <si>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</si>
  <si>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</si>
  <si>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</si>
  <si>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</si>
  <si>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</si>
  <si>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</si>
  <si>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</si>
  <si>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</si>
  <si>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</si>
  <si>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</si>
  <si>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</si>
  <si>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</si>
  <si>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</si>
  <si>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</si>
  <si>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</si>
  <si>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</si>
  <si>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</si>
  <si>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</si>
  <si>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</si>
  <si>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</si>
  <si>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</si>
  <si>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</si>
  <si>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</si>
  <si>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</si>
  <si>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</si>
  <si>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</si>
  <si>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</si>
  <si>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</si>
  <si>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</si>
  <si>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</si>
  <si>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</si>
  <si>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</si>
  <si>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</si>
  <si>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</si>
  <si>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</si>
  <si>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</si>
  <si>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</si>
  <si>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</si>
  <si>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</si>
  <si>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</si>
  <si>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</si>
  <si>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</si>
  <si>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</si>
  <si>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</si>
  <si>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</si>
  <si>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</si>
  <si>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</si>
  <si>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</si>
  <si>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</si>
  <si>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</si>
  <si>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</si>
  <si>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</si>
  <si>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</si>
  <si>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</si>
  <si>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</si>
  <si>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</si>
  <si>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</si>
  <si>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</si>
  <si>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</si>
  <si>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</si>
  <si>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</si>
  <si>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</si>
  <si>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</si>
  <si>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</si>
  <si>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</si>
  <si>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</si>
  <si>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</si>
  <si>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</si>
  <si>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</si>
  <si>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</si>
  <si>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</si>
  <si>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</si>
  <si>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</si>
  <si>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</si>
  <si>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</si>
  <si>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</si>
  <si>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</si>
  <si>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</si>
  <si>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</si>
  <si>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</si>
  <si>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</si>
  <si>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</si>
  <si>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</si>
  <si>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</si>
  <si>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</si>
  <si>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</si>
  <si>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</si>
  <si>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</si>
  <si>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</si>
  <si>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</si>
  <si>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</si>
  <si>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</si>
  <si>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</si>
  <si>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</si>
  <si>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</si>
  <si>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</si>
  <si>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</si>
  <si>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</si>
  <si>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</si>
  <si>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</si>
  <si>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</si>
  <si>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</si>
  <si>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</si>
  <si>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</si>
  <si>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</si>
  <si>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</si>
  <si>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</si>
  <si>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</si>
  <si>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</si>
  <si>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</si>
  <si>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</si>
  <si>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</si>
  <si>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</si>
  <si>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</si>
  <si>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</si>
  <si>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</si>
  <si>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</si>
  <si>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</si>
  <si>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</si>
  <si>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</si>
  <si>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</si>
  <si>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</si>
  <si>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</si>
  <si>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</si>
  <si>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</si>
  <si>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</si>
  <si>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</si>
  <si>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</si>
  <si>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</si>
  <si>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</si>
  <si>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</si>
  <si>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</si>
  <si>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</si>
  <si>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</si>
  <si>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</si>
  <si>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</si>
  <si>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</si>
  <si>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</si>
  <si>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</si>
  <si>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</si>
  <si>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</si>
  <si>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</si>
  <si>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</si>
  <si>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</si>
  <si>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</si>
  <si>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</si>
  <si>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</si>
  <si>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</si>
  <si>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</si>
  <si>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</si>
  <si>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</si>
  <si>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</si>
  <si>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</si>
  <si>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</si>
  <si>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</si>
  <si>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</si>
  <si>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</si>
  <si>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</si>
  <si>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</si>
  <si>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</si>
  <si>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</si>
  <si>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</si>
  <si>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</si>
  <si>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</si>
  <si>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</si>
  <si>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</si>
  <si>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</si>
  <si>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</si>
  <si>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</si>
  <si>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</si>
  <si>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</si>
  <si>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</si>
  <si>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</si>
  <si>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</si>
  <si>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</si>
  <si>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</si>
  <si>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</si>
  <si>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</si>
  <si>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</si>
  <si>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</si>
  <si>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</si>
  <si>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</si>
  <si>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</si>
  <si>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</si>
  <si>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</si>
  <si>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</si>
  <si>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</si>
  <si>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</si>
  <si>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</si>
  <si>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</si>
  <si>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</si>
  <si>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</si>
  <si>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</si>
  <si>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</si>
  <si>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</si>
  <si>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</si>
  <si>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</si>
  <si>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</si>
  <si>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</si>
  <si>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</si>
  <si>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</si>
  <si>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</si>
  <si>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</si>
  <si>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</si>
  <si>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</si>
  <si>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</si>
  <si>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</si>
  <si>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</si>
  <si>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</si>
  <si>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</si>
  <si>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</si>
  <si>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</si>
  <si>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</si>
  <si>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</si>
  <si>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</si>
  <si>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</si>
  <si>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</si>
  <si>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</si>
  <si>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</si>
  <si>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</si>
  <si>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</si>
  <si>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</si>
  <si>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</si>
  <si>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</si>
  <si>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</si>
  <si>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</si>
  <si>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</si>
  <si>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</si>
  <si>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</si>
  <si>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</si>
  <si>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</si>
  <si>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</si>
  <si>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</si>
  <si>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</si>
  <si>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</si>
  <si>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</si>
  <si>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</si>
  <si>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</si>
  <si>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</si>
  <si>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</si>
  <si>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</si>
  <si>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</si>
  <si>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</si>
  <si>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</si>
  <si>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</si>
  <si>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</si>
  <si>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</si>
  <si>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</si>
  <si>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</si>
  <si>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</si>
  <si>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</si>
  <si>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</si>
  <si>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</si>
  <si>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</si>
  <si>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</si>
  <si>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</si>
  <si>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</si>
  <si>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</si>
  <si>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</si>
  <si>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</si>
  <si>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</si>
  <si>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</si>
  <si>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</si>
  <si>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</si>
  <si>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</si>
  <si>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</si>
  <si>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</si>
  <si>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</si>
  <si>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</si>
  <si>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</si>
  <si>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</si>
  <si>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</si>
  <si>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</si>
  <si>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</si>
  <si>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</si>
  <si>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</si>
  <si>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</si>
  <si>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</si>
  <si>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</si>
  <si>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</si>
  <si>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</si>
  <si>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</si>
  <si>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</si>
  <si>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</si>
  <si>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</si>
  <si>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</si>
  <si>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</si>
  <si>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</si>
  <si>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</si>
  <si>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</si>
  <si>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</si>
  <si>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</si>
  <si>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</si>
  <si>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</si>
  <si>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</si>
  <si>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</si>
  <si>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</si>
  <si>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</si>
  <si>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</si>
  <si>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</si>
  <si>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</si>
  <si>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</si>
  <si>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</si>
  <si>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</si>
  <si>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</si>
  <si>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</si>
  <si>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</si>
  <si>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</si>
  <si>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</si>
  <si>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</si>
  <si>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</si>
  <si>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</si>
  <si>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</si>
  <si>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</si>
  <si>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</si>
  <si>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</si>
  <si>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</si>
  <si>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</si>
  <si>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</si>
  <si>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</si>
  <si>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</si>
  <si>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</si>
  <si>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</si>
  <si>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</si>
  <si>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</si>
  <si>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</si>
  <si>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</si>
  <si>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</si>
  <si>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</si>
  <si>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</si>
  <si>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</si>
  <si>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</si>
  <si>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</si>
  <si>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</si>
  <si>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</si>
  <si>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</si>
  <si>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</si>
  <si>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</si>
  <si>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</si>
  <si>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</si>
  <si>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</si>
  <si>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</si>
  <si>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</si>
  <si>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</si>
  <si>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</si>
  <si>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</si>
  <si>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</si>
  <si>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</si>
  <si>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</si>
  <si>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</si>
  <si>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</si>
  <si>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</si>
  <si>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</si>
  <si>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</si>
  <si>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</si>
  <si>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</si>
  <si>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</si>
  <si>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</si>
  <si>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</si>
  <si>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</si>
  <si>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</si>
  <si>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</si>
  <si>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</si>
  <si>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</si>
  <si>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</si>
  <si>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</si>
  <si>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</si>
  <si>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</si>
  <si>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</si>
  <si>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</si>
  <si>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</si>
  <si>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</si>
  <si>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</si>
  <si>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</si>
  <si>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</si>
  <si>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</si>
  <si>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</si>
  <si>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</si>
  <si>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</si>
  <si>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</si>
  <si>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</si>
  <si>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</si>
  <si>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</si>
  <si>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</si>
  <si>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</si>
  <si>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</si>
  <si>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</si>
  <si>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</si>
  <si>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</si>
  <si>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</si>
  <si>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</si>
  <si>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</si>
  <si>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</si>
  <si>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</si>
  <si>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</si>
  <si>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</si>
  <si>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</si>
  <si>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</si>
  <si>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</si>
  <si>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</si>
  <si>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</si>
  <si>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</si>
  <si>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</si>
  <si>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</si>
  <si>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</si>
  <si>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</si>
  <si>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</si>
  <si>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</si>
  <si>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</si>
  <si>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</si>
  <si>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</si>
  <si>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</si>
  <si>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</si>
  <si>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</si>
  <si>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</si>
  <si>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</si>
  <si>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</si>
  <si>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</si>
  <si>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</si>
  <si>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</si>
  <si>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</si>
  <si>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</si>
  <si>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</si>
  <si>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</si>
  <si>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</si>
  <si>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</si>
  <si>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</si>
  <si>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</si>
  <si>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</si>
  <si>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</si>
  <si>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</si>
  <si>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</si>
  <si>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</si>
  <si>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</si>
  <si>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</si>
  <si>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</si>
  <si>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</si>
  <si>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</si>
  <si>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</si>
  <si>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</si>
  <si>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</si>
  <si>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</si>
  <si>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</si>
  <si>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</si>
  <si>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</si>
  <si>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</si>
  <si>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</si>
  <si>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</si>
  <si>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</si>
  <si>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</si>
  <si>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</si>
  <si>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</si>
  <si>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</si>
  <si>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</si>
  <si>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</si>
  <si>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</si>
  <si>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</si>
  <si>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</si>
  <si>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</si>
  <si>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</si>
  <si>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</si>
  <si>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</si>
  <si>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</si>
  <si>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</si>
  <si>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</si>
  <si>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</si>
  <si>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</si>
  <si>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</si>
  <si>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</si>
  <si>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</si>
  <si>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</si>
  <si>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</si>
  <si>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</si>
  <si>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</si>
  <si>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</si>
  <si>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</si>
  <si>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</si>
  <si>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</si>
  <si>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</si>
  <si>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</si>
  <si>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</si>
  <si>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</si>
  <si>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</si>
  <si>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</si>
  <si>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</si>
  <si>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</si>
  <si>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</si>
  <si>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</si>
  <si>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</si>
  <si>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</si>
  <si>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</si>
  <si>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</si>
  <si>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</si>
  <si>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</si>
  <si>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</si>
  <si>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</si>
  <si>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</si>
  <si>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</si>
  <si>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</si>
  <si>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</si>
  <si>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</si>
  <si>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</si>
  <si>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</si>
  <si>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</si>
  <si>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</si>
  <si>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</si>
  <si>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</si>
  <si>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</si>
  <si>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</si>
  <si>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</si>
  <si>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</si>
  <si>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</si>
  <si>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</si>
  <si>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</si>
  <si>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</si>
  <si>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</si>
  <si>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</si>
  <si>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</si>
  <si>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</si>
  <si>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</si>
  <si>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</si>
  <si>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</si>
  <si>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</si>
  <si>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</si>
  <si>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</si>
  <si>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</si>
  <si>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</si>
  <si>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</si>
  <si>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</si>
  <si>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</si>
  <si>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</si>
  <si>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</si>
  <si>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</si>
  <si>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</si>
  <si>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</si>
  <si>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</si>
  <si>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</si>
  <si>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</si>
  <si>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</si>
  <si>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</si>
  <si>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</si>
  <si>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</si>
  <si>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</si>
  <si>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</si>
  <si>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</si>
  <si>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</si>
  <si>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</si>
  <si>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</si>
  <si>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</si>
  <si>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</si>
  <si>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</si>
  <si>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</si>
  <si>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</si>
  <si>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</si>
  <si>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</si>
  <si>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</si>
  <si>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</si>
  <si>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</si>
  <si>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</si>
  <si>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</si>
  <si>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</si>
  <si>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</si>
  <si>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</si>
  <si>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</si>
  <si>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</si>
  <si>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</si>
  <si>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</si>
  <si>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</si>
  <si>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</si>
  <si>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</si>
  <si>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</si>
  <si>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</si>
  <si>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</si>
  <si>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</si>
  <si>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</si>
  <si>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</si>
  <si>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</si>
  <si>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</si>
  <si>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</si>
  <si>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</si>
  <si>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</si>
  <si>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</si>
  <si>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</si>
  <si>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</si>
  <si>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</si>
  <si>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</si>
  <si>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</si>
  <si>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</si>
  <si>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</si>
  <si>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</si>
  <si>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</si>
  <si>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</si>
  <si>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</si>
  <si>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</si>
  <si>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</si>
  <si>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</si>
  <si>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</si>
  <si>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</si>
  <si>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</si>
  <si>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</si>
  <si>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</si>
  <si>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</si>
  <si>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</si>
  <si>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</si>
  <si>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</si>
  <si>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</si>
  <si>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</si>
  <si>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</si>
  <si>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</si>
  <si>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</si>
  <si>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</si>
  <si>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</si>
  <si>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</si>
  <si>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</si>
  <si>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</si>
  <si>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</si>
  <si>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</si>
  <si>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</si>
  <si>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</si>
  <si>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</si>
  <si>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</si>
  <si>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</si>
  <si>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</si>
  <si>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</si>
  <si>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</si>
  <si>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</si>
  <si>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</si>
  <si>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</si>
  <si>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</si>
  <si>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</si>
  <si>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</si>
  <si>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</si>
  <si>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</si>
  <si>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</si>
  <si>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</si>
  <si>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</si>
  <si>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</si>
  <si>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</si>
  <si>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</si>
  <si>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</si>
  <si>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</si>
  <si>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</si>
  <si>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</si>
  <si>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</si>
  <si>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</si>
  <si>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</si>
  <si>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</si>
  <si>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</si>
  <si>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</si>
  <si>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</si>
  <si>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</si>
  <si>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</si>
  <si>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</si>
  <si>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</si>
  <si>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</si>
  <si>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</si>
  <si>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</si>
  <si>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</si>
  <si>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</si>
  <si>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</si>
  <si>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</si>
  <si>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</si>
  <si>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</si>
  <si>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</si>
  <si>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</si>
  <si>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</si>
  <si>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</si>
  <si>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</si>
  <si>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</si>
  <si>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</si>
  <si>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</si>
  <si>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</si>
  <si>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</si>
  <si>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</si>
  <si>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</si>
  <si>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</si>
  <si>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</si>
  <si>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</si>
  <si>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</si>
  <si>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</si>
  <si>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</si>
  <si>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</si>
  <si>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</si>
  <si>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</si>
  <si>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</si>
  <si>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</si>
  <si>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</si>
  <si>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</si>
  <si>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</si>
  <si>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</si>
  <si>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</si>
  <si>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</si>
  <si>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</si>
  <si>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</si>
  <si>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</si>
  <si>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</si>
  <si>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</si>
  <si>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</si>
  <si>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</si>
  <si>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</si>
  <si>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</si>
  <si>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</si>
  <si>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</si>
  <si>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</si>
  <si>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</si>
  <si>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</si>
  <si>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</si>
  <si>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</si>
  <si>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</si>
  <si>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</si>
  <si>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</si>
  <si>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</si>
  <si>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</si>
  <si>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</si>
  <si>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</si>
  <si>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</si>
  <si>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</si>
  <si>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</si>
  <si>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</si>
  <si>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</si>
  <si>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</si>
  <si>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</si>
  <si>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</si>
  <si>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</si>
  <si>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</si>
  <si>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</si>
  <si>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</si>
  <si>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</si>
  <si>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</si>
  <si>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</si>
  <si>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</si>
  <si>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</si>
  <si>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</si>
  <si>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</si>
  <si>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</si>
  <si>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</si>
  <si>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</si>
  <si>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</si>
  <si>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</si>
  <si>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</si>
  <si>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</si>
  <si>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</si>
  <si>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</si>
  <si>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</si>
  <si>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</si>
  <si>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</si>
  <si>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</si>
  <si>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</si>
  <si>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</si>
  <si>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</si>
  <si>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</si>
  <si>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</si>
  <si>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</si>
  <si>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</si>
  <si>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</si>
  <si>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</si>
  <si>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</si>
  <si>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</si>
  <si>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</si>
  <si>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</si>
  <si>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</si>
  <si>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</si>
  <si>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</si>
  <si>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</si>
  <si>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</si>
  <si>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</si>
  <si>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</si>
  <si>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</si>
  <si>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</si>
  <si>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</si>
  <si>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</si>
  <si>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</si>
  <si>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</si>
  <si>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</si>
  <si>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</si>
  <si>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</si>
  <si>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</si>
  <si>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</si>
  <si>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</si>
  <si>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</si>
  <si>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</si>
  <si>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</si>
  <si>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</si>
  <si>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</si>
  <si>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</si>
  <si>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</si>
  <si>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</si>
  <si>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</si>
  <si>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</si>
  <si>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</si>
  <si>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</si>
  <si>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</si>
  <si>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</si>
  <si>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</si>
  <si>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</si>
  <si>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</si>
  <si>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</si>
  <si>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</si>
  <si>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</si>
  <si>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</si>
  <si>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</si>
  <si>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</si>
  <si>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</si>
  <si>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</si>
  <si>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</si>
  <si>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</si>
  <si>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</si>
  <si>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</si>
  <si>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</si>
  <si>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</si>
  <si>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</si>
  <si>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</si>
  <si>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</si>
  <si>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</si>
  <si>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</si>
  <si>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</si>
  <si>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</si>
  <si>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</si>
  <si>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</si>
  <si>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</si>
  <si>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</si>
  <si>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</si>
  <si>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</si>
  <si>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</si>
  <si>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</si>
  <si>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</si>
  <si>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</si>
  <si>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</si>
  <si>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</si>
  <si>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</si>
  <si>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</si>
  <si>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</si>
  <si>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</si>
  <si>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</si>
  <si>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</si>
  <si>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</si>
  <si>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</si>
  <si>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</si>
  <si>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</si>
  <si>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</si>
  <si>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</si>
  <si>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</si>
  <si>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</si>
  <si>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</si>
  <si>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</si>
  <si>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</si>
  <si>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</si>
  <si>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</si>
  <si>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</si>
  <si>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</si>
  <si>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</si>
  <si>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</si>
  <si>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</si>
  <si>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</si>
  <si>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</si>
  <si>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</si>
  <si>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</si>
  <si>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</si>
  <si>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</si>
  <si>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</si>
  <si>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</si>
  <si>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</si>
  <si>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</si>
  <si>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</si>
  <si>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</si>
  <si>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</si>
  <si>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</si>
  <si>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</si>
  <si>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</si>
  <si>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</si>
  <si>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</si>
  <si>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</si>
  <si>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</si>
  <si>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</si>
  <si>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</si>
  <si>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</si>
  <si>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</si>
  <si>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</si>
  <si>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</si>
  <si>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</si>
  <si>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</si>
  <si>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</si>
  <si>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</si>
  <si>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</si>
  <si>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</si>
  <si>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</si>
  <si>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</si>
  <si>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</si>
  <si>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</si>
  <si>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</si>
  <si>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</si>
  <si>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</si>
  <si>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</si>
  <si>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</si>
  <si>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</si>
  <si>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</si>
  <si>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</si>
  <si>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</si>
  <si>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</si>
  <si>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</si>
  <si>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</si>
  <si>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</si>
  <si>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</si>
  <si>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</si>
  <si>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</si>
  <si>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</si>
  <si>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</si>
  <si>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</si>
  <si>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</si>
  <si>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</si>
  <si>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</si>
  <si>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</si>
  <si>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</si>
  <si>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</si>
  <si>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</si>
  <si>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</si>
  <si>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</si>
  <si>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</si>
  <si>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</si>
  <si>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</si>
  <si>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</si>
  <si>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</si>
  <si>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</si>
  <si>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</si>
  <si>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</si>
  <si>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</si>
  <si>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</si>
  <si>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</si>
  <si>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</si>
  <si>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</si>
  <si>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</si>
  <si>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</si>
  <si>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</si>
  <si>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</si>
  <si>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</si>
  <si>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</si>
  <si>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</si>
  <si>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</si>
  <si>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</si>
  <si>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</si>
  <si>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</si>
  <si>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</si>
  <si>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</si>
  <si>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</si>
  <si>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</si>
  <si>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</si>
  <si>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</si>
  <si>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</si>
  <si>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</si>
  <si>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</si>
  <si>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</si>
  <si>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</si>
  <si>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</si>
  <si>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</si>
  <si>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</si>
  <si>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</si>
  <si>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</si>
  <si>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</si>
  <si>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</si>
  <si>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</si>
  <si>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</si>
  <si>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</si>
  <si>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</si>
  <si>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</si>
  <si>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</si>
  <si>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</si>
  <si>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</si>
  <si>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</si>
  <si>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</si>
  <si>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</si>
  <si>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</si>
  <si>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</si>
  <si>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</si>
  <si>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</si>
  <si>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</si>
  <si>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</si>
  <si>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</si>
  <si>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</si>
  <si>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</si>
  <si>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</si>
  <si>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</si>
  <si>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</si>
  <si>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</si>
  <si>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</si>
  <si>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</si>
  <si>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</si>
  <si>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</si>
  <si>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</si>
  <si>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</si>
  <si>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</si>
  <si>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</si>
  <si>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</si>
  <si>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</si>
  <si>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</si>
  <si>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</si>
  <si>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</si>
  <si>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</si>
  <si>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</si>
  <si>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</si>
  <si>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</si>
  <si>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</si>
  <si>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</si>
  <si>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</si>
  <si>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</si>
  <si>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</si>
  <si>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</si>
  <si>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</si>
  <si>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</si>
  <si>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</si>
  <si>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</si>
  <si>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</si>
  <si>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</si>
  <si>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</si>
  <si>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</si>
  <si>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</si>
  <si>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</si>
  <si>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</si>
  <si>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</si>
  <si>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</si>
  <si>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</si>
  <si>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</si>
  <si>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</si>
  <si>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</si>
  <si>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</si>
  <si>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</si>
  <si>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</si>
  <si>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</si>
  <si>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</si>
  <si>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</si>
  <si>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</si>
  <si>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</si>
  <si>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</si>
  <si>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</si>
  <si>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</si>
  <si>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</si>
  <si>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</si>
  <si>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</si>
  <si>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</si>
  <si>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</si>
  <si>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</si>
  <si>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</si>
  <si>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</si>
  <si>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</si>
  <si>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</si>
  <si>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</si>
  <si>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</si>
  <si>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</si>
  <si>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</si>
  <si>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</si>
  <si>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</si>
  <si>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</si>
  <si>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</si>
  <si>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</si>
  <si>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</si>
  <si>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</si>
  <si>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</si>
  <si>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</si>
  <si>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</si>
  <si>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</si>
  <si>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</si>
  <si>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</si>
  <si>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</si>
  <si>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</si>
  <si>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</si>
  <si>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</si>
  <si>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</si>
  <si>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</si>
  <si>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</si>
  <si>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</si>
  <si>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</si>
  <si>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</si>
  <si>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</si>
  <si>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</si>
  <si>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</si>
  <si>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</si>
  <si>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</si>
  <si>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</si>
  <si>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</si>
  <si>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</si>
  <si>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</si>
  <si>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</si>
  <si>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</si>
  <si>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</si>
  <si>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</si>
  <si>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</si>
  <si>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</si>
  <si>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</si>
  <si>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</si>
  <si>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</si>
  <si>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</si>
  <si>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</si>
  <si>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</si>
  <si>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</si>
  <si>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</si>
  <si>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</si>
  <si>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</si>
  <si>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</si>
  <si>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</si>
  <si>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</si>
  <si>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</si>
  <si>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</si>
  <si>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</si>
  <si>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</si>
  <si>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</si>
  <si>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</si>
  <si>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</si>
  <si>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</si>
  <si>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</si>
  <si>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</si>
  <si>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</si>
  <si>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</si>
  <si>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</si>
  <si>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</si>
  <si>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</si>
  <si>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</si>
  <si>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</si>
  <si>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</si>
  <si>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</si>
  <si>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</si>
  <si>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</si>
  <si>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</si>
  <si>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</si>
  <si>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</si>
  <si>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</si>
  <si>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</si>
  <si>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</si>
  <si>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</si>
  <si>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</si>
  <si>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</si>
  <si>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</si>
  <si>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</si>
  <si>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</si>
  <si>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</si>
  <si>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</si>
  <si>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</si>
  <si>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</si>
  <si>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</si>
  <si>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</si>
  <si>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</si>
  <si>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</si>
  <si>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</si>
  <si>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</si>
  <si>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</si>
  <si>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</si>
  <si>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</si>
  <si>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</si>
  <si>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</si>
  <si>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</si>
  <si>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</si>
  <si>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</si>
  <si>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</si>
  <si>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</si>
  <si>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</si>
  <si>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</si>
  <si>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</si>
  <si>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</si>
  <si>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</si>
  <si>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</si>
  <si>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</si>
  <si>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</si>
  <si>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</si>
  <si>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</si>
  <si>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</si>
  <si>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</si>
  <si>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</si>
  <si>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</si>
  <si>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</si>
  <si>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</si>
  <si>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</si>
  <si>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</si>
  <si>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</si>
  <si>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</si>
  <si>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</si>
  <si>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</si>
  <si>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</si>
  <si>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</si>
  <si>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</si>
  <si>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</si>
  <si>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</si>
  <si>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</si>
  <si>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</si>
  <si>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</si>
  <si>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</si>
  <si>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</si>
  <si>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</si>
  <si>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</si>
  <si>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</si>
  <si>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</si>
  <si>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</si>
  <si>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</si>
  <si>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</si>
  <si>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</si>
  <si>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</si>
  <si>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</si>
  <si>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</si>
  <si>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</si>
  <si>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</si>
  <si>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</si>
  <si>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</si>
  <si>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</si>
  <si>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</si>
  <si>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</si>
  <si>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</si>
  <si>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</si>
  <si>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</si>
  <si>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</si>
  <si>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</si>
  <si>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</si>
  <si>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</si>
  <si>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</si>
  <si>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</si>
  <si>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</si>
  <si>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</si>
  <si>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</si>
  <si>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</si>
  <si>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</si>
  <si>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</si>
  <si>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</si>
  <si>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</si>
  <si>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</si>
  <si>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</si>
  <si>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</si>
  <si>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</si>
  <si>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</si>
  <si>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</si>
  <si>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</si>
  <si>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</si>
  <si>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</si>
  <si>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</si>
  <si>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</si>
  <si>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</si>
  <si>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</si>
  <si>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</si>
  <si>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</si>
  <si>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</si>
  <si>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</si>
  <si>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</si>
  <si>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</si>
  <si>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</si>
  <si>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</si>
  <si>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</si>
  <si>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</si>
  <si>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</si>
  <si>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</si>
  <si>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</si>
  <si>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</si>
  <si>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</si>
  <si>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</si>
  <si>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</si>
  <si>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</si>
  <si>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</si>
  <si>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</si>
  <si>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</si>
  <si>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</si>
  <si>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</si>
  <si>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</si>
  <si>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</si>
  <si>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</si>
  <si>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</si>
  <si>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</si>
  <si>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</si>
  <si>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</si>
  <si>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</si>
  <si>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</si>
  <si>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</si>
  <si>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</si>
  <si>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</si>
  <si>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</si>
  <si>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</si>
  <si>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</si>
  <si>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</si>
  <si>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</si>
  <si>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</si>
  <si>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</si>
  <si>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</si>
  <si>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</si>
  <si>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</si>
  <si>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</si>
  <si>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</si>
  <si>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</si>
  <si>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</si>
  <si>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</si>
  <si>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</si>
  <si>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</si>
  <si>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</si>
  <si>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</si>
  <si>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</si>
  <si>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</si>
  <si>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</si>
  <si>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</si>
  <si>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</si>
  <si>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</si>
  <si>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</si>
  <si>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</si>
  <si>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</si>
  <si>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</si>
  <si>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</si>
  <si>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</si>
  <si>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</si>
  <si>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</si>
  <si>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</si>
  <si>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</si>
  <si>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</si>
  <si>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</si>
  <si>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</si>
  <si>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</si>
  <si>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</si>
  <si>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</si>
  <si>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</si>
  <si>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</si>
  <si>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</si>
  <si>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</si>
  <si>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</si>
  <si>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</si>
  <si>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</si>
  <si>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</si>
  <si>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</si>
  <si>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</si>
  <si>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</si>
  <si>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</si>
  <si>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</si>
  <si>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</si>
  <si>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</si>
  <si>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</si>
  <si>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</si>
  <si>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</si>
  <si>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</si>
  <si>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</si>
  <si>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</si>
  <si>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</si>
  <si>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</si>
  <si>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</si>
  <si>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</si>
  <si>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</si>
  <si>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</si>
  <si>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</si>
  <si>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</si>
  <si>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</si>
  <si>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</si>
  <si>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</si>
  <si>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</si>
  <si>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</si>
  <si>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</si>
  <si>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</si>
  <si>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</si>
  <si>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</si>
  <si>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</si>
  <si>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</si>
  <si>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</si>
  <si>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</si>
  <si>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</si>
  <si>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</si>
  <si>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</si>
  <si>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</si>
  <si>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</si>
  <si>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</si>
  <si>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</si>
  <si>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</si>
  <si>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</si>
  <si>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</si>
  <si>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</si>
  <si>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</si>
  <si>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</si>
  <si>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</si>
  <si>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</si>
  <si>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</si>
  <si>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</si>
  <si>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</si>
  <si>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</si>
  <si>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</si>
  <si>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</si>
  <si>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</si>
  <si>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</si>
  <si>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</si>
  <si>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</si>
  <si>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</si>
  <si>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</si>
  <si>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</si>
  <si>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</si>
  <si>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</si>
  <si>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</si>
  <si>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</si>
  <si>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</si>
  <si>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</si>
  <si>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</si>
  <si>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</si>
  <si>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</si>
  <si>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</si>
  <si>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</si>
  <si>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</si>
  <si>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</si>
  <si>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</si>
  <si>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</si>
  <si>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</si>
  <si>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</si>
  <si>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</si>
  <si>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</si>
  <si>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</si>
  <si>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</si>
  <si>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</si>
  <si>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</si>
  <si>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</si>
  <si>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</si>
  <si>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</si>
  <si>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</si>
  <si>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</si>
  <si>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</si>
  <si>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</si>
  <si>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</si>
  <si>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</si>
  <si>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</si>
  <si>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</si>
  <si>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</si>
  <si>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</si>
  <si>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</si>
  <si>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</si>
  <si>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</si>
  <si>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</si>
  <si>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</si>
  <si>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</si>
  <si>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</si>
  <si>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</si>
  <si>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</si>
  <si>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</si>
  <si>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</si>
  <si>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</si>
  <si>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</si>
  <si>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</si>
  <si>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</si>
  <si>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</si>
  <si>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</si>
  <si>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</si>
  <si>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</si>
  <si>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</si>
  <si>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</si>
  <si>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</si>
  <si>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</si>
  <si>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</si>
  <si>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</si>
  <si>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</si>
  <si>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</si>
  <si>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</si>
  <si>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</si>
  <si>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</si>
  <si>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</si>
  <si>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</si>
  <si>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</si>
  <si>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</si>
  <si>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</si>
  <si>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</si>
  <si>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</si>
  <si>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</si>
  <si>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</si>
  <si>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</si>
  <si>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</si>
  <si>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</si>
  <si>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</si>
  <si>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</si>
  <si>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</si>
  <si>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</si>
  <si>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</si>
  <si>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</si>
  <si>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</si>
  <si>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</si>
  <si>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</si>
  <si>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</si>
  <si>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</si>
  <si>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</si>
  <si>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</si>
  <si>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</si>
  <si>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</si>
  <si>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</si>
  <si>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</si>
  <si>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</si>
  <si>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</si>
  <si>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</si>
  <si>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</si>
  <si>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</si>
  <si>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</si>
  <si>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</si>
  <si>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</si>
  <si>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</si>
  <si>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</si>
  <si>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</si>
  <si>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</si>
  <si>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</si>
  <si>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</si>
  <si>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</si>
  <si>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</si>
  <si>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</si>
  <si>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</si>
  <si>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</si>
  <si>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</si>
  <si>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</si>
  <si>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</si>
  <si>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</si>
  <si>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</si>
  <si>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</si>
  <si>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</si>
  <si>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</si>
  <si>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</si>
  <si>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</si>
  <si>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</si>
  <si>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</si>
  <si>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</si>
  <si>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</si>
  <si>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</si>
  <si>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</si>
  <si>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</si>
  <si>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</si>
  <si>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</si>
  <si>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</si>
  <si>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</si>
  <si>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</si>
  <si>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</si>
  <si>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</si>
  <si>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</si>
  <si>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</si>
  <si>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</si>
  <si>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</si>
  <si>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</si>
  <si>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</si>
  <si>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</si>
  <si>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</si>
  <si>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</si>
  <si>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</si>
  <si>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</si>
  <si>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</si>
  <si>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</si>
  <si>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</si>
  <si>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</si>
  <si>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</si>
  <si>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</si>
  <si>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</si>
  <si>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</si>
  <si>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</si>
  <si>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</si>
  <si>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</si>
  <si>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</si>
  <si>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</si>
  <si>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</si>
  <si>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</si>
  <si>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</si>
  <si>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</si>
  <si>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</si>
  <si>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</si>
  <si>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</si>
  <si>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</si>
  <si>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</si>
  <si>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</si>
  <si>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</si>
  <si>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</si>
  <si>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</si>
  <si>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</si>
  <si>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</si>
  <si>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</si>
  <si>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</si>
  <si>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</si>
  <si>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</si>
  <si>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</si>
  <si>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</si>
  <si>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</si>
  <si>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</si>
  <si>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</si>
  <si>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</si>
  <si>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</si>
  <si>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</si>
  <si>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</si>
  <si>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</si>
  <si>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</si>
  <si>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</si>
  <si>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</si>
  <si>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</si>
  <si>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</si>
  <si>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</si>
  <si>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</si>
  <si>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</si>
  <si>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</si>
  <si>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</si>
  <si>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</si>
  <si>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</si>
  <si>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</si>
  <si>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</si>
  <si>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</si>
  <si>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</si>
  <si>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</si>
  <si>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</si>
  <si>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</si>
  <si>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</si>
  <si>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</si>
  <si>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</si>
  <si>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</si>
  <si>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</si>
  <si>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</si>
  <si>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</si>
  <si>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</si>
  <si>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</si>
  <si>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</si>
  <si>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</si>
  <si>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</si>
  <si>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</si>
  <si>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</si>
  <si>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</si>
  <si>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</si>
  <si>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</si>
  <si>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</si>
  <si>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</si>
  <si>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</si>
  <si>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</si>
  <si>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</si>
  <si>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</si>
  <si>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</si>
  <si>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</si>
  <si>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</si>
  <si>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</si>
  <si>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</si>
  <si>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</si>
  <si>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</si>
  <si>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</si>
  <si>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</si>
  <si>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</si>
  <si>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</si>
  <si>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</si>
  <si>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</si>
  <si>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</si>
  <si>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</si>
  <si>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</si>
  <si>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</si>
  <si>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</si>
  <si>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</si>
  <si>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</si>
  <si>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</si>
  <si>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</si>
  <si>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</si>
  <si>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</si>
  <si>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</si>
  <si>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</si>
  <si>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</si>
  <si>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</si>
  <si>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</si>
  <si>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</si>
  <si>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</si>
  <si>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</si>
  <si>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</si>
  <si>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</si>
  <si>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</si>
  <si>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</si>
  <si>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</si>
  <si>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</si>
  <si>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</si>
  <si>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</si>
  <si>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</si>
  <si>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</si>
  <si>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</si>
  <si>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</si>
  <si>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</si>
  <si>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</si>
  <si>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</si>
  <si>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</si>
  <si>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</si>
  <si>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</si>
  <si>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</si>
  <si>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</si>
  <si>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</si>
  <si>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</si>
  <si>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</si>
  <si>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</si>
  <si>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</si>
  <si>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</si>
  <si>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</si>
  <si>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</si>
  <si>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</si>
  <si>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</si>
  <si>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</si>
  <si>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</si>
  <si>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</si>
  <si>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</si>
  <si>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</si>
  <si>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</si>
  <si>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</si>
  <si>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</si>
  <si>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</si>
  <si>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</si>
  <si>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</si>
  <si>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</si>
  <si>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</si>
  <si>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</si>
  <si>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</si>
  <si>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</si>
  <si>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</si>
  <si>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</si>
  <si>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</si>
  <si>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</si>
  <si>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</si>
  <si>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</si>
  <si>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</si>
  <si>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</si>
  <si>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</si>
  <si>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</si>
  <si>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</si>
  <si>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</si>
  <si>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</si>
  <si>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</si>
  <si>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</si>
  <si>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</si>
  <si>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</si>
  <si>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</si>
  <si>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</si>
  <si>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</si>
  <si>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</si>
  <si>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</si>
  <si>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</si>
  <si>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</si>
  <si>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</si>
  <si>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</si>
  <si>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</si>
  <si>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</si>
  <si>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</si>
  <si>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</si>
  <si>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</si>
  <si>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</si>
  <si>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</si>
  <si>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</si>
  <si>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</si>
  <si>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</si>
  <si>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</si>
  <si>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</si>
  <si>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</si>
  <si>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</si>
  <si>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</si>
  <si>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</si>
  <si>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</si>
  <si>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</si>
  <si>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</si>
  <si>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</si>
  <si>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</si>
  <si>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</si>
  <si>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</si>
  <si>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</si>
  <si>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</si>
  <si>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</si>
  <si>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</si>
  <si>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</si>
  <si>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</si>
  <si>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</si>
  <si>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</si>
  <si>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</si>
  <si>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</si>
  <si>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</si>
  <si>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</si>
  <si>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</si>
  <si>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</si>
  <si>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</si>
  <si>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</si>
  <si>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</si>
  <si>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</si>
  <si>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</si>
  <si>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</si>
  <si>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</si>
  <si>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</si>
  <si>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</si>
  <si>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</si>
  <si>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</si>
  <si>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</si>
  <si>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</si>
  <si>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</si>
  <si>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</si>
  <si>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</si>
  <si>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</si>
  <si>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</si>
  <si>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</si>
  <si>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</si>
  <si>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</si>
  <si>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</si>
  <si>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</si>
  <si>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</si>
  <si>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</si>
  <si>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</si>
  <si>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</si>
  <si>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</si>
  <si>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</si>
  <si>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</si>
  <si>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</si>
  <si>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</si>
  <si>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</si>
  <si>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</si>
  <si>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</si>
  <si>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</si>
  <si>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</si>
  <si>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</si>
  <si>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</si>
  <si>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</si>
  <si>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</si>
  <si>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</si>
  <si>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</si>
  <si>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</si>
  <si>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</si>
  <si>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</si>
  <si>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</si>
  <si>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</si>
  <si>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</si>
  <si>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</si>
  <si>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</si>
  <si>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</si>
  <si>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</si>
  <si>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</si>
  <si>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</si>
  <si>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</si>
  <si>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</si>
  <si>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</si>
  <si>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</si>
  <si>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</si>
  <si>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</si>
  <si>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</si>
  <si>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</si>
  <si>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</si>
  <si>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</si>
  <si>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</si>
  <si>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</si>
  <si>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</si>
  <si>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</si>
  <si>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</si>
  <si>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</si>
  <si>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</si>
  <si>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</si>
  <si>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</si>
  <si>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</si>
  <si>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</si>
  <si>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</si>
  <si>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</si>
  <si>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</si>
  <si>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</si>
  <si>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</si>
  <si>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</si>
  <si>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</si>
  <si>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</si>
  <si>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</si>
  <si>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</si>
  <si>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</si>
  <si>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</si>
  <si>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</si>
  <si>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</si>
  <si>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</si>
  <si>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</si>
  <si>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</si>
  <si>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</si>
  <si>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</si>
  <si>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</si>
  <si>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</si>
  <si>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</si>
  <si>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</si>
  <si>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</si>
  <si>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</si>
  <si>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</si>
  <si>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</si>
  <si>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</si>
  <si>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</si>
  <si>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</si>
  <si>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Seoul's Hotdog Chiên xù 250g</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</si>
  <si>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</si>
  <si>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</si>
  <si>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</si>
  <si>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</si>
  <si>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</si>
  <si>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</si>
  <si>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</si>
  <si>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</si>
  <si>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</si>
  <si>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</si>
  <si>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</si>
  <si>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</si>
  <si>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</si>
  <si>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</si>
  <si>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</si>
  <si>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</si>
  <si>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</si>
  <si>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</si>
  <si>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</si>
  <si>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</si>
  <si>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</si>
  <si>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</si>
  <si>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</si>
  <si>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</si>
  <si>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</si>
  <si>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</si>
  <si>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</si>
  <si>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</si>
  <si>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</si>
  <si>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</si>
  <si>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</si>
  <si>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</si>
  <si>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</si>
  <si>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</si>
  <si>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</si>
  <si>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</si>
  <si>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</si>
  <si>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</si>
  <si>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</si>
  <si>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</si>
  <si>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</si>
  <si>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</si>
  <si>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</si>
  <si>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</si>
  <si>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</si>
  <si>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</si>
  <si>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</si>
  <si>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</si>
  <si>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</si>
  <si>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</si>
  <si>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</si>
  <si>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</si>
  <si>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</si>
  <si>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</si>
  <si>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</si>
  <si>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</si>
  <si>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</si>
  <si>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</si>
  <si>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</si>
  <si>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</si>
  <si>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</si>
  <si>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</si>
  <si>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</si>
  <si>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</si>
  <si>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</si>
  <si>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</si>
  <si>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</si>
  <si>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</si>
  <si>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</si>
  <si>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</si>
  <si>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</si>
  <si>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</si>
  <si>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</si>
  <si>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</si>
  <si>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</si>
  <si>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</si>
  <si>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</si>
  <si>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</si>
  <si>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</si>
  <si>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</si>
  <si>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</si>
  <si>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</si>
  <si>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</si>
  <si>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</si>
  <si>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</si>
  <si>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</si>
  <si>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</si>
  <si>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</si>
  <si>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</si>
  <si>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</si>
  <si>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</si>
  <si>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</si>
  <si>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</si>
  <si>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</si>
  <si>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</si>
  <si>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</si>
  <si>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</si>
  <si>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</si>
  <si>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</si>
  <si>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</si>
  <si>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</si>
  <si>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</si>
  <si>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</si>
  <si>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</si>
  <si>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</si>
  <si>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</si>
  <si>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</si>
  <si>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</si>
  <si>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</si>
  <si>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</si>
  <si>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</si>
  <si>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</si>
  <si>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</si>
  <si>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</si>
  <si>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</si>
  <si>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</si>
  <si>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</si>
  <si>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</si>
  <si>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</si>
  <si>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</si>
  <si>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</si>
  <si>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</si>
  <si>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</si>
  <si>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</si>
  <si>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</si>
  <si>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</si>
  <si>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</si>
  <si>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</si>
  <si>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</si>
  <si>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</si>
  <si>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</si>
  <si>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</si>
  <si>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</si>
  <si>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</si>
  <si>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</si>
  <si>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</si>
  <si>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</si>
  <si>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</si>
  <si>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</si>
  <si>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</si>
  <si>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</si>
  <si>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</si>
  <si>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</si>
  <si>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</si>
  <si>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</si>
  <si>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</si>
  <si>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</si>
  <si>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</si>
  <si>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</si>
  <si>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</si>
  <si>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</si>
  <si>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</si>
  <si>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</si>
  <si>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</si>
  <si>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</si>
  <si>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</si>
  <si>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</si>
  <si>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</si>
  <si>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</si>
  <si>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</si>
  <si>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</si>
  <si>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</si>
  <si>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</si>
  <si>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</si>
  <si>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</si>
  <si>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</si>
  <si>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</si>
  <si>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</si>
  <si>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</si>
  <si>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</si>
  <si>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</si>
  <si>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</si>
  <si>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</si>
  <si>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</si>
  <si>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</si>
  <si>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</si>
  <si>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</si>
  <si>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</si>
  <si>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</si>
  <si>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</si>
  <si>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</si>
  <si>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</si>
  <si>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</si>
  <si>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</si>
  <si>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</si>
  <si>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</si>
  <si>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</si>
  <si>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</si>
  <si>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</si>
  <si>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</si>
  <si>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</si>
  <si>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</si>
  <si>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</si>
  <si>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</si>
  <si>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</si>
  <si>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</si>
  <si>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</si>
  <si>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</si>
  <si>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</si>
  <si>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</si>
  <si>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</si>
  <si>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</si>
  <si>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</si>
  <si>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</si>
  <si>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</si>
  <si>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</si>
  <si>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</si>
  <si>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</si>
  <si>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</si>
  <si>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</si>
  <si>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</si>
  <si>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</si>
  <si>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</si>
  <si>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</si>
  <si>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</si>
  <si>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</si>
  <si>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</si>
  <si>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</si>
  <si>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</si>
  <si>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</si>
  <si>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</si>
  <si>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</si>
  <si>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</si>
  <si>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</si>
  <si>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</si>
  <si>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</si>
  <si>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</si>
  <si>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</si>
  <si>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</si>
  <si>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</si>
  <si>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</si>
  <si>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</si>
  <si>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</si>
  <si>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</si>
  <si>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</si>
  <si>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</si>
  <si>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</si>
  <si>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</si>
  <si>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</si>
  <si>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</si>
  <si>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</si>
  <si>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</si>
  <si>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</si>
  <si>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</si>
  <si>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</si>
  <si>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</si>
  <si>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</si>
  <si>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</si>
  <si>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</si>
  <si>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</si>
  <si>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</si>
  <si>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</si>
  <si>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</si>
  <si>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</si>
  <si>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</si>
  <si>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</si>
  <si>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</si>
  <si>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</si>
  <si>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</si>
  <si>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</si>
  <si>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</si>
  <si>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</si>
  <si>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</si>
  <si>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</si>
  <si>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</si>
  <si>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</si>
  <si>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</si>
  <si>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</si>
  <si>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</si>
  <si>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</si>
  <si>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</si>
  <si>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</si>
  <si>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</si>
  <si>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</si>
  <si>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</si>
  <si>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</si>
  <si>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</si>
  <si>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</si>
  <si>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</si>
  <si>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</si>
  <si>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</si>
  <si>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</si>
  <si>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</si>
  <si>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</si>
  <si>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</si>
  <si>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</si>
  <si>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</si>
  <si>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</si>
  <si>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</si>
  <si>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</si>
  <si>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</si>
  <si>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</si>
  <si>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</si>
  <si>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</si>
  <si>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</si>
  <si>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</si>
  <si>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</si>
  <si>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</si>
  <si>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</si>
  <si>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</si>
  <si>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</si>
  <si>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</si>
  <si>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</si>
  <si>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</si>
  <si>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</si>
  <si>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</si>
  <si>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</si>
  <si>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</si>
  <si>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</si>
  <si>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</si>
  <si>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</si>
  <si>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</si>
  <si>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</si>
  <si>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</si>
  <si>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</si>
  <si>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</si>
  <si>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</si>
  <si>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</si>
  <si>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</si>
  <si>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</si>
  <si>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</si>
  <si>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</si>
  <si>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</si>
  <si>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</si>
  <si>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</si>
  <si>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</si>
  <si>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</si>
  <si>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</si>
  <si>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</si>
  <si>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</si>
  <si>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</si>
  <si>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</si>
  <si>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</si>
  <si>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</si>
  <si>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</si>
  <si>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</si>
  <si>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</si>
  <si>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</si>
  <si>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</si>
  <si>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</si>
  <si>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</si>
  <si>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</si>
  <si>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</si>
  <si>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</si>
  <si>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</si>
  <si>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</si>
  <si>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</si>
  <si>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</si>
  <si>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</si>
  <si>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</si>
  <si>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</si>
  <si>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</si>
  <si>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</si>
  <si>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</si>
  <si>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</si>
  <si>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</si>
  <si>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</si>
  <si>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</si>
  <si>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</si>
  <si>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</si>
  <si>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</si>
  <si>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</si>
  <si>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</si>
  <si>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</si>
  <si>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</si>
  <si>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</si>
  <si>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</si>
  <si>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</si>
  <si>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</si>
  <si>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</si>
  <si>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</si>
  <si>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</si>
  <si>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</si>
  <si>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</si>
  <si>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</si>
  <si>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</si>
  <si>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</si>
  <si>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</si>
  <si>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</si>
  <si>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</si>
  <si>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</si>
  <si>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</si>
  <si>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</si>
  <si>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</si>
  <si>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</si>
  <si>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</si>
  <si>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</si>
  <si>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</si>
  <si>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</si>
  <si>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</si>
  <si>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</si>
  <si>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</si>
  <si>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</si>
  <si>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</si>
  <si>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</si>
  <si>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</si>
  <si>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</si>
  <si>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</si>
  <si>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</si>
  <si>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</si>
  <si>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</si>
  <si>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</si>
  <si>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</si>
  <si>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</si>
  <si>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</si>
  <si>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</si>
  <si>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</si>
  <si>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</si>
  <si>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</si>
  <si>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</si>
  <si>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</si>
  <si>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</si>
  <si>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</si>
  <si>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</si>
  <si>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</si>
  <si>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</si>
  <si>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</si>
  <si>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</si>
  <si>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</si>
  <si>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</si>
  <si>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</si>
  <si>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</si>
  <si>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</si>
  <si>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</si>
  <si>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</si>
  <si>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</si>
  <si>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</si>
  <si>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</si>
  <si>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</si>
  <si>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</si>
  <si>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</si>
  <si>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</si>
  <si>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</si>
  <si>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</si>
  <si>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</si>
  <si>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</si>
  <si>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</si>
  <si>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</si>
  <si>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</si>
  <si>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</si>
  <si>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</si>
  <si>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</si>
  <si>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</si>
  <si>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</si>
  <si>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</si>
  <si>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</si>
  <si>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</si>
  <si>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</si>
  <si>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</si>
  <si>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</si>
  <si>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</si>
  <si>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</si>
  <si>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</si>
  <si>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</si>
  <si>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</si>
  <si>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</si>
  <si>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</si>
  <si>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</si>
  <si>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</si>
  <si>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</si>
  <si>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</si>
  <si>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</si>
  <si>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</si>
  <si>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</si>
  <si>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17/02/2026</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</si>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</sst>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0_-;\-* #,##0.0_-;_-* &quot;-&quot;_-;_-@_-"/>
    <numFmt numFmtId="165" formatCode="_(* #,##0_);_(* \(#,##0\);_(* &quot;-&quot;??_);_(@_)"/>
  </numFmts>
  <fonts count="9"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cellStyleXfs>
  <cellXfs count="44">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1" applyNumberFormat="1" applyFont="1" applyAlignment="1">
      <alignment vertical="center"/>
    </xf>
    <xf numFmtId="165" fontId="3" fillId="0" borderId="0" xfId="0" applyNumberFormat="1" applyFont="1" applyAlignment="1">
      <alignment vertical="center"/>
    </xf>
    <xf numFmtId="0" fontId="3" fillId="0" borderId="6" xfId="0" applyFont="1" applyBorder="1"/>
    <xf numFmtId="165" fontId="3" fillId="4" borderId="0" xfId="1" applyNumberFormat="1" applyFont="1" applyFill="1" applyAlignment="1">
      <alignment vertical="center"/>
    </xf>
    <xf numFmtId="0" fontId="3" fillId="4" borderId="0" xfId="0" applyFont="1" applyFill="1" applyAlignment="1">
      <alignment vertical="center"/>
    </xf>
    <xf numFmtId="43" fontId="3" fillId="4" borderId="0" xfId="1" applyFont="1" applyFill="1" applyAlignment="1">
      <alignment vertical="center"/>
    </xf>
    <xf numFmtId="9" fontId="3" fillId="4" borderId="0" xfId="3"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0" fillId="0" borderId="0" xfId="0" applyAlignment="1">
      <alignment horizontal="left"/>
    </xf>
    <xf numFmtId="49" fontId="0" fillId="0" borderId="0" xfId="0" applyNumberFormat="1" applyAlignment="1">
      <alignment horizontal="left"/>
    </xf>
  </cellXfs>
  <cellStyles count="6">
    <cellStyle name="Comma" xfId="1" builtinId="3"/>
    <cellStyle name="Comma 3 2" xfId="4" xr:uid="{A23925FA-D688-4876-BF15-5D3D9AAA4425}"/>
    <cellStyle name="Normal" xfId="0" builtinId="0"/>
    <cellStyle name="Normal 161" xfId="2" xr:uid="{CC9F605B-0172-4EC6-B012-8476AA34BE80}"/>
    <cellStyle name="Normal 2" xfId="5" xr:uid="{D2CAADC5-1669-4251-9E25-F8011EE922E6}"/>
    <cellStyle name="Percent" xfId="3" builtinId="5"/>
  </cellStyles>
  <dxfs count="7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alignment horizontal="left" vertical="bottom" textRotation="0" wrapText="0" indent="0" justifyLastLine="0" shrinkToFit="0" readingOrder="0"/>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77"/>
      <tableStyleElement type="headerRow" dxfId="7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7" tableType="queryTable" totalsRowShown="0">
  <tableColumns count="5">
    <tableColumn id="1" xr3:uid="{CE6305D2-B0A2-4AF4-AD54-51B9EE8E31D7}" uniqueName="1" name="Mã sản phẩm" queryTableFieldId="1" dataDxfId="53"/>
    <tableColumn id="2" xr3:uid="{78C0B3DE-4B0D-4F42-9CFB-367331B55B6E}" uniqueName="2" name="Tên sản phẩm" queryTableFieldId="2" dataDxfId="52"/>
    <tableColumn id="5" xr3:uid="{D7C71052-76A0-4EA7-B624-4A9D6A76F616}" uniqueName="5" name="DS - ĐV" queryTableFieldId="5" dataDxfId="51"/>
    <tableColumn id="6" xr3:uid="{72988F07-60F3-4EC8-982D-E631DB13AFBA}" uniqueName="6" name="OEM - DS - ĐV" queryTableFieldId="6" dataDxfId="50"/>
    <tableColumn id="4" xr3:uid="{06E26DB5-D709-41AE-8B98-A826C58C4A64}" uniqueName="4" name="MSG - DS - NK - ĐV" queryTableFieldId="4" dataDxfId="4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1" totalsRowShown="0" headerRowDxfId="48" dataDxfId="47">
  <autoFilter ref="A1:E231" xr:uid="{5719FBBD-8E6F-4E05-ADAF-92119CAB6842}">
    <filterColumn colId="0">
      <filters>
        <filter val="8935304201018"/>
      </filters>
    </filterColumn>
  </autoFilter>
  <sortState xmlns:xlrd2="http://schemas.microsoft.com/office/spreadsheetml/2017/richdata2" ref="A2:E231">
    <sortCondition ref="A1:A231"/>
  </sortState>
  <tableColumns count="5">
    <tableColumn id="1" xr3:uid="{2C40A1CB-C46A-4153-AED9-D8B01B3B1FDF}" name="Mã Barcode" dataDxfId="46"/>
    <tableColumn id="2" xr3:uid="{7456A678-F847-47ED-94C4-3C260C1552F3}" name="Mã sản phẩm" dataDxfId="45"/>
    <tableColumn id="3" xr3:uid="{8F00D34E-5FF5-4B46-92CA-973A13BE3354}" name="Tên sản phẩm" dataDxfId="44"/>
    <tableColumn id="4" xr3:uid="{E1BC9259-7622-4555-971D-35D04B656BA5}" name="Giá gốc" dataDxfId="43" dataCellStyle="Comma"/>
    <tableColumn id="5" xr3:uid="{8D11E962-8D0A-471C-A0EB-B80959C9286A}" name="Hệ thống" dataDxfId="42"/>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28" totalsRowShown="0" headerRowDxfId="41" dataDxfId="40">
  <autoFilter ref="A1:Q228" xr:uid="{0D091B42-8F26-4CD6-A17C-B756C46AFE85}"/>
  <sortState xmlns:xlrd2="http://schemas.microsoft.com/office/spreadsheetml/2017/richdata2" ref="A2:O26">
    <sortCondition ref="G1:G26"/>
  </sortState>
  <tableColumns count="17">
    <tableColumn id="16" xr3:uid="{3D638095-6A4C-4457-8987-56DFEC602049}" name="STT" dataDxfId="39" dataCellStyle="Comma"/>
    <tableColumn id="1" xr3:uid="{CC8C6505-F6F3-49A5-990D-1D05F3C2A523}" name="Tên chương trình" dataDxfId="38"/>
    <tableColumn id="14" xr3:uid="{3CF3F57A-B7A9-4949-A2CD-7559736D578A}" name="Hệ thống" dataDxfId="37"/>
    <tableColumn id="13" xr3:uid="{914695FE-C4D2-4760-9B39-7E39BA176931}" name="Phạm vi" dataDxfId="36"/>
    <tableColumn id="7" xr3:uid="{0C5B54E1-CC44-4C58-883F-6EBB8D8B1560}" name="Ngày áp dụng" dataDxfId="35"/>
    <tableColumn id="6" xr3:uid="{E46FE077-A7BC-483C-9EC5-579E67208DED}" name="Ngày kết thúc" dataDxfId="34"/>
    <tableColumn id="8" xr3:uid="{38AD0AB6-8448-4FA9-90AD-E00435DC7105}" name="Barcode" dataDxfId="33"/>
    <tableColumn id="2" xr3:uid="{4F907A79-C404-45B8-8865-DAA53BD2BB5D}" name="Mã sản phẩm" dataDxfId="32">
      <calculatedColumnFormula>VLOOKUP(gia_khuyen_mai[[#This Row],[Barcode]],'Giá gốc'!$A:$B,2,0)</calculatedColumnFormula>
    </tableColumn>
    <tableColumn id="3" xr3:uid="{57D313CB-E05B-4C62-8D7B-1FBA1B603426}" name="Tên sản phẩm" dataDxfId="31">
      <calculatedColumnFormula>VLOOKUP(gia_khuyen_mai[[#This Row],[Mã sản phẩm]],'Giá gốc'!$B:$C,2,0)</calculatedColumnFormula>
    </tableColumn>
    <tableColumn id="4" xr3:uid="{4AC2CD1B-6CAA-414B-9586-47FBFA9FD3E7}" name="Giá gốc" dataDxfId="30" dataCellStyle="Comma">
      <calculatedColumnFormula>VLOOKUP(gia_khuyen_mai[[#This Row],[Mã sản phẩm]],'Giá gốc'!B:D,3,0)</calculatedColumnFormula>
    </tableColumn>
    <tableColumn id="9" xr3:uid="{BDE7683A-2B2E-4466-A858-7FCBDF8E1EF8}" name="% Giảm giá" dataDxfId="29" dataCellStyle="Percent"/>
    <tableColumn id="10" xr3:uid="{1727AD9F-F93C-4F3F-9A11-6C9525D5465E}" name="Giá khuyến mại" dataDxfId="28">
      <calculatedColumnFormula>ROUND((1-gia_khuyen_mai[[#This Row],[% Giảm giá]]) * gia_khuyen_mai[[#This Row],[Giá gốc]], 0)</calculatedColumnFormula>
    </tableColumn>
    <tableColumn id="15" xr3:uid="{309C4649-C5E5-488F-93A8-AF4DAA76C571}" name="Chương trình KM" dataDxfId="27"/>
    <tableColumn id="11" xr3:uid="{553C2C7E-2BDB-4322-B663-ED2D77F94C90}" name="Mã hàng tặng" dataDxfId="26"/>
    <tableColumn id="12" xr3:uid="{9B83A596-C597-4BF6-B840-6CC6C33B0988}" name="Tên hàng tặng" dataDxfId="25">
      <calculatedColumnFormula>IFERROR(VLOOKUP(gia_khuyen_mai[[#This Row],[Mã hàng tặng]],'Giá gốc'!B:C,2,0),"")</calculatedColumnFormula>
    </tableColumn>
    <tableColumn id="5" xr3:uid="{B98AE93A-CC51-433B-8429-C4A7F7A0D0B0}" name="Chương trình KAM" dataDxfId="24"/>
    <tableColumn id="17" xr3:uid="{622106C7-5406-4E9B-B608-2AEC51135AC8}" name="Loại hàng" dataDxfId="23">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765" totalsRowShown="0" headerRowDxfId="22" dataDxfId="21" tableBorderDxfId="20">
  <autoFilter ref="A1:I3765" xr:uid="{A7F0F5EE-2F1D-459B-92FB-EFC41AE732A7}"/>
  <sortState xmlns:xlrd2="http://schemas.microsoft.com/office/spreadsheetml/2017/richdata2" ref="A2:I3619">
    <sortCondition sortBy="cellColor" ref="A1:A3619" dxfId="19"/>
  </sortState>
  <tableColumns count="9">
    <tableColumn id="1" xr3:uid="{E1F7E384-0140-4EA8-AFCB-ED63BFF6E92D}" name="Mã điểm giao" dataDxfId="18"/>
    <tableColumn id="2" xr3:uid="{BC28FE72-0CF1-4B29-91F8-C1D1AFC0DADB}" name="Hệ thống" dataDxfId="17"/>
    <tableColumn id="3" xr3:uid="{1076D369-316B-4E90-8B17-68A6B514BCB4}" name="Tên điểm giao" dataDxfId="16"/>
    <tableColumn id="4" xr3:uid="{6DE5C7D4-E5DE-478F-AB4D-F95EA4269F49}" name="Địa chỉ điểm giao" dataDxfId="15"/>
    <tableColumn id="5" xr3:uid="{9E7B3702-4CDD-48E4-A385-947AA2B1546E}" name="Mã khách hàng" dataDxfId="14"/>
    <tableColumn id="6" xr3:uid="{F2ABDEAC-1268-4D68-9C33-21242C5DE7BE}" name="Tên khách hàng" dataDxfId="13">
      <calculatedColumnFormula>VLOOKUP(Table8[[#This Row],[Mã khách hàng]],code_khach_hang[],2,0)</calculatedColumnFormula>
    </tableColumn>
    <tableColumn id="7" xr3:uid="{C4E931ED-C444-4313-89B0-64B07C7D98EE}" name="Chi nhánh" dataDxfId="12">
      <calculatedColumnFormula>VLOOKUP(Table8[[#This Row],[Mã khách hàng]],code_khach_hang[],3,0)</calculatedColumnFormula>
    </tableColumn>
    <tableColumn id="8" xr3:uid="{595D2146-6C6E-4A4A-9D05-25AA528A9E5B}" name="Nhóm hàng" dataDxfId="11">
      <calculatedColumnFormula>VLOOKUP(Table8[[#This Row],[Mã khách hàng]],'Khách hàng'!A:D,4,0)</calculatedColumnFormula>
    </tableColumn>
    <tableColumn id="9" xr3:uid="{2C823544-9944-474B-AF19-F6B825C6503A}" name="Mã kho" dataDxfId="10">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9">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8"/>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75" dataDxfId="74">
  <autoFilter ref="C1:C4" xr:uid="{ADC05F40-C363-4DCB-BE5D-0A0045F8B258}"/>
  <tableColumns count="1">
    <tableColumn id="1" xr3:uid="{9D66A733-528A-41BB-A541-CCD75B87ADB0}" name="Hệ thống" dataDxfId="73"/>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72" dataDxfId="71">
  <autoFilter ref="A1:A5" xr:uid="{3E5BB425-C709-4E30-B692-C634F029F4C5}"/>
  <tableColumns count="1">
    <tableColumn id="1" xr3:uid="{8068B11E-DE88-4012-B8D2-4E3A6A990A5E}" name="Phạm vi" dataDxfId="70"/>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69" dataDxfId="68">
  <autoFilter ref="E1:E3" xr:uid="{5AD308E8-3B5F-4678-BE60-E71492E4098C}"/>
  <tableColumns count="1">
    <tableColumn id="1" xr3:uid="{090FBE7C-3012-4BB8-B161-C8913DD3AD9B}" name="Chương trình KM" dataDxfId="67"/>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66" dataDxfId="65">
  <autoFilter ref="G1:G3" xr:uid="{3805AE30-E17D-426D-B46F-6302B2466CAB}"/>
  <tableColumns count="1">
    <tableColumn id="1" xr3:uid="{4C6FE016-BD59-4F65-B58B-1F846720B07D}" name="DS-DV" dataDxfId="64"/>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63" dataDxfId="62">
  <autoFilter ref="I1:I5" xr:uid="{1AFCDDEB-5F61-44C7-8FEA-25E7FC5990A5}"/>
  <tableColumns count="1">
    <tableColumn id="1" xr3:uid="{BCE62694-B0AC-41FE-8A09-62367A5AF0BA}" name="MSG - DS - NK - ĐV" dataDxfId="61"/>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60" dataDxfId="59">
  <autoFilter ref="K1:K9" xr:uid="{7DB961E9-913F-4CD7-B577-ADA7BAE73B05}"/>
  <tableColumns count="1">
    <tableColumn id="1" xr3:uid="{A0E54596-C379-4875-893B-12BE27309887}" name="Chi nhánh" dataDxfId="58"/>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57" dataDxfId="56">
  <autoFilter ref="M1:N7" xr:uid="{987FC37B-C85C-411A-B67A-8746E3534E56}"/>
  <tableColumns count="2">
    <tableColumn id="1" xr3:uid="{61A405FA-1C6E-42CE-B141-07C2E716B041}" name="Mã kho" dataDxfId="55"/>
    <tableColumn id="2" xr3:uid="{EB2F09D8-48CD-47D6-9999-FB85D9342F16}" name="Tên kho" dataDxfId="54"/>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7"/>
  <sheetViews>
    <sheetView topLeftCell="A856" zoomScale="85" zoomScaleNormal="85" workbookViewId="0">
      <selection activeCell="A174" sqref="A174"/>
    </sheetView>
  </sheetViews>
  <sheetFormatPr defaultRowHeight="14.25" x14ac:dyDescent="0.45"/>
  <cols>
    <col min="1" max="1" width="14.1328125" bestFit="1" customWidth="1"/>
    <col min="2" max="2" width="72.265625" bestFit="1" customWidth="1"/>
    <col min="3" max="3" width="18" bestFit="1" customWidth="1"/>
    <col min="4" max="4" width="14.1328125" bestFit="1" customWidth="1"/>
    <col min="5" max="5" width="18" bestFit="1" customWidth="1"/>
  </cols>
  <sheetData>
    <row r="1" spans="1:5" x14ac:dyDescent="0.45">
      <c r="A1" s="42" t="s">
        <v>486</v>
      </c>
      <c r="B1" t="s">
        <v>487</v>
      </c>
      <c r="C1" t="s">
        <v>9585</v>
      </c>
      <c r="D1" t="s">
        <v>9586</v>
      </c>
      <c r="E1" t="s">
        <v>9587</v>
      </c>
    </row>
    <row r="2" spans="1:5" x14ac:dyDescent="0.45">
      <c r="A2" s="42">
        <v>2150294</v>
      </c>
      <c r="B2" t="s">
        <v>9588</v>
      </c>
      <c r="C2" t="s">
        <v>9589</v>
      </c>
      <c r="D2" t="s">
        <v>9589</v>
      </c>
      <c r="E2" t="s">
        <v>9589</v>
      </c>
    </row>
    <row r="3" spans="1:5" x14ac:dyDescent="0.45">
      <c r="A3" s="42" t="s">
        <v>9590</v>
      </c>
      <c r="B3" t="s">
        <v>9591</v>
      </c>
      <c r="C3" t="s">
        <v>9589</v>
      </c>
      <c r="D3" t="s">
        <v>9589</v>
      </c>
      <c r="E3" t="s">
        <v>9589</v>
      </c>
    </row>
    <row r="4" spans="1:5" x14ac:dyDescent="0.45">
      <c r="A4" s="42" t="s">
        <v>9592</v>
      </c>
      <c r="B4" t="s">
        <v>9593</v>
      </c>
      <c r="C4" t="s">
        <v>9589</v>
      </c>
      <c r="D4" t="s">
        <v>9589</v>
      </c>
      <c r="E4" t="s">
        <v>9589</v>
      </c>
    </row>
    <row r="5" spans="1:5" x14ac:dyDescent="0.45">
      <c r="A5" s="42" t="s">
        <v>9594</v>
      </c>
      <c r="B5" t="s">
        <v>9595</v>
      </c>
      <c r="C5" t="s">
        <v>9589</v>
      </c>
      <c r="D5" t="s">
        <v>9589</v>
      </c>
      <c r="E5" t="s">
        <v>9589</v>
      </c>
    </row>
    <row r="6" spans="1:5" x14ac:dyDescent="0.45">
      <c r="A6" s="42" t="s">
        <v>9596</v>
      </c>
      <c r="B6" t="s">
        <v>9597</v>
      </c>
      <c r="C6" t="s">
        <v>9598</v>
      </c>
      <c r="D6" t="s">
        <v>9598</v>
      </c>
      <c r="E6" t="s">
        <v>9598</v>
      </c>
    </row>
    <row r="7" spans="1:5" x14ac:dyDescent="0.45">
      <c r="A7" s="42" t="s">
        <v>477</v>
      </c>
      <c r="B7" t="s">
        <v>9599</v>
      </c>
      <c r="C7" t="s">
        <v>9589</v>
      </c>
      <c r="D7" t="s">
        <v>9589</v>
      </c>
      <c r="E7" t="s">
        <v>9589</v>
      </c>
    </row>
    <row r="8" spans="1:5" x14ac:dyDescent="0.45">
      <c r="A8" s="42" t="s">
        <v>480</v>
      </c>
      <c r="B8" t="s">
        <v>9600</v>
      </c>
      <c r="C8" t="s">
        <v>9589</v>
      </c>
      <c r="D8" t="s">
        <v>9589</v>
      </c>
      <c r="E8" t="s">
        <v>9589</v>
      </c>
    </row>
    <row r="9" spans="1:5" x14ac:dyDescent="0.45">
      <c r="A9" s="42" t="s">
        <v>9601</v>
      </c>
      <c r="B9" t="s">
        <v>9602</v>
      </c>
      <c r="C9" t="s">
        <v>9598</v>
      </c>
      <c r="D9" t="s">
        <v>9598</v>
      </c>
      <c r="E9" t="s">
        <v>9598</v>
      </c>
    </row>
    <row r="10" spans="1:5" x14ac:dyDescent="0.45">
      <c r="A10" s="42" t="s">
        <v>9603</v>
      </c>
      <c r="B10" t="s">
        <v>9604</v>
      </c>
      <c r="C10" t="s">
        <v>9589</v>
      </c>
      <c r="D10" t="s">
        <v>9589</v>
      </c>
      <c r="E10" t="s">
        <v>9589</v>
      </c>
    </row>
    <row r="11" spans="1:5" x14ac:dyDescent="0.45">
      <c r="A11" s="42" t="s">
        <v>9605</v>
      </c>
      <c r="B11" t="s">
        <v>9606</v>
      </c>
      <c r="C11" t="s">
        <v>9589</v>
      </c>
      <c r="D11" t="s">
        <v>9589</v>
      </c>
      <c r="E11" t="s">
        <v>9589</v>
      </c>
    </row>
    <row r="12" spans="1:5" x14ac:dyDescent="0.45">
      <c r="A12" s="42" t="s">
        <v>9607</v>
      </c>
      <c r="B12" t="s">
        <v>9608</v>
      </c>
      <c r="C12" t="s">
        <v>9598</v>
      </c>
      <c r="D12" t="s">
        <v>9598</v>
      </c>
      <c r="E12" t="s">
        <v>9598</v>
      </c>
    </row>
    <row r="13" spans="1:5" x14ac:dyDescent="0.45">
      <c r="A13" s="42" t="s">
        <v>9609</v>
      </c>
      <c r="B13" t="s">
        <v>9610</v>
      </c>
      <c r="C13" t="s">
        <v>9598</v>
      </c>
      <c r="D13" t="s">
        <v>9598</v>
      </c>
      <c r="E13" t="s">
        <v>9598</v>
      </c>
    </row>
    <row r="14" spans="1:5" x14ac:dyDescent="0.45">
      <c r="A14" s="42" t="s">
        <v>9611</v>
      </c>
      <c r="B14" t="s">
        <v>9612</v>
      </c>
      <c r="C14" t="s">
        <v>9598</v>
      </c>
      <c r="D14" t="s">
        <v>9598</v>
      </c>
      <c r="E14" t="s">
        <v>9598</v>
      </c>
    </row>
    <row r="15" spans="1:5" x14ac:dyDescent="0.45">
      <c r="A15" s="42" t="s">
        <v>9613</v>
      </c>
      <c r="B15" t="s">
        <v>9614</v>
      </c>
      <c r="C15" t="s">
        <v>9598</v>
      </c>
      <c r="D15" t="s">
        <v>9598</v>
      </c>
      <c r="E15" t="s">
        <v>9598</v>
      </c>
    </row>
    <row r="16" spans="1:5" x14ac:dyDescent="0.45">
      <c r="A16" s="42" t="s">
        <v>9615</v>
      </c>
      <c r="B16" t="s">
        <v>9616</v>
      </c>
      <c r="C16" t="s">
        <v>9598</v>
      </c>
      <c r="D16" t="s">
        <v>9598</v>
      </c>
      <c r="E16" t="s">
        <v>9573</v>
      </c>
    </row>
    <row r="17" spans="1:5" x14ac:dyDescent="0.45">
      <c r="A17" s="42" t="s">
        <v>9617</v>
      </c>
      <c r="B17" t="s">
        <v>9618</v>
      </c>
      <c r="C17" t="s">
        <v>9598</v>
      </c>
      <c r="D17" t="s">
        <v>9598</v>
      </c>
      <c r="E17" t="s">
        <v>9573</v>
      </c>
    </row>
    <row r="18" spans="1:5" x14ac:dyDescent="0.45">
      <c r="A18" s="42" t="s">
        <v>9619</v>
      </c>
      <c r="B18" t="s">
        <v>9620</v>
      </c>
      <c r="C18" t="s">
        <v>9598</v>
      </c>
      <c r="D18" t="s">
        <v>9598</v>
      </c>
      <c r="E18" t="s">
        <v>9573</v>
      </c>
    </row>
    <row r="19" spans="1:5" x14ac:dyDescent="0.45">
      <c r="A19" s="42" t="s">
        <v>9621</v>
      </c>
      <c r="B19" t="s">
        <v>9622</v>
      </c>
      <c r="C19" t="s">
        <v>9598</v>
      </c>
      <c r="D19" t="s">
        <v>9598</v>
      </c>
      <c r="E19" t="s">
        <v>9598</v>
      </c>
    </row>
    <row r="20" spans="1:5" x14ac:dyDescent="0.45">
      <c r="A20" s="42" t="s">
        <v>9623</v>
      </c>
      <c r="B20" t="s">
        <v>9624</v>
      </c>
      <c r="C20" t="s">
        <v>9598</v>
      </c>
      <c r="D20" t="s">
        <v>9598</v>
      </c>
      <c r="E20" t="s">
        <v>9625</v>
      </c>
    </row>
    <row r="21" spans="1:5" x14ac:dyDescent="0.45">
      <c r="A21" s="42" t="s">
        <v>9626</v>
      </c>
      <c r="B21" t="s">
        <v>9627</v>
      </c>
      <c r="C21" t="s">
        <v>9598</v>
      </c>
      <c r="D21" t="s">
        <v>9598</v>
      </c>
      <c r="E21" t="s">
        <v>9598</v>
      </c>
    </row>
    <row r="22" spans="1:5" x14ac:dyDescent="0.45">
      <c r="A22" s="42" t="s">
        <v>9628</v>
      </c>
      <c r="B22" t="s">
        <v>9629</v>
      </c>
      <c r="C22" t="s">
        <v>9598</v>
      </c>
      <c r="D22" t="s">
        <v>9598</v>
      </c>
      <c r="E22" t="s">
        <v>9598</v>
      </c>
    </row>
    <row r="23" spans="1:5" x14ac:dyDescent="0.45">
      <c r="A23" s="42" t="s">
        <v>9630</v>
      </c>
      <c r="B23" t="s">
        <v>9631</v>
      </c>
      <c r="C23" t="s">
        <v>9598</v>
      </c>
      <c r="D23" t="s">
        <v>9598</v>
      </c>
      <c r="E23" t="s">
        <v>9598</v>
      </c>
    </row>
    <row r="24" spans="1:5" x14ac:dyDescent="0.45">
      <c r="A24" s="42" t="s">
        <v>9632</v>
      </c>
      <c r="B24" t="s">
        <v>9633</v>
      </c>
      <c r="C24" t="s">
        <v>9598</v>
      </c>
      <c r="D24" t="s">
        <v>9598</v>
      </c>
      <c r="E24" t="s">
        <v>9625</v>
      </c>
    </row>
    <row r="25" spans="1:5" x14ac:dyDescent="0.45">
      <c r="A25" s="42" t="s">
        <v>9634</v>
      </c>
      <c r="B25" t="s">
        <v>9635</v>
      </c>
      <c r="C25" t="s">
        <v>9598</v>
      </c>
      <c r="D25" t="s">
        <v>9598</v>
      </c>
      <c r="E25" t="s">
        <v>9598</v>
      </c>
    </row>
    <row r="26" spans="1:5" x14ac:dyDescent="0.45">
      <c r="A26" s="42" t="s">
        <v>9636</v>
      </c>
      <c r="B26" t="s">
        <v>9637</v>
      </c>
      <c r="C26" t="s">
        <v>9598</v>
      </c>
      <c r="D26" t="s">
        <v>9598</v>
      </c>
      <c r="E26" t="s">
        <v>9598</v>
      </c>
    </row>
    <row r="27" spans="1:5" x14ac:dyDescent="0.45">
      <c r="A27" s="42" t="s">
        <v>9638</v>
      </c>
      <c r="B27" t="s">
        <v>9639</v>
      </c>
      <c r="C27" t="s">
        <v>9598</v>
      </c>
      <c r="D27" t="s">
        <v>9598</v>
      </c>
      <c r="E27" t="s">
        <v>9625</v>
      </c>
    </row>
    <row r="28" spans="1:5" x14ac:dyDescent="0.45">
      <c r="A28" s="42" t="s">
        <v>9640</v>
      </c>
      <c r="B28" t="s">
        <v>9641</v>
      </c>
      <c r="C28" t="s">
        <v>9598</v>
      </c>
      <c r="D28" t="s">
        <v>9598</v>
      </c>
      <c r="E28" t="s">
        <v>9598</v>
      </c>
    </row>
    <row r="29" spans="1:5" x14ac:dyDescent="0.45">
      <c r="A29" s="42" t="s">
        <v>9642</v>
      </c>
      <c r="B29" t="s">
        <v>9643</v>
      </c>
      <c r="C29" t="s">
        <v>9598</v>
      </c>
      <c r="D29" t="s">
        <v>9598</v>
      </c>
      <c r="E29" t="s">
        <v>9598</v>
      </c>
    </row>
    <row r="30" spans="1:5" x14ac:dyDescent="0.45">
      <c r="A30" s="42" t="s">
        <v>9644</v>
      </c>
      <c r="B30" t="s">
        <v>9645</v>
      </c>
      <c r="C30" t="s">
        <v>9598</v>
      </c>
      <c r="D30" t="s">
        <v>9598</v>
      </c>
      <c r="E30" t="s">
        <v>9598</v>
      </c>
    </row>
    <row r="31" spans="1:5" x14ac:dyDescent="0.45">
      <c r="A31" s="42" t="s">
        <v>9646</v>
      </c>
      <c r="B31" t="s">
        <v>9647</v>
      </c>
      <c r="C31" t="s">
        <v>9598</v>
      </c>
      <c r="D31" t="s">
        <v>9598</v>
      </c>
      <c r="E31" t="s">
        <v>9598</v>
      </c>
    </row>
    <row r="32" spans="1:5" x14ac:dyDescent="0.45">
      <c r="A32" s="42" t="s">
        <v>9648</v>
      </c>
      <c r="B32" t="s">
        <v>9649</v>
      </c>
      <c r="C32" t="s">
        <v>9598</v>
      </c>
      <c r="D32" t="s">
        <v>9598</v>
      </c>
      <c r="E32" t="s">
        <v>9598</v>
      </c>
    </row>
    <row r="33" spans="1:5" x14ac:dyDescent="0.45">
      <c r="A33" s="42" t="s">
        <v>9650</v>
      </c>
      <c r="B33" t="s">
        <v>9651</v>
      </c>
      <c r="C33" t="s">
        <v>9598</v>
      </c>
      <c r="D33" t="s">
        <v>9598</v>
      </c>
      <c r="E33" t="s">
        <v>9598</v>
      </c>
    </row>
    <row r="34" spans="1:5" x14ac:dyDescent="0.45">
      <c r="A34" s="42" t="s">
        <v>9652</v>
      </c>
      <c r="B34" t="s">
        <v>9653</v>
      </c>
      <c r="C34" t="s">
        <v>9598</v>
      </c>
      <c r="D34" t="s">
        <v>9598</v>
      </c>
      <c r="E34" t="s">
        <v>9598</v>
      </c>
    </row>
    <row r="35" spans="1:5" x14ac:dyDescent="0.45">
      <c r="A35" s="42" t="s">
        <v>9654</v>
      </c>
      <c r="B35" t="s">
        <v>9655</v>
      </c>
      <c r="C35" t="s">
        <v>9598</v>
      </c>
      <c r="D35" t="s">
        <v>9598</v>
      </c>
      <c r="E35" t="s">
        <v>9598</v>
      </c>
    </row>
    <row r="36" spans="1:5" x14ac:dyDescent="0.45">
      <c r="A36" s="42" t="s">
        <v>9656</v>
      </c>
      <c r="B36" t="s">
        <v>9657</v>
      </c>
      <c r="C36" t="s">
        <v>9598</v>
      </c>
      <c r="D36" t="s">
        <v>9598</v>
      </c>
      <c r="E36" t="s">
        <v>9598</v>
      </c>
    </row>
    <row r="37" spans="1:5" x14ac:dyDescent="0.45">
      <c r="A37" s="42" t="s">
        <v>9658</v>
      </c>
      <c r="B37" t="s">
        <v>9659</v>
      </c>
      <c r="C37" t="s">
        <v>9598</v>
      </c>
      <c r="D37" t="s">
        <v>9598</v>
      </c>
      <c r="E37" t="s">
        <v>9598</v>
      </c>
    </row>
    <row r="38" spans="1:5" x14ac:dyDescent="0.45">
      <c r="A38" s="42" t="s">
        <v>9660</v>
      </c>
      <c r="B38" t="s">
        <v>9661</v>
      </c>
      <c r="C38" t="s">
        <v>9598</v>
      </c>
      <c r="D38" t="s">
        <v>9598</v>
      </c>
      <c r="E38" t="s">
        <v>9598</v>
      </c>
    </row>
    <row r="39" spans="1:5" x14ac:dyDescent="0.45">
      <c r="A39" s="42" t="s">
        <v>9662</v>
      </c>
      <c r="B39" t="s">
        <v>9663</v>
      </c>
      <c r="C39" t="s">
        <v>9598</v>
      </c>
      <c r="D39" t="s">
        <v>9598</v>
      </c>
      <c r="E39" t="s">
        <v>9598</v>
      </c>
    </row>
    <row r="40" spans="1:5" x14ac:dyDescent="0.45">
      <c r="A40" s="42" t="s">
        <v>9664</v>
      </c>
      <c r="B40" t="s">
        <v>9665</v>
      </c>
      <c r="C40" t="s">
        <v>9598</v>
      </c>
      <c r="D40" t="s">
        <v>9598</v>
      </c>
      <c r="E40" t="s">
        <v>9598</v>
      </c>
    </row>
    <row r="41" spans="1:5" x14ac:dyDescent="0.45">
      <c r="A41" s="42" t="s">
        <v>9666</v>
      </c>
      <c r="B41" t="s">
        <v>9667</v>
      </c>
      <c r="C41" t="s">
        <v>9598</v>
      </c>
      <c r="D41" t="s">
        <v>9598</v>
      </c>
      <c r="E41" t="s">
        <v>9598</v>
      </c>
    </row>
    <row r="42" spans="1:5" x14ac:dyDescent="0.45">
      <c r="A42" s="42" t="s">
        <v>9668</v>
      </c>
      <c r="B42" t="s">
        <v>9669</v>
      </c>
      <c r="C42" t="s">
        <v>9598</v>
      </c>
      <c r="D42" t="s">
        <v>9598</v>
      </c>
      <c r="E42" t="s">
        <v>9598</v>
      </c>
    </row>
    <row r="43" spans="1:5" x14ac:dyDescent="0.45">
      <c r="A43" s="42" t="s">
        <v>9670</v>
      </c>
      <c r="B43" t="s">
        <v>9671</v>
      </c>
      <c r="C43" t="s">
        <v>9598</v>
      </c>
      <c r="D43" t="s">
        <v>9598</v>
      </c>
      <c r="E43" t="s">
        <v>9625</v>
      </c>
    </row>
    <row r="44" spans="1:5" x14ac:dyDescent="0.45">
      <c r="A44" s="42" t="s">
        <v>9672</v>
      </c>
      <c r="B44" t="s">
        <v>9673</v>
      </c>
      <c r="C44" t="s">
        <v>9598</v>
      </c>
      <c r="D44" t="s">
        <v>9598</v>
      </c>
      <c r="E44" t="s">
        <v>9625</v>
      </c>
    </row>
    <row r="45" spans="1:5" x14ac:dyDescent="0.45">
      <c r="A45" s="42" t="s">
        <v>9674</v>
      </c>
      <c r="B45" t="s">
        <v>9675</v>
      </c>
      <c r="C45" t="s">
        <v>9598</v>
      </c>
      <c r="D45" t="s">
        <v>9598</v>
      </c>
      <c r="E45" t="s">
        <v>9598</v>
      </c>
    </row>
    <row r="46" spans="1:5" x14ac:dyDescent="0.45">
      <c r="A46" s="42" t="s">
        <v>9676</v>
      </c>
      <c r="B46" t="s">
        <v>9677</v>
      </c>
      <c r="C46" t="s">
        <v>9598</v>
      </c>
      <c r="D46" t="s">
        <v>9598</v>
      </c>
      <c r="E46" t="s">
        <v>9598</v>
      </c>
    </row>
    <row r="47" spans="1:5" x14ac:dyDescent="0.45">
      <c r="A47" s="42" t="s">
        <v>9678</v>
      </c>
      <c r="B47" t="s">
        <v>9679</v>
      </c>
      <c r="C47" t="s">
        <v>9598</v>
      </c>
      <c r="D47" t="s">
        <v>9598</v>
      </c>
      <c r="E47" t="s">
        <v>9598</v>
      </c>
    </row>
    <row r="48" spans="1:5" x14ac:dyDescent="0.45">
      <c r="A48" s="42" t="s">
        <v>9680</v>
      </c>
      <c r="B48" t="s">
        <v>9681</v>
      </c>
      <c r="C48" t="s">
        <v>9598</v>
      </c>
      <c r="D48" t="s">
        <v>9598</v>
      </c>
      <c r="E48" t="s">
        <v>9625</v>
      </c>
    </row>
    <row r="49" spans="1:5" x14ac:dyDescent="0.45">
      <c r="A49" s="42" t="s">
        <v>9682</v>
      </c>
      <c r="B49" t="s">
        <v>9683</v>
      </c>
      <c r="C49" t="s">
        <v>9598</v>
      </c>
      <c r="D49" t="s">
        <v>9598</v>
      </c>
      <c r="E49" t="s">
        <v>9598</v>
      </c>
    </row>
    <row r="50" spans="1:5" x14ac:dyDescent="0.45">
      <c r="A50" s="42" t="s">
        <v>9684</v>
      </c>
      <c r="B50" t="s">
        <v>9685</v>
      </c>
      <c r="C50" t="s">
        <v>9598</v>
      </c>
      <c r="D50" t="s">
        <v>9598</v>
      </c>
      <c r="E50" t="s">
        <v>9598</v>
      </c>
    </row>
    <row r="51" spans="1:5" x14ac:dyDescent="0.45">
      <c r="A51" s="42" t="s">
        <v>9686</v>
      </c>
      <c r="B51" t="s">
        <v>9687</v>
      </c>
      <c r="C51" t="s">
        <v>9598</v>
      </c>
      <c r="D51" t="s">
        <v>9598</v>
      </c>
      <c r="E51" t="s">
        <v>9598</v>
      </c>
    </row>
    <row r="52" spans="1:5" x14ac:dyDescent="0.45">
      <c r="A52" s="42" t="s">
        <v>9688</v>
      </c>
      <c r="B52" t="s">
        <v>9689</v>
      </c>
      <c r="C52" t="s">
        <v>9598</v>
      </c>
      <c r="D52" t="s">
        <v>9598</v>
      </c>
      <c r="E52" t="s">
        <v>9598</v>
      </c>
    </row>
    <row r="53" spans="1:5" x14ac:dyDescent="0.45">
      <c r="A53" s="42" t="s">
        <v>9690</v>
      </c>
      <c r="B53" t="s">
        <v>9691</v>
      </c>
      <c r="C53" t="s">
        <v>9598</v>
      </c>
      <c r="D53" t="s">
        <v>9598</v>
      </c>
      <c r="E53" t="s">
        <v>9598</v>
      </c>
    </row>
    <row r="54" spans="1:5" x14ac:dyDescent="0.45">
      <c r="A54" s="42" t="s">
        <v>9692</v>
      </c>
      <c r="B54" t="s">
        <v>9693</v>
      </c>
      <c r="C54" t="s">
        <v>9598</v>
      </c>
      <c r="D54" t="s">
        <v>9598</v>
      </c>
      <c r="E54" t="s">
        <v>9598</v>
      </c>
    </row>
    <row r="55" spans="1:5" x14ac:dyDescent="0.45">
      <c r="A55" s="42" t="s">
        <v>9694</v>
      </c>
      <c r="B55" t="s">
        <v>9695</v>
      </c>
      <c r="C55" t="s">
        <v>9598</v>
      </c>
      <c r="D55" t="s">
        <v>9598</v>
      </c>
      <c r="E55" t="s">
        <v>9598</v>
      </c>
    </row>
    <row r="56" spans="1:5" x14ac:dyDescent="0.45">
      <c r="A56" s="42" t="s">
        <v>9696</v>
      </c>
      <c r="B56" t="s">
        <v>9697</v>
      </c>
      <c r="C56" t="s">
        <v>9598</v>
      </c>
      <c r="D56" t="s">
        <v>9598</v>
      </c>
      <c r="E56" t="s">
        <v>9625</v>
      </c>
    </row>
    <row r="57" spans="1:5" x14ac:dyDescent="0.45">
      <c r="A57" s="42" t="s">
        <v>9698</v>
      </c>
      <c r="B57" t="s">
        <v>9699</v>
      </c>
      <c r="C57" t="s">
        <v>9598</v>
      </c>
      <c r="D57" t="s">
        <v>9598</v>
      </c>
      <c r="E57" t="s">
        <v>9598</v>
      </c>
    </row>
    <row r="58" spans="1:5" x14ac:dyDescent="0.45">
      <c r="A58" s="42" t="s">
        <v>9700</v>
      </c>
      <c r="B58" t="s">
        <v>9701</v>
      </c>
      <c r="C58" t="s">
        <v>9598</v>
      </c>
      <c r="D58" t="s">
        <v>9598</v>
      </c>
      <c r="E58" t="s">
        <v>9598</v>
      </c>
    </row>
    <row r="59" spans="1:5" x14ac:dyDescent="0.45">
      <c r="A59" s="42" t="s">
        <v>9702</v>
      </c>
      <c r="B59" t="s">
        <v>9703</v>
      </c>
      <c r="C59" t="s">
        <v>9598</v>
      </c>
      <c r="D59" t="s">
        <v>9598</v>
      </c>
      <c r="E59" t="s">
        <v>9598</v>
      </c>
    </row>
    <row r="60" spans="1:5" x14ac:dyDescent="0.45">
      <c r="A60" s="42" t="s">
        <v>9704</v>
      </c>
      <c r="B60" t="s">
        <v>9705</v>
      </c>
      <c r="C60" t="s">
        <v>9598</v>
      </c>
      <c r="D60" t="s">
        <v>9598</v>
      </c>
      <c r="E60" t="s">
        <v>9573</v>
      </c>
    </row>
    <row r="61" spans="1:5" x14ac:dyDescent="0.45">
      <c r="A61" s="42" t="s">
        <v>9706</v>
      </c>
      <c r="B61" t="s">
        <v>9707</v>
      </c>
      <c r="C61" t="s">
        <v>9598</v>
      </c>
      <c r="D61" t="s">
        <v>9598</v>
      </c>
      <c r="E61" t="s">
        <v>9598</v>
      </c>
    </row>
    <row r="62" spans="1:5" x14ac:dyDescent="0.45">
      <c r="A62" s="42" t="s">
        <v>9708</v>
      </c>
      <c r="B62" t="s">
        <v>9709</v>
      </c>
      <c r="C62" t="s">
        <v>9598</v>
      </c>
      <c r="D62" t="s">
        <v>9598</v>
      </c>
      <c r="E62" t="s">
        <v>9598</v>
      </c>
    </row>
    <row r="63" spans="1:5" x14ac:dyDescent="0.45">
      <c r="A63" s="42" t="s">
        <v>9710</v>
      </c>
      <c r="B63" t="s">
        <v>9711</v>
      </c>
      <c r="C63" t="s">
        <v>9598</v>
      </c>
      <c r="D63" t="s">
        <v>9598</v>
      </c>
      <c r="E63" t="s">
        <v>9598</v>
      </c>
    </row>
    <row r="64" spans="1:5" x14ac:dyDescent="0.45">
      <c r="A64" s="42" t="s">
        <v>9712</v>
      </c>
      <c r="B64" t="s">
        <v>9713</v>
      </c>
      <c r="C64" t="s">
        <v>9598</v>
      </c>
      <c r="D64" t="s">
        <v>9598</v>
      </c>
      <c r="E64" t="s">
        <v>9598</v>
      </c>
    </row>
    <row r="65" spans="1:5" x14ac:dyDescent="0.45">
      <c r="A65" s="42" t="s">
        <v>9714</v>
      </c>
      <c r="B65" t="s">
        <v>9715</v>
      </c>
      <c r="C65" t="s">
        <v>9598</v>
      </c>
      <c r="D65" t="s">
        <v>9598</v>
      </c>
      <c r="E65" t="s">
        <v>9598</v>
      </c>
    </row>
    <row r="66" spans="1:5" x14ac:dyDescent="0.45">
      <c r="A66" s="42" t="s">
        <v>9716</v>
      </c>
      <c r="B66" t="s">
        <v>9717</v>
      </c>
      <c r="C66" t="s">
        <v>9598</v>
      </c>
      <c r="D66" t="s">
        <v>9598</v>
      </c>
      <c r="E66" t="s">
        <v>9598</v>
      </c>
    </row>
    <row r="67" spans="1:5" x14ac:dyDescent="0.45">
      <c r="A67" s="42" t="s">
        <v>9718</v>
      </c>
      <c r="B67" t="s">
        <v>9719</v>
      </c>
      <c r="C67" t="s">
        <v>9598</v>
      </c>
      <c r="D67" t="s">
        <v>9598</v>
      </c>
      <c r="E67" t="s">
        <v>9598</v>
      </c>
    </row>
    <row r="68" spans="1:5" x14ac:dyDescent="0.45">
      <c r="A68" s="42" t="s">
        <v>9720</v>
      </c>
      <c r="B68" t="s">
        <v>9721</v>
      </c>
      <c r="C68" t="s">
        <v>9598</v>
      </c>
      <c r="D68" t="s">
        <v>9598</v>
      </c>
      <c r="E68" t="s">
        <v>9598</v>
      </c>
    </row>
    <row r="69" spans="1:5" x14ac:dyDescent="0.45">
      <c r="A69" s="42" t="s">
        <v>9722</v>
      </c>
      <c r="B69" t="s">
        <v>9723</v>
      </c>
      <c r="C69" t="s">
        <v>9598</v>
      </c>
      <c r="D69" t="s">
        <v>9598</v>
      </c>
      <c r="E69" t="s">
        <v>9598</v>
      </c>
    </row>
    <row r="70" spans="1:5" x14ac:dyDescent="0.45">
      <c r="A70" s="42" t="s">
        <v>9724</v>
      </c>
      <c r="B70" t="s">
        <v>9725</v>
      </c>
      <c r="C70" t="s">
        <v>9598</v>
      </c>
      <c r="D70" t="s">
        <v>9598</v>
      </c>
      <c r="E70" t="s">
        <v>9598</v>
      </c>
    </row>
    <row r="71" spans="1:5" x14ac:dyDescent="0.45">
      <c r="A71" s="42" t="s">
        <v>9726</v>
      </c>
      <c r="B71" t="s">
        <v>9727</v>
      </c>
      <c r="C71" t="s">
        <v>9598</v>
      </c>
      <c r="D71" t="s">
        <v>9598</v>
      </c>
      <c r="E71" t="s">
        <v>9598</v>
      </c>
    </row>
    <row r="72" spans="1:5" x14ac:dyDescent="0.45">
      <c r="A72" s="42" t="s">
        <v>9728</v>
      </c>
      <c r="B72" t="s">
        <v>9729</v>
      </c>
      <c r="C72" t="s">
        <v>9598</v>
      </c>
      <c r="D72" t="s">
        <v>9598</v>
      </c>
      <c r="E72" t="s">
        <v>9598</v>
      </c>
    </row>
    <row r="73" spans="1:5" x14ac:dyDescent="0.45">
      <c r="A73" s="42" t="s">
        <v>9730</v>
      </c>
      <c r="B73" t="s">
        <v>9731</v>
      </c>
      <c r="C73" t="s">
        <v>9598</v>
      </c>
      <c r="D73" t="s">
        <v>9598</v>
      </c>
      <c r="E73" t="s">
        <v>9598</v>
      </c>
    </row>
    <row r="74" spans="1:5" x14ac:dyDescent="0.45">
      <c r="A74" s="42" t="s">
        <v>9732</v>
      </c>
      <c r="B74" t="s">
        <v>9733</v>
      </c>
      <c r="C74" t="s">
        <v>9598</v>
      </c>
      <c r="D74" t="s">
        <v>9598</v>
      </c>
      <c r="E74" t="s">
        <v>9598</v>
      </c>
    </row>
    <row r="75" spans="1:5" x14ac:dyDescent="0.45">
      <c r="A75" s="42" t="s">
        <v>9734</v>
      </c>
      <c r="B75" t="s">
        <v>9735</v>
      </c>
      <c r="C75" t="s">
        <v>9598</v>
      </c>
      <c r="D75" t="s">
        <v>9598</v>
      </c>
      <c r="E75" t="s">
        <v>9598</v>
      </c>
    </row>
    <row r="76" spans="1:5" x14ac:dyDescent="0.45">
      <c r="A76" s="42" t="s">
        <v>9736</v>
      </c>
      <c r="B76" t="s">
        <v>9737</v>
      </c>
      <c r="C76" t="s">
        <v>9598</v>
      </c>
      <c r="D76" t="s">
        <v>9598</v>
      </c>
      <c r="E76" t="s">
        <v>9598</v>
      </c>
    </row>
    <row r="77" spans="1:5" x14ac:dyDescent="0.45">
      <c r="A77" s="42" t="s">
        <v>9738</v>
      </c>
      <c r="B77" t="s">
        <v>9739</v>
      </c>
      <c r="C77" t="s">
        <v>9598</v>
      </c>
      <c r="D77" t="s">
        <v>9598</v>
      </c>
      <c r="E77" t="s">
        <v>9598</v>
      </c>
    </row>
    <row r="78" spans="1:5" x14ac:dyDescent="0.45">
      <c r="A78" s="42" t="s">
        <v>9740</v>
      </c>
      <c r="B78" t="s">
        <v>9741</v>
      </c>
      <c r="C78" t="s">
        <v>9598</v>
      </c>
      <c r="D78" t="s">
        <v>9598</v>
      </c>
      <c r="E78" t="s">
        <v>9598</v>
      </c>
    </row>
    <row r="79" spans="1:5" x14ac:dyDescent="0.45">
      <c r="A79" s="42" t="s">
        <v>9742</v>
      </c>
      <c r="B79" t="s">
        <v>9743</v>
      </c>
      <c r="C79" t="s">
        <v>9598</v>
      </c>
      <c r="D79" t="s">
        <v>9598</v>
      </c>
      <c r="E79" t="s">
        <v>9598</v>
      </c>
    </row>
    <row r="80" spans="1:5" x14ac:dyDescent="0.45">
      <c r="A80" s="42" t="s">
        <v>9744</v>
      </c>
      <c r="B80" t="s">
        <v>9745</v>
      </c>
      <c r="C80" t="s">
        <v>9598</v>
      </c>
      <c r="D80" t="s">
        <v>9598</v>
      </c>
      <c r="E80" t="s">
        <v>9598</v>
      </c>
    </row>
    <row r="81" spans="1:5" x14ac:dyDescent="0.45">
      <c r="A81" s="42" t="s">
        <v>9746</v>
      </c>
      <c r="B81" t="s">
        <v>9747</v>
      </c>
      <c r="C81" t="s">
        <v>9598</v>
      </c>
      <c r="D81" t="s">
        <v>9598</v>
      </c>
      <c r="E81" t="s">
        <v>9598</v>
      </c>
    </row>
    <row r="82" spans="1:5" x14ac:dyDescent="0.45">
      <c r="A82" s="42" t="s">
        <v>9748</v>
      </c>
      <c r="B82" t="s">
        <v>9749</v>
      </c>
      <c r="C82" t="s">
        <v>9598</v>
      </c>
      <c r="D82" t="s">
        <v>9598</v>
      </c>
      <c r="E82" t="s">
        <v>9598</v>
      </c>
    </row>
    <row r="83" spans="1:5" x14ac:dyDescent="0.45">
      <c r="A83" s="42" t="s">
        <v>9750</v>
      </c>
      <c r="B83" t="s">
        <v>9751</v>
      </c>
      <c r="C83" t="s">
        <v>9598</v>
      </c>
      <c r="D83" t="s">
        <v>9598</v>
      </c>
      <c r="E83" t="s">
        <v>9598</v>
      </c>
    </row>
    <row r="84" spans="1:5" x14ac:dyDescent="0.45">
      <c r="A84" s="42" t="s">
        <v>9752</v>
      </c>
      <c r="B84" t="s">
        <v>9753</v>
      </c>
      <c r="C84" t="s">
        <v>9598</v>
      </c>
      <c r="D84" t="s">
        <v>9598</v>
      </c>
      <c r="E84" t="s">
        <v>9598</v>
      </c>
    </row>
    <row r="85" spans="1:5" x14ac:dyDescent="0.45">
      <c r="A85" s="42" t="s">
        <v>9754</v>
      </c>
      <c r="B85" t="s">
        <v>9755</v>
      </c>
      <c r="C85" t="s">
        <v>9598</v>
      </c>
      <c r="D85" t="s">
        <v>9598</v>
      </c>
      <c r="E85" t="s">
        <v>9598</v>
      </c>
    </row>
    <row r="86" spans="1:5" x14ac:dyDescent="0.45">
      <c r="A86" s="42" t="s">
        <v>9756</v>
      </c>
      <c r="B86" t="s">
        <v>9757</v>
      </c>
      <c r="C86" t="s">
        <v>9598</v>
      </c>
      <c r="D86" t="s">
        <v>9598</v>
      </c>
      <c r="E86" t="s">
        <v>9598</v>
      </c>
    </row>
    <row r="87" spans="1:5" x14ac:dyDescent="0.45">
      <c r="A87" s="42" t="s">
        <v>9758</v>
      </c>
      <c r="B87" t="s">
        <v>9759</v>
      </c>
      <c r="C87" t="s">
        <v>9598</v>
      </c>
      <c r="D87" t="s">
        <v>9598</v>
      </c>
      <c r="E87" t="s">
        <v>9598</v>
      </c>
    </row>
    <row r="88" spans="1:5" x14ac:dyDescent="0.45">
      <c r="A88" s="42" t="s">
        <v>9760</v>
      </c>
      <c r="B88" t="s">
        <v>9761</v>
      </c>
      <c r="C88" t="s">
        <v>9598</v>
      </c>
      <c r="D88" t="s">
        <v>9762</v>
      </c>
      <c r="E88" t="s">
        <v>9598</v>
      </c>
    </row>
    <row r="89" spans="1:5" x14ac:dyDescent="0.45">
      <c r="A89" s="42" t="s">
        <v>9763</v>
      </c>
      <c r="B89" t="s">
        <v>9764</v>
      </c>
      <c r="C89" t="s">
        <v>9598</v>
      </c>
      <c r="D89" t="s">
        <v>9762</v>
      </c>
      <c r="E89" t="s">
        <v>9598</v>
      </c>
    </row>
    <row r="90" spans="1:5" x14ac:dyDescent="0.45">
      <c r="A90" s="42" t="s">
        <v>9765</v>
      </c>
      <c r="B90" t="s">
        <v>9766</v>
      </c>
      <c r="C90" t="s">
        <v>9598</v>
      </c>
      <c r="D90" t="s">
        <v>9598</v>
      </c>
      <c r="E90" t="s">
        <v>9598</v>
      </c>
    </row>
    <row r="91" spans="1:5" x14ac:dyDescent="0.45">
      <c r="A91" s="42" t="s">
        <v>9767</v>
      </c>
      <c r="B91" t="s">
        <v>9768</v>
      </c>
      <c r="C91" t="s">
        <v>9598</v>
      </c>
      <c r="D91" t="s">
        <v>9598</v>
      </c>
      <c r="E91" t="s">
        <v>9598</v>
      </c>
    </row>
    <row r="92" spans="1:5" x14ac:dyDescent="0.45">
      <c r="A92" s="42" t="s">
        <v>9769</v>
      </c>
      <c r="B92" t="s">
        <v>9770</v>
      </c>
      <c r="C92" t="s">
        <v>9598</v>
      </c>
      <c r="D92" t="s">
        <v>9598</v>
      </c>
      <c r="E92" t="s">
        <v>9598</v>
      </c>
    </row>
    <row r="93" spans="1:5" x14ac:dyDescent="0.45">
      <c r="A93" s="42" t="s">
        <v>9771</v>
      </c>
      <c r="B93" t="s">
        <v>9772</v>
      </c>
      <c r="C93" t="s">
        <v>9598</v>
      </c>
      <c r="D93" t="s">
        <v>9598</v>
      </c>
      <c r="E93" t="s">
        <v>9625</v>
      </c>
    </row>
    <row r="94" spans="1:5" x14ac:dyDescent="0.45">
      <c r="A94" s="42" t="s">
        <v>9773</v>
      </c>
      <c r="B94" t="s">
        <v>9774</v>
      </c>
      <c r="C94" t="s">
        <v>9598</v>
      </c>
      <c r="D94" t="s">
        <v>9598</v>
      </c>
      <c r="E94" t="s">
        <v>9625</v>
      </c>
    </row>
    <row r="95" spans="1:5" x14ac:dyDescent="0.45">
      <c r="A95" s="42" t="s">
        <v>9775</v>
      </c>
      <c r="B95" t="s">
        <v>9776</v>
      </c>
      <c r="C95" t="s">
        <v>9598</v>
      </c>
      <c r="D95" t="s">
        <v>9598</v>
      </c>
      <c r="E95" t="s">
        <v>9598</v>
      </c>
    </row>
    <row r="96" spans="1:5" x14ac:dyDescent="0.45">
      <c r="A96" s="42" t="s">
        <v>9777</v>
      </c>
      <c r="B96" t="s">
        <v>9778</v>
      </c>
      <c r="C96" t="s">
        <v>9589</v>
      </c>
      <c r="D96" t="s">
        <v>9589</v>
      </c>
      <c r="E96" t="s">
        <v>9589</v>
      </c>
    </row>
    <row r="97" spans="1:5" x14ac:dyDescent="0.45">
      <c r="A97" s="42" t="s">
        <v>9779</v>
      </c>
      <c r="B97" t="s">
        <v>9780</v>
      </c>
      <c r="C97" t="s">
        <v>9589</v>
      </c>
      <c r="D97" t="s">
        <v>9589</v>
      </c>
      <c r="E97" t="s">
        <v>9589</v>
      </c>
    </row>
    <row r="98" spans="1:5" x14ac:dyDescent="0.45">
      <c r="A98" s="42" t="s">
        <v>9781</v>
      </c>
      <c r="B98" t="s">
        <v>9782</v>
      </c>
      <c r="C98" t="s">
        <v>9598</v>
      </c>
      <c r="D98" t="s">
        <v>9598</v>
      </c>
      <c r="E98" t="s">
        <v>9625</v>
      </c>
    </row>
    <row r="99" spans="1:5" x14ac:dyDescent="0.45">
      <c r="A99" s="42" t="s">
        <v>9783</v>
      </c>
      <c r="B99" t="s">
        <v>9784</v>
      </c>
      <c r="C99" t="s">
        <v>9598</v>
      </c>
      <c r="D99" t="s">
        <v>9598</v>
      </c>
      <c r="E99" t="s">
        <v>9625</v>
      </c>
    </row>
    <row r="100" spans="1:5" x14ac:dyDescent="0.45">
      <c r="A100" s="42" t="s">
        <v>9785</v>
      </c>
      <c r="B100" t="s">
        <v>9786</v>
      </c>
      <c r="C100" t="s">
        <v>9598</v>
      </c>
      <c r="D100" t="s">
        <v>9598</v>
      </c>
      <c r="E100" t="s">
        <v>9598</v>
      </c>
    </row>
    <row r="101" spans="1:5" x14ac:dyDescent="0.45">
      <c r="A101" s="42" t="s">
        <v>9787</v>
      </c>
      <c r="B101" t="s">
        <v>9788</v>
      </c>
      <c r="C101" t="s">
        <v>9598</v>
      </c>
      <c r="D101" t="s">
        <v>9598</v>
      </c>
      <c r="E101" t="s">
        <v>9598</v>
      </c>
    </row>
    <row r="102" spans="1:5" x14ac:dyDescent="0.45">
      <c r="A102" s="42" t="s">
        <v>9789</v>
      </c>
      <c r="B102" t="s">
        <v>9790</v>
      </c>
      <c r="C102" t="s">
        <v>9598</v>
      </c>
      <c r="D102" t="s">
        <v>9598</v>
      </c>
      <c r="E102" t="s">
        <v>9598</v>
      </c>
    </row>
    <row r="103" spans="1:5" x14ac:dyDescent="0.45">
      <c r="A103" s="42" t="s">
        <v>9791</v>
      </c>
      <c r="B103" t="s">
        <v>9792</v>
      </c>
      <c r="C103" t="s">
        <v>9598</v>
      </c>
      <c r="D103" t="s">
        <v>9598</v>
      </c>
      <c r="E103" t="s">
        <v>9598</v>
      </c>
    </row>
    <row r="104" spans="1:5" x14ac:dyDescent="0.45">
      <c r="A104" s="42" t="s">
        <v>9793</v>
      </c>
      <c r="B104" t="s">
        <v>9794</v>
      </c>
      <c r="C104" t="s">
        <v>9598</v>
      </c>
      <c r="D104" t="s">
        <v>9598</v>
      </c>
      <c r="E104" t="s">
        <v>9598</v>
      </c>
    </row>
    <row r="105" spans="1:5" x14ac:dyDescent="0.45">
      <c r="A105" s="42" t="s">
        <v>9795</v>
      </c>
      <c r="B105" t="s">
        <v>9796</v>
      </c>
      <c r="C105" t="s">
        <v>9598</v>
      </c>
      <c r="D105" t="s">
        <v>9598</v>
      </c>
      <c r="E105" t="s">
        <v>9598</v>
      </c>
    </row>
    <row r="106" spans="1:5" x14ac:dyDescent="0.45">
      <c r="A106" s="42" t="s">
        <v>9797</v>
      </c>
      <c r="B106" t="s">
        <v>9798</v>
      </c>
      <c r="C106" t="s">
        <v>9598</v>
      </c>
      <c r="D106" t="s">
        <v>9598</v>
      </c>
      <c r="E106" t="s">
        <v>9598</v>
      </c>
    </row>
    <row r="107" spans="1:5" x14ac:dyDescent="0.45">
      <c r="A107" s="42" t="s">
        <v>9799</v>
      </c>
      <c r="B107" t="s">
        <v>9800</v>
      </c>
      <c r="C107" t="s">
        <v>9598</v>
      </c>
      <c r="D107" t="s">
        <v>9598</v>
      </c>
      <c r="E107" t="s">
        <v>9598</v>
      </c>
    </row>
    <row r="108" spans="1:5" x14ac:dyDescent="0.45">
      <c r="A108" s="42" t="s">
        <v>9801</v>
      </c>
      <c r="B108" t="s">
        <v>9802</v>
      </c>
      <c r="C108" t="s">
        <v>9598</v>
      </c>
      <c r="D108" t="s">
        <v>9598</v>
      </c>
      <c r="E108" t="s">
        <v>9598</v>
      </c>
    </row>
    <row r="109" spans="1:5" x14ac:dyDescent="0.45">
      <c r="A109" s="42" t="s">
        <v>9803</v>
      </c>
      <c r="B109" t="s">
        <v>9804</v>
      </c>
      <c r="C109" t="s">
        <v>9598</v>
      </c>
      <c r="D109" t="s">
        <v>9598</v>
      </c>
      <c r="E109" t="s">
        <v>9598</v>
      </c>
    </row>
    <row r="110" spans="1:5" x14ac:dyDescent="0.45">
      <c r="A110" s="42" t="s">
        <v>9805</v>
      </c>
      <c r="B110" t="s">
        <v>9806</v>
      </c>
      <c r="C110" t="s">
        <v>9598</v>
      </c>
      <c r="D110" t="s">
        <v>9598</v>
      </c>
      <c r="E110" t="s">
        <v>9598</v>
      </c>
    </row>
    <row r="111" spans="1:5" x14ac:dyDescent="0.45">
      <c r="A111" s="42" t="s">
        <v>9807</v>
      </c>
      <c r="B111" t="s">
        <v>9808</v>
      </c>
      <c r="C111" t="s">
        <v>9598</v>
      </c>
      <c r="D111" t="s">
        <v>9598</v>
      </c>
      <c r="E111" t="s">
        <v>9598</v>
      </c>
    </row>
    <row r="112" spans="1:5" x14ac:dyDescent="0.45">
      <c r="A112" s="42" t="s">
        <v>9809</v>
      </c>
      <c r="B112" t="s">
        <v>9810</v>
      </c>
      <c r="C112" t="s">
        <v>9598</v>
      </c>
      <c r="D112" t="s">
        <v>9598</v>
      </c>
      <c r="E112" t="s">
        <v>9598</v>
      </c>
    </row>
    <row r="113" spans="1:5" x14ac:dyDescent="0.45">
      <c r="A113" s="42" t="s">
        <v>9811</v>
      </c>
      <c r="B113" t="s">
        <v>9812</v>
      </c>
      <c r="C113" t="s">
        <v>9598</v>
      </c>
      <c r="D113" t="s">
        <v>9598</v>
      </c>
      <c r="E113" t="s">
        <v>9598</v>
      </c>
    </row>
    <row r="114" spans="1:5" x14ac:dyDescent="0.45">
      <c r="A114" s="42" t="s">
        <v>9813</v>
      </c>
      <c r="B114" t="s">
        <v>9814</v>
      </c>
      <c r="C114" t="s">
        <v>9598</v>
      </c>
      <c r="D114" t="s">
        <v>9598</v>
      </c>
      <c r="E114" t="s">
        <v>9598</v>
      </c>
    </row>
    <row r="115" spans="1:5" x14ac:dyDescent="0.45">
      <c r="A115" s="42" t="s">
        <v>9815</v>
      </c>
      <c r="B115" t="s">
        <v>9816</v>
      </c>
      <c r="C115" t="s">
        <v>9598</v>
      </c>
      <c r="D115" t="s">
        <v>9598</v>
      </c>
      <c r="E115" t="s">
        <v>9598</v>
      </c>
    </row>
    <row r="116" spans="1:5" x14ac:dyDescent="0.45">
      <c r="A116" s="42" t="s">
        <v>9817</v>
      </c>
      <c r="B116" t="s">
        <v>9818</v>
      </c>
      <c r="C116" t="s">
        <v>9598</v>
      </c>
      <c r="D116" t="s">
        <v>9598</v>
      </c>
      <c r="E116" t="s">
        <v>9598</v>
      </c>
    </row>
    <row r="117" spans="1:5" x14ac:dyDescent="0.45">
      <c r="A117" s="42" t="s">
        <v>9819</v>
      </c>
      <c r="B117" t="s">
        <v>9820</v>
      </c>
      <c r="C117" t="s">
        <v>9598</v>
      </c>
      <c r="D117" t="s">
        <v>9598</v>
      </c>
      <c r="E117" t="s">
        <v>9598</v>
      </c>
    </row>
    <row r="118" spans="1:5" x14ac:dyDescent="0.45">
      <c r="A118" s="42" t="s">
        <v>9821</v>
      </c>
      <c r="B118" t="s">
        <v>9822</v>
      </c>
      <c r="C118" t="s">
        <v>9598</v>
      </c>
      <c r="D118" t="s">
        <v>9598</v>
      </c>
      <c r="E118" t="s">
        <v>9598</v>
      </c>
    </row>
    <row r="119" spans="1:5" x14ac:dyDescent="0.45">
      <c r="A119" s="42" t="s">
        <v>9823</v>
      </c>
      <c r="B119" t="s">
        <v>9824</v>
      </c>
      <c r="C119" t="s">
        <v>9598</v>
      </c>
      <c r="D119" t="s">
        <v>9598</v>
      </c>
      <c r="E119" t="s">
        <v>9598</v>
      </c>
    </row>
    <row r="120" spans="1:5" x14ac:dyDescent="0.45">
      <c r="A120" s="42" t="s">
        <v>9825</v>
      </c>
      <c r="B120" t="s">
        <v>9826</v>
      </c>
      <c r="C120" t="s">
        <v>9589</v>
      </c>
      <c r="D120" t="s">
        <v>9589</v>
      </c>
      <c r="E120" t="s">
        <v>9589</v>
      </c>
    </row>
    <row r="121" spans="1:5" x14ac:dyDescent="0.45">
      <c r="A121" s="42" t="s">
        <v>9827</v>
      </c>
      <c r="B121" t="s">
        <v>9828</v>
      </c>
      <c r="C121" t="s">
        <v>9598</v>
      </c>
      <c r="D121" t="s">
        <v>9598</v>
      </c>
      <c r="E121" t="s">
        <v>9598</v>
      </c>
    </row>
    <row r="122" spans="1:5" x14ac:dyDescent="0.45">
      <c r="A122" s="42" t="s">
        <v>9829</v>
      </c>
      <c r="B122" t="s">
        <v>9830</v>
      </c>
      <c r="C122" t="s">
        <v>9598</v>
      </c>
      <c r="D122" t="s">
        <v>9598</v>
      </c>
      <c r="E122" t="s">
        <v>9573</v>
      </c>
    </row>
    <row r="123" spans="1:5" x14ac:dyDescent="0.45">
      <c r="A123" s="42" t="s">
        <v>9831</v>
      </c>
      <c r="B123" t="s">
        <v>9832</v>
      </c>
      <c r="C123" t="s">
        <v>9598</v>
      </c>
      <c r="D123" t="s">
        <v>9598</v>
      </c>
      <c r="E123" t="s">
        <v>9573</v>
      </c>
    </row>
    <row r="124" spans="1:5" x14ac:dyDescent="0.45">
      <c r="A124" s="42" t="s">
        <v>9833</v>
      </c>
      <c r="B124" t="s">
        <v>9834</v>
      </c>
      <c r="C124" t="s">
        <v>9598</v>
      </c>
      <c r="D124" t="s">
        <v>9598</v>
      </c>
      <c r="E124" t="s">
        <v>9573</v>
      </c>
    </row>
    <row r="125" spans="1:5" x14ac:dyDescent="0.45">
      <c r="A125" s="42" t="s">
        <v>9835</v>
      </c>
      <c r="B125" t="s">
        <v>9836</v>
      </c>
      <c r="C125" t="s">
        <v>9598</v>
      </c>
      <c r="D125" t="s">
        <v>9598</v>
      </c>
      <c r="E125" t="s">
        <v>9573</v>
      </c>
    </row>
    <row r="126" spans="1:5" x14ac:dyDescent="0.45">
      <c r="A126" s="42" t="s">
        <v>9837</v>
      </c>
      <c r="B126" t="s">
        <v>9838</v>
      </c>
      <c r="C126" t="s">
        <v>9598</v>
      </c>
      <c r="D126" t="s">
        <v>9598</v>
      </c>
      <c r="E126" t="s">
        <v>9573</v>
      </c>
    </row>
    <row r="127" spans="1:5" x14ac:dyDescent="0.45">
      <c r="A127" s="42" t="s">
        <v>9839</v>
      </c>
      <c r="B127" t="s">
        <v>9840</v>
      </c>
      <c r="C127" t="s">
        <v>9598</v>
      </c>
      <c r="D127" t="s">
        <v>9598</v>
      </c>
      <c r="E127" t="s">
        <v>9573</v>
      </c>
    </row>
    <row r="128" spans="1:5" x14ac:dyDescent="0.45">
      <c r="A128" s="42" t="s">
        <v>9841</v>
      </c>
      <c r="B128" t="s">
        <v>9842</v>
      </c>
      <c r="C128" t="s">
        <v>9598</v>
      </c>
      <c r="D128" t="s">
        <v>9598</v>
      </c>
      <c r="E128" t="s">
        <v>9598</v>
      </c>
    </row>
    <row r="129" spans="1:5" x14ac:dyDescent="0.45">
      <c r="A129" s="42" t="s">
        <v>9843</v>
      </c>
      <c r="B129" t="s">
        <v>9844</v>
      </c>
      <c r="C129" t="s">
        <v>9598</v>
      </c>
      <c r="D129" t="s">
        <v>9598</v>
      </c>
      <c r="E129" t="s">
        <v>9598</v>
      </c>
    </row>
    <row r="130" spans="1:5" x14ac:dyDescent="0.45">
      <c r="A130" s="42" t="s">
        <v>9845</v>
      </c>
      <c r="B130" t="s">
        <v>9846</v>
      </c>
      <c r="C130" t="s">
        <v>9598</v>
      </c>
      <c r="D130" t="s">
        <v>9598</v>
      </c>
      <c r="E130" t="s">
        <v>9598</v>
      </c>
    </row>
    <row r="131" spans="1:5" x14ac:dyDescent="0.45">
      <c r="A131" s="42" t="s">
        <v>9847</v>
      </c>
      <c r="B131" t="s">
        <v>9848</v>
      </c>
      <c r="C131" t="s">
        <v>9598</v>
      </c>
      <c r="D131" t="s">
        <v>9598</v>
      </c>
      <c r="E131" t="s">
        <v>9598</v>
      </c>
    </row>
    <row r="132" spans="1:5" x14ac:dyDescent="0.45">
      <c r="A132" s="42" t="s">
        <v>9849</v>
      </c>
      <c r="B132" t="s">
        <v>9850</v>
      </c>
      <c r="C132" t="s">
        <v>9598</v>
      </c>
      <c r="D132" t="s">
        <v>9598</v>
      </c>
      <c r="E132" t="s">
        <v>9598</v>
      </c>
    </row>
    <row r="133" spans="1:5" x14ac:dyDescent="0.45">
      <c r="A133" s="42" t="s">
        <v>9851</v>
      </c>
      <c r="B133" t="s">
        <v>9852</v>
      </c>
      <c r="C133" t="s">
        <v>9598</v>
      </c>
      <c r="D133" t="s">
        <v>9598</v>
      </c>
      <c r="E133" t="s">
        <v>9598</v>
      </c>
    </row>
    <row r="134" spans="1:5" x14ac:dyDescent="0.45">
      <c r="A134" s="42" t="s">
        <v>9853</v>
      </c>
      <c r="B134" t="s">
        <v>9854</v>
      </c>
      <c r="C134" t="s">
        <v>9598</v>
      </c>
      <c r="D134" t="s">
        <v>9598</v>
      </c>
      <c r="E134" t="s">
        <v>9598</v>
      </c>
    </row>
    <row r="135" spans="1:5" x14ac:dyDescent="0.45">
      <c r="A135" s="42" t="s">
        <v>9855</v>
      </c>
      <c r="B135" t="s">
        <v>9856</v>
      </c>
      <c r="C135" t="s">
        <v>9598</v>
      </c>
      <c r="D135" t="s">
        <v>9598</v>
      </c>
      <c r="E135" t="s">
        <v>9598</v>
      </c>
    </row>
    <row r="136" spans="1:5" x14ac:dyDescent="0.45">
      <c r="A136" s="42" t="s">
        <v>9857</v>
      </c>
      <c r="B136" t="s">
        <v>9858</v>
      </c>
      <c r="C136" t="s">
        <v>9598</v>
      </c>
      <c r="D136" t="s">
        <v>9598</v>
      </c>
      <c r="E136" t="s">
        <v>9625</v>
      </c>
    </row>
    <row r="137" spans="1:5" x14ac:dyDescent="0.45">
      <c r="A137" s="42" t="s">
        <v>9859</v>
      </c>
      <c r="B137" t="s">
        <v>9860</v>
      </c>
      <c r="C137" t="s">
        <v>9598</v>
      </c>
      <c r="D137" t="s">
        <v>9598</v>
      </c>
      <c r="E137" t="s">
        <v>9598</v>
      </c>
    </row>
    <row r="138" spans="1:5" x14ac:dyDescent="0.45">
      <c r="A138" s="42" t="s">
        <v>9861</v>
      </c>
      <c r="B138" t="s">
        <v>9862</v>
      </c>
      <c r="C138" t="s">
        <v>9598</v>
      </c>
      <c r="D138" t="s">
        <v>9598</v>
      </c>
      <c r="E138" t="s">
        <v>9598</v>
      </c>
    </row>
    <row r="139" spans="1:5" x14ac:dyDescent="0.45">
      <c r="A139" s="42" t="s">
        <v>9863</v>
      </c>
      <c r="B139" t="s">
        <v>9864</v>
      </c>
      <c r="C139" t="s">
        <v>9598</v>
      </c>
      <c r="D139" t="s">
        <v>9598</v>
      </c>
      <c r="E139" t="s">
        <v>9598</v>
      </c>
    </row>
    <row r="140" spans="1:5" x14ac:dyDescent="0.45">
      <c r="A140" s="42" t="s">
        <v>9865</v>
      </c>
      <c r="B140" t="s">
        <v>9866</v>
      </c>
      <c r="C140" t="s">
        <v>9598</v>
      </c>
      <c r="D140" t="s">
        <v>9598</v>
      </c>
      <c r="E140" t="s">
        <v>9598</v>
      </c>
    </row>
    <row r="141" spans="1:5" x14ac:dyDescent="0.45">
      <c r="A141" s="42" t="s">
        <v>9867</v>
      </c>
      <c r="B141" t="s">
        <v>9868</v>
      </c>
      <c r="C141" t="s">
        <v>9598</v>
      </c>
      <c r="D141" t="s">
        <v>9598</v>
      </c>
      <c r="E141" t="s">
        <v>9598</v>
      </c>
    </row>
    <row r="142" spans="1:5" x14ac:dyDescent="0.45">
      <c r="A142" s="42" t="s">
        <v>9869</v>
      </c>
      <c r="B142" t="s">
        <v>9870</v>
      </c>
      <c r="C142" t="s">
        <v>9589</v>
      </c>
      <c r="D142" t="s">
        <v>9589</v>
      </c>
      <c r="E142" t="s">
        <v>9589</v>
      </c>
    </row>
    <row r="143" spans="1:5" x14ac:dyDescent="0.45">
      <c r="A143" s="42" t="s">
        <v>9871</v>
      </c>
      <c r="B143" t="s">
        <v>9872</v>
      </c>
      <c r="C143" t="s">
        <v>9598</v>
      </c>
      <c r="D143" t="s">
        <v>9598</v>
      </c>
      <c r="E143" t="s">
        <v>9598</v>
      </c>
    </row>
    <row r="144" spans="1:5" x14ac:dyDescent="0.45">
      <c r="A144" s="42" t="s">
        <v>9873</v>
      </c>
      <c r="B144" t="s">
        <v>9874</v>
      </c>
      <c r="C144" t="s">
        <v>9598</v>
      </c>
      <c r="D144" t="s">
        <v>9598</v>
      </c>
      <c r="E144" t="s">
        <v>9598</v>
      </c>
    </row>
    <row r="145" spans="1:5" x14ac:dyDescent="0.45">
      <c r="A145" s="42" t="s">
        <v>9875</v>
      </c>
      <c r="B145" t="s">
        <v>9876</v>
      </c>
      <c r="C145" t="s">
        <v>9598</v>
      </c>
      <c r="D145" t="s">
        <v>9598</v>
      </c>
      <c r="E145" t="s">
        <v>9598</v>
      </c>
    </row>
    <row r="146" spans="1:5" x14ac:dyDescent="0.45">
      <c r="A146" s="42" t="s">
        <v>9877</v>
      </c>
      <c r="B146" t="s">
        <v>9878</v>
      </c>
      <c r="C146" t="s">
        <v>9598</v>
      </c>
      <c r="D146" t="s">
        <v>9598</v>
      </c>
      <c r="E146" t="s">
        <v>9598</v>
      </c>
    </row>
    <row r="147" spans="1:5" x14ac:dyDescent="0.45">
      <c r="A147" s="42" t="s">
        <v>9879</v>
      </c>
      <c r="B147" t="s">
        <v>9880</v>
      </c>
      <c r="C147" t="s">
        <v>9598</v>
      </c>
      <c r="D147" t="s">
        <v>9598</v>
      </c>
      <c r="E147" t="s">
        <v>9598</v>
      </c>
    </row>
    <row r="148" spans="1:5" x14ac:dyDescent="0.45">
      <c r="A148" s="42" t="s">
        <v>9881</v>
      </c>
      <c r="B148" t="s">
        <v>9882</v>
      </c>
      <c r="C148" t="s">
        <v>9598</v>
      </c>
      <c r="D148" t="s">
        <v>9598</v>
      </c>
      <c r="E148" t="s">
        <v>9598</v>
      </c>
    </row>
    <row r="149" spans="1:5" x14ac:dyDescent="0.45">
      <c r="A149" s="42" t="s">
        <v>9883</v>
      </c>
      <c r="B149" t="s">
        <v>9884</v>
      </c>
      <c r="C149" t="s">
        <v>9598</v>
      </c>
      <c r="D149" t="s">
        <v>9598</v>
      </c>
      <c r="E149" t="s">
        <v>9598</v>
      </c>
    </row>
    <row r="150" spans="1:5" x14ac:dyDescent="0.45">
      <c r="A150" s="42" t="s">
        <v>9885</v>
      </c>
      <c r="B150" t="s">
        <v>9886</v>
      </c>
      <c r="C150" t="s">
        <v>9598</v>
      </c>
      <c r="D150" t="s">
        <v>9598</v>
      </c>
      <c r="E150" t="s">
        <v>9598</v>
      </c>
    </row>
    <row r="151" spans="1:5" x14ac:dyDescent="0.45">
      <c r="A151" s="42" t="s">
        <v>9887</v>
      </c>
      <c r="B151" t="s">
        <v>9888</v>
      </c>
      <c r="C151" t="s">
        <v>9598</v>
      </c>
      <c r="D151" t="s">
        <v>9598</v>
      </c>
      <c r="E151" t="s">
        <v>9598</v>
      </c>
    </row>
    <row r="152" spans="1:5" x14ac:dyDescent="0.45">
      <c r="A152" s="42" t="s">
        <v>9889</v>
      </c>
      <c r="B152" t="s">
        <v>9890</v>
      </c>
      <c r="C152" t="s">
        <v>9598</v>
      </c>
      <c r="D152" t="s">
        <v>9598</v>
      </c>
      <c r="E152" t="s">
        <v>9598</v>
      </c>
    </row>
    <row r="153" spans="1:5" x14ac:dyDescent="0.45">
      <c r="A153" s="42" t="s">
        <v>9891</v>
      </c>
      <c r="B153" t="s">
        <v>9892</v>
      </c>
      <c r="C153" t="s">
        <v>9598</v>
      </c>
      <c r="D153" t="s">
        <v>9598</v>
      </c>
      <c r="E153" t="s">
        <v>9598</v>
      </c>
    </row>
    <row r="154" spans="1:5" x14ac:dyDescent="0.45">
      <c r="A154" s="42" t="s">
        <v>9893</v>
      </c>
      <c r="B154" t="s">
        <v>9894</v>
      </c>
      <c r="C154" t="s">
        <v>9598</v>
      </c>
      <c r="D154" t="s">
        <v>9598</v>
      </c>
      <c r="E154" t="s">
        <v>9598</v>
      </c>
    </row>
    <row r="155" spans="1:5" x14ac:dyDescent="0.45">
      <c r="A155" s="42" t="s">
        <v>9895</v>
      </c>
      <c r="B155" t="s">
        <v>9896</v>
      </c>
      <c r="C155" t="s">
        <v>9598</v>
      </c>
      <c r="D155" t="s">
        <v>9598</v>
      </c>
      <c r="E155" t="s">
        <v>9598</v>
      </c>
    </row>
    <row r="156" spans="1:5" x14ac:dyDescent="0.45">
      <c r="A156" s="42" t="s">
        <v>9897</v>
      </c>
      <c r="B156" t="s">
        <v>9898</v>
      </c>
      <c r="C156" t="s">
        <v>9598</v>
      </c>
      <c r="D156" t="s">
        <v>9598</v>
      </c>
      <c r="E156" t="s">
        <v>9598</v>
      </c>
    </row>
    <row r="157" spans="1:5" x14ac:dyDescent="0.45">
      <c r="A157" s="42" t="s">
        <v>9899</v>
      </c>
      <c r="B157" t="s">
        <v>9900</v>
      </c>
      <c r="C157" t="s">
        <v>9598</v>
      </c>
      <c r="D157" t="s">
        <v>9598</v>
      </c>
      <c r="E157" t="s">
        <v>9598</v>
      </c>
    </row>
    <row r="158" spans="1:5" x14ac:dyDescent="0.45">
      <c r="A158" s="42" t="s">
        <v>9901</v>
      </c>
      <c r="B158" t="s">
        <v>9902</v>
      </c>
      <c r="C158" t="s">
        <v>9598</v>
      </c>
      <c r="D158" t="s">
        <v>9598</v>
      </c>
      <c r="E158" t="s">
        <v>9598</v>
      </c>
    </row>
    <row r="159" spans="1:5" x14ac:dyDescent="0.45">
      <c r="A159" s="42" t="s">
        <v>9903</v>
      </c>
      <c r="B159" t="s">
        <v>9904</v>
      </c>
      <c r="C159" t="s">
        <v>9598</v>
      </c>
      <c r="D159" t="s">
        <v>9598</v>
      </c>
      <c r="E159" t="s">
        <v>9598</v>
      </c>
    </row>
    <row r="160" spans="1:5" x14ac:dyDescent="0.45">
      <c r="A160" s="42" t="s">
        <v>9905</v>
      </c>
      <c r="B160" t="s">
        <v>9906</v>
      </c>
      <c r="C160" t="s">
        <v>9598</v>
      </c>
      <c r="D160" t="s">
        <v>9598</v>
      </c>
      <c r="E160" t="s">
        <v>9598</v>
      </c>
    </row>
    <row r="161" spans="1:5" x14ac:dyDescent="0.45">
      <c r="A161" s="42" t="s">
        <v>9907</v>
      </c>
      <c r="B161" t="s">
        <v>9908</v>
      </c>
      <c r="C161" t="s">
        <v>9598</v>
      </c>
      <c r="D161" t="s">
        <v>9598</v>
      </c>
      <c r="E161" t="s">
        <v>9598</v>
      </c>
    </row>
    <row r="162" spans="1:5" x14ac:dyDescent="0.45">
      <c r="A162" s="42" t="s">
        <v>9909</v>
      </c>
      <c r="B162" t="s">
        <v>9910</v>
      </c>
      <c r="C162" t="s">
        <v>9598</v>
      </c>
      <c r="D162" t="s">
        <v>9598</v>
      </c>
      <c r="E162" t="s">
        <v>9598</v>
      </c>
    </row>
    <row r="163" spans="1:5" x14ac:dyDescent="0.45">
      <c r="A163" s="42" t="s">
        <v>9911</v>
      </c>
      <c r="B163" t="s">
        <v>9912</v>
      </c>
      <c r="C163" t="s">
        <v>9598</v>
      </c>
      <c r="D163" t="s">
        <v>9598</v>
      </c>
      <c r="E163" t="s">
        <v>9598</v>
      </c>
    </row>
    <row r="164" spans="1:5" x14ac:dyDescent="0.45">
      <c r="A164" s="42" t="s">
        <v>9913</v>
      </c>
      <c r="B164" t="s">
        <v>9914</v>
      </c>
      <c r="C164" t="s">
        <v>9598</v>
      </c>
      <c r="D164" t="s">
        <v>9598</v>
      </c>
      <c r="E164" t="s">
        <v>9625</v>
      </c>
    </row>
    <row r="165" spans="1:5" x14ac:dyDescent="0.45">
      <c r="A165" s="42" t="s">
        <v>9915</v>
      </c>
      <c r="B165" t="s">
        <v>9916</v>
      </c>
      <c r="C165" t="s">
        <v>9598</v>
      </c>
      <c r="D165" t="s">
        <v>9598</v>
      </c>
      <c r="E165" t="s">
        <v>9625</v>
      </c>
    </row>
    <row r="166" spans="1:5" x14ac:dyDescent="0.45">
      <c r="A166" s="42" t="s">
        <v>9917</v>
      </c>
      <c r="B166" t="s">
        <v>9918</v>
      </c>
      <c r="C166" t="s">
        <v>9589</v>
      </c>
      <c r="D166" t="s">
        <v>9589</v>
      </c>
      <c r="E166" t="s">
        <v>9589</v>
      </c>
    </row>
    <row r="167" spans="1:5" x14ac:dyDescent="0.45">
      <c r="A167" s="42" t="s">
        <v>9919</v>
      </c>
      <c r="B167" t="s">
        <v>9920</v>
      </c>
      <c r="C167" t="s">
        <v>9589</v>
      </c>
      <c r="D167" t="s">
        <v>9589</v>
      </c>
      <c r="E167" t="s">
        <v>9589</v>
      </c>
    </row>
    <row r="168" spans="1:5" x14ac:dyDescent="0.45">
      <c r="A168" s="42" t="s">
        <v>9921</v>
      </c>
      <c r="B168" t="s">
        <v>9922</v>
      </c>
      <c r="C168" t="s">
        <v>9589</v>
      </c>
      <c r="D168" t="s">
        <v>9589</v>
      </c>
      <c r="E168" t="s">
        <v>9589</v>
      </c>
    </row>
    <row r="169" spans="1:5" x14ac:dyDescent="0.45">
      <c r="A169" s="42" t="s">
        <v>9923</v>
      </c>
      <c r="B169" t="s">
        <v>9924</v>
      </c>
      <c r="C169" t="s">
        <v>9589</v>
      </c>
      <c r="D169" t="s">
        <v>9589</v>
      </c>
      <c r="E169" t="s">
        <v>9589</v>
      </c>
    </row>
    <row r="170" spans="1:5" x14ac:dyDescent="0.45">
      <c r="A170" s="42" t="s">
        <v>9925</v>
      </c>
      <c r="B170" t="s">
        <v>9926</v>
      </c>
      <c r="C170" t="s">
        <v>9589</v>
      </c>
      <c r="D170" t="s">
        <v>9589</v>
      </c>
      <c r="E170" t="s">
        <v>9589</v>
      </c>
    </row>
    <row r="171" spans="1:5" x14ac:dyDescent="0.45">
      <c r="A171" s="42" t="s">
        <v>9927</v>
      </c>
      <c r="B171" t="s">
        <v>9928</v>
      </c>
      <c r="C171" t="s">
        <v>9589</v>
      </c>
      <c r="D171" t="s">
        <v>9589</v>
      </c>
      <c r="E171" t="s">
        <v>9589</v>
      </c>
    </row>
    <row r="172" spans="1:5" x14ac:dyDescent="0.45">
      <c r="A172" s="42" t="s">
        <v>9929</v>
      </c>
      <c r="B172" t="s">
        <v>9930</v>
      </c>
      <c r="C172" t="s">
        <v>9598</v>
      </c>
      <c r="D172" t="s">
        <v>9598</v>
      </c>
      <c r="E172" t="s">
        <v>9598</v>
      </c>
    </row>
    <row r="173" spans="1:5" x14ac:dyDescent="0.45">
      <c r="A173" s="42" t="s">
        <v>9931</v>
      </c>
      <c r="B173" t="s">
        <v>9932</v>
      </c>
      <c r="C173" t="s">
        <v>9598</v>
      </c>
      <c r="D173" t="s">
        <v>9598</v>
      </c>
      <c r="E173" t="s">
        <v>9598</v>
      </c>
    </row>
    <row r="174" spans="1:5" x14ac:dyDescent="0.45">
      <c r="A174" s="42" t="s">
        <v>9933</v>
      </c>
      <c r="B174" t="s">
        <v>9934</v>
      </c>
      <c r="C174" t="s">
        <v>9598</v>
      </c>
      <c r="D174" t="s">
        <v>9598</v>
      </c>
      <c r="E174" t="s">
        <v>9598</v>
      </c>
    </row>
    <row r="175" spans="1:5" x14ac:dyDescent="0.45">
      <c r="A175" s="42" t="s">
        <v>9935</v>
      </c>
      <c r="B175" t="s">
        <v>9936</v>
      </c>
      <c r="C175" t="s">
        <v>9598</v>
      </c>
      <c r="D175" t="s">
        <v>9598</v>
      </c>
      <c r="E175" t="s">
        <v>9598</v>
      </c>
    </row>
    <row r="176" spans="1:5" x14ac:dyDescent="0.45">
      <c r="A176" s="42" t="s">
        <v>9937</v>
      </c>
      <c r="B176" t="s">
        <v>9938</v>
      </c>
      <c r="C176" t="s">
        <v>9598</v>
      </c>
      <c r="D176" t="s">
        <v>9598</v>
      </c>
      <c r="E176" t="s">
        <v>9598</v>
      </c>
    </row>
    <row r="177" spans="1:5" x14ac:dyDescent="0.45">
      <c r="A177" s="42" t="s">
        <v>9939</v>
      </c>
      <c r="B177" t="s">
        <v>9940</v>
      </c>
      <c r="C177" t="s">
        <v>9598</v>
      </c>
      <c r="D177" t="s">
        <v>9598</v>
      </c>
      <c r="E177" t="s">
        <v>9598</v>
      </c>
    </row>
    <row r="178" spans="1:5" x14ac:dyDescent="0.45">
      <c r="A178" s="42" t="s">
        <v>9941</v>
      </c>
      <c r="B178" t="s">
        <v>9942</v>
      </c>
      <c r="C178" t="s">
        <v>9598</v>
      </c>
      <c r="D178" t="s">
        <v>9598</v>
      </c>
      <c r="E178" t="s">
        <v>9598</v>
      </c>
    </row>
    <row r="179" spans="1:5" x14ac:dyDescent="0.45">
      <c r="A179" s="42" t="s">
        <v>9943</v>
      </c>
      <c r="B179" t="s">
        <v>9944</v>
      </c>
      <c r="C179" t="s">
        <v>9598</v>
      </c>
      <c r="D179" t="s">
        <v>9598</v>
      </c>
      <c r="E179" t="s">
        <v>9598</v>
      </c>
    </row>
    <row r="180" spans="1:5" x14ac:dyDescent="0.45">
      <c r="A180" s="42" t="s">
        <v>9945</v>
      </c>
      <c r="B180" t="s">
        <v>9946</v>
      </c>
      <c r="C180" t="s">
        <v>9589</v>
      </c>
      <c r="D180" t="s">
        <v>9589</v>
      </c>
      <c r="E180" t="s">
        <v>9589</v>
      </c>
    </row>
    <row r="181" spans="1:5" x14ac:dyDescent="0.45">
      <c r="A181" s="42" t="s">
        <v>9947</v>
      </c>
      <c r="B181" t="s">
        <v>9948</v>
      </c>
      <c r="C181" t="s">
        <v>9598</v>
      </c>
      <c r="D181" t="s">
        <v>9598</v>
      </c>
      <c r="E181" t="s">
        <v>9598</v>
      </c>
    </row>
    <row r="182" spans="1:5" x14ac:dyDescent="0.45">
      <c r="A182" s="42" t="s">
        <v>9949</v>
      </c>
      <c r="B182" t="s">
        <v>9950</v>
      </c>
      <c r="C182" t="s">
        <v>9598</v>
      </c>
      <c r="D182" t="s">
        <v>9598</v>
      </c>
      <c r="E182" t="s">
        <v>9598</v>
      </c>
    </row>
    <row r="183" spans="1:5" x14ac:dyDescent="0.45">
      <c r="A183" s="42" t="s">
        <v>9951</v>
      </c>
      <c r="B183" t="s">
        <v>9952</v>
      </c>
      <c r="C183" t="s">
        <v>9598</v>
      </c>
      <c r="D183" t="s">
        <v>9598</v>
      </c>
      <c r="E183" t="s">
        <v>9598</v>
      </c>
    </row>
    <row r="184" spans="1:5" x14ac:dyDescent="0.45">
      <c r="A184" s="42" t="s">
        <v>9953</v>
      </c>
      <c r="B184" t="s">
        <v>9954</v>
      </c>
      <c r="C184" t="s">
        <v>9598</v>
      </c>
      <c r="D184" t="s">
        <v>9598</v>
      </c>
      <c r="E184" t="s">
        <v>9598</v>
      </c>
    </row>
    <row r="185" spans="1:5" x14ac:dyDescent="0.45">
      <c r="A185" s="42" t="s">
        <v>9955</v>
      </c>
      <c r="B185" t="s">
        <v>9956</v>
      </c>
      <c r="C185" t="s">
        <v>9598</v>
      </c>
      <c r="D185" t="s">
        <v>9598</v>
      </c>
      <c r="E185" t="s">
        <v>9598</v>
      </c>
    </row>
    <row r="186" spans="1:5" x14ac:dyDescent="0.45">
      <c r="A186" s="42" t="s">
        <v>9957</v>
      </c>
      <c r="B186" t="s">
        <v>9958</v>
      </c>
      <c r="C186" t="s">
        <v>9598</v>
      </c>
      <c r="D186" t="s">
        <v>9598</v>
      </c>
      <c r="E186" t="s">
        <v>9598</v>
      </c>
    </row>
    <row r="187" spans="1:5" x14ac:dyDescent="0.45">
      <c r="A187" s="42" t="s">
        <v>9959</v>
      </c>
      <c r="B187" t="s">
        <v>9960</v>
      </c>
      <c r="C187" t="s">
        <v>9598</v>
      </c>
      <c r="D187" t="s">
        <v>9598</v>
      </c>
      <c r="E187" t="s">
        <v>9598</v>
      </c>
    </row>
    <row r="188" spans="1:5" x14ac:dyDescent="0.45">
      <c r="A188" s="42" t="s">
        <v>9961</v>
      </c>
      <c r="B188" t="s">
        <v>9962</v>
      </c>
      <c r="C188" t="s">
        <v>9598</v>
      </c>
      <c r="D188" t="s">
        <v>9598</v>
      </c>
      <c r="E188" t="s">
        <v>9598</v>
      </c>
    </row>
    <row r="189" spans="1:5" x14ac:dyDescent="0.45">
      <c r="A189" s="42" t="s">
        <v>9963</v>
      </c>
      <c r="B189" t="s">
        <v>9964</v>
      </c>
      <c r="C189" t="s">
        <v>9598</v>
      </c>
      <c r="D189" t="s">
        <v>9598</v>
      </c>
      <c r="E189" t="s">
        <v>9598</v>
      </c>
    </row>
    <row r="190" spans="1:5" x14ac:dyDescent="0.45">
      <c r="A190" s="42" t="s">
        <v>9965</v>
      </c>
      <c r="B190" t="s">
        <v>9966</v>
      </c>
      <c r="C190" t="s">
        <v>9598</v>
      </c>
      <c r="D190" t="s">
        <v>9598</v>
      </c>
      <c r="E190" t="s">
        <v>9598</v>
      </c>
    </row>
    <row r="191" spans="1:5" x14ac:dyDescent="0.45">
      <c r="A191" s="42" t="s">
        <v>9967</v>
      </c>
      <c r="B191" t="s">
        <v>9968</v>
      </c>
      <c r="C191" t="s">
        <v>9598</v>
      </c>
      <c r="D191" t="s">
        <v>9598</v>
      </c>
      <c r="E191" t="s">
        <v>9598</v>
      </c>
    </row>
    <row r="192" spans="1:5" x14ac:dyDescent="0.45">
      <c r="A192" s="42" t="s">
        <v>9969</v>
      </c>
      <c r="B192" t="s">
        <v>9970</v>
      </c>
      <c r="C192" t="s">
        <v>9598</v>
      </c>
      <c r="D192" t="s">
        <v>9598</v>
      </c>
      <c r="E192" t="s">
        <v>9598</v>
      </c>
    </row>
    <row r="193" spans="1:5" x14ac:dyDescent="0.45">
      <c r="A193" s="42" t="s">
        <v>9971</v>
      </c>
      <c r="B193" t="s">
        <v>9972</v>
      </c>
      <c r="C193" t="s">
        <v>9598</v>
      </c>
      <c r="D193" t="s">
        <v>9598</v>
      </c>
      <c r="E193" t="s">
        <v>9598</v>
      </c>
    </row>
    <row r="194" spans="1:5" x14ac:dyDescent="0.45">
      <c r="A194" s="42" t="s">
        <v>9973</v>
      </c>
      <c r="B194" t="s">
        <v>9974</v>
      </c>
      <c r="C194" t="s">
        <v>9598</v>
      </c>
      <c r="D194" t="s">
        <v>9598</v>
      </c>
      <c r="E194" t="s">
        <v>9598</v>
      </c>
    </row>
    <row r="195" spans="1:5" x14ac:dyDescent="0.45">
      <c r="A195" s="42" t="s">
        <v>9975</v>
      </c>
      <c r="B195" t="s">
        <v>9976</v>
      </c>
      <c r="C195" t="s">
        <v>9598</v>
      </c>
      <c r="D195" t="s">
        <v>9598</v>
      </c>
      <c r="E195" t="s">
        <v>9573</v>
      </c>
    </row>
    <row r="196" spans="1:5" x14ac:dyDescent="0.45">
      <c r="A196" s="42" t="s">
        <v>9977</v>
      </c>
      <c r="B196" t="s">
        <v>9978</v>
      </c>
      <c r="C196" t="s">
        <v>9598</v>
      </c>
      <c r="D196" t="s">
        <v>9598</v>
      </c>
      <c r="E196" t="s">
        <v>9573</v>
      </c>
    </row>
    <row r="197" spans="1:5" x14ac:dyDescent="0.45">
      <c r="A197" s="42" t="s">
        <v>9979</v>
      </c>
      <c r="B197" t="s">
        <v>9980</v>
      </c>
      <c r="C197" t="s">
        <v>9598</v>
      </c>
      <c r="D197" t="s">
        <v>9598</v>
      </c>
      <c r="E197" t="s">
        <v>9573</v>
      </c>
    </row>
    <row r="198" spans="1:5" x14ac:dyDescent="0.45">
      <c r="A198" s="42" t="s">
        <v>9981</v>
      </c>
      <c r="B198" t="s">
        <v>9982</v>
      </c>
      <c r="C198" t="s">
        <v>9598</v>
      </c>
      <c r="D198" t="s">
        <v>9598</v>
      </c>
      <c r="E198" t="s">
        <v>9573</v>
      </c>
    </row>
    <row r="199" spans="1:5" x14ac:dyDescent="0.45">
      <c r="A199" s="42" t="s">
        <v>9983</v>
      </c>
      <c r="B199" t="s">
        <v>9984</v>
      </c>
      <c r="C199" t="s">
        <v>9598</v>
      </c>
      <c r="D199" t="s">
        <v>9598</v>
      </c>
      <c r="E199" t="s">
        <v>9573</v>
      </c>
    </row>
    <row r="200" spans="1:5" x14ac:dyDescent="0.45">
      <c r="A200" s="42" t="s">
        <v>9985</v>
      </c>
      <c r="B200" t="s">
        <v>9986</v>
      </c>
      <c r="C200" t="s">
        <v>9598</v>
      </c>
      <c r="D200" t="s">
        <v>9598</v>
      </c>
      <c r="E200" t="s">
        <v>9598</v>
      </c>
    </row>
    <row r="201" spans="1:5" x14ac:dyDescent="0.45">
      <c r="A201" s="42" t="s">
        <v>9987</v>
      </c>
      <c r="B201" t="s">
        <v>9988</v>
      </c>
      <c r="C201" t="s">
        <v>9598</v>
      </c>
      <c r="D201" t="s">
        <v>9598</v>
      </c>
      <c r="E201" t="s">
        <v>9598</v>
      </c>
    </row>
    <row r="202" spans="1:5" x14ac:dyDescent="0.45">
      <c r="A202" s="42" t="s">
        <v>9989</v>
      </c>
      <c r="B202" t="s">
        <v>9990</v>
      </c>
      <c r="C202" t="s">
        <v>9598</v>
      </c>
      <c r="D202" t="s">
        <v>9598</v>
      </c>
      <c r="E202" t="s">
        <v>9598</v>
      </c>
    </row>
    <row r="203" spans="1:5" x14ac:dyDescent="0.45">
      <c r="A203" s="42" t="s">
        <v>9991</v>
      </c>
      <c r="B203" t="s">
        <v>9992</v>
      </c>
      <c r="C203" t="s">
        <v>9598</v>
      </c>
      <c r="D203" t="s">
        <v>9598</v>
      </c>
      <c r="E203" t="s">
        <v>9598</v>
      </c>
    </row>
    <row r="204" spans="1:5" x14ac:dyDescent="0.45">
      <c r="A204" s="42" t="s">
        <v>9993</v>
      </c>
      <c r="B204" t="s">
        <v>9994</v>
      </c>
      <c r="C204" t="s">
        <v>9598</v>
      </c>
      <c r="D204" t="s">
        <v>9598</v>
      </c>
      <c r="E204" t="s">
        <v>9598</v>
      </c>
    </row>
    <row r="205" spans="1:5" x14ac:dyDescent="0.45">
      <c r="A205" s="42" t="s">
        <v>434</v>
      </c>
      <c r="B205" t="s">
        <v>435</v>
      </c>
      <c r="C205" t="s">
        <v>9589</v>
      </c>
      <c r="D205" t="s">
        <v>9589</v>
      </c>
      <c r="E205" t="s">
        <v>9589</v>
      </c>
    </row>
    <row r="206" spans="1:5" x14ac:dyDescent="0.45">
      <c r="A206" s="42" t="s">
        <v>9995</v>
      </c>
      <c r="B206" t="s">
        <v>9996</v>
      </c>
      <c r="C206" t="s">
        <v>9598</v>
      </c>
      <c r="D206" t="s">
        <v>9598</v>
      </c>
      <c r="E206" t="s">
        <v>9625</v>
      </c>
    </row>
    <row r="207" spans="1:5" x14ac:dyDescent="0.45">
      <c r="A207" s="42" t="s">
        <v>9997</v>
      </c>
      <c r="B207" t="s">
        <v>9998</v>
      </c>
      <c r="C207" t="s">
        <v>9598</v>
      </c>
      <c r="D207" t="s">
        <v>9598</v>
      </c>
      <c r="E207" t="s">
        <v>9625</v>
      </c>
    </row>
    <row r="208" spans="1:5" x14ac:dyDescent="0.45">
      <c r="A208" s="42" t="s">
        <v>9999</v>
      </c>
      <c r="B208" t="s">
        <v>10000</v>
      </c>
      <c r="C208" t="s">
        <v>9598</v>
      </c>
      <c r="D208" t="s">
        <v>9598</v>
      </c>
      <c r="E208" t="s">
        <v>9598</v>
      </c>
    </row>
    <row r="209" spans="1:5" x14ac:dyDescent="0.45">
      <c r="A209" s="42" t="s">
        <v>10001</v>
      </c>
      <c r="B209" t="s">
        <v>10002</v>
      </c>
      <c r="C209" t="s">
        <v>9598</v>
      </c>
      <c r="D209" t="s">
        <v>9598</v>
      </c>
      <c r="E209" t="s">
        <v>9598</v>
      </c>
    </row>
    <row r="210" spans="1:5" x14ac:dyDescent="0.45">
      <c r="A210" s="42" t="s">
        <v>10003</v>
      </c>
      <c r="B210" t="s">
        <v>10004</v>
      </c>
      <c r="C210" t="s">
        <v>9598</v>
      </c>
      <c r="D210" t="s">
        <v>9598</v>
      </c>
      <c r="E210" t="s">
        <v>9598</v>
      </c>
    </row>
    <row r="211" spans="1:5" x14ac:dyDescent="0.45">
      <c r="A211" s="42" t="s">
        <v>10005</v>
      </c>
      <c r="B211" t="s">
        <v>10006</v>
      </c>
      <c r="C211" t="s">
        <v>9598</v>
      </c>
      <c r="D211" t="s">
        <v>9598</v>
      </c>
      <c r="E211" t="s">
        <v>9598</v>
      </c>
    </row>
    <row r="212" spans="1:5" x14ac:dyDescent="0.45">
      <c r="A212" s="42" t="s">
        <v>10007</v>
      </c>
      <c r="B212" t="s">
        <v>10008</v>
      </c>
      <c r="C212" t="s">
        <v>9598</v>
      </c>
      <c r="D212" t="s">
        <v>9598</v>
      </c>
      <c r="E212" t="s">
        <v>9598</v>
      </c>
    </row>
    <row r="213" spans="1:5" x14ac:dyDescent="0.45">
      <c r="A213" s="42" t="s">
        <v>10009</v>
      </c>
      <c r="B213" t="s">
        <v>10010</v>
      </c>
      <c r="C213" t="s">
        <v>9598</v>
      </c>
      <c r="D213" t="s">
        <v>9598</v>
      </c>
      <c r="E213" t="s">
        <v>9598</v>
      </c>
    </row>
    <row r="214" spans="1:5" x14ac:dyDescent="0.45">
      <c r="A214" s="42" t="s">
        <v>10011</v>
      </c>
      <c r="B214" t="s">
        <v>10012</v>
      </c>
      <c r="C214" t="s">
        <v>9598</v>
      </c>
      <c r="D214" t="s">
        <v>9598</v>
      </c>
      <c r="E214" t="s">
        <v>9598</v>
      </c>
    </row>
    <row r="215" spans="1:5" x14ac:dyDescent="0.45">
      <c r="A215" s="42" t="s">
        <v>471</v>
      </c>
      <c r="B215" t="s">
        <v>472</v>
      </c>
      <c r="C215" t="s">
        <v>9589</v>
      </c>
      <c r="D215" t="s">
        <v>9589</v>
      </c>
      <c r="E215" t="s">
        <v>9589</v>
      </c>
    </row>
    <row r="216" spans="1:5" x14ac:dyDescent="0.45">
      <c r="A216" s="42" t="s">
        <v>10013</v>
      </c>
      <c r="B216" t="s">
        <v>10014</v>
      </c>
      <c r="C216" t="s">
        <v>9589</v>
      </c>
      <c r="D216" t="s">
        <v>9589</v>
      </c>
      <c r="E216" t="s">
        <v>9589</v>
      </c>
    </row>
    <row r="217" spans="1:5" x14ac:dyDescent="0.45">
      <c r="A217" s="42" t="s">
        <v>10015</v>
      </c>
      <c r="B217" t="s">
        <v>10016</v>
      </c>
      <c r="C217" t="s">
        <v>9598</v>
      </c>
      <c r="D217" t="s">
        <v>9598</v>
      </c>
      <c r="E217" t="s">
        <v>9598</v>
      </c>
    </row>
    <row r="218" spans="1:5" x14ac:dyDescent="0.45">
      <c r="A218" s="42" t="s">
        <v>10017</v>
      </c>
      <c r="B218" t="s">
        <v>10018</v>
      </c>
      <c r="C218" t="s">
        <v>9598</v>
      </c>
      <c r="D218" t="s">
        <v>9598</v>
      </c>
      <c r="E218" t="s">
        <v>9598</v>
      </c>
    </row>
    <row r="219" spans="1:5" x14ac:dyDescent="0.45">
      <c r="A219" s="42" t="s">
        <v>10019</v>
      </c>
      <c r="B219" t="s">
        <v>10020</v>
      </c>
      <c r="C219" t="s">
        <v>9598</v>
      </c>
      <c r="D219" t="s">
        <v>9598</v>
      </c>
      <c r="E219" t="s">
        <v>9598</v>
      </c>
    </row>
    <row r="220" spans="1:5" x14ac:dyDescent="0.45">
      <c r="A220" s="42" t="s">
        <v>10021</v>
      </c>
      <c r="B220" t="s">
        <v>10022</v>
      </c>
      <c r="C220" t="s">
        <v>9598</v>
      </c>
      <c r="D220" t="s">
        <v>9598</v>
      </c>
      <c r="E220" t="s">
        <v>9598</v>
      </c>
    </row>
    <row r="221" spans="1:5" x14ac:dyDescent="0.45">
      <c r="A221" s="42" t="s">
        <v>10023</v>
      </c>
      <c r="B221" t="s">
        <v>10024</v>
      </c>
      <c r="C221" t="s">
        <v>9598</v>
      </c>
      <c r="D221" t="s">
        <v>9598</v>
      </c>
      <c r="E221" t="s">
        <v>9598</v>
      </c>
    </row>
    <row r="222" spans="1:5" x14ac:dyDescent="0.45">
      <c r="A222" s="42" t="s">
        <v>10025</v>
      </c>
      <c r="B222" t="s">
        <v>10026</v>
      </c>
      <c r="C222" t="s">
        <v>9598</v>
      </c>
      <c r="D222" t="s">
        <v>9598</v>
      </c>
      <c r="E222" t="s">
        <v>9598</v>
      </c>
    </row>
    <row r="223" spans="1:5" x14ac:dyDescent="0.45">
      <c r="A223" s="42" t="s">
        <v>10027</v>
      </c>
      <c r="B223" t="s">
        <v>10028</v>
      </c>
      <c r="C223" t="s">
        <v>9589</v>
      </c>
      <c r="D223" t="s">
        <v>9589</v>
      </c>
      <c r="E223" t="s">
        <v>9589</v>
      </c>
    </row>
    <row r="224" spans="1:5" x14ac:dyDescent="0.45">
      <c r="A224" s="42" t="s">
        <v>10029</v>
      </c>
      <c r="B224" t="s">
        <v>10030</v>
      </c>
      <c r="C224" t="s">
        <v>9598</v>
      </c>
      <c r="D224" t="s">
        <v>9598</v>
      </c>
      <c r="E224" t="s">
        <v>9598</v>
      </c>
    </row>
    <row r="225" spans="1:5" x14ac:dyDescent="0.45">
      <c r="A225" s="42" t="s">
        <v>10031</v>
      </c>
      <c r="B225" t="s">
        <v>10032</v>
      </c>
      <c r="C225" t="s">
        <v>9598</v>
      </c>
      <c r="D225" t="s">
        <v>9598</v>
      </c>
      <c r="E225" t="s">
        <v>9598</v>
      </c>
    </row>
    <row r="226" spans="1:5" x14ac:dyDescent="0.45">
      <c r="A226" s="42" t="s">
        <v>10033</v>
      </c>
      <c r="B226" t="s">
        <v>10034</v>
      </c>
      <c r="C226" t="s">
        <v>9598</v>
      </c>
      <c r="D226" t="s">
        <v>9598</v>
      </c>
      <c r="E226" t="s">
        <v>9598</v>
      </c>
    </row>
    <row r="227" spans="1:5" x14ac:dyDescent="0.45">
      <c r="A227" s="42" t="s">
        <v>10035</v>
      </c>
      <c r="B227" t="s">
        <v>10036</v>
      </c>
      <c r="C227" t="s">
        <v>9598</v>
      </c>
      <c r="D227" t="s">
        <v>9598</v>
      </c>
      <c r="E227" t="s">
        <v>9598</v>
      </c>
    </row>
    <row r="228" spans="1:5" x14ac:dyDescent="0.45">
      <c r="A228" s="42" t="s">
        <v>10037</v>
      </c>
      <c r="B228" t="s">
        <v>10038</v>
      </c>
      <c r="C228" t="s">
        <v>9598</v>
      </c>
      <c r="D228" t="s">
        <v>9598</v>
      </c>
      <c r="E228" t="s">
        <v>9598</v>
      </c>
    </row>
    <row r="229" spans="1:5" x14ac:dyDescent="0.45">
      <c r="A229" s="42" t="s">
        <v>10039</v>
      </c>
      <c r="B229" t="s">
        <v>10040</v>
      </c>
      <c r="C229" t="s">
        <v>9598</v>
      </c>
      <c r="D229" t="s">
        <v>9598</v>
      </c>
      <c r="E229" t="s">
        <v>9598</v>
      </c>
    </row>
    <row r="230" spans="1:5" x14ac:dyDescent="0.45">
      <c r="A230" s="42" t="s">
        <v>10041</v>
      </c>
      <c r="B230" t="s">
        <v>10042</v>
      </c>
      <c r="C230" t="s">
        <v>9598</v>
      </c>
      <c r="D230" t="s">
        <v>9598</v>
      </c>
      <c r="E230" t="s">
        <v>9598</v>
      </c>
    </row>
    <row r="231" spans="1:5" x14ac:dyDescent="0.45">
      <c r="A231" s="42" t="s">
        <v>10043</v>
      </c>
      <c r="B231" t="s">
        <v>10044</v>
      </c>
      <c r="C231" t="s">
        <v>9598</v>
      </c>
      <c r="D231" t="s">
        <v>9598</v>
      </c>
      <c r="E231" t="s">
        <v>9598</v>
      </c>
    </row>
    <row r="232" spans="1:5" x14ac:dyDescent="0.45">
      <c r="A232" s="42" t="s">
        <v>10045</v>
      </c>
      <c r="B232" t="s">
        <v>10046</v>
      </c>
      <c r="C232" t="s">
        <v>9598</v>
      </c>
      <c r="D232" t="s">
        <v>9598</v>
      </c>
      <c r="E232" t="s">
        <v>9598</v>
      </c>
    </row>
    <row r="233" spans="1:5" x14ac:dyDescent="0.45">
      <c r="A233" s="42" t="s">
        <v>10047</v>
      </c>
      <c r="B233" t="s">
        <v>10048</v>
      </c>
      <c r="C233" t="s">
        <v>9598</v>
      </c>
      <c r="D233" t="s">
        <v>9598</v>
      </c>
      <c r="E233" t="s">
        <v>9598</v>
      </c>
    </row>
    <row r="234" spans="1:5" x14ac:dyDescent="0.45">
      <c r="A234" s="42" t="s">
        <v>10049</v>
      </c>
      <c r="B234" t="s">
        <v>10050</v>
      </c>
      <c r="C234" t="s">
        <v>9598</v>
      </c>
      <c r="D234" t="s">
        <v>9598</v>
      </c>
      <c r="E234" t="s">
        <v>9598</v>
      </c>
    </row>
    <row r="235" spans="1:5" x14ac:dyDescent="0.45">
      <c r="A235" s="42" t="s">
        <v>10051</v>
      </c>
      <c r="B235" t="s">
        <v>10052</v>
      </c>
      <c r="C235" t="s">
        <v>9598</v>
      </c>
      <c r="D235" t="s">
        <v>9598</v>
      </c>
      <c r="E235" t="s">
        <v>9625</v>
      </c>
    </row>
    <row r="236" spans="1:5" x14ac:dyDescent="0.45">
      <c r="A236" s="42" t="s">
        <v>10053</v>
      </c>
      <c r="B236" t="s">
        <v>10054</v>
      </c>
      <c r="C236" t="s">
        <v>9598</v>
      </c>
      <c r="D236" t="s">
        <v>9598</v>
      </c>
      <c r="E236" t="s">
        <v>9625</v>
      </c>
    </row>
    <row r="237" spans="1:5" x14ac:dyDescent="0.45">
      <c r="A237" s="42" t="s">
        <v>10055</v>
      </c>
      <c r="B237" t="s">
        <v>10056</v>
      </c>
      <c r="C237" t="s">
        <v>9589</v>
      </c>
      <c r="D237" t="s">
        <v>9589</v>
      </c>
      <c r="E237" t="s">
        <v>9589</v>
      </c>
    </row>
    <row r="238" spans="1:5" x14ac:dyDescent="0.45">
      <c r="A238" s="42" t="s">
        <v>10057</v>
      </c>
      <c r="B238" t="s">
        <v>10058</v>
      </c>
      <c r="C238" t="s">
        <v>9598</v>
      </c>
      <c r="D238" t="s">
        <v>9598</v>
      </c>
      <c r="E238" t="s">
        <v>9598</v>
      </c>
    </row>
    <row r="239" spans="1:5" x14ac:dyDescent="0.45">
      <c r="A239" s="42" t="s">
        <v>10059</v>
      </c>
      <c r="B239" t="s">
        <v>10060</v>
      </c>
      <c r="C239" t="s">
        <v>9598</v>
      </c>
      <c r="D239" t="s">
        <v>9598</v>
      </c>
      <c r="E239" t="s">
        <v>9598</v>
      </c>
    </row>
    <row r="240" spans="1:5" x14ac:dyDescent="0.45">
      <c r="A240" s="42" t="s">
        <v>10061</v>
      </c>
      <c r="B240" t="s">
        <v>10062</v>
      </c>
      <c r="C240" t="s">
        <v>9598</v>
      </c>
      <c r="D240" t="s">
        <v>9598</v>
      </c>
      <c r="E240" t="s">
        <v>9598</v>
      </c>
    </row>
    <row r="241" spans="1:5" x14ac:dyDescent="0.45">
      <c r="A241" s="42" t="s">
        <v>10063</v>
      </c>
      <c r="B241" t="s">
        <v>10064</v>
      </c>
      <c r="C241" t="s">
        <v>9598</v>
      </c>
      <c r="D241" t="s">
        <v>9598</v>
      </c>
      <c r="E241" t="s">
        <v>9598</v>
      </c>
    </row>
    <row r="242" spans="1:5" x14ac:dyDescent="0.45">
      <c r="A242" s="42" t="s">
        <v>10065</v>
      </c>
      <c r="B242" t="s">
        <v>10066</v>
      </c>
      <c r="C242" t="s">
        <v>9598</v>
      </c>
      <c r="D242" t="s">
        <v>9598</v>
      </c>
      <c r="E242" t="s">
        <v>9598</v>
      </c>
    </row>
    <row r="243" spans="1:5" x14ac:dyDescent="0.45">
      <c r="A243" s="42" t="s">
        <v>10067</v>
      </c>
      <c r="B243" t="s">
        <v>10068</v>
      </c>
      <c r="C243" t="s">
        <v>9598</v>
      </c>
      <c r="D243" t="s">
        <v>9598</v>
      </c>
      <c r="E243" t="s">
        <v>9598</v>
      </c>
    </row>
    <row r="244" spans="1:5" x14ac:dyDescent="0.45">
      <c r="A244" s="42" t="s">
        <v>10069</v>
      </c>
      <c r="B244" t="s">
        <v>10070</v>
      </c>
      <c r="C244" t="s">
        <v>9598</v>
      </c>
      <c r="D244" t="s">
        <v>9598</v>
      </c>
      <c r="E244" t="s">
        <v>9598</v>
      </c>
    </row>
    <row r="245" spans="1:5" x14ac:dyDescent="0.45">
      <c r="A245" s="42" t="s">
        <v>10071</v>
      </c>
      <c r="B245" t="s">
        <v>10072</v>
      </c>
      <c r="C245" t="s">
        <v>9598</v>
      </c>
      <c r="D245" t="s">
        <v>9598</v>
      </c>
      <c r="E245" t="s">
        <v>9598</v>
      </c>
    </row>
    <row r="246" spans="1:5" x14ac:dyDescent="0.45">
      <c r="A246" s="42" t="s">
        <v>10073</v>
      </c>
      <c r="B246" t="s">
        <v>10074</v>
      </c>
      <c r="C246" t="s">
        <v>9598</v>
      </c>
      <c r="D246" t="s">
        <v>9598</v>
      </c>
      <c r="E246" t="s">
        <v>9598</v>
      </c>
    </row>
    <row r="247" spans="1:5" x14ac:dyDescent="0.45">
      <c r="A247" s="42" t="s">
        <v>10075</v>
      </c>
      <c r="B247" t="s">
        <v>10076</v>
      </c>
      <c r="C247" t="s">
        <v>9598</v>
      </c>
      <c r="D247" t="s">
        <v>9598</v>
      </c>
      <c r="E247" t="s">
        <v>9598</v>
      </c>
    </row>
    <row r="248" spans="1:5" x14ac:dyDescent="0.45">
      <c r="A248" s="42" t="s">
        <v>10077</v>
      </c>
      <c r="B248" t="s">
        <v>10078</v>
      </c>
      <c r="C248" t="s">
        <v>9598</v>
      </c>
      <c r="D248" t="s">
        <v>9598</v>
      </c>
      <c r="E248" t="s">
        <v>9598</v>
      </c>
    </row>
    <row r="249" spans="1:5" x14ac:dyDescent="0.45">
      <c r="A249" s="42" t="s">
        <v>10079</v>
      </c>
      <c r="B249" t="s">
        <v>10080</v>
      </c>
      <c r="C249" t="s">
        <v>9598</v>
      </c>
      <c r="D249" t="s">
        <v>9598</v>
      </c>
      <c r="E249" t="s">
        <v>9598</v>
      </c>
    </row>
    <row r="250" spans="1:5" x14ac:dyDescent="0.45">
      <c r="A250" s="42" t="s">
        <v>10081</v>
      </c>
      <c r="B250" t="s">
        <v>10082</v>
      </c>
      <c r="C250" t="s">
        <v>9598</v>
      </c>
      <c r="D250" t="s">
        <v>9598</v>
      </c>
      <c r="E250" t="s">
        <v>9598</v>
      </c>
    </row>
    <row r="251" spans="1:5" x14ac:dyDescent="0.45">
      <c r="A251" s="42" t="s">
        <v>10083</v>
      </c>
      <c r="B251" t="s">
        <v>10084</v>
      </c>
      <c r="C251" t="s">
        <v>9598</v>
      </c>
      <c r="D251" t="s">
        <v>9598</v>
      </c>
      <c r="E251" t="s">
        <v>9598</v>
      </c>
    </row>
    <row r="252" spans="1:5" x14ac:dyDescent="0.45">
      <c r="A252" s="42" t="s">
        <v>10085</v>
      </c>
      <c r="B252" t="s">
        <v>10086</v>
      </c>
      <c r="C252" t="s">
        <v>9598</v>
      </c>
      <c r="D252" t="s">
        <v>9598</v>
      </c>
      <c r="E252" t="s">
        <v>9598</v>
      </c>
    </row>
    <row r="253" spans="1:5" x14ac:dyDescent="0.45">
      <c r="A253" s="42" t="s">
        <v>10087</v>
      </c>
      <c r="B253" t="s">
        <v>10088</v>
      </c>
      <c r="C253" t="s">
        <v>9598</v>
      </c>
      <c r="D253" t="s">
        <v>9598</v>
      </c>
      <c r="E253" t="s">
        <v>9598</v>
      </c>
    </row>
    <row r="254" spans="1:5" x14ac:dyDescent="0.45">
      <c r="A254" s="42" t="s">
        <v>10089</v>
      </c>
      <c r="B254" t="s">
        <v>10090</v>
      </c>
      <c r="C254" t="s">
        <v>9598</v>
      </c>
      <c r="D254" t="s">
        <v>9598</v>
      </c>
      <c r="E254" t="s">
        <v>9598</v>
      </c>
    </row>
    <row r="255" spans="1:5" x14ac:dyDescent="0.45">
      <c r="A255" s="42" t="s">
        <v>10091</v>
      </c>
      <c r="B255" t="s">
        <v>10092</v>
      </c>
      <c r="C255" t="s">
        <v>9598</v>
      </c>
      <c r="D255" t="s">
        <v>9598</v>
      </c>
      <c r="E255" t="s">
        <v>9625</v>
      </c>
    </row>
    <row r="256" spans="1:5" x14ac:dyDescent="0.45">
      <c r="A256" s="42" t="s">
        <v>10093</v>
      </c>
      <c r="B256" t="s">
        <v>10094</v>
      </c>
      <c r="C256" t="s">
        <v>9598</v>
      </c>
      <c r="D256" t="s">
        <v>9598</v>
      </c>
      <c r="E256" t="s">
        <v>9625</v>
      </c>
    </row>
    <row r="257" spans="1:5" x14ac:dyDescent="0.45">
      <c r="A257" s="42" t="s">
        <v>10095</v>
      </c>
      <c r="B257" t="s">
        <v>10096</v>
      </c>
      <c r="C257" t="s">
        <v>9598</v>
      </c>
      <c r="D257" t="s">
        <v>9598</v>
      </c>
      <c r="E257" t="s">
        <v>9625</v>
      </c>
    </row>
    <row r="258" spans="1:5" x14ac:dyDescent="0.45">
      <c r="A258" s="42" t="s">
        <v>10097</v>
      </c>
      <c r="B258" t="s">
        <v>10098</v>
      </c>
      <c r="C258" t="s">
        <v>9589</v>
      </c>
      <c r="D258" t="s">
        <v>9589</v>
      </c>
      <c r="E258" t="s">
        <v>9589</v>
      </c>
    </row>
    <row r="259" spans="1:5" x14ac:dyDescent="0.45">
      <c r="A259" s="42" t="s">
        <v>10099</v>
      </c>
      <c r="B259" t="s">
        <v>10100</v>
      </c>
      <c r="C259" t="s">
        <v>9598</v>
      </c>
      <c r="D259" t="s">
        <v>9598</v>
      </c>
      <c r="E259" t="s">
        <v>9573</v>
      </c>
    </row>
    <row r="260" spans="1:5" x14ac:dyDescent="0.45">
      <c r="A260" s="42" t="s">
        <v>10101</v>
      </c>
      <c r="B260" t="s">
        <v>10102</v>
      </c>
      <c r="C260" t="s">
        <v>9598</v>
      </c>
      <c r="D260" t="s">
        <v>9598</v>
      </c>
      <c r="E260" t="s">
        <v>9573</v>
      </c>
    </row>
    <row r="261" spans="1:5" x14ac:dyDescent="0.45">
      <c r="A261" s="42" t="s">
        <v>10103</v>
      </c>
      <c r="B261" t="s">
        <v>10104</v>
      </c>
      <c r="C261" t="s">
        <v>9598</v>
      </c>
      <c r="D261" t="s">
        <v>9598</v>
      </c>
      <c r="E261" t="s">
        <v>9573</v>
      </c>
    </row>
    <row r="262" spans="1:5" x14ac:dyDescent="0.45">
      <c r="A262" s="42" t="s">
        <v>10105</v>
      </c>
      <c r="B262" t="s">
        <v>10106</v>
      </c>
      <c r="C262" t="s">
        <v>9598</v>
      </c>
      <c r="D262" t="s">
        <v>9598</v>
      </c>
      <c r="E262" t="s">
        <v>9573</v>
      </c>
    </row>
    <row r="263" spans="1:5" x14ac:dyDescent="0.45">
      <c r="A263" s="42" t="s">
        <v>468</v>
      </c>
      <c r="B263" t="s">
        <v>10107</v>
      </c>
      <c r="C263" t="s">
        <v>9589</v>
      </c>
      <c r="D263" t="s">
        <v>9589</v>
      </c>
      <c r="E263" t="s">
        <v>9589</v>
      </c>
    </row>
    <row r="264" spans="1:5" x14ac:dyDescent="0.45">
      <c r="A264" s="42" t="s">
        <v>10108</v>
      </c>
      <c r="B264" t="s">
        <v>10109</v>
      </c>
      <c r="C264" t="s">
        <v>9598</v>
      </c>
      <c r="D264" t="s">
        <v>9598</v>
      </c>
      <c r="E264" t="s">
        <v>9625</v>
      </c>
    </row>
    <row r="265" spans="1:5" x14ac:dyDescent="0.45">
      <c r="A265" s="42" t="s">
        <v>10110</v>
      </c>
      <c r="B265" t="s">
        <v>10111</v>
      </c>
      <c r="C265" t="s">
        <v>9598</v>
      </c>
      <c r="D265" t="s">
        <v>9598</v>
      </c>
      <c r="E265" t="s">
        <v>9598</v>
      </c>
    </row>
    <row r="266" spans="1:5" x14ac:dyDescent="0.45">
      <c r="A266" s="42" t="s">
        <v>10112</v>
      </c>
      <c r="B266" t="s">
        <v>10113</v>
      </c>
      <c r="C266" t="s">
        <v>9598</v>
      </c>
      <c r="D266" t="s">
        <v>9598</v>
      </c>
      <c r="E266" t="s">
        <v>9598</v>
      </c>
    </row>
    <row r="267" spans="1:5" x14ac:dyDescent="0.45">
      <c r="A267" s="42" t="s">
        <v>10114</v>
      </c>
      <c r="B267" t="s">
        <v>10115</v>
      </c>
      <c r="C267" t="s">
        <v>9598</v>
      </c>
      <c r="D267" t="s">
        <v>9598</v>
      </c>
      <c r="E267" t="s">
        <v>9598</v>
      </c>
    </row>
    <row r="268" spans="1:5" x14ac:dyDescent="0.45">
      <c r="A268" s="42" t="s">
        <v>10116</v>
      </c>
      <c r="B268" t="s">
        <v>10117</v>
      </c>
      <c r="C268" t="s">
        <v>9598</v>
      </c>
      <c r="D268" t="s">
        <v>9598</v>
      </c>
      <c r="E268" t="s">
        <v>9598</v>
      </c>
    </row>
    <row r="269" spans="1:5" x14ac:dyDescent="0.45">
      <c r="A269" s="42" t="s">
        <v>10118</v>
      </c>
      <c r="B269" t="s">
        <v>10119</v>
      </c>
      <c r="C269" t="s">
        <v>9598</v>
      </c>
      <c r="D269" t="s">
        <v>9598</v>
      </c>
      <c r="E269" t="s">
        <v>9598</v>
      </c>
    </row>
    <row r="270" spans="1:5" x14ac:dyDescent="0.45">
      <c r="A270" s="42" t="s">
        <v>10120</v>
      </c>
      <c r="B270" t="s">
        <v>10121</v>
      </c>
      <c r="C270" t="s">
        <v>9598</v>
      </c>
      <c r="D270" t="s">
        <v>9598</v>
      </c>
      <c r="E270" t="s">
        <v>9598</v>
      </c>
    </row>
    <row r="271" spans="1:5" x14ac:dyDescent="0.45">
      <c r="A271" s="42" t="s">
        <v>10122</v>
      </c>
      <c r="B271" t="s">
        <v>10123</v>
      </c>
      <c r="C271" t="s">
        <v>9598</v>
      </c>
      <c r="D271" t="s">
        <v>9598</v>
      </c>
      <c r="E271" t="s">
        <v>9598</v>
      </c>
    </row>
    <row r="272" spans="1:5" x14ac:dyDescent="0.45">
      <c r="A272" s="42" t="s">
        <v>10124</v>
      </c>
      <c r="B272" t="s">
        <v>10125</v>
      </c>
      <c r="C272" t="s">
        <v>9598</v>
      </c>
      <c r="D272" t="s">
        <v>9598</v>
      </c>
      <c r="E272" t="s">
        <v>9598</v>
      </c>
    </row>
    <row r="273" spans="1:5" x14ac:dyDescent="0.45">
      <c r="A273" s="42" t="s">
        <v>10126</v>
      </c>
      <c r="B273" t="s">
        <v>10127</v>
      </c>
      <c r="C273" t="s">
        <v>9598</v>
      </c>
      <c r="D273" t="s">
        <v>9598</v>
      </c>
      <c r="E273" t="s">
        <v>9598</v>
      </c>
    </row>
    <row r="274" spans="1:5" x14ac:dyDescent="0.45">
      <c r="A274" s="42" t="s">
        <v>10128</v>
      </c>
      <c r="B274" t="s">
        <v>10129</v>
      </c>
      <c r="C274" t="s">
        <v>9598</v>
      </c>
      <c r="D274" t="s">
        <v>9598</v>
      </c>
      <c r="E274" t="s">
        <v>9598</v>
      </c>
    </row>
    <row r="275" spans="1:5" x14ac:dyDescent="0.45">
      <c r="A275" s="42" t="s">
        <v>10130</v>
      </c>
      <c r="B275" t="s">
        <v>10131</v>
      </c>
      <c r="C275" t="s">
        <v>9598</v>
      </c>
      <c r="D275" t="s">
        <v>9598</v>
      </c>
      <c r="E275" t="s">
        <v>9598</v>
      </c>
    </row>
    <row r="276" spans="1:5" x14ac:dyDescent="0.45">
      <c r="A276" s="42" t="s">
        <v>10132</v>
      </c>
      <c r="B276" t="s">
        <v>10133</v>
      </c>
      <c r="C276" t="s">
        <v>9598</v>
      </c>
      <c r="D276" t="s">
        <v>9598</v>
      </c>
      <c r="E276" t="s">
        <v>9598</v>
      </c>
    </row>
    <row r="277" spans="1:5" x14ac:dyDescent="0.45">
      <c r="A277" s="42" t="s">
        <v>10134</v>
      </c>
      <c r="B277" t="s">
        <v>10135</v>
      </c>
      <c r="C277" t="s">
        <v>9598</v>
      </c>
      <c r="D277" t="s">
        <v>9598</v>
      </c>
      <c r="E277" t="s">
        <v>9598</v>
      </c>
    </row>
    <row r="278" spans="1:5" x14ac:dyDescent="0.45">
      <c r="A278" s="42" t="s">
        <v>10136</v>
      </c>
      <c r="B278" t="s">
        <v>10137</v>
      </c>
      <c r="C278" t="s">
        <v>9598</v>
      </c>
      <c r="D278" t="s">
        <v>9598</v>
      </c>
      <c r="E278" t="s">
        <v>9598</v>
      </c>
    </row>
    <row r="279" spans="1:5" x14ac:dyDescent="0.45">
      <c r="A279" s="42" t="s">
        <v>10138</v>
      </c>
      <c r="B279" t="s">
        <v>10139</v>
      </c>
      <c r="C279" t="s">
        <v>9598</v>
      </c>
      <c r="D279" t="s">
        <v>9598</v>
      </c>
      <c r="E279" t="s">
        <v>9598</v>
      </c>
    </row>
    <row r="280" spans="1:5" x14ac:dyDescent="0.45">
      <c r="A280" s="42" t="s">
        <v>10140</v>
      </c>
      <c r="B280" t="s">
        <v>10141</v>
      </c>
      <c r="C280" t="s">
        <v>9598</v>
      </c>
      <c r="D280" t="s">
        <v>9598</v>
      </c>
      <c r="E280" t="s">
        <v>9573</v>
      </c>
    </row>
    <row r="281" spans="1:5" x14ac:dyDescent="0.45">
      <c r="A281" s="42" t="s">
        <v>10142</v>
      </c>
      <c r="B281" t="s">
        <v>10143</v>
      </c>
      <c r="C281" t="s">
        <v>9598</v>
      </c>
      <c r="D281" t="s">
        <v>9598</v>
      </c>
      <c r="E281" t="s">
        <v>9573</v>
      </c>
    </row>
    <row r="282" spans="1:5" x14ac:dyDescent="0.45">
      <c r="A282" s="42" t="s">
        <v>10144</v>
      </c>
      <c r="B282" t="s">
        <v>10145</v>
      </c>
      <c r="C282" t="s">
        <v>9598</v>
      </c>
      <c r="D282" t="s">
        <v>9598</v>
      </c>
      <c r="E282" t="s">
        <v>9573</v>
      </c>
    </row>
    <row r="283" spans="1:5" x14ac:dyDescent="0.45">
      <c r="A283" s="42" t="s">
        <v>10146</v>
      </c>
      <c r="B283" t="s">
        <v>10147</v>
      </c>
      <c r="C283" t="s">
        <v>9598</v>
      </c>
      <c r="D283" t="s">
        <v>9598</v>
      </c>
      <c r="E283" t="s">
        <v>9573</v>
      </c>
    </row>
    <row r="284" spans="1:5" x14ac:dyDescent="0.45">
      <c r="A284" s="42" t="s">
        <v>10148</v>
      </c>
      <c r="B284" t="s">
        <v>10149</v>
      </c>
      <c r="C284" t="s">
        <v>9598</v>
      </c>
      <c r="D284" t="s">
        <v>9598</v>
      </c>
      <c r="E284" t="s">
        <v>9573</v>
      </c>
    </row>
    <row r="285" spans="1:5" x14ac:dyDescent="0.45">
      <c r="A285" s="42" t="s">
        <v>10150</v>
      </c>
      <c r="B285" t="s">
        <v>10151</v>
      </c>
      <c r="C285" t="s">
        <v>9598</v>
      </c>
      <c r="D285" t="s">
        <v>9598</v>
      </c>
      <c r="E285" t="s">
        <v>9573</v>
      </c>
    </row>
    <row r="286" spans="1:5" x14ac:dyDescent="0.45">
      <c r="A286" s="42" t="s">
        <v>10152</v>
      </c>
      <c r="B286" t="s">
        <v>10153</v>
      </c>
      <c r="C286" t="s">
        <v>9598</v>
      </c>
      <c r="D286" t="s">
        <v>9598</v>
      </c>
      <c r="E286" t="s">
        <v>9598</v>
      </c>
    </row>
    <row r="287" spans="1:5" x14ac:dyDescent="0.45">
      <c r="A287" s="42" t="s">
        <v>10154</v>
      </c>
      <c r="B287" t="s">
        <v>10155</v>
      </c>
      <c r="C287" t="s">
        <v>9598</v>
      </c>
      <c r="D287" t="s">
        <v>9598</v>
      </c>
      <c r="E287" t="s">
        <v>9598</v>
      </c>
    </row>
    <row r="288" spans="1:5" x14ac:dyDescent="0.45">
      <c r="A288" s="42" t="s">
        <v>10156</v>
      </c>
      <c r="B288" t="s">
        <v>10157</v>
      </c>
      <c r="C288" t="s">
        <v>9598</v>
      </c>
      <c r="D288" t="s">
        <v>9598</v>
      </c>
      <c r="E288" t="s">
        <v>9573</v>
      </c>
    </row>
    <row r="289" spans="1:5" x14ac:dyDescent="0.45">
      <c r="A289" s="42" t="s">
        <v>10158</v>
      </c>
      <c r="B289" t="s">
        <v>10159</v>
      </c>
      <c r="C289" t="s">
        <v>9598</v>
      </c>
      <c r="D289" t="s">
        <v>9598</v>
      </c>
      <c r="E289" t="s">
        <v>9598</v>
      </c>
    </row>
    <row r="290" spans="1:5" x14ac:dyDescent="0.45">
      <c r="A290" s="42" t="s">
        <v>10160</v>
      </c>
      <c r="B290" t="s">
        <v>10161</v>
      </c>
      <c r="C290" t="s">
        <v>9598</v>
      </c>
      <c r="D290" t="s">
        <v>9598</v>
      </c>
      <c r="E290" t="s">
        <v>9598</v>
      </c>
    </row>
    <row r="291" spans="1:5" x14ac:dyDescent="0.45">
      <c r="A291" s="42" t="s">
        <v>10162</v>
      </c>
      <c r="B291" t="s">
        <v>10163</v>
      </c>
      <c r="C291" t="s">
        <v>9598</v>
      </c>
      <c r="D291" t="s">
        <v>9598</v>
      </c>
      <c r="E291" t="s">
        <v>9598</v>
      </c>
    </row>
    <row r="292" spans="1:5" x14ac:dyDescent="0.45">
      <c r="A292" s="42" t="s">
        <v>10164</v>
      </c>
      <c r="B292" t="s">
        <v>10165</v>
      </c>
      <c r="C292" t="s">
        <v>9598</v>
      </c>
      <c r="D292" t="s">
        <v>9598</v>
      </c>
      <c r="E292" t="s">
        <v>9598</v>
      </c>
    </row>
    <row r="293" spans="1:5" x14ac:dyDescent="0.45">
      <c r="A293" s="42" t="s">
        <v>10166</v>
      </c>
      <c r="B293" t="s">
        <v>10167</v>
      </c>
      <c r="C293" t="s">
        <v>9598</v>
      </c>
      <c r="D293" t="s">
        <v>9598</v>
      </c>
      <c r="E293" t="s">
        <v>9598</v>
      </c>
    </row>
    <row r="294" spans="1:5" x14ac:dyDescent="0.45">
      <c r="A294" s="42" t="s">
        <v>10168</v>
      </c>
      <c r="B294" t="s">
        <v>10169</v>
      </c>
      <c r="C294" t="s">
        <v>9598</v>
      </c>
      <c r="D294" t="s">
        <v>9598</v>
      </c>
      <c r="E294" t="s">
        <v>9598</v>
      </c>
    </row>
    <row r="295" spans="1:5" x14ac:dyDescent="0.45">
      <c r="A295" s="42" t="s">
        <v>10170</v>
      </c>
      <c r="B295" t="s">
        <v>10171</v>
      </c>
      <c r="C295" t="s">
        <v>9589</v>
      </c>
      <c r="D295" t="s">
        <v>9589</v>
      </c>
      <c r="E295" t="s">
        <v>9589</v>
      </c>
    </row>
    <row r="296" spans="1:5" x14ac:dyDescent="0.45">
      <c r="A296" s="42" t="s">
        <v>10172</v>
      </c>
      <c r="B296" t="s">
        <v>10173</v>
      </c>
      <c r="C296" t="s">
        <v>9589</v>
      </c>
      <c r="D296" t="s">
        <v>9589</v>
      </c>
      <c r="E296" t="s">
        <v>9589</v>
      </c>
    </row>
    <row r="297" spans="1:5" x14ac:dyDescent="0.45">
      <c r="A297" s="42" t="s">
        <v>10174</v>
      </c>
      <c r="B297" t="s">
        <v>10175</v>
      </c>
      <c r="C297" t="s">
        <v>9598</v>
      </c>
      <c r="D297" t="s">
        <v>9598</v>
      </c>
      <c r="E297" t="s">
        <v>9598</v>
      </c>
    </row>
    <row r="298" spans="1:5" x14ac:dyDescent="0.45">
      <c r="A298" s="42" t="s">
        <v>10176</v>
      </c>
      <c r="B298" t="s">
        <v>10177</v>
      </c>
      <c r="C298" t="s">
        <v>9598</v>
      </c>
      <c r="D298" t="s">
        <v>9598</v>
      </c>
      <c r="E298" t="s">
        <v>9598</v>
      </c>
    </row>
    <row r="299" spans="1:5" x14ac:dyDescent="0.45">
      <c r="A299" s="42" t="s">
        <v>10178</v>
      </c>
      <c r="B299" t="s">
        <v>10179</v>
      </c>
      <c r="C299" t="s">
        <v>9598</v>
      </c>
      <c r="D299" t="s">
        <v>9598</v>
      </c>
      <c r="E299" t="s">
        <v>9598</v>
      </c>
    </row>
    <row r="300" spans="1:5" x14ac:dyDescent="0.45">
      <c r="A300" s="42" t="s">
        <v>10180</v>
      </c>
      <c r="B300" t="s">
        <v>10181</v>
      </c>
      <c r="C300" t="s">
        <v>9598</v>
      </c>
      <c r="D300" t="s">
        <v>9598</v>
      </c>
      <c r="E300" t="s">
        <v>9598</v>
      </c>
    </row>
    <row r="301" spans="1:5" x14ac:dyDescent="0.45">
      <c r="A301" s="42" t="s">
        <v>10182</v>
      </c>
      <c r="B301" t="s">
        <v>10183</v>
      </c>
      <c r="C301" t="s">
        <v>9598</v>
      </c>
      <c r="D301" t="s">
        <v>9598</v>
      </c>
      <c r="E301" t="s">
        <v>9598</v>
      </c>
    </row>
    <row r="302" spans="1:5" x14ac:dyDescent="0.45">
      <c r="A302" s="42" t="s">
        <v>10184</v>
      </c>
      <c r="B302" t="s">
        <v>10185</v>
      </c>
      <c r="C302" t="s">
        <v>9598</v>
      </c>
      <c r="D302" t="s">
        <v>9598</v>
      </c>
      <c r="E302" t="s">
        <v>9598</v>
      </c>
    </row>
    <row r="303" spans="1:5" x14ac:dyDescent="0.45">
      <c r="A303" s="42" t="s">
        <v>10186</v>
      </c>
      <c r="B303" t="s">
        <v>10187</v>
      </c>
      <c r="C303" t="s">
        <v>9598</v>
      </c>
      <c r="D303" t="s">
        <v>9598</v>
      </c>
      <c r="E303" t="s">
        <v>9598</v>
      </c>
    </row>
    <row r="304" spans="1:5" x14ac:dyDescent="0.45">
      <c r="A304" s="42" t="s">
        <v>10188</v>
      </c>
      <c r="B304" t="s">
        <v>10189</v>
      </c>
      <c r="C304" t="s">
        <v>9598</v>
      </c>
      <c r="D304" t="s">
        <v>9598</v>
      </c>
      <c r="E304" t="s">
        <v>9598</v>
      </c>
    </row>
    <row r="305" spans="1:5" x14ac:dyDescent="0.45">
      <c r="A305" s="42" t="s">
        <v>10190</v>
      </c>
      <c r="B305" t="s">
        <v>10191</v>
      </c>
      <c r="C305" t="s">
        <v>9598</v>
      </c>
      <c r="D305" t="s">
        <v>9598</v>
      </c>
      <c r="E305" t="s">
        <v>9598</v>
      </c>
    </row>
    <row r="306" spans="1:5" x14ac:dyDescent="0.45">
      <c r="A306" s="42" t="s">
        <v>10192</v>
      </c>
      <c r="B306" t="s">
        <v>10193</v>
      </c>
      <c r="C306" t="s">
        <v>9598</v>
      </c>
      <c r="D306" t="s">
        <v>9598</v>
      </c>
      <c r="E306" t="s">
        <v>9598</v>
      </c>
    </row>
    <row r="307" spans="1:5" x14ac:dyDescent="0.45">
      <c r="A307" s="42" t="s">
        <v>10194</v>
      </c>
      <c r="B307" t="s">
        <v>10195</v>
      </c>
      <c r="C307" t="s">
        <v>9598</v>
      </c>
      <c r="D307" t="s">
        <v>9598</v>
      </c>
      <c r="E307" t="s">
        <v>9598</v>
      </c>
    </row>
    <row r="308" spans="1:5" x14ac:dyDescent="0.45">
      <c r="A308" s="42" t="s">
        <v>10196</v>
      </c>
      <c r="B308" t="s">
        <v>10197</v>
      </c>
      <c r="C308" t="s">
        <v>9598</v>
      </c>
      <c r="D308" t="s">
        <v>9598</v>
      </c>
      <c r="E308" t="s">
        <v>9598</v>
      </c>
    </row>
    <row r="309" spans="1:5" x14ac:dyDescent="0.45">
      <c r="A309" s="42" t="s">
        <v>10198</v>
      </c>
      <c r="B309" t="s">
        <v>10199</v>
      </c>
      <c r="C309" t="s">
        <v>9598</v>
      </c>
      <c r="D309" t="s">
        <v>9598</v>
      </c>
      <c r="E309" t="s">
        <v>9598</v>
      </c>
    </row>
    <row r="310" spans="1:5" x14ac:dyDescent="0.45">
      <c r="A310" s="42" t="s">
        <v>10200</v>
      </c>
      <c r="B310" t="s">
        <v>10201</v>
      </c>
      <c r="C310" t="s">
        <v>9598</v>
      </c>
      <c r="D310" t="s">
        <v>9598</v>
      </c>
      <c r="E310" t="s">
        <v>9598</v>
      </c>
    </row>
    <row r="311" spans="1:5" x14ac:dyDescent="0.45">
      <c r="A311" s="42" t="s">
        <v>10202</v>
      </c>
      <c r="B311" t="s">
        <v>10203</v>
      </c>
      <c r="C311" t="s">
        <v>9598</v>
      </c>
      <c r="D311" t="s">
        <v>9598</v>
      </c>
      <c r="E311" t="s">
        <v>9625</v>
      </c>
    </row>
    <row r="312" spans="1:5" x14ac:dyDescent="0.45">
      <c r="A312" s="42" t="s">
        <v>10204</v>
      </c>
      <c r="B312" t="s">
        <v>10205</v>
      </c>
      <c r="C312" t="s">
        <v>9598</v>
      </c>
      <c r="D312" t="s">
        <v>9598</v>
      </c>
      <c r="E312" t="s">
        <v>9598</v>
      </c>
    </row>
    <row r="313" spans="1:5" x14ac:dyDescent="0.45">
      <c r="A313" s="42" t="s">
        <v>10206</v>
      </c>
      <c r="B313" t="s">
        <v>10207</v>
      </c>
      <c r="C313" t="s">
        <v>9598</v>
      </c>
      <c r="D313" t="s">
        <v>9598</v>
      </c>
      <c r="E313" t="s">
        <v>9598</v>
      </c>
    </row>
    <row r="314" spans="1:5" x14ac:dyDescent="0.45">
      <c r="A314" s="42" t="s">
        <v>10208</v>
      </c>
      <c r="B314" t="s">
        <v>10209</v>
      </c>
      <c r="C314" t="s">
        <v>9598</v>
      </c>
      <c r="D314" t="s">
        <v>9598</v>
      </c>
      <c r="E314" t="s">
        <v>9598</v>
      </c>
    </row>
    <row r="315" spans="1:5" x14ac:dyDescent="0.45">
      <c r="A315" s="42" t="s">
        <v>10210</v>
      </c>
      <c r="B315" t="s">
        <v>10211</v>
      </c>
      <c r="C315" t="s">
        <v>9598</v>
      </c>
      <c r="D315" t="s">
        <v>9598</v>
      </c>
      <c r="E315" t="s">
        <v>9598</v>
      </c>
    </row>
    <row r="316" spans="1:5" x14ac:dyDescent="0.45">
      <c r="A316" s="42" t="s">
        <v>10212</v>
      </c>
      <c r="B316" t="s">
        <v>10213</v>
      </c>
      <c r="C316" t="s">
        <v>9598</v>
      </c>
      <c r="D316" t="s">
        <v>9598</v>
      </c>
      <c r="E316" t="s">
        <v>9598</v>
      </c>
    </row>
    <row r="317" spans="1:5" x14ac:dyDescent="0.45">
      <c r="A317" s="42" t="s">
        <v>10214</v>
      </c>
      <c r="B317" t="s">
        <v>10215</v>
      </c>
      <c r="C317" t="s">
        <v>9598</v>
      </c>
      <c r="D317" t="s">
        <v>9598</v>
      </c>
      <c r="E317" t="s">
        <v>9598</v>
      </c>
    </row>
    <row r="318" spans="1:5" x14ac:dyDescent="0.45">
      <c r="A318" s="42" t="s">
        <v>10216</v>
      </c>
      <c r="B318" t="s">
        <v>10217</v>
      </c>
      <c r="C318" t="s">
        <v>9598</v>
      </c>
      <c r="D318" t="s">
        <v>9598</v>
      </c>
      <c r="E318" t="s">
        <v>9598</v>
      </c>
    </row>
    <row r="319" spans="1:5" x14ac:dyDescent="0.45">
      <c r="A319" s="42" t="s">
        <v>10218</v>
      </c>
      <c r="B319" t="s">
        <v>10219</v>
      </c>
      <c r="C319" t="s">
        <v>9598</v>
      </c>
      <c r="D319" t="s">
        <v>9598</v>
      </c>
      <c r="E319" t="s">
        <v>9598</v>
      </c>
    </row>
    <row r="320" spans="1:5" x14ac:dyDescent="0.45">
      <c r="A320" s="42" t="s">
        <v>10220</v>
      </c>
      <c r="B320" t="s">
        <v>10221</v>
      </c>
      <c r="C320" t="s">
        <v>9598</v>
      </c>
      <c r="D320" t="s">
        <v>9598</v>
      </c>
      <c r="E320" t="s">
        <v>9598</v>
      </c>
    </row>
    <row r="321" spans="1:5" x14ac:dyDescent="0.45">
      <c r="A321" s="42" t="s">
        <v>10222</v>
      </c>
      <c r="B321" t="s">
        <v>10223</v>
      </c>
      <c r="C321" t="s">
        <v>9598</v>
      </c>
      <c r="D321" t="s">
        <v>9598</v>
      </c>
      <c r="E321" t="s">
        <v>9598</v>
      </c>
    </row>
    <row r="322" spans="1:5" x14ac:dyDescent="0.45">
      <c r="A322" s="42" t="s">
        <v>10224</v>
      </c>
      <c r="B322" t="s">
        <v>10225</v>
      </c>
      <c r="C322" t="s">
        <v>9598</v>
      </c>
      <c r="D322" t="s">
        <v>9598</v>
      </c>
      <c r="E322" t="s">
        <v>9598</v>
      </c>
    </row>
    <row r="323" spans="1:5" x14ac:dyDescent="0.45">
      <c r="A323" s="42" t="s">
        <v>10226</v>
      </c>
      <c r="B323" t="s">
        <v>10227</v>
      </c>
      <c r="C323" t="s">
        <v>9598</v>
      </c>
      <c r="D323" t="s">
        <v>9598</v>
      </c>
      <c r="E323" t="s">
        <v>9598</v>
      </c>
    </row>
    <row r="324" spans="1:5" x14ac:dyDescent="0.45">
      <c r="A324" s="42" t="s">
        <v>10228</v>
      </c>
      <c r="B324" t="s">
        <v>10229</v>
      </c>
      <c r="C324" t="s">
        <v>9598</v>
      </c>
      <c r="D324" t="s">
        <v>9598</v>
      </c>
      <c r="E324" t="s">
        <v>9598</v>
      </c>
    </row>
    <row r="325" spans="1:5" x14ac:dyDescent="0.45">
      <c r="A325" s="42" t="s">
        <v>10230</v>
      </c>
      <c r="B325" t="s">
        <v>10231</v>
      </c>
      <c r="C325" t="s">
        <v>9598</v>
      </c>
      <c r="D325" t="s">
        <v>9598</v>
      </c>
      <c r="E325" t="s">
        <v>9598</v>
      </c>
    </row>
    <row r="326" spans="1:5" x14ac:dyDescent="0.45">
      <c r="A326" s="42" t="s">
        <v>10232</v>
      </c>
      <c r="B326" t="s">
        <v>10233</v>
      </c>
      <c r="C326" t="s">
        <v>9598</v>
      </c>
      <c r="D326" t="s">
        <v>9598</v>
      </c>
      <c r="E326" t="s">
        <v>9598</v>
      </c>
    </row>
    <row r="327" spans="1:5" x14ac:dyDescent="0.45">
      <c r="A327" s="42" t="s">
        <v>10234</v>
      </c>
      <c r="B327" t="s">
        <v>10235</v>
      </c>
      <c r="C327" t="s">
        <v>9598</v>
      </c>
      <c r="D327" t="s">
        <v>9598</v>
      </c>
      <c r="E327" t="s">
        <v>9598</v>
      </c>
    </row>
    <row r="328" spans="1:5" x14ac:dyDescent="0.45">
      <c r="A328" s="42" t="s">
        <v>10236</v>
      </c>
      <c r="B328" t="s">
        <v>10237</v>
      </c>
      <c r="C328" t="s">
        <v>9598</v>
      </c>
      <c r="D328" t="s">
        <v>9598</v>
      </c>
      <c r="E328" t="s">
        <v>9598</v>
      </c>
    </row>
    <row r="329" spans="1:5" x14ac:dyDescent="0.45">
      <c r="A329" s="42" t="s">
        <v>10238</v>
      </c>
      <c r="B329" t="s">
        <v>10239</v>
      </c>
      <c r="C329" t="s">
        <v>9598</v>
      </c>
      <c r="D329" t="s">
        <v>9598</v>
      </c>
      <c r="E329" t="s">
        <v>9598</v>
      </c>
    </row>
    <row r="330" spans="1:5" x14ac:dyDescent="0.45">
      <c r="A330" s="42" t="s">
        <v>10240</v>
      </c>
      <c r="B330" t="s">
        <v>10241</v>
      </c>
      <c r="C330" t="s">
        <v>9598</v>
      </c>
      <c r="D330" t="s">
        <v>9598</v>
      </c>
      <c r="E330" t="s">
        <v>9598</v>
      </c>
    </row>
    <row r="331" spans="1:5" x14ac:dyDescent="0.45">
      <c r="A331" s="42" t="s">
        <v>10242</v>
      </c>
      <c r="B331" t="s">
        <v>10243</v>
      </c>
      <c r="C331" t="s">
        <v>9598</v>
      </c>
      <c r="D331" t="s">
        <v>9598</v>
      </c>
      <c r="E331" t="s">
        <v>9598</v>
      </c>
    </row>
    <row r="332" spans="1:5" x14ac:dyDescent="0.45">
      <c r="A332" s="42" t="s">
        <v>10244</v>
      </c>
      <c r="B332" t="s">
        <v>10245</v>
      </c>
      <c r="C332" t="s">
        <v>9598</v>
      </c>
      <c r="D332" t="s">
        <v>9598</v>
      </c>
      <c r="E332" t="s">
        <v>9598</v>
      </c>
    </row>
    <row r="333" spans="1:5" x14ac:dyDescent="0.45">
      <c r="A333" s="42" t="s">
        <v>10246</v>
      </c>
      <c r="B333" t="s">
        <v>10247</v>
      </c>
      <c r="C333" t="s">
        <v>9598</v>
      </c>
      <c r="D333" t="s">
        <v>9598</v>
      </c>
      <c r="E333" t="s">
        <v>9598</v>
      </c>
    </row>
    <row r="334" spans="1:5" x14ac:dyDescent="0.45">
      <c r="A334" s="42" t="s">
        <v>10248</v>
      </c>
      <c r="B334" t="s">
        <v>10249</v>
      </c>
      <c r="C334" t="s">
        <v>9598</v>
      </c>
      <c r="D334" t="s">
        <v>9598</v>
      </c>
      <c r="E334" t="s">
        <v>9598</v>
      </c>
    </row>
    <row r="335" spans="1:5" x14ac:dyDescent="0.45">
      <c r="A335" s="42" t="s">
        <v>10250</v>
      </c>
      <c r="B335" t="s">
        <v>10251</v>
      </c>
      <c r="C335" t="s">
        <v>9598</v>
      </c>
      <c r="D335" t="s">
        <v>9598</v>
      </c>
      <c r="E335" t="s">
        <v>9573</v>
      </c>
    </row>
    <row r="336" spans="1:5" x14ac:dyDescent="0.45">
      <c r="A336" s="42" t="s">
        <v>10252</v>
      </c>
      <c r="B336" t="s">
        <v>10253</v>
      </c>
      <c r="C336" t="s">
        <v>9598</v>
      </c>
      <c r="D336" t="s">
        <v>9598</v>
      </c>
      <c r="E336" t="s">
        <v>9598</v>
      </c>
    </row>
    <row r="337" spans="1:5" x14ac:dyDescent="0.45">
      <c r="A337" s="42" t="s">
        <v>10254</v>
      </c>
      <c r="B337" t="s">
        <v>10255</v>
      </c>
      <c r="C337" t="s">
        <v>9598</v>
      </c>
      <c r="D337" t="s">
        <v>9598</v>
      </c>
      <c r="E337" t="s">
        <v>9598</v>
      </c>
    </row>
    <row r="338" spans="1:5" x14ac:dyDescent="0.45">
      <c r="A338" s="42" t="s">
        <v>10256</v>
      </c>
      <c r="B338" t="s">
        <v>10257</v>
      </c>
      <c r="C338" t="s">
        <v>9598</v>
      </c>
      <c r="D338" t="s">
        <v>9598</v>
      </c>
      <c r="E338" t="s">
        <v>9598</v>
      </c>
    </row>
    <row r="339" spans="1:5" x14ac:dyDescent="0.45">
      <c r="A339" s="42" t="s">
        <v>10258</v>
      </c>
      <c r="B339" t="s">
        <v>10259</v>
      </c>
      <c r="C339" t="s">
        <v>9598</v>
      </c>
      <c r="D339" t="s">
        <v>9598</v>
      </c>
      <c r="E339" t="s">
        <v>9598</v>
      </c>
    </row>
    <row r="340" spans="1:5" x14ac:dyDescent="0.45">
      <c r="A340" s="42" t="s">
        <v>10260</v>
      </c>
      <c r="B340" t="s">
        <v>10261</v>
      </c>
      <c r="C340" t="s">
        <v>9598</v>
      </c>
      <c r="D340" t="s">
        <v>9598</v>
      </c>
      <c r="E340" t="s">
        <v>9598</v>
      </c>
    </row>
    <row r="341" spans="1:5" x14ac:dyDescent="0.45">
      <c r="A341" s="42" t="s">
        <v>10262</v>
      </c>
      <c r="B341" t="s">
        <v>10263</v>
      </c>
      <c r="C341" t="s">
        <v>9598</v>
      </c>
      <c r="D341" t="s">
        <v>9598</v>
      </c>
      <c r="E341" t="s">
        <v>9573</v>
      </c>
    </row>
    <row r="342" spans="1:5" x14ac:dyDescent="0.45">
      <c r="A342" s="42" t="s">
        <v>10264</v>
      </c>
      <c r="B342" t="s">
        <v>10265</v>
      </c>
      <c r="C342" t="s">
        <v>9598</v>
      </c>
      <c r="D342" t="s">
        <v>9598</v>
      </c>
      <c r="E342" t="s">
        <v>9573</v>
      </c>
    </row>
    <row r="343" spans="1:5" x14ac:dyDescent="0.45">
      <c r="A343" s="42" t="s">
        <v>10266</v>
      </c>
      <c r="B343" t="s">
        <v>10267</v>
      </c>
      <c r="C343" t="s">
        <v>9598</v>
      </c>
      <c r="D343" t="s">
        <v>9598</v>
      </c>
      <c r="E343" t="s">
        <v>9573</v>
      </c>
    </row>
    <row r="344" spans="1:5" x14ac:dyDescent="0.45">
      <c r="A344" s="42" t="s">
        <v>10268</v>
      </c>
      <c r="B344" t="s">
        <v>10269</v>
      </c>
      <c r="C344" t="s">
        <v>9598</v>
      </c>
      <c r="D344" t="s">
        <v>9598</v>
      </c>
      <c r="E344" t="s">
        <v>9573</v>
      </c>
    </row>
    <row r="345" spans="1:5" x14ac:dyDescent="0.45">
      <c r="A345" s="42" t="s">
        <v>10270</v>
      </c>
      <c r="B345" t="s">
        <v>10271</v>
      </c>
      <c r="C345" t="s">
        <v>9598</v>
      </c>
      <c r="D345" t="s">
        <v>9598</v>
      </c>
      <c r="E345" t="s">
        <v>9573</v>
      </c>
    </row>
    <row r="346" spans="1:5" x14ac:dyDescent="0.45">
      <c r="A346" s="42" t="s">
        <v>10272</v>
      </c>
      <c r="B346" t="s">
        <v>10273</v>
      </c>
      <c r="C346" t="s">
        <v>9598</v>
      </c>
      <c r="D346" t="s">
        <v>9598</v>
      </c>
      <c r="E346" t="s">
        <v>9573</v>
      </c>
    </row>
    <row r="347" spans="1:5" x14ac:dyDescent="0.45">
      <c r="A347" s="42" t="s">
        <v>10274</v>
      </c>
      <c r="B347" t="s">
        <v>10275</v>
      </c>
      <c r="C347" t="s">
        <v>9598</v>
      </c>
      <c r="D347" t="s">
        <v>9598</v>
      </c>
      <c r="E347" t="s">
        <v>9573</v>
      </c>
    </row>
    <row r="348" spans="1:5" x14ac:dyDescent="0.45">
      <c r="A348" s="42" t="s">
        <v>10276</v>
      </c>
      <c r="B348" t="s">
        <v>10277</v>
      </c>
      <c r="C348" t="s">
        <v>9598</v>
      </c>
      <c r="D348" t="s">
        <v>9598</v>
      </c>
      <c r="E348" t="s">
        <v>9598</v>
      </c>
    </row>
    <row r="349" spans="1:5" x14ac:dyDescent="0.45">
      <c r="A349" s="42" t="s">
        <v>10278</v>
      </c>
      <c r="B349" t="s">
        <v>10279</v>
      </c>
      <c r="C349" t="s">
        <v>9598</v>
      </c>
      <c r="D349" t="s">
        <v>9598</v>
      </c>
      <c r="E349" t="s">
        <v>9598</v>
      </c>
    </row>
    <row r="350" spans="1:5" x14ac:dyDescent="0.45">
      <c r="A350" s="42" t="s">
        <v>10280</v>
      </c>
      <c r="B350" t="s">
        <v>10281</v>
      </c>
      <c r="C350" t="s">
        <v>9598</v>
      </c>
      <c r="D350" t="s">
        <v>9598</v>
      </c>
      <c r="E350" t="s">
        <v>9598</v>
      </c>
    </row>
    <row r="351" spans="1:5" x14ac:dyDescent="0.45">
      <c r="A351" s="42" t="s">
        <v>10282</v>
      </c>
      <c r="B351" t="s">
        <v>10283</v>
      </c>
      <c r="C351" t="s">
        <v>9598</v>
      </c>
      <c r="D351" t="s">
        <v>9598</v>
      </c>
      <c r="E351" t="s">
        <v>9598</v>
      </c>
    </row>
    <row r="352" spans="1:5" x14ac:dyDescent="0.45">
      <c r="A352" s="42" t="s">
        <v>10284</v>
      </c>
      <c r="B352" t="s">
        <v>10285</v>
      </c>
      <c r="C352" t="s">
        <v>9598</v>
      </c>
      <c r="D352" t="s">
        <v>9598</v>
      </c>
      <c r="E352" t="s">
        <v>9598</v>
      </c>
    </row>
    <row r="353" spans="1:5" x14ac:dyDescent="0.45">
      <c r="A353" s="42" t="s">
        <v>10286</v>
      </c>
      <c r="B353" t="s">
        <v>10287</v>
      </c>
      <c r="C353" t="s">
        <v>9598</v>
      </c>
      <c r="D353" t="s">
        <v>9598</v>
      </c>
      <c r="E353" t="s">
        <v>9598</v>
      </c>
    </row>
    <row r="354" spans="1:5" x14ac:dyDescent="0.45">
      <c r="A354" s="42" t="s">
        <v>10288</v>
      </c>
      <c r="B354" t="s">
        <v>10289</v>
      </c>
      <c r="C354" t="s">
        <v>9598</v>
      </c>
      <c r="D354" t="s">
        <v>9598</v>
      </c>
      <c r="E354" t="s">
        <v>9598</v>
      </c>
    </row>
    <row r="355" spans="1:5" x14ac:dyDescent="0.45">
      <c r="A355" s="42" t="s">
        <v>10290</v>
      </c>
      <c r="B355" t="s">
        <v>10291</v>
      </c>
      <c r="C355" t="s">
        <v>9598</v>
      </c>
      <c r="D355" t="s">
        <v>9598</v>
      </c>
      <c r="E355" t="s">
        <v>9598</v>
      </c>
    </row>
    <row r="356" spans="1:5" x14ac:dyDescent="0.45">
      <c r="A356" s="42" t="s">
        <v>10292</v>
      </c>
      <c r="B356" t="s">
        <v>10293</v>
      </c>
      <c r="C356" t="s">
        <v>9598</v>
      </c>
      <c r="D356" t="s">
        <v>9598</v>
      </c>
      <c r="E356" t="s">
        <v>9598</v>
      </c>
    </row>
    <row r="357" spans="1:5" x14ac:dyDescent="0.45">
      <c r="A357" s="42" t="s">
        <v>10294</v>
      </c>
      <c r="B357" t="s">
        <v>10295</v>
      </c>
      <c r="C357" t="s">
        <v>9598</v>
      </c>
      <c r="D357" t="s">
        <v>9598</v>
      </c>
      <c r="E357" t="s">
        <v>9625</v>
      </c>
    </row>
    <row r="358" spans="1:5" x14ac:dyDescent="0.45">
      <c r="A358" s="42" t="s">
        <v>10296</v>
      </c>
      <c r="B358" t="s">
        <v>10297</v>
      </c>
      <c r="C358" t="s">
        <v>9598</v>
      </c>
      <c r="D358" t="s">
        <v>9598</v>
      </c>
      <c r="E358" t="s">
        <v>9598</v>
      </c>
    </row>
    <row r="359" spans="1:5" x14ac:dyDescent="0.45">
      <c r="A359" s="42" t="s">
        <v>10298</v>
      </c>
      <c r="B359" t="s">
        <v>10299</v>
      </c>
      <c r="C359" t="s">
        <v>9598</v>
      </c>
      <c r="D359" t="s">
        <v>9598</v>
      </c>
      <c r="E359" t="s">
        <v>9598</v>
      </c>
    </row>
    <row r="360" spans="1:5" x14ac:dyDescent="0.45">
      <c r="A360" s="42" t="s">
        <v>10300</v>
      </c>
      <c r="B360" t="s">
        <v>10301</v>
      </c>
      <c r="C360" t="s">
        <v>9598</v>
      </c>
      <c r="D360" t="s">
        <v>9598</v>
      </c>
      <c r="E360" t="s">
        <v>9598</v>
      </c>
    </row>
    <row r="361" spans="1:5" x14ac:dyDescent="0.45">
      <c r="A361" s="42" t="s">
        <v>10302</v>
      </c>
      <c r="B361" t="s">
        <v>10303</v>
      </c>
      <c r="C361" t="s">
        <v>9598</v>
      </c>
      <c r="D361" t="s">
        <v>9598</v>
      </c>
      <c r="E361" t="s">
        <v>9598</v>
      </c>
    </row>
    <row r="362" spans="1:5" x14ac:dyDescent="0.45">
      <c r="A362" s="42" t="s">
        <v>10304</v>
      </c>
      <c r="B362" t="s">
        <v>10305</v>
      </c>
      <c r="C362" t="s">
        <v>9598</v>
      </c>
      <c r="D362" t="s">
        <v>9598</v>
      </c>
      <c r="E362" t="s">
        <v>9573</v>
      </c>
    </row>
    <row r="363" spans="1:5" x14ac:dyDescent="0.45">
      <c r="A363" s="42" t="s">
        <v>10306</v>
      </c>
      <c r="B363" t="s">
        <v>10307</v>
      </c>
      <c r="C363" t="s">
        <v>9589</v>
      </c>
      <c r="D363" t="s">
        <v>9589</v>
      </c>
      <c r="E363" t="s">
        <v>9589</v>
      </c>
    </row>
    <row r="364" spans="1:5" x14ac:dyDescent="0.45">
      <c r="A364" s="42" t="s">
        <v>10308</v>
      </c>
      <c r="B364" t="s">
        <v>10309</v>
      </c>
      <c r="C364" t="s">
        <v>9598</v>
      </c>
      <c r="D364" t="s">
        <v>9598</v>
      </c>
      <c r="E364" t="s">
        <v>9598</v>
      </c>
    </row>
    <row r="365" spans="1:5" x14ac:dyDescent="0.45">
      <c r="A365" s="42" t="s">
        <v>528</v>
      </c>
      <c r="B365" t="s">
        <v>529</v>
      </c>
      <c r="C365" t="s">
        <v>9598</v>
      </c>
      <c r="D365" t="s">
        <v>9598</v>
      </c>
      <c r="E365" t="s">
        <v>9598</v>
      </c>
    </row>
    <row r="366" spans="1:5" x14ac:dyDescent="0.45">
      <c r="A366" s="42" t="s">
        <v>10310</v>
      </c>
      <c r="B366" t="s">
        <v>10311</v>
      </c>
      <c r="C366" t="s">
        <v>9598</v>
      </c>
      <c r="D366" t="s">
        <v>9598</v>
      </c>
      <c r="E366" t="s">
        <v>9598</v>
      </c>
    </row>
    <row r="367" spans="1:5" x14ac:dyDescent="0.45">
      <c r="A367" s="42" t="s">
        <v>10312</v>
      </c>
      <c r="B367" t="s">
        <v>10313</v>
      </c>
      <c r="C367" t="s">
        <v>9598</v>
      </c>
      <c r="D367" t="s">
        <v>9762</v>
      </c>
      <c r="E367" t="s">
        <v>9598</v>
      </c>
    </row>
    <row r="368" spans="1:5" x14ac:dyDescent="0.45">
      <c r="A368" s="42" t="s">
        <v>10314</v>
      </c>
      <c r="B368" t="s">
        <v>10315</v>
      </c>
      <c r="C368" t="s">
        <v>9598</v>
      </c>
      <c r="D368" t="s">
        <v>9762</v>
      </c>
      <c r="E368" t="s">
        <v>9598</v>
      </c>
    </row>
    <row r="369" spans="1:5" x14ac:dyDescent="0.45">
      <c r="A369" s="42" t="s">
        <v>10316</v>
      </c>
      <c r="B369" t="s">
        <v>10317</v>
      </c>
      <c r="C369" t="s">
        <v>9598</v>
      </c>
      <c r="D369" t="s">
        <v>9598</v>
      </c>
      <c r="E369" t="s">
        <v>9598</v>
      </c>
    </row>
    <row r="370" spans="1:5" x14ac:dyDescent="0.45">
      <c r="A370" s="42" t="s">
        <v>10318</v>
      </c>
      <c r="B370" t="s">
        <v>10319</v>
      </c>
      <c r="C370" t="s">
        <v>9598</v>
      </c>
      <c r="D370" t="s">
        <v>9598</v>
      </c>
      <c r="E370" t="s">
        <v>9598</v>
      </c>
    </row>
    <row r="371" spans="1:5" x14ac:dyDescent="0.45">
      <c r="A371" s="42" t="s">
        <v>10320</v>
      </c>
      <c r="B371" t="s">
        <v>10321</v>
      </c>
      <c r="C371" t="s">
        <v>9598</v>
      </c>
      <c r="D371" t="s">
        <v>9598</v>
      </c>
      <c r="E371" t="s">
        <v>9598</v>
      </c>
    </row>
    <row r="372" spans="1:5" x14ac:dyDescent="0.45">
      <c r="A372" s="42" t="s">
        <v>10322</v>
      </c>
      <c r="B372" t="s">
        <v>10323</v>
      </c>
      <c r="C372" t="s">
        <v>9598</v>
      </c>
      <c r="D372" t="s">
        <v>9598</v>
      </c>
      <c r="E372" t="s">
        <v>9598</v>
      </c>
    </row>
    <row r="373" spans="1:5" x14ac:dyDescent="0.45">
      <c r="A373" s="42" t="s">
        <v>10324</v>
      </c>
      <c r="B373" t="s">
        <v>10325</v>
      </c>
      <c r="C373" t="s">
        <v>9598</v>
      </c>
      <c r="D373" t="s">
        <v>9598</v>
      </c>
      <c r="E373" t="s">
        <v>9598</v>
      </c>
    </row>
    <row r="374" spans="1:5" x14ac:dyDescent="0.45">
      <c r="A374" s="42" t="s">
        <v>10326</v>
      </c>
      <c r="B374" t="s">
        <v>10327</v>
      </c>
      <c r="C374" t="s">
        <v>9598</v>
      </c>
      <c r="D374" t="s">
        <v>9598</v>
      </c>
      <c r="E374" t="s">
        <v>9598</v>
      </c>
    </row>
    <row r="375" spans="1:5" x14ac:dyDescent="0.45">
      <c r="A375" s="42" t="s">
        <v>10328</v>
      </c>
      <c r="B375" t="s">
        <v>10329</v>
      </c>
      <c r="C375" t="s">
        <v>9598</v>
      </c>
      <c r="D375" t="s">
        <v>9598</v>
      </c>
      <c r="E375" t="s">
        <v>9573</v>
      </c>
    </row>
    <row r="376" spans="1:5" x14ac:dyDescent="0.45">
      <c r="A376" s="42" t="s">
        <v>10330</v>
      </c>
      <c r="B376" t="s">
        <v>10331</v>
      </c>
      <c r="C376" t="s">
        <v>9598</v>
      </c>
      <c r="D376" t="s">
        <v>9598</v>
      </c>
      <c r="E376" t="s">
        <v>9598</v>
      </c>
    </row>
    <row r="377" spans="1:5" x14ac:dyDescent="0.45">
      <c r="A377" s="42" t="s">
        <v>10332</v>
      </c>
      <c r="B377" t="s">
        <v>140</v>
      </c>
      <c r="C377" t="s">
        <v>9598</v>
      </c>
      <c r="D377" t="s">
        <v>9598</v>
      </c>
      <c r="E377" t="s">
        <v>9573</v>
      </c>
    </row>
    <row r="378" spans="1:5" x14ac:dyDescent="0.45">
      <c r="A378" s="42" t="s">
        <v>10333</v>
      </c>
      <c r="B378" t="s">
        <v>10334</v>
      </c>
      <c r="C378" t="s">
        <v>9598</v>
      </c>
      <c r="D378" t="s">
        <v>9598</v>
      </c>
      <c r="E378" t="s">
        <v>9573</v>
      </c>
    </row>
    <row r="379" spans="1:5" x14ac:dyDescent="0.45">
      <c r="A379" s="42" t="s">
        <v>10335</v>
      </c>
      <c r="B379" t="s">
        <v>10336</v>
      </c>
      <c r="C379" t="s">
        <v>9598</v>
      </c>
      <c r="D379" t="s">
        <v>9598</v>
      </c>
      <c r="E379" t="s">
        <v>9573</v>
      </c>
    </row>
    <row r="380" spans="1:5" x14ac:dyDescent="0.45">
      <c r="A380" s="42" t="s">
        <v>10337</v>
      </c>
      <c r="B380" t="s">
        <v>10338</v>
      </c>
      <c r="C380" t="s">
        <v>9598</v>
      </c>
      <c r="D380" t="s">
        <v>9598</v>
      </c>
      <c r="E380" t="s">
        <v>9573</v>
      </c>
    </row>
    <row r="381" spans="1:5" x14ac:dyDescent="0.45">
      <c r="A381" s="42" t="s">
        <v>10339</v>
      </c>
      <c r="B381" t="s">
        <v>10340</v>
      </c>
      <c r="C381" t="s">
        <v>9598</v>
      </c>
      <c r="D381" t="s">
        <v>9598</v>
      </c>
      <c r="E381" t="s">
        <v>9573</v>
      </c>
    </row>
    <row r="382" spans="1:5" x14ac:dyDescent="0.45">
      <c r="A382" s="42" t="s">
        <v>10341</v>
      </c>
      <c r="B382" t="s">
        <v>10342</v>
      </c>
      <c r="C382" t="s">
        <v>9598</v>
      </c>
      <c r="D382" t="s">
        <v>9598</v>
      </c>
      <c r="E382" t="s">
        <v>9598</v>
      </c>
    </row>
    <row r="383" spans="1:5" x14ac:dyDescent="0.45">
      <c r="A383" s="42" t="s">
        <v>10343</v>
      </c>
      <c r="B383" t="s">
        <v>10344</v>
      </c>
      <c r="C383" t="s">
        <v>9598</v>
      </c>
      <c r="D383" t="s">
        <v>9598</v>
      </c>
      <c r="E383" t="s">
        <v>9598</v>
      </c>
    </row>
    <row r="384" spans="1:5" x14ac:dyDescent="0.45">
      <c r="A384" s="42" t="s">
        <v>10345</v>
      </c>
      <c r="B384" t="s">
        <v>10346</v>
      </c>
      <c r="C384" t="s">
        <v>9598</v>
      </c>
      <c r="D384" t="s">
        <v>9598</v>
      </c>
      <c r="E384" t="s">
        <v>9598</v>
      </c>
    </row>
    <row r="385" spans="1:5" x14ac:dyDescent="0.45">
      <c r="A385" s="42" t="s">
        <v>10347</v>
      </c>
      <c r="B385" t="s">
        <v>10348</v>
      </c>
      <c r="C385" t="s">
        <v>9598</v>
      </c>
      <c r="D385" t="s">
        <v>9598</v>
      </c>
      <c r="E385" t="s">
        <v>9598</v>
      </c>
    </row>
    <row r="386" spans="1:5" x14ac:dyDescent="0.45">
      <c r="A386" s="42" t="s">
        <v>10349</v>
      </c>
      <c r="B386" t="s">
        <v>10350</v>
      </c>
      <c r="C386" t="s">
        <v>9598</v>
      </c>
      <c r="D386" t="s">
        <v>9598</v>
      </c>
      <c r="E386" t="s">
        <v>9598</v>
      </c>
    </row>
    <row r="387" spans="1:5" x14ac:dyDescent="0.45">
      <c r="A387" s="42" t="s">
        <v>10351</v>
      </c>
      <c r="B387" t="s">
        <v>10352</v>
      </c>
      <c r="C387" t="s">
        <v>9598</v>
      </c>
      <c r="D387" t="s">
        <v>9598</v>
      </c>
      <c r="E387" t="s">
        <v>9598</v>
      </c>
    </row>
    <row r="388" spans="1:5" x14ac:dyDescent="0.45">
      <c r="A388" s="42" t="s">
        <v>251</v>
      </c>
      <c r="B388" t="s">
        <v>252</v>
      </c>
      <c r="C388" t="s">
        <v>9598</v>
      </c>
      <c r="D388" t="s">
        <v>9598</v>
      </c>
      <c r="E388" t="s">
        <v>9598</v>
      </c>
    </row>
    <row r="389" spans="1:5" x14ac:dyDescent="0.45">
      <c r="A389" s="42" t="s">
        <v>284</v>
      </c>
      <c r="B389" t="s">
        <v>285</v>
      </c>
      <c r="C389" t="s">
        <v>9598</v>
      </c>
      <c r="D389" t="s">
        <v>9598</v>
      </c>
      <c r="E389" t="s">
        <v>9598</v>
      </c>
    </row>
    <row r="390" spans="1:5" x14ac:dyDescent="0.45">
      <c r="A390" s="42" t="s">
        <v>10353</v>
      </c>
      <c r="B390" t="s">
        <v>10354</v>
      </c>
      <c r="C390" t="s">
        <v>9598</v>
      </c>
      <c r="D390" t="s">
        <v>9598</v>
      </c>
      <c r="E390" t="s">
        <v>9598</v>
      </c>
    </row>
    <row r="391" spans="1:5" x14ac:dyDescent="0.45">
      <c r="A391" s="42" t="s">
        <v>10355</v>
      </c>
      <c r="B391" t="s">
        <v>10356</v>
      </c>
      <c r="C391" t="s">
        <v>9598</v>
      </c>
      <c r="D391" t="s">
        <v>9598</v>
      </c>
      <c r="E391" t="s">
        <v>9598</v>
      </c>
    </row>
    <row r="392" spans="1:5" x14ac:dyDescent="0.45">
      <c r="A392" s="42" t="s">
        <v>416</v>
      </c>
      <c r="B392" t="s">
        <v>417</v>
      </c>
      <c r="C392" t="s">
        <v>9589</v>
      </c>
      <c r="D392" t="s">
        <v>9589</v>
      </c>
      <c r="E392" t="s">
        <v>9589</v>
      </c>
    </row>
    <row r="393" spans="1:5" x14ac:dyDescent="0.45">
      <c r="A393" s="42" t="s">
        <v>10357</v>
      </c>
      <c r="B393" t="s">
        <v>10358</v>
      </c>
      <c r="C393" t="s">
        <v>9589</v>
      </c>
      <c r="D393" t="s">
        <v>9589</v>
      </c>
      <c r="E393" t="s">
        <v>9589</v>
      </c>
    </row>
    <row r="394" spans="1:5" x14ac:dyDescent="0.45">
      <c r="A394" s="42" t="s">
        <v>413</v>
      </c>
      <c r="B394" t="s">
        <v>414</v>
      </c>
      <c r="C394" t="s">
        <v>9589</v>
      </c>
      <c r="D394" t="s">
        <v>9589</v>
      </c>
      <c r="E394" t="s">
        <v>9589</v>
      </c>
    </row>
    <row r="395" spans="1:5" x14ac:dyDescent="0.45">
      <c r="A395" s="42" t="s">
        <v>10359</v>
      </c>
      <c r="B395" t="s">
        <v>10360</v>
      </c>
      <c r="C395" t="s">
        <v>9589</v>
      </c>
      <c r="D395" t="s">
        <v>9589</v>
      </c>
      <c r="E395" t="s">
        <v>9589</v>
      </c>
    </row>
    <row r="396" spans="1:5" x14ac:dyDescent="0.45">
      <c r="A396" s="42" t="s">
        <v>10361</v>
      </c>
      <c r="B396" t="s">
        <v>10362</v>
      </c>
      <c r="C396" t="s">
        <v>9589</v>
      </c>
      <c r="D396" t="s">
        <v>9589</v>
      </c>
      <c r="E396" t="s">
        <v>9589</v>
      </c>
    </row>
    <row r="397" spans="1:5" x14ac:dyDescent="0.45">
      <c r="A397" s="42" t="s">
        <v>10363</v>
      </c>
      <c r="B397" t="s">
        <v>10364</v>
      </c>
      <c r="C397" t="s">
        <v>9589</v>
      </c>
      <c r="D397" t="s">
        <v>9589</v>
      </c>
      <c r="E397" t="s">
        <v>9589</v>
      </c>
    </row>
    <row r="398" spans="1:5" x14ac:dyDescent="0.45">
      <c r="A398" s="42" t="s">
        <v>425</v>
      </c>
      <c r="B398" t="s">
        <v>426</v>
      </c>
      <c r="C398" t="s">
        <v>9589</v>
      </c>
      <c r="D398" t="s">
        <v>9589</v>
      </c>
      <c r="E398" t="s">
        <v>9589</v>
      </c>
    </row>
    <row r="399" spans="1:5" x14ac:dyDescent="0.45">
      <c r="A399" s="42" t="s">
        <v>10365</v>
      </c>
      <c r="B399" t="s">
        <v>10366</v>
      </c>
      <c r="C399" t="s">
        <v>9589</v>
      </c>
      <c r="D399" t="s">
        <v>9589</v>
      </c>
      <c r="E399" t="s">
        <v>9589</v>
      </c>
    </row>
    <row r="400" spans="1:5" x14ac:dyDescent="0.45">
      <c r="A400" s="42" t="s">
        <v>10367</v>
      </c>
      <c r="B400" t="s">
        <v>10368</v>
      </c>
      <c r="C400" t="s">
        <v>9589</v>
      </c>
      <c r="D400" t="s">
        <v>9589</v>
      </c>
      <c r="E400" t="s">
        <v>9589</v>
      </c>
    </row>
    <row r="401" spans="1:5" x14ac:dyDescent="0.45">
      <c r="A401" s="42" t="s">
        <v>10369</v>
      </c>
      <c r="B401" t="s">
        <v>10370</v>
      </c>
      <c r="C401" t="s">
        <v>9589</v>
      </c>
      <c r="D401" t="s">
        <v>9589</v>
      </c>
      <c r="E401" t="s">
        <v>9589</v>
      </c>
    </row>
    <row r="402" spans="1:5" x14ac:dyDescent="0.45">
      <c r="A402" s="42" t="s">
        <v>10371</v>
      </c>
      <c r="B402" t="s">
        <v>10372</v>
      </c>
      <c r="C402" t="s">
        <v>9589</v>
      </c>
      <c r="D402" t="s">
        <v>9589</v>
      </c>
      <c r="E402" t="s">
        <v>9589</v>
      </c>
    </row>
    <row r="403" spans="1:5" x14ac:dyDescent="0.45">
      <c r="A403" s="42" t="s">
        <v>419</v>
      </c>
      <c r="B403" t="s">
        <v>420</v>
      </c>
      <c r="C403" t="s">
        <v>9589</v>
      </c>
      <c r="D403" t="s">
        <v>9589</v>
      </c>
      <c r="E403" t="s">
        <v>9589</v>
      </c>
    </row>
    <row r="404" spans="1:5" x14ac:dyDescent="0.45">
      <c r="A404" s="42" t="s">
        <v>10373</v>
      </c>
      <c r="B404" t="s">
        <v>10374</v>
      </c>
      <c r="C404" t="s">
        <v>9589</v>
      </c>
      <c r="D404" t="s">
        <v>9589</v>
      </c>
      <c r="E404" t="s">
        <v>9589</v>
      </c>
    </row>
    <row r="405" spans="1:5" x14ac:dyDescent="0.45">
      <c r="A405" s="42" t="s">
        <v>10375</v>
      </c>
      <c r="B405" t="s">
        <v>10376</v>
      </c>
      <c r="C405" t="s">
        <v>9589</v>
      </c>
      <c r="D405" t="s">
        <v>9589</v>
      </c>
      <c r="E405" t="s">
        <v>9589</v>
      </c>
    </row>
    <row r="406" spans="1:5" x14ac:dyDescent="0.45">
      <c r="A406" s="42" t="s">
        <v>10377</v>
      </c>
      <c r="B406" t="s">
        <v>10378</v>
      </c>
      <c r="C406" t="s">
        <v>9589</v>
      </c>
      <c r="D406" t="s">
        <v>9589</v>
      </c>
      <c r="E406" t="s">
        <v>9589</v>
      </c>
    </row>
    <row r="407" spans="1:5" x14ac:dyDescent="0.45">
      <c r="A407" s="42" t="s">
        <v>422</v>
      </c>
      <c r="B407" t="s">
        <v>423</v>
      </c>
      <c r="C407" t="s">
        <v>9589</v>
      </c>
      <c r="D407" t="s">
        <v>9589</v>
      </c>
      <c r="E407" t="s">
        <v>9589</v>
      </c>
    </row>
    <row r="408" spans="1:5" x14ac:dyDescent="0.45">
      <c r="A408" s="42" t="s">
        <v>10379</v>
      </c>
      <c r="B408" t="s">
        <v>9926</v>
      </c>
      <c r="C408" t="s">
        <v>9589</v>
      </c>
      <c r="D408" t="s">
        <v>9589</v>
      </c>
      <c r="E408" t="s">
        <v>9589</v>
      </c>
    </row>
    <row r="409" spans="1:5" x14ac:dyDescent="0.45">
      <c r="A409" s="42" t="s">
        <v>10380</v>
      </c>
      <c r="B409" t="s">
        <v>10381</v>
      </c>
      <c r="C409" t="s">
        <v>9589</v>
      </c>
      <c r="D409" t="s">
        <v>9589</v>
      </c>
      <c r="E409" t="s">
        <v>9589</v>
      </c>
    </row>
    <row r="410" spans="1:5" x14ac:dyDescent="0.45">
      <c r="A410" s="42" t="s">
        <v>392</v>
      </c>
      <c r="B410" t="s">
        <v>393</v>
      </c>
      <c r="C410" t="s">
        <v>9589</v>
      </c>
      <c r="D410" t="s">
        <v>9589</v>
      </c>
      <c r="E410" t="s">
        <v>9589</v>
      </c>
    </row>
    <row r="411" spans="1:5" x14ac:dyDescent="0.45">
      <c r="A411" s="42" t="s">
        <v>10382</v>
      </c>
      <c r="B411" t="s">
        <v>10383</v>
      </c>
      <c r="C411" t="s">
        <v>9589</v>
      </c>
      <c r="D411" t="s">
        <v>9589</v>
      </c>
      <c r="E411" t="s">
        <v>9589</v>
      </c>
    </row>
    <row r="412" spans="1:5" x14ac:dyDescent="0.45">
      <c r="A412" s="42" t="s">
        <v>10384</v>
      </c>
      <c r="B412" t="s">
        <v>10385</v>
      </c>
      <c r="C412" t="s">
        <v>9589</v>
      </c>
      <c r="D412" t="s">
        <v>9589</v>
      </c>
      <c r="E412" t="s">
        <v>9589</v>
      </c>
    </row>
    <row r="413" spans="1:5" x14ac:dyDescent="0.45">
      <c r="A413" s="42" t="s">
        <v>10386</v>
      </c>
      <c r="B413" t="s">
        <v>10387</v>
      </c>
      <c r="C413" t="s">
        <v>9589</v>
      </c>
      <c r="D413" t="s">
        <v>9589</v>
      </c>
      <c r="E413" t="s">
        <v>9589</v>
      </c>
    </row>
    <row r="414" spans="1:5" x14ac:dyDescent="0.45">
      <c r="A414" s="42" t="s">
        <v>10388</v>
      </c>
      <c r="B414" t="s">
        <v>10389</v>
      </c>
      <c r="C414" t="s">
        <v>9589</v>
      </c>
      <c r="D414" t="s">
        <v>9589</v>
      </c>
      <c r="E414" t="s">
        <v>9589</v>
      </c>
    </row>
    <row r="415" spans="1:5" x14ac:dyDescent="0.45">
      <c r="A415" s="42" t="s">
        <v>10390</v>
      </c>
      <c r="B415" t="s">
        <v>10391</v>
      </c>
      <c r="C415" t="s">
        <v>9589</v>
      </c>
      <c r="D415" t="s">
        <v>9589</v>
      </c>
      <c r="E415" t="s">
        <v>9589</v>
      </c>
    </row>
    <row r="416" spans="1:5" x14ac:dyDescent="0.45">
      <c r="A416" s="42" t="s">
        <v>10392</v>
      </c>
      <c r="B416" t="s">
        <v>10393</v>
      </c>
      <c r="C416" t="s">
        <v>9589</v>
      </c>
      <c r="D416" t="s">
        <v>9589</v>
      </c>
      <c r="E416" t="s">
        <v>9589</v>
      </c>
    </row>
    <row r="417" spans="1:5" x14ac:dyDescent="0.45">
      <c r="A417" s="42" t="s">
        <v>10394</v>
      </c>
      <c r="B417" t="s">
        <v>10395</v>
      </c>
      <c r="C417" t="s">
        <v>9589</v>
      </c>
      <c r="D417" t="s">
        <v>9589</v>
      </c>
      <c r="E417" t="s">
        <v>9589</v>
      </c>
    </row>
    <row r="418" spans="1:5" x14ac:dyDescent="0.45">
      <c r="A418" s="42" t="s">
        <v>10396</v>
      </c>
      <c r="B418" t="s">
        <v>10397</v>
      </c>
      <c r="C418" t="s">
        <v>9589</v>
      </c>
      <c r="D418" t="s">
        <v>9589</v>
      </c>
      <c r="E418" t="s">
        <v>9589</v>
      </c>
    </row>
    <row r="419" spans="1:5" x14ac:dyDescent="0.45">
      <c r="A419" s="42" t="s">
        <v>10398</v>
      </c>
      <c r="B419" t="s">
        <v>10399</v>
      </c>
      <c r="C419" t="s">
        <v>9589</v>
      </c>
      <c r="D419" t="s">
        <v>9589</v>
      </c>
      <c r="E419" t="s">
        <v>9589</v>
      </c>
    </row>
    <row r="420" spans="1:5" x14ac:dyDescent="0.45">
      <c r="A420" s="42" t="s">
        <v>10400</v>
      </c>
      <c r="B420" t="s">
        <v>10401</v>
      </c>
      <c r="C420" t="s">
        <v>9598</v>
      </c>
      <c r="D420" t="s">
        <v>9598</v>
      </c>
      <c r="E420" t="s">
        <v>9598</v>
      </c>
    </row>
    <row r="421" spans="1:5" x14ac:dyDescent="0.45">
      <c r="A421" s="42" t="s">
        <v>10402</v>
      </c>
      <c r="B421" t="s">
        <v>10403</v>
      </c>
      <c r="C421" t="s">
        <v>9598</v>
      </c>
      <c r="D421" t="s">
        <v>9598</v>
      </c>
      <c r="E421" t="s">
        <v>9598</v>
      </c>
    </row>
    <row r="422" spans="1:5" x14ac:dyDescent="0.45">
      <c r="A422" s="42" t="s">
        <v>10404</v>
      </c>
      <c r="B422" t="s">
        <v>10405</v>
      </c>
      <c r="C422" t="s">
        <v>9598</v>
      </c>
      <c r="D422" t="s">
        <v>9598</v>
      </c>
      <c r="E422" t="s">
        <v>9598</v>
      </c>
    </row>
    <row r="423" spans="1:5" x14ac:dyDescent="0.45">
      <c r="A423" s="42" t="s">
        <v>10406</v>
      </c>
      <c r="B423" t="s">
        <v>10407</v>
      </c>
      <c r="C423" t="s">
        <v>9598</v>
      </c>
      <c r="D423" t="s">
        <v>9598</v>
      </c>
      <c r="E423" t="s">
        <v>9625</v>
      </c>
    </row>
    <row r="424" spans="1:5" x14ac:dyDescent="0.45">
      <c r="A424" s="42" t="s">
        <v>212</v>
      </c>
      <c r="B424" t="s">
        <v>10408</v>
      </c>
      <c r="C424" t="s">
        <v>9598</v>
      </c>
      <c r="D424" t="s">
        <v>9598</v>
      </c>
      <c r="E424" t="s">
        <v>9625</v>
      </c>
    </row>
    <row r="425" spans="1:5" x14ac:dyDescent="0.45">
      <c r="A425" s="42" t="s">
        <v>10409</v>
      </c>
      <c r="B425" t="s">
        <v>10410</v>
      </c>
      <c r="C425" t="s">
        <v>9598</v>
      </c>
      <c r="D425" t="s">
        <v>9598</v>
      </c>
      <c r="E425" t="s">
        <v>9625</v>
      </c>
    </row>
    <row r="426" spans="1:5" x14ac:dyDescent="0.45">
      <c r="A426" s="42" t="s">
        <v>10411</v>
      </c>
      <c r="B426" t="s">
        <v>10412</v>
      </c>
      <c r="C426" t="s">
        <v>9598</v>
      </c>
      <c r="D426" t="s">
        <v>9598</v>
      </c>
      <c r="E426" t="s">
        <v>9625</v>
      </c>
    </row>
    <row r="427" spans="1:5" x14ac:dyDescent="0.45">
      <c r="A427" s="42" t="s">
        <v>10413</v>
      </c>
      <c r="B427" t="s">
        <v>10414</v>
      </c>
      <c r="C427" t="s">
        <v>9598</v>
      </c>
      <c r="D427" t="s">
        <v>9598</v>
      </c>
      <c r="E427" t="s">
        <v>9625</v>
      </c>
    </row>
    <row r="428" spans="1:5" x14ac:dyDescent="0.45">
      <c r="A428" s="42" t="s">
        <v>10415</v>
      </c>
      <c r="B428" t="s">
        <v>10416</v>
      </c>
      <c r="C428" t="s">
        <v>9598</v>
      </c>
      <c r="D428" t="s">
        <v>9598</v>
      </c>
      <c r="E428" t="s">
        <v>9625</v>
      </c>
    </row>
    <row r="429" spans="1:5" x14ac:dyDescent="0.45">
      <c r="A429" s="42" t="s">
        <v>10417</v>
      </c>
      <c r="B429" t="s">
        <v>10418</v>
      </c>
      <c r="C429" t="s">
        <v>9598</v>
      </c>
      <c r="D429" t="s">
        <v>9598</v>
      </c>
      <c r="E429" t="s">
        <v>9625</v>
      </c>
    </row>
    <row r="430" spans="1:5" x14ac:dyDescent="0.45">
      <c r="A430" s="42" t="s">
        <v>329</v>
      </c>
      <c r="B430" t="s">
        <v>330</v>
      </c>
      <c r="C430" t="s">
        <v>9598</v>
      </c>
      <c r="D430" t="s">
        <v>9598</v>
      </c>
      <c r="E430" t="s">
        <v>9625</v>
      </c>
    </row>
    <row r="431" spans="1:5" x14ac:dyDescent="0.45">
      <c r="A431" s="42" t="s">
        <v>10419</v>
      </c>
      <c r="B431" t="s">
        <v>10420</v>
      </c>
      <c r="C431" t="s">
        <v>9598</v>
      </c>
      <c r="D431" t="s">
        <v>9598</v>
      </c>
      <c r="E431" t="s">
        <v>9625</v>
      </c>
    </row>
    <row r="432" spans="1:5" x14ac:dyDescent="0.45">
      <c r="A432" s="42" t="s">
        <v>10421</v>
      </c>
      <c r="B432" t="s">
        <v>10422</v>
      </c>
      <c r="C432" t="s">
        <v>9598</v>
      </c>
      <c r="D432" t="s">
        <v>9598</v>
      </c>
      <c r="E432" t="s">
        <v>9625</v>
      </c>
    </row>
    <row r="433" spans="1:5" x14ac:dyDescent="0.45">
      <c r="A433" s="42" t="s">
        <v>91</v>
      </c>
      <c r="B433" t="s">
        <v>10423</v>
      </c>
      <c r="C433" t="s">
        <v>9598</v>
      </c>
      <c r="D433" t="s">
        <v>9598</v>
      </c>
      <c r="E433" t="s">
        <v>9625</v>
      </c>
    </row>
    <row r="434" spans="1:5" x14ac:dyDescent="0.45">
      <c r="A434" s="42" t="s">
        <v>242</v>
      </c>
      <c r="B434" t="s">
        <v>10424</v>
      </c>
      <c r="C434" t="s">
        <v>9598</v>
      </c>
      <c r="D434" t="s">
        <v>9598</v>
      </c>
      <c r="E434" t="s">
        <v>9625</v>
      </c>
    </row>
    <row r="435" spans="1:5" x14ac:dyDescent="0.45">
      <c r="A435" s="42" t="s">
        <v>236</v>
      </c>
      <c r="B435" t="s">
        <v>237</v>
      </c>
      <c r="C435" t="s">
        <v>9598</v>
      </c>
      <c r="D435" t="s">
        <v>9598</v>
      </c>
      <c r="E435" t="s">
        <v>9625</v>
      </c>
    </row>
    <row r="436" spans="1:5" x14ac:dyDescent="0.45">
      <c r="A436" s="42" t="s">
        <v>10425</v>
      </c>
      <c r="B436" t="s">
        <v>10426</v>
      </c>
      <c r="C436" t="s">
        <v>9598</v>
      </c>
      <c r="D436" t="s">
        <v>9598</v>
      </c>
      <c r="E436" t="s">
        <v>9625</v>
      </c>
    </row>
    <row r="437" spans="1:5" x14ac:dyDescent="0.45">
      <c r="A437" s="42" t="s">
        <v>10427</v>
      </c>
      <c r="B437" t="s">
        <v>10428</v>
      </c>
      <c r="C437" t="s">
        <v>9598</v>
      </c>
      <c r="D437" t="s">
        <v>9598</v>
      </c>
      <c r="E437" t="s">
        <v>9625</v>
      </c>
    </row>
    <row r="438" spans="1:5" x14ac:dyDescent="0.45">
      <c r="A438" s="42" t="s">
        <v>10429</v>
      </c>
      <c r="B438" t="s">
        <v>10430</v>
      </c>
      <c r="C438" t="s">
        <v>9598</v>
      </c>
      <c r="D438" t="s">
        <v>9598</v>
      </c>
      <c r="E438" t="s">
        <v>9625</v>
      </c>
    </row>
    <row r="439" spans="1:5" x14ac:dyDescent="0.45">
      <c r="A439" s="42" t="s">
        <v>10431</v>
      </c>
      <c r="B439" t="s">
        <v>10432</v>
      </c>
      <c r="C439" t="s">
        <v>9598</v>
      </c>
      <c r="D439" t="s">
        <v>9598</v>
      </c>
      <c r="E439" t="s">
        <v>9625</v>
      </c>
    </row>
    <row r="440" spans="1:5" x14ac:dyDescent="0.45">
      <c r="A440" s="42" t="s">
        <v>10433</v>
      </c>
      <c r="B440" t="s">
        <v>10434</v>
      </c>
      <c r="C440" t="s">
        <v>9598</v>
      </c>
      <c r="D440" t="s">
        <v>9598</v>
      </c>
      <c r="E440" t="s">
        <v>9625</v>
      </c>
    </row>
    <row r="441" spans="1:5" x14ac:dyDescent="0.45">
      <c r="A441" s="42" t="s">
        <v>10435</v>
      </c>
      <c r="B441" t="s">
        <v>10436</v>
      </c>
      <c r="C441" t="s">
        <v>9598</v>
      </c>
      <c r="D441" t="s">
        <v>9598</v>
      </c>
      <c r="E441" t="s">
        <v>9625</v>
      </c>
    </row>
    <row r="442" spans="1:5" x14ac:dyDescent="0.45">
      <c r="A442" s="42" t="s">
        <v>10437</v>
      </c>
      <c r="B442" t="s">
        <v>10438</v>
      </c>
      <c r="C442" t="s">
        <v>9598</v>
      </c>
      <c r="D442" t="s">
        <v>9598</v>
      </c>
      <c r="E442" t="s">
        <v>9625</v>
      </c>
    </row>
    <row r="443" spans="1:5" x14ac:dyDescent="0.45">
      <c r="A443" s="42" t="s">
        <v>10439</v>
      </c>
      <c r="B443" t="s">
        <v>10440</v>
      </c>
      <c r="C443" t="s">
        <v>9598</v>
      </c>
      <c r="D443" t="s">
        <v>9598</v>
      </c>
      <c r="E443" t="s">
        <v>9625</v>
      </c>
    </row>
    <row r="444" spans="1:5" x14ac:dyDescent="0.45">
      <c r="A444" s="42" t="s">
        <v>10441</v>
      </c>
      <c r="B444" t="s">
        <v>10442</v>
      </c>
      <c r="C444" t="s">
        <v>9598</v>
      </c>
      <c r="D444" t="s">
        <v>9598</v>
      </c>
      <c r="E444" t="s">
        <v>9625</v>
      </c>
    </row>
    <row r="445" spans="1:5" x14ac:dyDescent="0.45">
      <c r="A445" s="42" t="s">
        <v>10443</v>
      </c>
      <c r="B445" t="s">
        <v>10444</v>
      </c>
      <c r="C445" t="s">
        <v>9598</v>
      </c>
      <c r="D445" t="s">
        <v>9598</v>
      </c>
      <c r="E445" t="s">
        <v>9625</v>
      </c>
    </row>
    <row r="446" spans="1:5" x14ac:dyDescent="0.45">
      <c r="A446" s="42" t="s">
        <v>10445</v>
      </c>
      <c r="B446" t="s">
        <v>10446</v>
      </c>
      <c r="C446" t="s">
        <v>9598</v>
      </c>
      <c r="D446" t="s">
        <v>9598</v>
      </c>
      <c r="E446" t="s">
        <v>9625</v>
      </c>
    </row>
    <row r="447" spans="1:5" x14ac:dyDescent="0.45">
      <c r="A447" s="42" t="s">
        <v>10447</v>
      </c>
      <c r="B447" t="s">
        <v>10448</v>
      </c>
      <c r="C447" t="s">
        <v>9598</v>
      </c>
      <c r="D447" t="s">
        <v>9598</v>
      </c>
      <c r="E447" t="s">
        <v>9625</v>
      </c>
    </row>
    <row r="448" spans="1:5" x14ac:dyDescent="0.45">
      <c r="A448" s="42" t="s">
        <v>10449</v>
      </c>
      <c r="B448" t="s">
        <v>10450</v>
      </c>
      <c r="C448" t="s">
        <v>9598</v>
      </c>
      <c r="D448" t="s">
        <v>9598</v>
      </c>
      <c r="E448" t="s">
        <v>9625</v>
      </c>
    </row>
    <row r="449" spans="1:5" x14ac:dyDescent="0.45">
      <c r="A449" s="42" t="s">
        <v>10451</v>
      </c>
      <c r="B449" t="s">
        <v>10452</v>
      </c>
      <c r="C449" t="s">
        <v>9598</v>
      </c>
      <c r="D449" t="s">
        <v>9598</v>
      </c>
      <c r="E449" t="s">
        <v>9625</v>
      </c>
    </row>
    <row r="450" spans="1:5" x14ac:dyDescent="0.45">
      <c r="A450" s="42" t="s">
        <v>10453</v>
      </c>
      <c r="B450" t="s">
        <v>10454</v>
      </c>
      <c r="C450" t="s">
        <v>9598</v>
      </c>
      <c r="D450" t="s">
        <v>9598</v>
      </c>
      <c r="E450" t="s">
        <v>9625</v>
      </c>
    </row>
    <row r="451" spans="1:5" x14ac:dyDescent="0.45">
      <c r="A451" s="42" t="s">
        <v>10455</v>
      </c>
      <c r="B451" t="s">
        <v>10456</v>
      </c>
      <c r="C451" t="s">
        <v>9598</v>
      </c>
      <c r="D451" t="s">
        <v>9598</v>
      </c>
      <c r="E451" t="s">
        <v>9625</v>
      </c>
    </row>
    <row r="452" spans="1:5" x14ac:dyDescent="0.45">
      <c r="A452" s="42" t="s">
        <v>10457</v>
      </c>
      <c r="B452" t="s">
        <v>10458</v>
      </c>
      <c r="C452" t="s">
        <v>9598</v>
      </c>
      <c r="D452" t="s">
        <v>9598</v>
      </c>
      <c r="E452" t="s">
        <v>9625</v>
      </c>
    </row>
    <row r="453" spans="1:5" x14ac:dyDescent="0.45">
      <c r="A453" s="42" t="s">
        <v>10459</v>
      </c>
      <c r="B453" t="s">
        <v>10460</v>
      </c>
      <c r="C453" t="s">
        <v>9598</v>
      </c>
      <c r="D453" t="s">
        <v>9598</v>
      </c>
      <c r="E453" t="s">
        <v>9625</v>
      </c>
    </row>
    <row r="454" spans="1:5" x14ac:dyDescent="0.45">
      <c r="A454" s="42" t="s">
        <v>10461</v>
      </c>
      <c r="B454" t="s">
        <v>10462</v>
      </c>
      <c r="C454" t="s">
        <v>9598</v>
      </c>
      <c r="D454" t="s">
        <v>9598</v>
      </c>
      <c r="E454" t="s">
        <v>9625</v>
      </c>
    </row>
    <row r="455" spans="1:5" x14ac:dyDescent="0.45">
      <c r="A455" s="42" t="s">
        <v>10463</v>
      </c>
      <c r="B455" t="s">
        <v>10464</v>
      </c>
      <c r="C455" t="s">
        <v>9598</v>
      </c>
      <c r="D455" t="s">
        <v>9598</v>
      </c>
      <c r="E455" t="s">
        <v>9625</v>
      </c>
    </row>
    <row r="456" spans="1:5" x14ac:dyDescent="0.45">
      <c r="A456" s="42" t="s">
        <v>10465</v>
      </c>
      <c r="B456" t="s">
        <v>10466</v>
      </c>
      <c r="C456" t="s">
        <v>9598</v>
      </c>
      <c r="D456" t="s">
        <v>9598</v>
      </c>
      <c r="E456" t="s">
        <v>9625</v>
      </c>
    </row>
    <row r="457" spans="1:5" x14ac:dyDescent="0.45">
      <c r="A457" s="42" t="s">
        <v>10467</v>
      </c>
      <c r="B457" t="s">
        <v>10468</v>
      </c>
      <c r="C457" t="s">
        <v>9598</v>
      </c>
      <c r="D457" t="s">
        <v>9598</v>
      </c>
      <c r="E457" t="s">
        <v>9625</v>
      </c>
    </row>
    <row r="458" spans="1:5" x14ac:dyDescent="0.45">
      <c r="A458" s="42" t="s">
        <v>10469</v>
      </c>
      <c r="B458" t="s">
        <v>10470</v>
      </c>
      <c r="C458" t="s">
        <v>9598</v>
      </c>
      <c r="D458" t="s">
        <v>9598</v>
      </c>
      <c r="E458" t="s">
        <v>9625</v>
      </c>
    </row>
    <row r="459" spans="1:5" x14ac:dyDescent="0.45">
      <c r="A459" s="42" t="s">
        <v>10471</v>
      </c>
      <c r="B459" t="s">
        <v>10472</v>
      </c>
      <c r="C459" t="s">
        <v>9598</v>
      </c>
      <c r="D459" t="s">
        <v>9598</v>
      </c>
      <c r="E459" t="s">
        <v>9625</v>
      </c>
    </row>
    <row r="460" spans="1:5" x14ac:dyDescent="0.45">
      <c r="A460" s="42" t="s">
        <v>10473</v>
      </c>
      <c r="B460" t="s">
        <v>10474</v>
      </c>
      <c r="C460" t="s">
        <v>9598</v>
      </c>
      <c r="D460" t="s">
        <v>9598</v>
      </c>
      <c r="E460" t="s">
        <v>9625</v>
      </c>
    </row>
    <row r="461" spans="1:5" x14ac:dyDescent="0.45">
      <c r="A461" s="42" t="s">
        <v>10475</v>
      </c>
      <c r="B461" t="s">
        <v>10476</v>
      </c>
      <c r="C461" t="s">
        <v>9598</v>
      </c>
      <c r="D461" t="s">
        <v>9598</v>
      </c>
      <c r="E461" t="s">
        <v>9625</v>
      </c>
    </row>
    <row r="462" spans="1:5" x14ac:dyDescent="0.45">
      <c r="A462" s="42" t="s">
        <v>10477</v>
      </c>
      <c r="B462" t="s">
        <v>10478</v>
      </c>
      <c r="C462" t="s">
        <v>9598</v>
      </c>
      <c r="D462" t="s">
        <v>9598</v>
      </c>
      <c r="E462" t="s">
        <v>9625</v>
      </c>
    </row>
    <row r="463" spans="1:5" x14ac:dyDescent="0.45">
      <c r="A463" s="42" t="s">
        <v>10479</v>
      </c>
      <c r="B463" t="s">
        <v>10480</v>
      </c>
      <c r="C463" t="s">
        <v>9598</v>
      </c>
      <c r="D463" t="s">
        <v>9598</v>
      </c>
      <c r="E463" t="s">
        <v>9625</v>
      </c>
    </row>
    <row r="464" spans="1:5" x14ac:dyDescent="0.45">
      <c r="A464" s="42" t="s">
        <v>10481</v>
      </c>
      <c r="B464" t="s">
        <v>10482</v>
      </c>
      <c r="C464" t="s">
        <v>9598</v>
      </c>
      <c r="D464" t="s">
        <v>9598</v>
      </c>
      <c r="E464" t="s">
        <v>9625</v>
      </c>
    </row>
    <row r="465" spans="1:5" x14ac:dyDescent="0.45">
      <c r="A465" s="42" t="s">
        <v>10483</v>
      </c>
      <c r="B465" t="s">
        <v>10484</v>
      </c>
      <c r="C465" t="s">
        <v>9598</v>
      </c>
      <c r="D465" t="s">
        <v>9598</v>
      </c>
      <c r="E465" t="s">
        <v>9625</v>
      </c>
    </row>
    <row r="466" spans="1:5" x14ac:dyDescent="0.45">
      <c r="A466" s="42" t="s">
        <v>10485</v>
      </c>
      <c r="B466" t="s">
        <v>10486</v>
      </c>
      <c r="C466" t="s">
        <v>9598</v>
      </c>
      <c r="D466" t="s">
        <v>9598</v>
      </c>
      <c r="E466" t="s">
        <v>9625</v>
      </c>
    </row>
    <row r="467" spans="1:5" x14ac:dyDescent="0.45">
      <c r="A467" s="42" t="s">
        <v>10487</v>
      </c>
      <c r="B467" t="s">
        <v>10488</v>
      </c>
      <c r="C467" t="s">
        <v>9598</v>
      </c>
      <c r="D467" t="s">
        <v>9598</v>
      </c>
      <c r="E467" t="s">
        <v>9625</v>
      </c>
    </row>
    <row r="468" spans="1:5" x14ac:dyDescent="0.45">
      <c r="A468" s="42" t="s">
        <v>10489</v>
      </c>
      <c r="B468" t="s">
        <v>10490</v>
      </c>
      <c r="C468" t="s">
        <v>9598</v>
      </c>
      <c r="D468" t="s">
        <v>9598</v>
      </c>
      <c r="E468" t="s">
        <v>9625</v>
      </c>
    </row>
    <row r="469" spans="1:5" x14ac:dyDescent="0.45">
      <c r="A469" s="42" t="s">
        <v>335</v>
      </c>
      <c r="B469" t="s">
        <v>336</v>
      </c>
      <c r="C469" t="s">
        <v>9598</v>
      </c>
      <c r="D469" t="s">
        <v>9598</v>
      </c>
      <c r="E469" t="s">
        <v>9625</v>
      </c>
    </row>
    <row r="470" spans="1:5" x14ac:dyDescent="0.45">
      <c r="A470" s="42" t="s">
        <v>10491</v>
      </c>
      <c r="B470" t="s">
        <v>10492</v>
      </c>
      <c r="C470" t="s">
        <v>9598</v>
      </c>
      <c r="D470" t="s">
        <v>9598</v>
      </c>
      <c r="E470" t="s">
        <v>9625</v>
      </c>
    </row>
    <row r="471" spans="1:5" x14ac:dyDescent="0.45">
      <c r="A471" s="42" t="s">
        <v>10493</v>
      </c>
      <c r="B471" t="s">
        <v>10494</v>
      </c>
      <c r="C471" t="s">
        <v>9598</v>
      </c>
      <c r="D471" t="s">
        <v>9598</v>
      </c>
      <c r="E471" t="s">
        <v>9625</v>
      </c>
    </row>
    <row r="472" spans="1:5" x14ac:dyDescent="0.45">
      <c r="A472" s="42" t="s">
        <v>10495</v>
      </c>
      <c r="B472" t="s">
        <v>10496</v>
      </c>
      <c r="C472" t="s">
        <v>9598</v>
      </c>
      <c r="D472" t="s">
        <v>9598</v>
      </c>
      <c r="E472" t="s">
        <v>9625</v>
      </c>
    </row>
    <row r="473" spans="1:5" x14ac:dyDescent="0.45">
      <c r="A473" s="42" t="s">
        <v>10497</v>
      </c>
      <c r="B473" t="s">
        <v>10498</v>
      </c>
      <c r="C473" t="s">
        <v>9598</v>
      </c>
      <c r="D473" t="s">
        <v>9598</v>
      </c>
      <c r="E473" t="s">
        <v>9625</v>
      </c>
    </row>
    <row r="474" spans="1:5" x14ac:dyDescent="0.45">
      <c r="A474" s="42" t="s">
        <v>10499</v>
      </c>
      <c r="B474" t="s">
        <v>10500</v>
      </c>
      <c r="C474" t="s">
        <v>9598</v>
      </c>
      <c r="D474" t="s">
        <v>9598</v>
      </c>
      <c r="E474" t="s">
        <v>9625</v>
      </c>
    </row>
    <row r="475" spans="1:5" x14ac:dyDescent="0.45">
      <c r="A475" s="42" t="s">
        <v>209</v>
      </c>
      <c r="B475" t="s">
        <v>10501</v>
      </c>
      <c r="C475" t="s">
        <v>9598</v>
      </c>
      <c r="D475" t="s">
        <v>9598</v>
      </c>
      <c r="E475" t="s">
        <v>9625</v>
      </c>
    </row>
    <row r="476" spans="1:5" x14ac:dyDescent="0.45">
      <c r="A476" s="42" t="s">
        <v>10502</v>
      </c>
      <c r="B476" t="s">
        <v>10503</v>
      </c>
      <c r="C476" t="s">
        <v>9598</v>
      </c>
      <c r="D476" t="s">
        <v>9598</v>
      </c>
      <c r="E476" t="s">
        <v>9625</v>
      </c>
    </row>
    <row r="477" spans="1:5" x14ac:dyDescent="0.45">
      <c r="A477" s="42" t="s">
        <v>10504</v>
      </c>
      <c r="B477" t="s">
        <v>10505</v>
      </c>
      <c r="C477" t="s">
        <v>9598</v>
      </c>
      <c r="D477" t="s">
        <v>9598</v>
      </c>
      <c r="E477" t="s">
        <v>9625</v>
      </c>
    </row>
    <row r="478" spans="1:5" x14ac:dyDescent="0.45">
      <c r="A478" s="42" t="s">
        <v>10506</v>
      </c>
      <c r="B478" t="s">
        <v>10507</v>
      </c>
      <c r="C478" t="s">
        <v>9598</v>
      </c>
      <c r="D478" t="s">
        <v>9598</v>
      </c>
      <c r="E478" t="s">
        <v>9625</v>
      </c>
    </row>
    <row r="479" spans="1:5" x14ac:dyDescent="0.45">
      <c r="A479" s="42" t="s">
        <v>10508</v>
      </c>
      <c r="B479" t="s">
        <v>10509</v>
      </c>
      <c r="C479" t="s">
        <v>9598</v>
      </c>
      <c r="D479" t="s">
        <v>9598</v>
      </c>
      <c r="E479" t="s">
        <v>9625</v>
      </c>
    </row>
    <row r="480" spans="1:5" x14ac:dyDescent="0.45">
      <c r="A480" s="42" t="s">
        <v>10510</v>
      </c>
      <c r="B480" t="s">
        <v>10511</v>
      </c>
      <c r="C480" t="s">
        <v>9598</v>
      </c>
      <c r="D480" t="s">
        <v>9598</v>
      </c>
      <c r="E480" t="s">
        <v>9625</v>
      </c>
    </row>
    <row r="481" spans="1:5" x14ac:dyDescent="0.45">
      <c r="A481" s="42" t="s">
        <v>10512</v>
      </c>
      <c r="B481" t="s">
        <v>10513</v>
      </c>
      <c r="C481" t="s">
        <v>9598</v>
      </c>
      <c r="D481" t="s">
        <v>9598</v>
      </c>
      <c r="E481" t="s">
        <v>9625</v>
      </c>
    </row>
    <row r="482" spans="1:5" x14ac:dyDescent="0.45">
      <c r="A482" s="42" t="s">
        <v>10514</v>
      </c>
      <c r="B482" t="s">
        <v>10515</v>
      </c>
      <c r="C482" t="s">
        <v>9598</v>
      </c>
      <c r="D482" t="s">
        <v>9598</v>
      </c>
      <c r="E482" t="s">
        <v>9625</v>
      </c>
    </row>
    <row r="483" spans="1:5" x14ac:dyDescent="0.45">
      <c r="A483" s="42" t="s">
        <v>10516</v>
      </c>
      <c r="B483" t="s">
        <v>10517</v>
      </c>
      <c r="C483" t="s">
        <v>9598</v>
      </c>
      <c r="D483" t="s">
        <v>9598</v>
      </c>
      <c r="E483" t="s">
        <v>9625</v>
      </c>
    </row>
    <row r="484" spans="1:5" x14ac:dyDescent="0.45">
      <c r="A484" s="42" t="s">
        <v>10518</v>
      </c>
      <c r="B484" t="s">
        <v>10519</v>
      </c>
      <c r="C484" t="s">
        <v>9598</v>
      </c>
      <c r="D484" t="s">
        <v>9598</v>
      </c>
      <c r="E484" t="s">
        <v>9573</v>
      </c>
    </row>
    <row r="485" spans="1:5" x14ac:dyDescent="0.45">
      <c r="A485" s="42" t="s">
        <v>10520</v>
      </c>
      <c r="B485" t="s">
        <v>10521</v>
      </c>
      <c r="C485" t="s">
        <v>9598</v>
      </c>
      <c r="D485" t="s">
        <v>9598</v>
      </c>
      <c r="E485" t="s">
        <v>9573</v>
      </c>
    </row>
    <row r="486" spans="1:5" x14ac:dyDescent="0.45">
      <c r="A486" s="42" t="s">
        <v>10522</v>
      </c>
      <c r="B486" t="s">
        <v>10523</v>
      </c>
      <c r="C486" t="s">
        <v>9598</v>
      </c>
      <c r="D486" t="s">
        <v>9598</v>
      </c>
      <c r="E486" t="s">
        <v>9625</v>
      </c>
    </row>
    <row r="487" spans="1:5" x14ac:dyDescent="0.45">
      <c r="A487" s="42" t="s">
        <v>10524</v>
      </c>
      <c r="B487" t="s">
        <v>10525</v>
      </c>
      <c r="C487" t="s">
        <v>9598</v>
      </c>
      <c r="D487" t="s">
        <v>9598</v>
      </c>
      <c r="E487" t="s">
        <v>9625</v>
      </c>
    </row>
    <row r="488" spans="1:5" x14ac:dyDescent="0.45">
      <c r="A488" s="42" t="s">
        <v>10526</v>
      </c>
      <c r="B488" t="s">
        <v>10527</v>
      </c>
      <c r="C488" t="s">
        <v>9598</v>
      </c>
      <c r="D488" t="s">
        <v>9598</v>
      </c>
      <c r="E488" t="s">
        <v>9573</v>
      </c>
    </row>
    <row r="489" spans="1:5" x14ac:dyDescent="0.45">
      <c r="A489" s="42" t="s">
        <v>10528</v>
      </c>
      <c r="B489" t="s">
        <v>10529</v>
      </c>
      <c r="C489" t="s">
        <v>9598</v>
      </c>
      <c r="D489" t="s">
        <v>9598</v>
      </c>
      <c r="E489" t="s">
        <v>9573</v>
      </c>
    </row>
    <row r="490" spans="1:5" x14ac:dyDescent="0.45">
      <c r="A490" s="42" t="s">
        <v>326</v>
      </c>
      <c r="B490" t="s">
        <v>327</v>
      </c>
      <c r="C490" t="s">
        <v>9598</v>
      </c>
      <c r="D490" t="s">
        <v>9598</v>
      </c>
      <c r="E490" t="s">
        <v>9625</v>
      </c>
    </row>
    <row r="491" spans="1:5" x14ac:dyDescent="0.45">
      <c r="A491" s="42" t="s">
        <v>10530</v>
      </c>
      <c r="B491" t="s">
        <v>10531</v>
      </c>
      <c r="C491" t="s">
        <v>9598</v>
      </c>
      <c r="D491" t="s">
        <v>9598</v>
      </c>
      <c r="E491" t="s">
        <v>9625</v>
      </c>
    </row>
    <row r="492" spans="1:5" x14ac:dyDescent="0.45">
      <c r="A492" s="42" t="s">
        <v>10532</v>
      </c>
      <c r="B492" t="s">
        <v>10533</v>
      </c>
      <c r="C492" t="s">
        <v>9598</v>
      </c>
      <c r="D492" t="s">
        <v>9598</v>
      </c>
      <c r="E492" t="s">
        <v>9598</v>
      </c>
    </row>
    <row r="493" spans="1:5" x14ac:dyDescent="0.45">
      <c r="A493" s="42" t="s">
        <v>10534</v>
      </c>
      <c r="B493" t="s">
        <v>10535</v>
      </c>
      <c r="C493" t="s">
        <v>9598</v>
      </c>
      <c r="D493" t="s">
        <v>9598</v>
      </c>
      <c r="E493" t="s">
        <v>9598</v>
      </c>
    </row>
    <row r="494" spans="1:5" x14ac:dyDescent="0.45">
      <c r="A494" s="42" t="s">
        <v>248</v>
      </c>
      <c r="B494" t="s">
        <v>10536</v>
      </c>
      <c r="C494" t="s">
        <v>9598</v>
      </c>
      <c r="D494" t="s">
        <v>9598</v>
      </c>
      <c r="E494" t="s">
        <v>9598</v>
      </c>
    </row>
    <row r="495" spans="1:5" x14ac:dyDescent="0.45">
      <c r="A495" s="42" t="s">
        <v>233</v>
      </c>
      <c r="B495" t="s">
        <v>10537</v>
      </c>
      <c r="C495" t="s">
        <v>9598</v>
      </c>
      <c r="D495" t="s">
        <v>9598</v>
      </c>
      <c r="E495" t="s">
        <v>9598</v>
      </c>
    </row>
    <row r="496" spans="1:5" x14ac:dyDescent="0.45">
      <c r="A496" s="42" t="s">
        <v>10538</v>
      </c>
      <c r="B496" t="s">
        <v>10539</v>
      </c>
      <c r="C496" t="s">
        <v>9598</v>
      </c>
      <c r="D496" t="s">
        <v>9598</v>
      </c>
      <c r="E496" t="s">
        <v>9598</v>
      </c>
    </row>
    <row r="497" spans="1:5" x14ac:dyDescent="0.45">
      <c r="A497" s="42" t="s">
        <v>10540</v>
      </c>
      <c r="B497" t="s">
        <v>10541</v>
      </c>
      <c r="C497" t="s">
        <v>9598</v>
      </c>
      <c r="D497" t="s">
        <v>9598</v>
      </c>
      <c r="E497" t="s">
        <v>9598</v>
      </c>
    </row>
    <row r="498" spans="1:5" x14ac:dyDescent="0.45">
      <c r="A498" s="42" t="s">
        <v>332</v>
      </c>
      <c r="B498" t="s">
        <v>333</v>
      </c>
      <c r="C498" t="s">
        <v>9598</v>
      </c>
      <c r="D498" t="s">
        <v>9598</v>
      </c>
      <c r="E498" t="s">
        <v>9598</v>
      </c>
    </row>
    <row r="499" spans="1:5" x14ac:dyDescent="0.45">
      <c r="A499" s="42" t="s">
        <v>10542</v>
      </c>
      <c r="B499" t="s">
        <v>10543</v>
      </c>
      <c r="C499" t="s">
        <v>9598</v>
      </c>
      <c r="D499" t="s">
        <v>9598</v>
      </c>
      <c r="E499" t="s">
        <v>9598</v>
      </c>
    </row>
    <row r="500" spans="1:5" x14ac:dyDescent="0.45">
      <c r="A500" s="42" t="s">
        <v>203</v>
      </c>
      <c r="B500" t="s">
        <v>10544</v>
      </c>
      <c r="C500" t="s">
        <v>9598</v>
      </c>
      <c r="D500" t="s">
        <v>9598</v>
      </c>
      <c r="E500" t="s">
        <v>9598</v>
      </c>
    </row>
    <row r="501" spans="1:5" x14ac:dyDescent="0.45">
      <c r="A501" s="42" t="s">
        <v>299</v>
      </c>
      <c r="B501" t="s">
        <v>10545</v>
      </c>
      <c r="C501" t="s">
        <v>9598</v>
      </c>
      <c r="D501" t="s">
        <v>9598</v>
      </c>
      <c r="E501" t="s">
        <v>9598</v>
      </c>
    </row>
    <row r="502" spans="1:5" x14ac:dyDescent="0.45">
      <c r="A502" s="42" t="s">
        <v>10546</v>
      </c>
      <c r="B502" t="s">
        <v>10547</v>
      </c>
      <c r="C502" t="s">
        <v>9598</v>
      </c>
      <c r="D502" t="s">
        <v>9598</v>
      </c>
      <c r="E502" t="s">
        <v>9598</v>
      </c>
    </row>
    <row r="503" spans="1:5" x14ac:dyDescent="0.45">
      <c r="A503" s="42" t="s">
        <v>10548</v>
      </c>
      <c r="B503" t="s">
        <v>10549</v>
      </c>
      <c r="C503" t="s">
        <v>9598</v>
      </c>
      <c r="D503" t="s">
        <v>9598</v>
      </c>
      <c r="E503" t="s">
        <v>9598</v>
      </c>
    </row>
    <row r="504" spans="1:5" x14ac:dyDescent="0.45">
      <c r="A504" s="42" t="s">
        <v>197</v>
      </c>
      <c r="B504" t="s">
        <v>10550</v>
      </c>
      <c r="C504" t="s">
        <v>9598</v>
      </c>
      <c r="D504" t="s">
        <v>9598</v>
      </c>
      <c r="E504" t="s">
        <v>9598</v>
      </c>
    </row>
    <row r="505" spans="1:5" x14ac:dyDescent="0.45">
      <c r="A505" s="42" t="s">
        <v>34</v>
      </c>
      <c r="B505" t="s">
        <v>10551</v>
      </c>
      <c r="C505" t="s">
        <v>9598</v>
      </c>
      <c r="D505" t="s">
        <v>9598</v>
      </c>
      <c r="E505" t="s">
        <v>9598</v>
      </c>
    </row>
    <row r="506" spans="1:5" x14ac:dyDescent="0.45">
      <c r="A506" s="42" t="s">
        <v>10552</v>
      </c>
      <c r="B506" t="s">
        <v>10553</v>
      </c>
      <c r="C506" t="s">
        <v>9598</v>
      </c>
      <c r="D506" t="s">
        <v>9598</v>
      </c>
      <c r="E506" t="s">
        <v>9598</v>
      </c>
    </row>
    <row r="507" spans="1:5" x14ac:dyDescent="0.45">
      <c r="A507" s="42" t="s">
        <v>10554</v>
      </c>
      <c r="B507" t="s">
        <v>10555</v>
      </c>
      <c r="C507" t="s">
        <v>9598</v>
      </c>
      <c r="D507" t="s">
        <v>9598</v>
      </c>
      <c r="E507" t="s">
        <v>9598</v>
      </c>
    </row>
    <row r="508" spans="1:5" x14ac:dyDescent="0.45">
      <c r="A508" s="42" t="s">
        <v>10556</v>
      </c>
      <c r="B508" t="s">
        <v>10557</v>
      </c>
      <c r="C508" t="s">
        <v>9598</v>
      </c>
      <c r="D508" t="s">
        <v>9598</v>
      </c>
      <c r="E508" t="s">
        <v>9598</v>
      </c>
    </row>
    <row r="509" spans="1:5" x14ac:dyDescent="0.45">
      <c r="A509" s="42" t="s">
        <v>10558</v>
      </c>
      <c r="B509" t="s">
        <v>10559</v>
      </c>
      <c r="C509" t="s">
        <v>9598</v>
      </c>
      <c r="D509" t="s">
        <v>9598</v>
      </c>
      <c r="E509" t="s">
        <v>9598</v>
      </c>
    </row>
    <row r="510" spans="1:5" x14ac:dyDescent="0.45">
      <c r="A510" s="42" t="s">
        <v>10560</v>
      </c>
      <c r="B510" t="s">
        <v>10561</v>
      </c>
      <c r="C510" t="s">
        <v>9598</v>
      </c>
      <c r="D510" t="s">
        <v>9598</v>
      </c>
      <c r="E510" t="s">
        <v>9598</v>
      </c>
    </row>
    <row r="511" spans="1:5" x14ac:dyDescent="0.45">
      <c r="A511" s="42" t="s">
        <v>10562</v>
      </c>
      <c r="B511" t="s">
        <v>10563</v>
      </c>
      <c r="C511" t="s">
        <v>9598</v>
      </c>
      <c r="D511" t="s">
        <v>9598</v>
      </c>
      <c r="E511" t="s">
        <v>9598</v>
      </c>
    </row>
    <row r="512" spans="1:5" x14ac:dyDescent="0.45">
      <c r="A512" s="42" t="s">
        <v>10564</v>
      </c>
      <c r="B512" t="s">
        <v>10565</v>
      </c>
      <c r="C512" t="s">
        <v>9598</v>
      </c>
      <c r="D512" t="s">
        <v>9598</v>
      </c>
      <c r="E512" t="s">
        <v>9598</v>
      </c>
    </row>
    <row r="513" spans="1:5" x14ac:dyDescent="0.45">
      <c r="A513" s="42" t="s">
        <v>82</v>
      </c>
      <c r="B513" t="s">
        <v>83</v>
      </c>
      <c r="C513" t="s">
        <v>9598</v>
      </c>
      <c r="D513" t="s">
        <v>9598</v>
      </c>
      <c r="E513" t="s">
        <v>9598</v>
      </c>
    </row>
    <row r="514" spans="1:5" x14ac:dyDescent="0.45">
      <c r="A514" s="42" t="s">
        <v>88</v>
      </c>
      <c r="B514" t="s">
        <v>89</v>
      </c>
      <c r="C514" t="s">
        <v>9598</v>
      </c>
      <c r="D514" t="s">
        <v>9598</v>
      </c>
      <c r="E514" t="s">
        <v>9598</v>
      </c>
    </row>
    <row r="515" spans="1:5" x14ac:dyDescent="0.45">
      <c r="A515" s="42" t="s">
        <v>61</v>
      </c>
      <c r="B515" t="s">
        <v>10566</v>
      </c>
      <c r="C515" t="s">
        <v>9598</v>
      </c>
      <c r="D515" t="s">
        <v>9598</v>
      </c>
      <c r="E515" t="s">
        <v>9598</v>
      </c>
    </row>
    <row r="516" spans="1:5" x14ac:dyDescent="0.45">
      <c r="A516" s="42" t="s">
        <v>58</v>
      </c>
      <c r="B516" t="s">
        <v>10567</v>
      </c>
      <c r="C516" t="s">
        <v>9598</v>
      </c>
      <c r="D516" t="s">
        <v>9598</v>
      </c>
      <c r="E516" t="s">
        <v>9598</v>
      </c>
    </row>
    <row r="517" spans="1:5" x14ac:dyDescent="0.45">
      <c r="A517" s="42" t="s">
        <v>31</v>
      </c>
      <c r="B517" t="s">
        <v>10568</v>
      </c>
      <c r="C517" t="s">
        <v>9598</v>
      </c>
      <c r="D517" t="s">
        <v>9598</v>
      </c>
      <c r="E517" t="s">
        <v>9598</v>
      </c>
    </row>
    <row r="518" spans="1:5" x14ac:dyDescent="0.45">
      <c r="A518" s="42" t="s">
        <v>40</v>
      </c>
      <c r="B518" t="s">
        <v>10569</v>
      </c>
      <c r="C518" t="s">
        <v>9598</v>
      </c>
      <c r="D518" t="s">
        <v>9598</v>
      </c>
      <c r="E518" t="s">
        <v>9598</v>
      </c>
    </row>
    <row r="519" spans="1:5" x14ac:dyDescent="0.45">
      <c r="A519" s="42" t="s">
        <v>118</v>
      </c>
      <c r="B519" t="s">
        <v>119</v>
      </c>
      <c r="C519" t="s">
        <v>9598</v>
      </c>
      <c r="D519" t="s">
        <v>9598</v>
      </c>
      <c r="E519" t="s">
        <v>9598</v>
      </c>
    </row>
    <row r="520" spans="1:5" x14ac:dyDescent="0.45">
      <c r="A520" s="42" t="s">
        <v>266</v>
      </c>
      <c r="B520" t="s">
        <v>267</v>
      </c>
      <c r="C520" t="s">
        <v>9598</v>
      </c>
      <c r="D520" t="s">
        <v>9598</v>
      </c>
      <c r="E520" t="s">
        <v>9598</v>
      </c>
    </row>
    <row r="521" spans="1:5" x14ac:dyDescent="0.45">
      <c r="A521" s="42" t="s">
        <v>10570</v>
      </c>
      <c r="B521" t="s">
        <v>10571</v>
      </c>
      <c r="C521" t="s">
        <v>9598</v>
      </c>
      <c r="D521" t="s">
        <v>9598</v>
      </c>
      <c r="E521" t="s">
        <v>9598</v>
      </c>
    </row>
    <row r="522" spans="1:5" x14ac:dyDescent="0.45">
      <c r="A522" s="42" t="s">
        <v>10572</v>
      </c>
      <c r="B522" t="s">
        <v>10573</v>
      </c>
      <c r="C522" t="s">
        <v>9598</v>
      </c>
      <c r="D522" t="s">
        <v>9598</v>
      </c>
      <c r="E522" t="s">
        <v>9598</v>
      </c>
    </row>
    <row r="523" spans="1:5" x14ac:dyDescent="0.45">
      <c r="A523" s="42" t="s">
        <v>10574</v>
      </c>
      <c r="B523" t="s">
        <v>10575</v>
      </c>
      <c r="C523" t="s">
        <v>9598</v>
      </c>
      <c r="D523" t="s">
        <v>9598</v>
      </c>
      <c r="E523" t="s">
        <v>9598</v>
      </c>
    </row>
    <row r="524" spans="1:5" x14ac:dyDescent="0.45">
      <c r="A524" s="42" t="s">
        <v>10576</v>
      </c>
      <c r="B524" t="s">
        <v>10577</v>
      </c>
      <c r="C524" t="s">
        <v>9598</v>
      </c>
      <c r="D524" t="s">
        <v>9598</v>
      </c>
      <c r="E524" t="s">
        <v>9598</v>
      </c>
    </row>
    <row r="525" spans="1:5" x14ac:dyDescent="0.45">
      <c r="A525" s="42" t="s">
        <v>260</v>
      </c>
      <c r="B525" t="s">
        <v>261</v>
      </c>
      <c r="C525" t="s">
        <v>9598</v>
      </c>
      <c r="D525" t="s">
        <v>9598</v>
      </c>
      <c r="E525" t="s">
        <v>9598</v>
      </c>
    </row>
    <row r="526" spans="1:5" x14ac:dyDescent="0.45">
      <c r="A526" s="42" t="s">
        <v>10578</v>
      </c>
      <c r="B526" t="s">
        <v>10579</v>
      </c>
      <c r="C526" t="s">
        <v>9598</v>
      </c>
      <c r="D526" t="s">
        <v>9598</v>
      </c>
      <c r="E526" t="s">
        <v>9598</v>
      </c>
    </row>
    <row r="527" spans="1:5" x14ac:dyDescent="0.45">
      <c r="A527" s="42" t="s">
        <v>10580</v>
      </c>
      <c r="B527" t="s">
        <v>10581</v>
      </c>
      <c r="C527" t="s">
        <v>9598</v>
      </c>
      <c r="D527" t="s">
        <v>9598</v>
      </c>
      <c r="E527" t="s">
        <v>9598</v>
      </c>
    </row>
    <row r="528" spans="1:5" x14ac:dyDescent="0.45">
      <c r="A528" s="42" t="s">
        <v>37</v>
      </c>
      <c r="B528" t="s">
        <v>10582</v>
      </c>
      <c r="C528" t="s">
        <v>9598</v>
      </c>
      <c r="D528" t="s">
        <v>9598</v>
      </c>
      <c r="E528" t="s">
        <v>9598</v>
      </c>
    </row>
    <row r="529" spans="1:5" x14ac:dyDescent="0.45">
      <c r="A529" s="42" t="s">
        <v>73</v>
      </c>
      <c r="B529" t="s">
        <v>10583</v>
      </c>
      <c r="C529" t="s">
        <v>9598</v>
      </c>
      <c r="D529" t="s">
        <v>9598</v>
      </c>
      <c r="E529" t="s">
        <v>9598</v>
      </c>
    </row>
    <row r="530" spans="1:5" x14ac:dyDescent="0.45">
      <c r="A530" s="42" t="s">
        <v>206</v>
      </c>
      <c r="B530" t="s">
        <v>10584</v>
      </c>
      <c r="C530" t="s">
        <v>9598</v>
      </c>
      <c r="D530" t="s">
        <v>9598</v>
      </c>
      <c r="E530" t="s">
        <v>9598</v>
      </c>
    </row>
    <row r="531" spans="1:5" x14ac:dyDescent="0.45">
      <c r="A531" s="42" t="s">
        <v>227</v>
      </c>
      <c r="B531" t="s">
        <v>10585</v>
      </c>
      <c r="C531" t="s">
        <v>9598</v>
      </c>
      <c r="D531" t="s">
        <v>9598</v>
      </c>
      <c r="E531" t="s">
        <v>9598</v>
      </c>
    </row>
    <row r="532" spans="1:5" x14ac:dyDescent="0.45">
      <c r="A532" s="42" t="s">
        <v>194</v>
      </c>
      <c r="B532" t="s">
        <v>10586</v>
      </c>
      <c r="C532" t="s">
        <v>9598</v>
      </c>
      <c r="D532" t="s">
        <v>9598</v>
      </c>
      <c r="E532" t="s">
        <v>9598</v>
      </c>
    </row>
    <row r="533" spans="1:5" x14ac:dyDescent="0.45">
      <c r="A533" s="42" t="s">
        <v>215</v>
      </c>
      <c r="B533" t="s">
        <v>10587</v>
      </c>
      <c r="C533" t="s">
        <v>9598</v>
      </c>
      <c r="D533" t="s">
        <v>9598</v>
      </c>
      <c r="E533" t="s">
        <v>9598</v>
      </c>
    </row>
    <row r="534" spans="1:5" x14ac:dyDescent="0.45">
      <c r="A534" s="42" t="s">
        <v>10588</v>
      </c>
      <c r="B534" t="s">
        <v>10589</v>
      </c>
      <c r="C534" t="s">
        <v>9598</v>
      </c>
      <c r="D534" t="s">
        <v>9598</v>
      </c>
      <c r="E534" t="s">
        <v>9598</v>
      </c>
    </row>
    <row r="535" spans="1:5" x14ac:dyDescent="0.45">
      <c r="A535" s="42" t="s">
        <v>10590</v>
      </c>
      <c r="B535" t="s">
        <v>10591</v>
      </c>
      <c r="C535" t="s">
        <v>9598</v>
      </c>
      <c r="D535" t="s">
        <v>9598</v>
      </c>
      <c r="E535" t="s">
        <v>9598</v>
      </c>
    </row>
    <row r="536" spans="1:5" x14ac:dyDescent="0.45">
      <c r="A536" s="42" t="s">
        <v>10592</v>
      </c>
      <c r="B536" t="s">
        <v>10593</v>
      </c>
      <c r="C536" t="s">
        <v>9598</v>
      </c>
      <c r="D536" t="s">
        <v>9598</v>
      </c>
      <c r="E536" t="s">
        <v>9598</v>
      </c>
    </row>
    <row r="537" spans="1:5" x14ac:dyDescent="0.45">
      <c r="A537" s="42" t="s">
        <v>10594</v>
      </c>
      <c r="B537" t="s">
        <v>10595</v>
      </c>
      <c r="C537" t="s">
        <v>9598</v>
      </c>
      <c r="D537" t="s">
        <v>9598</v>
      </c>
      <c r="E537" t="s">
        <v>9598</v>
      </c>
    </row>
    <row r="538" spans="1:5" x14ac:dyDescent="0.45">
      <c r="A538" s="42" t="s">
        <v>10596</v>
      </c>
      <c r="B538" t="s">
        <v>10597</v>
      </c>
      <c r="C538" t="s">
        <v>9598</v>
      </c>
      <c r="D538" t="s">
        <v>9598</v>
      </c>
      <c r="E538" t="s">
        <v>9598</v>
      </c>
    </row>
    <row r="539" spans="1:5" x14ac:dyDescent="0.45">
      <c r="A539" s="42" t="s">
        <v>10598</v>
      </c>
      <c r="B539" t="s">
        <v>10599</v>
      </c>
      <c r="C539" t="s">
        <v>9598</v>
      </c>
      <c r="D539" t="s">
        <v>9598</v>
      </c>
      <c r="E539" t="s">
        <v>9598</v>
      </c>
    </row>
    <row r="540" spans="1:5" x14ac:dyDescent="0.45">
      <c r="A540" s="42" t="s">
        <v>10600</v>
      </c>
      <c r="B540" t="s">
        <v>10601</v>
      </c>
      <c r="C540" t="s">
        <v>9598</v>
      </c>
      <c r="D540" t="s">
        <v>9598</v>
      </c>
      <c r="E540" t="s">
        <v>9598</v>
      </c>
    </row>
    <row r="541" spans="1:5" x14ac:dyDescent="0.45">
      <c r="A541" s="42" t="s">
        <v>10602</v>
      </c>
      <c r="B541" t="s">
        <v>10603</v>
      </c>
      <c r="C541" t="s">
        <v>9598</v>
      </c>
      <c r="D541" t="s">
        <v>9598</v>
      </c>
      <c r="E541" t="s">
        <v>9598</v>
      </c>
    </row>
    <row r="542" spans="1:5" x14ac:dyDescent="0.45">
      <c r="A542" s="42" t="s">
        <v>10604</v>
      </c>
      <c r="B542" t="s">
        <v>10605</v>
      </c>
      <c r="C542" t="s">
        <v>9598</v>
      </c>
      <c r="D542" t="s">
        <v>9598</v>
      </c>
      <c r="E542" t="s">
        <v>9598</v>
      </c>
    </row>
    <row r="543" spans="1:5" x14ac:dyDescent="0.45">
      <c r="A543" s="42" t="s">
        <v>10606</v>
      </c>
      <c r="B543" t="s">
        <v>10607</v>
      </c>
      <c r="C543" t="s">
        <v>9598</v>
      </c>
      <c r="D543" t="s">
        <v>9598</v>
      </c>
      <c r="E543" t="s">
        <v>9598</v>
      </c>
    </row>
    <row r="544" spans="1:5" x14ac:dyDescent="0.45">
      <c r="A544" s="42" t="s">
        <v>10608</v>
      </c>
      <c r="B544" t="s">
        <v>10609</v>
      </c>
      <c r="C544" t="s">
        <v>9598</v>
      </c>
      <c r="D544" t="s">
        <v>9598</v>
      </c>
      <c r="E544" t="s">
        <v>9598</v>
      </c>
    </row>
    <row r="545" spans="1:5" x14ac:dyDescent="0.45">
      <c r="A545" s="42" t="s">
        <v>10610</v>
      </c>
      <c r="B545" t="s">
        <v>10611</v>
      </c>
      <c r="C545" t="s">
        <v>9598</v>
      </c>
      <c r="D545" t="s">
        <v>9598</v>
      </c>
      <c r="E545" t="s">
        <v>9598</v>
      </c>
    </row>
    <row r="546" spans="1:5" x14ac:dyDescent="0.45">
      <c r="A546" s="42" t="s">
        <v>10612</v>
      </c>
      <c r="B546" t="s">
        <v>10613</v>
      </c>
      <c r="C546" t="s">
        <v>9598</v>
      </c>
      <c r="D546" t="s">
        <v>9598</v>
      </c>
      <c r="E546" t="s">
        <v>9598</v>
      </c>
    </row>
    <row r="547" spans="1:5" x14ac:dyDescent="0.45">
      <c r="A547" s="42" t="s">
        <v>10614</v>
      </c>
      <c r="B547" t="s">
        <v>10615</v>
      </c>
      <c r="C547" t="s">
        <v>9598</v>
      </c>
      <c r="D547" t="s">
        <v>9598</v>
      </c>
      <c r="E547" t="s">
        <v>9598</v>
      </c>
    </row>
    <row r="548" spans="1:5" x14ac:dyDescent="0.45">
      <c r="A548" s="42" t="s">
        <v>10616</v>
      </c>
      <c r="B548" t="s">
        <v>10617</v>
      </c>
      <c r="C548" t="s">
        <v>9598</v>
      </c>
      <c r="D548" t="s">
        <v>9598</v>
      </c>
      <c r="E548" t="s">
        <v>9598</v>
      </c>
    </row>
    <row r="549" spans="1:5" x14ac:dyDescent="0.45">
      <c r="A549" s="42" t="s">
        <v>10618</v>
      </c>
      <c r="B549" t="s">
        <v>10619</v>
      </c>
      <c r="C549" t="s">
        <v>9598</v>
      </c>
      <c r="D549" t="s">
        <v>9598</v>
      </c>
      <c r="E549" t="s">
        <v>9598</v>
      </c>
    </row>
    <row r="550" spans="1:5" x14ac:dyDescent="0.45">
      <c r="A550" s="42" t="s">
        <v>10620</v>
      </c>
      <c r="B550" t="s">
        <v>10621</v>
      </c>
      <c r="C550" t="s">
        <v>9598</v>
      </c>
      <c r="D550" t="s">
        <v>9598</v>
      </c>
      <c r="E550" t="s">
        <v>9598</v>
      </c>
    </row>
    <row r="551" spans="1:5" x14ac:dyDescent="0.45">
      <c r="A551" s="42" t="s">
        <v>10622</v>
      </c>
      <c r="B551" t="s">
        <v>10623</v>
      </c>
      <c r="C551" t="s">
        <v>9598</v>
      </c>
      <c r="D551" t="s">
        <v>9598</v>
      </c>
      <c r="E551" t="s">
        <v>9625</v>
      </c>
    </row>
    <row r="552" spans="1:5" x14ac:dyDescent="0.45">
      <c r="A552" s="42" t="s">
        <v>10624</v>
      </c>
      <c r="B552" t="s">
        <v>10625</v>
      </c>
      <c r="C552" t="s">
        <v>9598</v>
      </c>
      <c r="D552" t="s">
        <v>9598</v>
      </c>
      <c r="E552" t="s">
        <v>9598</v>
      </c>
    </row>
    <row r="553" spans="1:5" x14ac:dyDescent="0.45">
      <c r="A553" s="42" t="s">
        <v>115</v>
      </c>
      <c r="B553" t="s">
        <v>10626</v>
      </c>
      <c r="C553" t="s">
        <v>9598</v>
      </c>
      <c r="D553" t="s">
        <v>9598</v>
      </c>
      <c r="E553" t="s">
        <v>9598</v>
      </c>
    </row>
    <row r="554" spans="1:5" x14ac:dyDescent="0.45">
      <c r="A554" s="42" t="s">
        <v>85</v>
      </c>
      <c r="B554" t="s">
        <v>10627</v>
      </c>
      <c r="C554" t="s">
        <v>9598</v>
      </c>
      <c r="D554" t="s">
        <v>9598</v>
      </c>
      <c r="E554" t="s">
        <v>9598</v>
      </c>
    </row>
    <row r="555" spans="1:5" x14ac:dyDescent="0.45">
      <c r="A555" s="42" t="s">
        <v>106</v>
      </c>
      <c r="B555" t="s">
        <v>10628</v>
      </c>
      <c r="C555" t="s">
        <v>9598</v>
      </c>
      <c r="D555" t="s">
        <v>9598</v>
      </c>
      <c r="E555" t="s">
        <v>9598</v>
      </c>
    </row>
    <row r="556" spans="1:5" x14ac:dyDescent="0.45">
      <c r="A556" s="42" t="s">
        <v>224</v>
      </c>
      <c r="B556" t="s">
        <v>10629</v>
      </c>
      <c r="C556" t="s">
        <v>9598</v>
      </c>
      <c r="D556" t="s">
        <v>9598</v>
      </c>
      <c r="E556" t="s">
        <v>9598</v>
      </c>
    </row>
    <row r="557" spans="1:5" x14ac:dyDescent="0.45">
      <c r="A557" s="42" t="s">
        <v>10630</v>
      </c>
      <c r="B557" t="s">
        <v>10631</v>
      </c>
      <c r="C557" t="s">
        <v>9598</v>
      </c>
      <c r="D557" t="s">
        <v>9598</v>
      </c>
      <c r="E557" t="s">
        <v>9598</v>
      </c>
    </row>
    <row r="558" spans="1:5" x14ac:dyDescent="0.45">
      <c r="A558" s="42" t="s">
        <v>124</v>
      </c>
      <c r="B558" t="s">
        <v>125</v>
      </c>
      <c r="C558" t="s">
        <v>9598</v>
      </c>
      <c r="D558" t="s">
        <v>9598</v>
      </c>
      <c r="E558" t="s">
        <v>9598</v>
      </c>
    </row>
    <row r="559" spans="1:5" x14ac:dyDescent="0.45">
      <c r="A559" s="42" t="s">
        <v>10632</v>
      </c>
      <c r="B559" t="s">
        <v>10633</v>
      </c>
      <c r="C559" t="s">
        <v>9598</v>
      </c>
      <c r="D559" t="s">
        <v>9598</v>
      </c>
      <c r="E559" t="s">
        <v>9598</v>
      </c>
    </row>
    <row r="560" spans="1:5" x14ac:dyDescent="0.45">
      <c r="A560" s="42" t="s">
        <v>10634</v>
      </c>
      <c r="B560" t="s">
        <v>10635</v>
      </c>
      <c r="C560" t="s">
        <v>9598</v>
      </c>
      <c r="D560" t="s">
        <v>9598</v>
      </c>
      <c r="E560" t="s">
        <v>9598</v>
      </c>
    </row>
    <row r="561" spans="1:5" x14ac:dyDescent="0.45">
      <c r="A561" s="42" t="s">
        <v>10636</v>
      </c>
      <c r="B561" t="s">
        <v>10637</v>
      </c>
      <c r="C561" t="s">
        <v>9598</v>
      </c>
      <c r="D561" t="s">
        <v>9598</v>
      </c>
      <c r="E561" t="s">
        <v>9598</v>
      </c>
    </row>
    <row r="562" spans="1:5" x14ac:dyDescent="0.45">
      <c r="A562" s="42" t="s">
        <v>10638</v>
      </c>
      <c r="B562" t="s">
        <v>10639</v>
      </c>
      <c r="C562" t="s">
        <v>9598</v>
      </c>
      <c r="D562" t="s">
        <v>9598</v>
      </c>
      <c r="E562" t="s">
        <v>9598</v>
      </c>
    </row>
    <row r="563" spans="1:5" x14ac:dyDescent="0.45">
      <c r="A563" s="42" t="s">
        <v>10640</v>
      </c>
      <c r="B563" t="s">
        <v>10641</v>
      </c>
      <c r="C563" t="s">
        <v>9598</v>
      </c>
      <c r="D563" t="s">
        <v>9598</v>
      </c>
      <c r="E563" t="s">
        <v>9598</v>
      </c>
    </row>
    <row r="564" spans="1:5" x14ac:dyDescent="0.45">
      <c r="A564" s="42" t="s">
        <v>10642</v>
      </c>
      <c r="B564" t="s">
        <v>10643</v>
      </c>
      <c r="C564" t="s">
        <v>9598</v>
      </c>
      <c r="D564" t="s">
        <v>9598</v>
      </c>
      <c r="E564" t="s">
        <v>9598</v>
      </c>
    </row>
    <row r="565" spans="1:5" x14ac:dyDescent="0.45">
      <c r="A565" s="42" t="s">
        <v>191</v>
      </c>
      <c r="B565" t="s">
        <v>192</v>
      </c>
      <c r="C565" t="s">
        <v>9598</v>
      </c>
      <c r="D565" t="s">
        <v>9598</v>
      </c>
      <c r="E565" t="s">
        <v>9598</v>
      </c>
    </row>
    <row r="566" spans="1:5" x14ac:dyDescent="0.45">
      <c r="A566" s="42" t="s">
        <v>52</v>
      </c>
      <c r="B566" t="s">
        <v>53</v>
      </c>
      <c r="C566" t="s">
        <v>9598</v>
      </c>
      <c r="D566" t="s">
        <v>9598</v>
      </c>
      <c r="E566" t="s">
        <v>9598</v>
      </c>
    </row>
    <row r="567" spans="1:5" x14ac:dyDescent="0.45">
      <c r="A567" s="42" t="s">
        <v>25</v>
      </c>
      <c r="B567" t="s">
        <v>10644</v>
      </c>
      <c r="C567" t="s">
        <v>9598</v>
      </c>
      <c r="D567" t="s">
        <v>9598</v>
      </c>
      <c r="E567" t="s">
        <v>9598</v>
      </c>
    </row>
    <row r="568" spans="1:5" x14ac:dyDescent="0.45">
      <c r="A568" s="42" t="s">
        <v>94</v>
      </c>
      <c r="B568" t="s">
        <v>95</v>
      </c>
      <c r="C568" t="s">
        <v>9598</v>
      </c>
      <c r="D568" t="s">
        <v>9598</v>
      </c>
      <c r="E568" t="s">
        <v>9598</v>
      </c>
    </row>
    <row r="569" spans="1:5" x14ac:dyDescent="0.45">
      <c r="A569" s="42" t="s">
        <v>109</v>
      </c>
      <c r="B569" t="s">
        <v>110</v>
      </c>
      <c r="C569" t="s">
        <v>9598</v>
      </c>
      <c r="D569" t="s">
        <v>9598</v>
      </c>
      <c r="E569" t="s">
        <v>9598</v>
      </c>
    </row>
    <row r="570" spans="1:5" x14ac:dyDescent="0.45">
      <c r="A570" s="42" t="s">
        <v>311</v>
      </c>
      <c r="B570" t="s">
        <v>312</v>
      </c>
      <c r="C570" t="s">
        <v>9598</v>
      </c>
      <c r="D570" t="s">
        <v>9598</v>
      </c>
      <c r="E570" t="s">
        <v>9598</v>
      </c>
    </row>
    <row r="571" spans="1:5" x14ac:dyDescent="0.45">
      <c r="A571" s="42" t="s">
        <v>10645</v>
      </c>
      <c r="B571" t="s">
        <v>10646</v>
      </c>
      <c r="C571" t="s">
        <v>9598</v>
      </c>
      <c r="D571" t="s">
        <v>9598</v>
      </c>
      <c r="E571" t="s">
        <v>9598</v>
      </c>
    </row>
    <row r="572" spans="1:5" x14ac:dyDescent="0.45">
      <c r="A572" s="42" t="s">
        <v>10647</v>
      </c>
      <c r="B572" t="s">
        <v>10648</v>
      </c>
      <c r="C572" t="s">
        <v>9598</v>
      </c>
      <c r="D572" t="s">
        <v>9598</v>
      </c>
      <c r="E572" t="s">
        <v>9598</v>
      </c>
    </row>
    <row r="573" spans="1:5" x14ac:dyDescent="0.45">
      <c r="A573" s="42" t="s">
        <v>218</v>
      </c>
      <c r="B573" t="s">
        <v>10649</v>
      </c>
      <c r="C573" t="s">
        <v>9598</v>
      </c>
      <c r="D573" t="s">
        <v>9598</v>
      </c>
      <c r="E573" t="s">
        <v>9598</v>
      </c>
    </row>
    <row r="574" spans="1:5" x14ac:dyDescent="0.45">
      <c r="A574" s="42" t="s">
        <v>239</v>
      </c>
      <c r="B574" t="s">
        <v>10650</v>
      </c>
      <c r="C574" t="s">
        <v>9598</v>
      </c>
      <c r="D574" t="s">
        <v>9598</v>
      </c>
      <c r="E574" t="s">
        <v>9598</v>
      </c>
    </row>
    <row r="575" spans="1:5" x14ac:dyDescent="0.45">
      <c r="A575" s="42" t="s">
        <v>3</v>
      </c>
      <c r="B575" t="s">
        <v>10651</v>
      </c>
      <c r="C575" t="s">
        <v>9598</v>
      </c>
      <c r="D575" t="s">
        <v>9598</v>
      </c>
      <c r="E575" t="s">
        <v>9598</v>
      </c>
    </row>
    <row r="576" spans="1:5" x14ac:dyDescent="0.45">
      <c r="A576" s="42" t="s">
        <v>10652</v>
      </c>
      <c r="B576" t="s">
        <v>10653</v>
      </c>
      <c r="C576" t="s">
        <v>9598</v>
      </c>
      <c r="D576" t="s">
        <v>9598</v>
      </c>
      <c r="E576" t="s">
        <v>9598</v>
      </c>
    </row>
    <row r="577" spans="1:5" x14ac:dyDescent="0.45">
      <c r="A577" s="42" t="s">
        <v>10654</v>
      </c>
      <c r="B577" t="s">
        <v>10655</v>
      </c>
      <c r="C577" t="s">
        <v>9598</v>
      </c>
      <c r="D577" t="s">
        <v>9598</v>
      </c>
      <c r="E577" t="s">
        <v>9625</v>
      </c>
    </row>
    <row r="578" spans="1:5" x14ac:dyDescent="0.45">
      <c r="A578" s="42" t="s">
        <v>10656</v>
      </c>
      <c r="B578" t="s">
        <v>10657</v>
      </c>
      <c r="C578" t="s">
        <v>9598</v>
      </c>
      <c r="D578" t="s">
        <v>9598</v>
      </c>
      <c r="E578" t="s">
        <v>9598</v>
      </c>
    </row>
    <row r="579" spans="1:5" x14ac:dyDescent="0.45">
      <c r="A579" s="42" t="s">
        <v>10658</v>
      </c>
      <c r="B579" t="s">
        <v>10659</v>
      </c>
      <c r="C579" t="s">
        <v>9598</v>
      </c>
      <c r="D579" t="s">
        <v>9598</v>
      </c>
      <c r="E579" t="s">
        <v>9598</v>
      </c>
    </row>
    <row r="580" spans="1:5" x14ac:dyDescent="0.45">
      <c r="A580" s="42" t="s">
        <v>10660</v>
      </c>
      <c r="B580" t="s">
        <v>10661</v>
      </c>
      <c r="C580" t="s">
        <v>9598</v>
      </c>
      <c r="D580" t="s">
        <v>9598</v>
      </c>
      <c r="E580" t="s">
        <v>9598</v>
      </c>
    </row>
    <row r="581" spans="1:5" x14ac:dyDescent="0.45">
      <c r="A581" s="42" t="s">
        <v>10662</v>
      </c>
      <c r="B581" t="s">
        <v>10663</v>
      </c>
      <c r="C581" t="s">
        <v>9598</v>
      </c>
      <c r="D581" t="s">
        <v>9598</v>
      </c>
      <c r="E581" t="s">
        <v>9598</v>
      </c>
    </row>
    <row r="582" spans="1:5" x14ac:dyDescent="0.45">
      <c r="A582" s="42" t="s">
        <v>10664</v>
      </c>
      <c r="B582" t="s">
        <v>10665</v>
      </c>
      <c r="C582" t="s">
        <v>9598</v>
      </c>
      <c r="D582" t="s">
        <v>9598</v>
      </c>
      <c r="E582" t="s">
        <v>9598</v>
      </c>
    </row>
    <row r="583" spans="1:5" x14ac:dyDescent="0.45">
      <c r="A583" s="42" t="s">
        <v>10666</v>
      </c>
      <c r="B583" t="s">
        <v>10667</v>
      </c>
      <c r="C583" t="s">
        <v>9598</v>
      </c>
      <c r="D583" t="s">
        <v>9598</v>
      </c>
      <c r="E583" t="s">
        <v>9598</v>
      </c>
    </row>
    <row r="584" spans="1:5" x14ac:dyDescent="0.45">
      <c r="A584" s="42" t="s">
        <v>10668</v>
      </c>
      <c r="B584" t="s">
        <v>10669</v>
      </c>
      <c r="C584" t="s">
        <v>9598</v>
      </c>
      <c r="D584" t="s">
        <v>9598</v>
      </c>
      <c r="E584" t="s">
        <v>9598</v>
      </c>
    </row>
    <row r="585" spans="1:5" x14ac:dyDescent="0.45">
      <c r="A585" s="42" t="s">
        <v>79</v>
      </c>
      <c r="B585" t="s">
        <v>10670</v>
      </c>
      <c r="C585" t="s">
        <v>9598</v>
      </c>
      <c r="D585" t="s">
        <v>9598</v>
      </c>
      <c r="E585" t="s">
        <v>9598</v>
      </c>
    </row>
    <row r="586" spans="1:5" x14ac:dyDescent="0.45">
      <c r="A586" s="42" t="s">
        <v>103</v>
      </c>
      <c r="B586" t="s">
        <v>10671</v>
      </c>
      <c r="C586" t="s">
        <v>9598</v>
      </c>
      <c r="D586" t="s">
        <v>9598</v>
      </c>
      <c r="E586" t="s">
        <v>9598</v>
      </c>
    </row>
    <row r="587" spans="1:5" x14ac:dyDescent="0.45">
      <c r="A587" s="42" t="s">
        <v>317</v>
      </c>
      <c r="B587" t="s">
        <v>10672</v>
      </c>
      <c r="C587" t="s">
        <v>9598</v>
      </c>
      <c r="D587" t="s">
        <v>9598</v>
      </c>
      <c r="E587" t="s">
        <v>9598</v>
      </c>
    </row>
    <row r="588" spans="1:5" x14ac:dyDescent="0.45">
      <c r="A588" s="42" t="s">
        <v>10673</v>
      </c>
      <c r="B588" t="s">
        <v>10674</v>
      </c>
      <c r="C588" t="s">
        <v>9598</v>
      </c>
      <c r="D588" t="s">
        <v>9598</v>
      </c>
      <c r="E588" t="s">
        <v>9598</v>
      </c>
    </row>
    <row r="589" spans="1:5" x14ac:dyDescent="0.45">
      <c r="A589" s="42" t="s">
        <v>10675</v>
      </c>
      <c r="B589" t="s">
        <v>10676</v>
      </c>
      <c r="C589" t="s">
        <v>9598</v>
      </c>
      <c r="D589" t="s">
        <v>9598</v>
      </c>
      <c r="E589" t="s">
        <v>9598</v>
      </c>
    </row>
    <row r="590" spans="1:5" x14ac:dyDescent="0.45">
      <c r="A590" s="42" t="s">
        <v>10677</v>
      </c>
      <c r="B590" t="s">
        <v>10678</v>
      </c>
      <c r="C590" t="s">
        <v>9598</v>
      </c>
      <c r="D590" t="s">
        <v>9598</v>
      </c>
      <c r="E590" t="s">
        <v>9598</v>
      </c>
    </row>
    <row r="591" spans="1:5" x14ac:dyDescent="0.45">
      <c r="A591" s="42" t="s">
        <v>10679</v>
      </c>
      <c r="B591" t="s">
        <v>10680</v>
      </c>
      <c r="C591" t="s">
        <v>9598</v>
      </c>
      <c r="D591" t="s">
        <v>9598</v>
      </c>
      <c r="E591" t="s">
        <v>9598</v>
      </c>
    </row>
    <row r="592" spans="1:5" x14ac:dyDescent="0.45">
      <c r="A592" s="42" t="s">
        <v>10681</v>
      </c>
      <c r="B592" t="s">
        <v>10682</v>
      </c>
      <c r="C592" t="s">
        <v>9598</v>
      </c>
      <c r="D592" t="s">
        <v>9598</v>
      </c>
      <c r="E592" t="s">
        <v>9598</v>
      </c>
    </row>
    <row r="593" spans="1:5" x14ac:dyDescent="0.45">
      <c r="A593" s="42" t="s">
        <v>10683</v>
      </c>
      <c r="B593" t="s">
        <v>10684</v>
      </c>
      <c r="C593" t="s">
        <v>9598</v>
      </c>
      <c r="D593" t="s">
        <v>9598</v>
      </c>
      <c r="E593" t="s">
        <v>9598</v>
      </c>
    </row>
    <row r="594" spans="1:5" x14ac:dyDescent="0.45">
      <c r="A594" s="42" t="s">
        <v>10685</v>
      </c>
      <c r="B594" t="s">
        <v>10686</v>
      </c>
      <c r="C594" t="s">
        <v>9598</v>
      </c>
      <c r="D594" t="s">
        <v>9598</v>
      </c>
      <c r="E594" t="s">
        <v>9598</v>
      </c>
    </row>
    <row r="595" spans="1:5" x14ac:dyDescent="0.45">
      <c r="A595" s="42" t="s">
        <v>10687</v>
      </c>
      <c r="B595" t="s">
        <v>10688</v>
      </c>
      <c r="C595" t="s">
        <v>9598</v>
      </c>
      <c r="D595" t="s">
        <v>9598</v>
      </c>
      <c r="E595" t="s">
        <v>9598</v>
      </c>
    </row>
    <row r="596" spans="1:5" x14ac:dyDescent="0.45">
      <c r="A596" s="42" t="s">
        <v>10689</v>
      </c>
      <c r="B596" t="s">
        <v>10690</v>
      </c>
      <c r="C596" t="s">
        <v>9598</v>
      </c>
      <c r="D596" t="s">
        <v>9598</v>
      </c>
      <c r="E596" t="s">
        <v>9598</v>
      </c>
    </row>
    <row r="597" spans="1:5" x14ac:dyDescent="0.45">
      <c r="A597" s="42" t="s">
        <v>10691</v>
      </c>
      <c r="B597" t="s">
        <v>10692</v>
      </c>
      <c r="C597" t="s">
        <v>9598</v>
      </c>
      <c r="D597" t="s">
        <v>9598</v>
      </c>
      <c r="E597" t="s">
        <v>9598</v>
      </c>
    </row>
    <row r="598" spans="1:5" x14ac:dyDescent="0.45">
      <c r="A598" s="42" t="s">
        <v>10693</v>
      </c>
      <c r="B598" t="s">
        <v>10694</v>
      </c>
      <c r="C598" t="s">
        <v>9598</v>
      </c>
      <c r="D598" t="s">
        <v>9598</v>
      </c>
      <c r="E598" t="s">
        <v>9598</v>
      </c>
    </row>
    <row r="599" spans="1:5" x14ac:dyDescent="0.45">
      <c r="A599" s="42" t="s">
        <v>10695</v>
      </c>
      <c r="B599" t="s">
        <v>10696</v>
      </c>
      <c r="C599" t="s">
        <v>9598</v>
      </c>
      <c r="D599" t="s">
        <v>9598</v>
      </c>
      <c r="E599" t="s">
        <v>9598</v>
      </c>
    </row>
    <row r="600" spans="1:5" x14ac:dyDescent="0.45">
      <c r="A600" s="42" t="s">
        <v>10697</v>
      </c>
      <c r="B600" t="s">
        <v>10698</v>
      </c>
      <c r="C600" t="s">
        <v>9598</v>
      </c>
      <c r="D600" t="s">
        <v>9598</v>
      </c>
      <c r="E600" t="s">
        <v>9598</v>
      </c>
    </row>
    <row r="601" spans="1:5" x14ac:dyDescent="0.45">
      <c r="A601" s="42" t="s">
        <v>10699</v>
      </c>
      <c r="B601" t="s">
        <v>10700</v>
      </c>
      <c r="C601" t="s">
        <v>9598</v>
      </c>
      <c r="D601" t="s">
        <v>9598</v>
      </c>
      <c r="E601" t="s">
        <v>9598</v>
      </c>
    </row>
    <row r="602" spans="1:5" x14ac:dyDescent="0.45">
      <c r="A602" s="42" t="s">
        <v>10701</v>
      </c>
      <c r="B602" t="s">
        <v>10702</v>
      </c>
      <c r="C602" t="s">
        <v>9598</v>
      </c>
      <c r="D602" t="s">
        <v>9598</v>
      </c>
      <c r="E602" t="s">
        <v>9598</v>
      </c>
    </row>
    <row r="603" spans="1:5" x14ac:dyDescent="0.45">
      <c r="A603" s="42" t="s">
        <v>10703</v>
      </c>
      <c r="B603" t="s">
        <v>10704</v>
      </c>
      <c r="C603" t="s">
        <v>9598</v>
      </c>
      <c r="D603" t="s">
        <v>9598</v>
      </c>
      <c r="E603" t="s">
        <v>9598</v>
      </c>
    </row>
    <row r="604" spans="1:5" x14ac:dyDescent="0.45">
      <c r="A604" s="42" t="s">
        <v>10705</v>
      </c>
      <c r="B604" t="s">
        <v>10706</v>
      </c>
      <c r="C604" t="s">
        <v>9598</v>
      </c>
      <c r="D604" t="s">
        <v>9598</v>
      </c>
      <c r="E604" t="s">
        <v>9598</v>
      </c>
    </row>
    <row r="605" spans="1:5" x14ac:dyDescent="0.45">
      <c r="A605" s="42" t="s">
        <v>10707</v>
      </c>
      <c r="B605" t="s">
        <v>10708</v>
      </c>
      <c r="C605" t="s">
        <v>9598</v>
      </c>
      <c r="D605" t="s">
        <v>9598</v>
      </c>
      <c r="E605" t="s">
        <v>9598</v>
      </c>
    </row>
    <row r="606" spans="1:5" x14ac:dyDescent="0.45">
      <c r="A606" s="42" t="s">
        <v>10709</v>
      </c>
      <c r="B606" t="s">
        <v>10710</v>
      </c>
      <c r="C606" t="s">
        <v>9598</v>
      </c>
      <c r="D606" t="s">
        <v>9598</v>
      </c>
      <c r="E606" t="s">
        <v>9598</v>
      </c>
    </row>
    <row r="607" spans="1:5" x14ac:dyDescent="0.45">
      <c r="A607" s="42" t="s">
        <v>302</v>
      </c>
      <c r="B607" t="s">
        <v>303</v>
      </c>
      <c r="C607" t="s">
        <v>9598</v>
      </c>
      <c r="D607" t="s">
        <v>9598</v>
      </c>
      <c r="E607" t="s">
        <v>9598</v>
      </c>
    </row>
    <row r="608" spans="1:5" x14ac:dyDescent="0.45">
      <c r="A608" s="42" t="s">
        <v>10711</v>
      </c>
      <c r="B608" t="s">
        <v>10712</v>
      </c>
      <c r="C608" t="s">
        <v>9598</v>
      </c>
      <c r="D608" t="s">
        <v>9598</v>
      </c>
      <c r="E608" t="s">
        <v>9598</v>
      </c>
    </row>
    <row r="609" spans="1:5" x14ac:dyDescent="0.45">
      <c r="A609" s="42" t="s">
        <v>10713</v>
      </c>
      <c r="B609" t="s">
        <v>10714</v>
      </c>
      <c r="C609" t="s">
        <v>9598</v>
      </c>
      <c r="D609" t="s">
        <v>9598</v>
      </c>
      <c r="E609" t="s">
        <v>9598</v>
      </c>
    </row>
    <row r="610" spans="1:5" x14ac:dyDescent="0.45">
      <c r="A610" s="42" t="s">
        <v>10715</v>
      </c>
      <c r="B610" t="s">
        <v>10716</v>
      </c>
      <c r="C610" t="s">
        <v>9598</v>
      </c>
      <c r="D610" t="s">
        <v>9598</v>
      </c>
      <c r="E610" t="s">
        <v>9598</v>
      </c>
    </row>
    <row r="611" spans="1:5" x14ac:dyDescent="0.45">
      <c r="A611" s="42" t="s">
        <v>112</v>
      </c>
      <c r="B611" t="s">
        <v>113</v>
      </c>
      <c r="C611" t="s">
        <v>9598</v>
      </c>
      <c r="D611" t="s">
        <v>9598</v>
      </c>
      <c r="E611" t="s">
        <v>9598</v>
      </c>
    </row>
    <row r="612" spans="1:5" x14ac:dyDescent="0.45">
      <c r="A612" s="42" t="s">
        <v>281</v>
      </c>
      <c r="B612" t="s">
        <v>282</v>
      </c>
      <c r="C612" t="s">
        <v>9598</v>
      </c>
      <c r="D612" t="s">
        <v>9598</v>
      </c>
      <c r="E612" t="s">
        <v>9598</v>
      </c>
    </row>
    <row r="613" spans="1:5" x14ac:dyDescent="0.45">
      <c r="A613" s="42" t="s">
        <v>290</v>
      </c>
      <c r="B613" t="s">
        <v>10717</v>
      </c>
      <c r="C613" t="s">
        <v>9598</v>
      </c>
      <c r="D613" t="s">
        <v>9598</v>
      </c>
      <c r="E613" t="s">
        <v>9598</v>
      </c>
    </row>
    <row r="614" spans="1:5" x14ac:dyDescent="0.45">
      <c r="A614" s="42" t="s">
        <v>97</v>
      </c>
      <c r="B614" t="s">
        <v>98</v>
      </c>
      <c r="C614" t="s">
        <v>9598</v>
      </c>
      <c r="D614" t="s">
        <v>9598</v>
      </c>
      <c r="E614" t="s">
        <v>9598</v>
      </c>
    </row>
    <row r="615" spans="1:5" x14ac:dyDescent="0.45">
      <c r="A615" s="42" t="s">
        <v>10718</v>
      </c>
      <c r="B615" t="s">
        <v>10719</v>
      </c>
      <c r="C615" t="s">
        <v>9598</v>
      </c>
      <c r="D615" t="s">
        <v>9598</v>
      </c>
      <c r="E615" t="s">
        <v>9598</v>
      </c>
    </row>
    <row r="616" spans="1:5" x14ac:dyDescent="0.45">
      <c r="A616" s="42" t="s">
        <v>10</v>
      </c>
      <c r="B616" t="s">
        <v>11</v>
      </c>
      <c r="C616" t="s">
        <v>9598</v>
      </c>
      <c r="D616" t="s">
        <v>9598</v>
      </c>
      <c r="E616" t="s">
        <v>9598</v>
      </c>
    </row>
    <row r="617" spans="1:5" x14ac:dyDescent="0.45">
      <c r="A617" s="42" t="s">
        <v>7</v>
      </c>
      <c r="B617" t="s">
        <v>10720</v>
      </c>
      <c r="C617" t="s">
        <v>9598</v>
      </c>
      <c r="D617" t="s">
        <v>9598</v>
      </c>
      <c r="E617" t="s">
        <v>9598</v>
      </c>
    </row>
    <row r="618" spans="1:5" x14ac:dyDescent="0.45">
      <c r="A618" s="42" t="s">
        <v>10721</v>
      </c>
      <c r="B618" t="s">
        <v>10722</v>
      </c>
      <c r="C618" t="s">
        <v>9598</v>
      </c>
      <c r="D618" t="s">
        <v>9598</v>
      </c>
      <c r="E618" t="s">
        <v>9598</v>
      </c>
    </row>
    <row r="619" spans="1:5" x14ac:dyDescent="0.45">
      <c r="A619" s="42" t="s">
        <v>10723</v>
      </c>
      <c r="B619" t="s">
        <v>10724</v>
      </c>
      <c r="C619" t="s">
        <v>9598</v>
      </c>
      <c r="D619" t="s">
        <v>9598</v>
      </c>
      <c r="E619" t="s">
        <v>9598</v>
      </c>
    </row>
    <row r="620" spans="1:5" x14ac:dyDescent="0.45">
      <c r="A620" s="42" t="s">
        <v>10725</v>
      </c>
      <c r="B620" t="s">
        <v>10726</v>
      </c>
      <c r="C620" t="s">
        <v>9598</v>
      </c>
      <c r="D620" t="s">
        <v>9598</v>
      </c>
      <c r="E620" t="s">
        <v>9598</v>
      </c>
    </row>
    <row r="621" spans="1:5" x14ac:dyDescent="0.45">
      <c r="A621" s="42" t="s">
        <v>10727</v>
      </c>
      <c r="B621" t="s">
        <v>10728</v>
      </c>
      <c r="C621" t="s">
        <v>9598</v>
      </c>
      <c r="D621" t="s">
        <v>9598</v>
      </c>
      <c r="E621" t="s">
        <v>9598</v>
      </c>
    </row>
    <row r="622" spans="1:5" x14ac:dyDescent="0.45">
      <c r="A622" s="42" t="s">
        <v>133</v>
      </c>
      <c r="B622" t="s">
        <v>134</v>
      </c>
      <c r="C622" t="s">
        <v>9598</v>
      </c>
      <c r="D622" t="s">
        <v>9598</v>
      </c>
      <c r="E622" t="s">
        <v>9598</v>
      </c>
    </row>
    <row r="623" spans="1:5" x14ac:dyDescent="0.45">
      <c r="A623" s="42" t="s">
        <v>10729</v>
      </c>
      <c r="B623" t="s">
        <v>10730</v>
      </c>
      <c r="C623" t="s">
        <v>9598</v>
      </c>
      <c r="D623" t="s">
        <v>9598</v>
      </c>
      <c r="E623" t="s">
        <v>9598</v>
      </c>
    </row>
    <row r="624" spans="1:5" x14ac:dyDescent="0.45">
      <c r="A624" s="42" t="s">
        <v>10731</v>
      </c>
      <c r="B624" t="s">
        <v>10732</v>
      </c>
      <c r="C624" t="s">
        <v>9598</v>
      </c>
      <c r="D624" t="s">
        <v>9598</v>
      </c>
      <c r="E624" t="s">
        <v>9598</v>
      </c>
    </row>
    <row r="625" spans="1:5" x14ac:dyDescent="0.45">
      <c r="A625" s="42" t="s">
        <v>10733</v>
      </c>
      <c r="B625" t="s">
        <v>10734</v>
      </c>
      <c r="C625" t="s">
        <v>9598</v>
      </c>
      <c r="D625" t="s">
        <v>9598</v>
      </c>
      <c r="E625" t="s">
        <v>9598</v>
      </c>
    </row>
    <row r="626" spans="1:5" x14ac:dyDescent="0.45">
      <c r="A626" s="42" t="s">
        <v>10735</v>
      </c>
      <c r="B626" t="s">
        <v>10736</v>
      </c>
      <c r="C626" t="s">
        <v>9598</v>
      </c>
      <c r="D626" t="s">
        <v>9598</v>
      </c>
      <c r="E626" t="s">
        <v>9598</v>
      </c>
    </row>
    <row r="627" spans="1:5" x14ac:dyDescent="0.45">
      <c r="A627" s="42" t="s">
        <v>10737</v>
      </c>
      <c r="B627" t="s">
        <v>10738</v>
      </c>
      <c r="C627" t="s">
        <v>9598</v>
      </c>
      <c r="D627" t="s">
        <v>9598</v>
      </c>
      <c r="E627" t="s">
        <v>9598</v>
      </c>
    </row>
    <row r="628" spans="1:5" x14ac:dyDescent="0.45">
      <c r="A628" s="42" t="s">
        <v>10739</v>
      </c>
      <c r="B628" t="s">
        <v>10740</v>
      </c>
      <c r="C628" t="s">
        <v>9598</v>
      </c>
      <c r="D628" t="s">
        <v>9598</v>
      </c>
      <c r="E628" t="s">
        <v>9598</v>
      </c>
    </row>
    <row r="629" spans="1:5" x14ac:dyDescent="0.45">
      <c r="A629" s="42" t="s">
        <v>10741</v>
      </c>
      <c r="B629" t="s">
        <v>10742</v>
      </c>
      <c r="C629" t="s">
        <v>9598</v>
      </c>
      <c r="D629" t="s">
        <v>9598</v>
      </c>
      <c r="E629" t="s">
        <v>9598</v>
      </c>
    </row>
    <row r="630" spans="1:5" x14ac:dyDescent="0.45">
      <c r="A630" s="42" t="s">
        <v>257</v>
      </c>
      <c r="B630" t="s">
        <v>10743</v>
      </c>
      <c r="C630" t="s">
        <v>9598</v>
      </c>
      <c r="D630" t="s">
        <v>9598</v>
      </c>
      <c r="E630" t="s">
        <v>9598</v>
      </c>
    </row>
    <row r="631" spans="1:5" x14ac:dyDescent="0.45">
      <c r="A631" s="42" t="s">
        <v>221</v>
      </c>
      <c r="B631" t="s">
        <v>10744</v>
      </c>
      <c r="C631" t="s">
        <v>9598</v>
      </c>
      <c r="D631" t="s">
        <v>9598</v>
      </c>
      <c r="E631" t="s">
        <v>9598</v>
      </c>
    </row>
    <row r="632" spans="1:5" x14ac:dyDescent="0.45">
      <c r="A632" s="42" t="s">
        <v>10745</v>
      </c>
      <c r="B632" t="s">
        <v>10746</v>
      </c>
      <c r="C632" t="s">
        <v>9598</v>
      </c>
      <c r="D632" t="s">
        <v>9598</v>
      </c>
      <c r="E632" t="s">
        <v>9598</v>
      </c>
    </row>
    <row r="633" spans="1:5" x14ac:dyDescent="0.45">
      <c r="A633" s="42" t="s">
        <v>10747</v>
      </c>
      <c r="B633" t="s">
        <v>10748</v>
      </c>
      <c r="C633" t="s">
        <v>9598</v>
      </c>
      <c r="D633" t="s">
        <v>9598</v>
      </c>
      <c r="E633" t="s">
        <v>9598</v>
      </c>
    </row>
    <row r="634" spans="1:5" x14ac:dyDescent="0.45">
      <c r="A634" s="42" t="s">
        <v>10749</v>
      </c>
      <c r="B634" t="s">
        <v>10750</v>
      </c>
      <c r="C634" t="s">
        <v>9598</v>
      </c>
      <c r="D634" t="s">
        <v>9598</v>
      </c>
      <c r="E634" t="s">
        <v>9598</v>
      </c>
    </row>
    <row r="635" spans="1:5" x14ac:dyDescent="0.45">
      <c r="A635" s="42" t="s">
        <v>10751</v>
      </c>
      <c r="B635" t="s">
        <v>10752</v>
      </c>
      <c r="C635" t="s">
        <v>9598</v>
      </c>
      <c r="D635" t="s">
        <v>9598</v>
      </c>
      <c r="E635" t="s">
        <v>9598</v>
      </c>
    </row>
    <row r="636" spans="1:5" x14ac:dyDescent="0.45">
      <c r="A636" s="42" t="s">
        <v>10753</v>
      </c>
      <c r="B636" t="s">
        <v>10754</v>
      </c>
      <c r="C636" t="s">
        <v>9598</v>
      </c>
      <c r="D636" t="s">
        <v>9598</v>
      </c>
      <c r="E636" t="s">
        <v>9598</v>
      </c>
    </row>
    <row r="637" spans="1:5" x14ac:dyDescent="0.45">
      <c r="A637" s="42" t="s">
        <v>46</v>
      </c>
      <c r="B637" t="s">
        <v>10755</v>
      </c>
      <c r="C637" t="s">
        <v>9598</v>
      </c>
      <c r="D637" t="s">
        <v>9598</v>
      </c>
      <c r="E637" t="s">
        <v>9598</v>
      </c>
    </row>
    <row r="638" spans="1:5" x14ac:dyDescent="0.45">
      <c r="A638" s="42" t="s">
        <v>76</v>
      </c>
      <c r="B638" t="s">
        <v>10756</v>
      </c>
      <c r="C638" t="s">
        <v>9598</v>
      </c>
      <c r="D638" t="s">
        <v>9598</v>
      </c>
      <c r="E638" t="s">
        <v>9598</v>
      </c>
    </row>
    <row r="639" spans="1:5" x14ac:dyDescent="0.45">
      <c r="A639" s="42" t="s">
        <v>55</v>
      </c>
      <c r="B639" t="s">
        <v>10757</v>
      </c>
      <c r="C639" t="s">
        <v>9598</v>
      </c>
      <c r="D639" t="s">
        <v>9598</v>
      </c>
      <c r="E639" t="s">
        <v>9598</v>
      </c>
    </row>
    <row r="640" spans="1:5" x14ac:dyDescent="0.45">
      <c r="A640" s="42" t="s">
        <v>127</v>
      </c>
      <c r="B640" t="s">
        <v>128</v>
      </c>
      <c r="C640" t="s">
        <v>9598</v>
      </c>
      <c r="D640" t="s">
        <v>9598</v>
      </c>
      <c r="E640" t="s">
        <v>9598</v>
      </c>
    </row>
    <row r="641" spans="1:5" x14ac:dyDescent="0.45">
      <c r="A641" s="42" t="s">
        <v>10758</v>
      </c>
      <c r="B641" t="s">
        <v>10759</v>
      </c>
      <c r="C641" t="s">
        <v>9598</v>
      </c>
      <c r="D641" t="s">
        <v>9598</v>
      </c>
      <c r="E641" t="s">
        <v>9598</v>
      </c>
    </row>
    <row r="642" spans="1:5" x14ac:dyDescent="0.45">
      <c r="A642" s="42" t="s">
        <v>10760</v>
      </c>
      <c r="B642" t="s">
        <v>10761</v>
      </c>
      <c r="C642" t="s">
        <v>9598</v>
      </c>
      <c r="D642" t="s">
        <v>9598</v>
      </c>
      <c r="E642" t="s">
        <v>9598</v>
      </c>
    </row>
    <row r="643" spans="1:5" x14ac:dyDescent="0.45">
      <c r="A643" s="42" t="s">
        <v>10762</v>
      </c>
      <c r="B643" t="s">
        <v>10763</v>
      </c>
      <c r="C643" t="s">
        <v>9589</v>
      </c>
      <c r="D643" t="s">
        <v>9589</v>
      </c>
      <c r="E643" t="s">
        <v>9589</v>
      </c>
    </row>
    <row r="644" spans="1:5" x14ac:dyDescent="0.45">
      <c r="A644" s="42" t="s">
        <v>10764</v>
      </c>
      <c r="B644" t="s">
        <v>10765</v>
      </c>
      <c r="C644" t="s">
        <v>9598</v>
      </c>
      <c r="D644" t="s">
        <v>9598</v>
      </c>
      <c r="E644" t="s">
        <v>9598</v>
      </c>
    </row>
    <row r="645" spans="1:5" x14ac:dyDescent="0.45">
      <c r="A645" s="42" t="s">
        <v>341</v>
      </c>
      <c r="B645" t="s">
        <v>531</v>
      </c>
      <c r="C645" t="s">
        <v>9598</v>
      </c>
      <c r="D645" t="s">
        <v>9598</v>
      </c>
      <c r="E645" t="s">
        <v>9625</v>
      </c>
    </row>
    <row r="646" spans="1:5" x14ac:dyDescent="0.45">
      <c r="A646" s="42" t="s">
        <v>10766</v>
      </c>
      <c r="B646" t="s">
        <v>10767</v>
      </c>
      <c r="C646" t="s">
        <v>9598</v>
      </c>
      <c r="D646" t="s">
        <v>9598</v>
      </c>
      <c r="E646" t="s">
        <v>9598</v>
      </c>
    </row>
    <row r="647" spans="1:5" x14ac:dyDescent="0.45">
      <c r="A647" s="42" t="s">
        <v>10768</v>
      </c>
      <c r="B647" t="s">
        <v>10769</v>
      </c>
      <c r="C647" t="s">
        <v>9598</v>
      </c>
      <c r="D647" t="s">
        <v>9598</v>
      </c>
      <c r="E647" t="s">
        <v>9598</v>
      </c>
    </row>
    <row r="648" spans="1:5" x14ac:dyDescent="0.45">
      <c r="A648" s="42" t="s">
        <v>70</v>
      </c>
      <c r="B648" t="s">
        <v>10770</v>
      </c>
      <c r="C648" t="s">
        <v>9598</v>
      </c>
      <c r="D648" t="s">
        <v>9598</v>
      </c>
      <c r="E648" t="s">
        <v>9598</v>
      </c>
    </row>
    <row r="649" spans="1:5" x14ac:dyDescent="0.45">
      <c r="A649" s="42" t="s">
        <v>100</v>
      </c>
      <c r="B649" t="s">
        <v>10771</v>
      </c>
      <c r="C649" t="s">
        <v>9598</v>
      </c>
      <c r="D649" t="s">
        <v>9598</v>
      </c>
      <c r="E649" t="s">
        <v>9598</v>
      </c>
    </row>
    <row r="650" spans="1:5" x14ac:dyDescent="0.45">
      <c r="A650" s="42" t="s">
        <v>130</v>
      </c>
      <c r="B650" t="s">
        <v>10772</v>
      </c>
      <c r="C650" t="s">
        <v>9598</v>
      </c>
      <c r="D650" t="s">
        <v>9598</v>
      </c>
      <c r="E650" t="s">
        <v>9598</v>
      </c>
    </row>
    <row r="651" spans="1:5" x14ac:dyDescent="0.45">
      <c r="A651" s="42" t="s">
        <v>10773</v>
      </c>
      <c r="B651" t="s">
        <v>10774</v>
      </c>
      <c r="C651" t="s">
        <v>9598</v>
      </c>
      <c r="D651" t="s">
        <v>9598</v>
      </c>
      <c r="E651" t="s">
        <v>9598</v>
      </c>
    </row>
    <row r="652" spans="1:5" x14ac:dyDescent="0.45">
      <c r="A652" s="42" t="s">
        <v>10775</v>
      </c>
      <c r="B652" t="s">
        <v>10776</v>
      </c>
      <c r="C652" t="s">
        <v>9598</v>
      </c>
      <c r="D652" t="s">
        <v>9598</v>
      </c>
      <c r="E652" t="s">
        <v>9598</v>
      </c>
    </row>
    <row r="653" spans="1:5" x14ac:dyDescent="0.45">
      <c r="A653" s="42" t="s">
        <v>10777</v>
      </c>
      <c r="B653" t="s">
        <v>10778</v>
      </c>
      <c r="C653" t="s">
        <v>9598</v>
      </c>
      <c r="D653" t="s">
        <v>9598</v>
      </c>
      <c r="E653" t="s">
        <v>9598</v>
      </c>
    </row>
    <row r="654" spans="1:5" x14ac:dyDescent="0.45">
      <c r="A654" s="42" t="s">
        <v>10779</v>
      </c>
      <c r="B654" t="s">
        <v>10780</v>
      </c>
      <c r="C654" t="s">
        <v>9598</v>
      </c>
      <c r="D654" t="s">
        <v>9598</v>
      </c>
      <c r="E654" t="s">
        <v>9598</v>
      </c>
    </row>
    <row r="655" spans="1:5" x14ac:dyDescent="0.45">
      <c r="A655" s="42" t="s">
        <v>10781</v>
      </c>
      <c r="B655" t="s">
        <v>10782</v>
      </c>
      <c r="C655" t="s">
        <v>9598</v>
      </c>
      <c r="D655" t="s">
        <v>9598</v>
      </c>
      <c r="E655" t="s">
        <v>9598</v>
      </c>
    </row>
    <row r="656" spans="1:5" x14ac:dyDescent="0.45">
      <c r="A656" s="42" t="s">
        <v>10783</v>
      </c>
      <c r="B656" t="s">
        <v>10784</v>
      </c>
      <c r="C656" t="s">
        <v>9598</v>
      </c>
      <c r="D656" t="s">
        <v>9598</v>
      </c>
      <c r="E656" t="s">
        <v>9598</v>
      </c>
    </row>
    <row r="657" spans="1:5" x14ac:dyDescent="0.45">
      <c r="A657" s="42" t="s">
        <v>136</v>
      </c>
      <c r="B657" t="s">
        <v>137</v>
      </c>
      <c r="C657" t="s">
        <v>9598</v>
      </c>
      <c r="D657" t="s">
        <v>9598</v>
      </c>
      <c r="E657" t="s">
        <v>9625</v>
      </c>
    </row>
    <row r="658" spans="1:5" x14ac:dyDescent="0.45">
      <c r="A658" s="42" t="s">
        <v>305</v>
      </c>
      <c r="B658" t="s">
        <v>306</v>
      </c>
      <c r="C658" t="s">
        <v>9598</v>
      </c>
      <c r="D658" t="s">
        <v>9598</v>
      </c>
      <c r="E658" t="s">
        <v>9625</v>
      </c>
    </row>
    <row r="659" spans="1:5" x14ac:dyDescent="0.45">
      <c r="A659" s="42" t="s">
        <v>10785</v>
      </c>
      <c r="B659" t="s">
        <v>10786</v>
      </c>
      <c r="C659" t="s">
        <v>9598</v>
      </c>
      <c r="D659" t="s">
        <v>9598</v>
      </c>
      <c r="E659" t="s">
        <v>9625</v>
      </c>
    </row>
    <row r="660" spans="1:5" x14ac:dyDescent="0.45">
      <c r="A660" s="42" t="s">
        <v>10787</v>
      </c>
      <c r="B660" t="s">
        <v>10788</v>
      </c>
      <c r="C660" t="s">
        <v>9598</v>
      </c>
      <c r="D660" t="s">
        <v>9598</v>
      </c>
      <c r="E660" t="s">
        <v>9598</v>
      </c>
    </row>
    <row r="661" spans="1:5" x14ac:dyDescent="0.45">
      <c r="A661" s="42" t="s">
        <v>10789</v>
      </c>
      <c r="B661" t="s">
        <v>10790</v>
      </c>
      <c r="C661" t="s">
        <v>9598</v>
      </c>
      <c r="D661" t="s">
        <v>9598</v>
      </c>
      <c r="E661" t="s">
        <v>9598</v>
      </c>
    </row>
    <row r="662" spans="1:5" x14ac:dyDescent="0.45">
      <c r="A662" s="42" t="s">
        <v>10791</v>
      </c>
      <c r="B662" t="s">
        <v>10792</v>
      </c>
      <c r="C662" t="s">
        <v>9598</v>
      </c>
      <c r="D662" t="s">
        <v>9598</v>
      </c>
      <c r="E662" t="s">
        <v>9598</v>
      </c>
    </row>
    <row r="663" spans="1:5" x14ac:dyDescent="0.45">
      <c r="A663" s="42" t="s">
        <v>10793</v>
      </c>
      <c r="B663" t="s">
        <v>10794</v>
      </c>
      <c r="C663" t="s">
        <v>9598</v>
      </c>
      <c r="D663" t="s">
        <v>9598</v>
      </c>
      <c r="E663" t="s">
        <v>9598</v>
      </c>
    </row>
    <row r="664" spans="1:5" x14ac:dyDescent="0.45">
      <c r="A664" s="42" t="s">
        <v>10795</v>
      </c>
      <c r="B664" t="s">
        <v>10796</v>
      </c>
      <c r="C664" t="s">
        <v>9598</v>
      </c>
      <c r="D664" t="s">
        <v>9598</v>
      </c>
      <c r="E664" t="s">
        <v>9598</v>
      </c>
    </row>
    <row r="665" spans="1:5" x14ac:dyDescent="0.45">
      <c r="A665" s="42" t="s">
        <v>275</v>
      </c>
      <c r="B665" t="s">
        <v>276</v>
      </c>
      <c r="C665" t="s">
        <v>9598</v>
      </c>
      <c r="D665" t="s">
        <v>9598</v>
      </c>
      <c r="E665" t="s">
        <v>9598</v>
      </c>
    </row>
    <row r="666" spans="1:5" x14ac:dyDescent="0.45">
      <c r="A666" s="42" t="s">
        <v>254</v>
      </c>
      <c r="B666" t="s">
        <v>255</v>
      </c>
      <c r="C666" t="s">
        <v>9598</v>
      </c>
      <c r="D666" t="s">
        <v>9598</v>
      </c>
      <c r="E666" t="s">
        <v>9598</v>
      </c>
    </row>
    <row r="667" spans="1:5" x14ac:dyDescent="0.45">
      <c r="A667" s="42" t="s">
        <v>121</v>
      </c>
      <c r="B667" t="s">
        <v>122</v>
      </c>
      <c r="C667" t="s">
        <v>9598</v>
      </c>
      <c r="D667" t="s">
        <v>9598</v>
      </c>
      <c r="E667" t="s">
        <v>9598</v>
      </c>
    </row>
    <row r="668" spans="1:5" x14ac:dyDescent="0.45">
      <c r="A668" s="42" t="s">
        <v>263</v>
      </c>
      <c r="B668" t="s">
        <v>264</v>
      </c>
      <c r="C668" t="s">
        <v>9598</v>
      </c>
      <c r="D668" t="s">
        <v>9598</v>
      </c>
      <c r="E668" t="s">
        <v>9598</v>
      </c>
    </row>
    <row r="669" spans="1:5" x14ac:dyDescent="0.45">
      <c r="A669" s="42" t="s">
        <v>296</v>
      </c>
      <c r="B669" t="s">
        <v>297</v>
      </c>
      <c r="C669" t="s">
        <v>9598</v>
      </c>
      <c r="D669" t="s">
        <v>9598</v>
      </c>
      <c r="E669" t="s">
        <v>9598</v>
      </c>
    </row>
    <row r="670" spans="1:5" x14ac:dyDescent="0.45">
      <c r="A670" s="42" t="s">
        <v>314</v>
      </c>
      <c r="B670" t="s">
        <v>315</v>
      </c>
      <c r="C670" t="s">
        <v>9598</v>
      </c>
      <c r="D670" t="s">
        <v>9598</v>
      </c>
      <c r="E670" t="s">
        <v>9598</v>
      </c>
    </row>
    <row r="671" spans="1:5" x14ac:dyDescent="0.45">
      <c r="A671" s="42" t="s">
        <v>278</v>
      </c>
      <c r="B671" t="s">
        <v>279</v>
      </c>
      <c r="C671" t="s">
        <v>9598</v>
      </c>
      <c r="D671" t="s">
        <v>9598</v>
      </c>
      <c r="E671" t="s">
        <v>9598</v>
      </c>
    </row>
    <row r="672" spans="1:5" x14ac:dyDescent="0.45">
      <c r="A672" s="42" t="s">
        <v>323</v>
      </c>
      <c r="B672" t="s">
        <v>324</v>
      </c>
      <c r="C672" t="s">
        <v>9598</v>
      </c>
      <c r="D672" t="s">
        <v>9598</v>
      </c>
      <c r="E672" t="s">
        <v>9598</v>
      </c>
    </row>
    <row r="673" spans="1:5" x14ac:dyDescent="0.45">
      <c r="A673" s="42" t="s">
        <v>10797</v>
      </c>
      <c r="B673" t="s">
        <v>10798</v>
      </c>
      <c r="C673" t="s">
        <v>9598</v>
      </c>
      <c r="D673" t="s">
        <v>9598</v>
      </c>
      <c r="E673" t="s">
        <v>9598</v>
      </c>
    </row>
    <row r="674" spans="1:5" x14ac:dyDescent="0.45">
      <c r="A674" s="42" t="s">
        <v>139</v>
      </c>
      <c r="B674" t="s">
        <v>10799</v>
      </c>
      <c r="C674" t="s">
        <v>9598</v>
      </c>
      <c r="D674" t="s">
        <v>9598</v>
      </c>
      <c r="E674" t="s">
        <v>9573</v>
      </c>
    </row>
    <row r="675" spans="1:5" x14ac:dyDescent="0.45">
      <c r="A675" s="42" t="s">
        <v>10800</v>
      </c>
      <c r="B675" t="s">
        <v>10801</v>
      </c>
      <c r="C675" t="s">
        <v>9598</v>
      </c>
      <c r="D675" t="s">
        <v>9598</v>
      </c>
      <c r="E675" t="s">
        <v>9598</v>
      </c>
    </row>
    <row r="676" spans="1:5" x14ac:dyDescent="0.45">
      <c r="A676" s="42" t="s">
        <v>10802</v>
      </c>
      <c r="B676" t="s">
        <v>10803</v>
      </c>
      <c r="C676" t="s">
        <v>9598</v>
      </c>
      <c r="D676" t="s">
        <v>9598</v>
      </c>
      <c r="E676" t="s">
        <v>9598</v>
      </c>
    </row>
    <row r="677" spans="1:5" x14ac:dyDescent="0.45">
      <c r="A677" s="42" t="s">
        <v>10804</v>
      </c>
      <c r="B677" t="s">
        <v>10805</v>
      </c>
      <c r="C677" t="s">
        <v>9598</v>
      </c>
      <c r="D677" t="s">
        <v>9598</v>
      </c>
      <c r="E677" t="s">
        <v>9598</v>
      </c>
    </row>
    <row r="678" spans="1:5" x14ac:dyDescent="0.45">
      <c r="A678" s="42" t="s">
        <v>10806</v>
      </c>
      <c r="B678" t="s">
        <v>10807</v>
      </c>
      <c r="C678" t="s">
        <v>9598</v>
      </c>
      <c r="D678" t="s">
        <v>9598</v>
      </c>
      <c r="E678" t="s">
        <v>9598</v>
      </c>
    </row>
    <row r="679" spans="1:5" x14ac:dyDescent="0.45">
      <c r="A679" s="42" t="s">
        <v>10808</v>
      </c>
      <c r="B679" t="s">
        <v>10809</v>
      </c>
      <c r="C679" t="s">
        <v>9598</v>
      </c>
      <c r="D679" t="s">
        <v>9598</v>
      </c>
      <c r="E679" t="s">
        <v>9598</v>
      </c>
    </row>
    <row r="680" spans="1:5" x14ac:dyDescent="0.45">
      <c r="A680" s="42" t="s">
        <v>10810</v>
      </c>
      <c r="B680" t="s">
        <v>10811</v>
      </c>
      <c r="C680" t="s">
        <v>9598</v>
      </c>
      <c r="D680" t="s">
        <v>9598</v>
      </c>
      <c r="E680" t="s">
        <v>9598</v>
      </c>
    </row>
    <row r="681" spans="1:5" x14ac:dyDescent="0.45">
      <c r="A681" s="42" t="s">
        <v>10812</v>
      </c>
      <c r="B681" t="s">
        <v>10813</v>
      </c>
      <c r="C681" t="s">
        <v>9598</v>
      </c>
      <c r="D681" t="s">
        <v>9598</v>
      </c>
      <c r="E681" t="s">
        <v>9598</v>
      </c>
    </row>
    <row r="682" spans="1:5" x14ac:dyDescent="0.45">
      <c r="A682" s="42" t="s">
        <v>10814</v>
      </c>
      <c r="B682" t="s">
        <v>10815</v>
      </c>
      <c r="C682" t="s">
        <v>9598</v>
      </c>
      <c r="D682" t="s">
        <v>9598</v>
      </c>
      <c r="E682" t="s">
        <v>9598</v>
      </c>
    </row>
    <row r="683" spans="1:5" x14ac:dyDescent="0.45">
      <c r="A683" s="42" t="s">
        <v>10816</v>
      </c>
      <c r="B683" t="s">
        <v>10817</v>
      </c>
      <c r="C683" t="s">
        <v>9589</v>
      </c>
      <c r="D683" t="s">
        <v>9589</v>
      </c>
      <c r="E683" t="s">
        <v>9589</v>
      </c>
    </row>
    <row r="684" spans="1:5" x14ac:dyDescent="0.45">
      <c r="A684" s="42" t="s">
        <v>10818</v>
      </c>
      <c r="B684" t="s">
        <v>10819</v>
      </c>
      <c r="C684" t="s">
        <v>9598</v>
      </c>
      <c r="D684" t="s">
        <v>9598</v>
      </c>
      <c r="E684" t="s">
        <v>9598</v>
      </c>
    </row>
    <row r="685" spans="1:5" x14ac:dyDescent="0.45">
      <c r="A685" s="42" t="s">
        <v>10820</v>
      </c>
      <c r="B685" t="s">
        <v>10821</v>
      </c>
      <c r="C685" t="s">
        <v>9589</v>
      </c>
      <c r="D685" t="s">
        <v>9589</v>
      </c>
      <c r="E685" t="s">
        <v>9589</v>
      </c>
    </row>
    <row r="686" spans="1:5" x14ac:dyDescent="0.45">
      <c r="A686" s="42" t="s">
        <v>10822</v>
      </c>
      <c r="B686" t="s">
        <v>10823</v>
      </c>
      <c r="C686" t="s">
        <v>9598</v>
      </c>
      <c r="D686" t="s">
        <v>9598</v>
      </c>
      <c r="E686" t="s">
        <v>9598</v>
      </c>
    </row>
    <row r="687" spans="1:5" x14ac:dyDescent="0.45">
      <c r="A687" s="42" t="s">
        <v>16</v>
      </c>
      <c r="B687" t="s">
        <v>17</v>
      </c>
      <c r="C687" t="s">
        <v>9598</v>
      </c>
      <c r="D687" t="s">
        <v>9598</v>
      </c>
      <c r="E687" t="s">
        <v>9598</v>
      </c>
    </row>
    <row r="688" spans="1:5" x14ac:dyDescent="0.45">
      <c r="A688" s="42" t="s">
        <v>22</v>
      </c>
      <c r="B688" t="s">
        <v>23</v>
      </c>
      <c r="C688" t="s">
        <v>9598</v>
      </c>
      <c r="D688" t="s">
        <v>9598</v>
      </c>
      <c r="E688" t="s">
        <v>9598</v>
      </c>
    </row>
    <row r="689" spans="1:5" x14ac:dyDescent="0.45">
      <c r="A689" s="42" t="s">
        <v>13</v>
      </c>
      <c r="B689" t="s">
        <v>14</v>
      </c>
      <c r="C689" t="s">
        <v>9598</v>
      </c>
      <c r="D689" t="s">
        <v>9598</v>
      </c>
      <c r="E689" t="s">
        <v>9598</v>
      </c>
    </row>
    <row r="690" spans="1:5" x14ac:dyDescent="0.45">
      <c r="A690" s="42" t="s">
        <v>19</v>
      </c>
      <c r="B690" t="s">
        <v>20</v>
      </c>
      <c r="C690" t="s">
        <v>9598</v>
      </c>
      <c r="D690" t="s">
        <v>9598</v>
      </c>
      <c r="E690" t="s">
        <v>9598</v>
      </c>
    </row>
    <row r="691" spans="1:5" x14ac:dyDescent="0.45">
      <c r="A691" s="42" t="s">
        <v>10824</v>
      </c>
      <c r="B691" t="s">
        <v>10825</v>
      </c>
      <c r="C691" t="s">
        <v>9598</v>
      </c>
      <c r="D691" t="s">
        <v>9598</v>
      </c>
      <c r="E691" t="s">
        <v>9598</v>
      </c>
    </row>
    <row r="692" spans="1:5" x14ac:dyDescent="0.45">
      <c r="A692" s="42" t="s">
        <v>10826</v>
      </c>
      <c r="B692" t="s">
        <v>10827</v>
      </c>
      <c r="C692" t="s">
        <v>9598</v>
      </c>
      <c r="D692" t="s">
        <v>9598</v>
      </c>
      <c r="E692" t="s">
        <v>9598</v>
      </c>
    </row>
    <row r="693" spans="1:5" x14ac:dyDescent="0.45">
      <c r="A693" s="42" t="s">
        <v>350</v>
      </c>
      <c r="B693" t="s">
        <v>10828</v>
      </c>
      <c r="C693" t="s">
        <v>9598</v>
      </c>
      <c r="D693" t="s">
        <v>9598</v>
      </c>
      <c r="E693" t="s">
        <v>9598</v>
      </c>
    </row>
    <row r="694" spans="1:5" x14ac:dyDescent="0.45">
      <c r="A694" s="42" t="s">
        <v>151</v>
      </c>
      <c r="B694" t="s">
        <v>152</v>
      </c>
      <c r="C694" t="s">
        <v>9598</v>
      </c>
      <c r="D694" t="s">
        <v>9598</v>
      </c>
      <c r="E694" t="s">
        <v>9598</v>
      </c>
    </row>
    <row r="695" spans="1:5" x14ac:dyDescent="0.45">
      <c r="A695" s="42" t="s">
        <v>157</v>
      </c>
      <c r="B695" t="s">
        <v>158</v>
      </c>
      <c r="C695" t="s">
        <v>9598</v>
      </c>
      <c r="D695" t="s">
        <v>9598</v>
      </c>
      <c r="E695" t="s">
        <v>9598</v>
      </c>
    </row>
    <row r="696" spans="1:5" x14ac:dyDescent="0.45">
      <c r="A696" s="42" t="s">
        <v>10829</v>
      </c>
      <c r="B696" t="s">
        <v>10830</v>
      </c>
      <c r="C696" t="s">
        <v>9598</v>
      </c>
      <c r="D696" t="s">
        <v>9598</v>
      </c>
      <c r="E696" t="s">
        <v>9598</v>
      </c>
    </row>
    <row r="697" spans="1:5" x14ac:dyDescent="0.45">
      <c r="A697" s="42" t="s">
        <v>344</v>
      </c>
      <c r="B697" t="s">
        <v>10831</v>
      </c>
      <c r="C697" t="s">
        <v>9598</v>
      </c>
      <c r="D697" t="s">
        <v>9598</v>
      </c>
      <c r="E697" t="s">
        <v>9598</v>
      </c>
    </row>
    <row r="698" spans="1:5" x14ac:dyDescent="0.45">
      <c r="A698" s="42" t="s">
        <v>145</v>
      </c>
      <c r="B698" t="s">
        <v>10832</v>
      </c>
      <c r="C698" t="s">
        <v>9598</v>
      </c>
      <c r="D698" t="s">
        <v>9598</v>
      </c>
      <c r="E698" t="s">
        <v>9598</v>
      </c>
    </row>
    <row r="699" spans="1:5" x14ac:dyDescent="0.45">
      <c r="A699" s="42" t="s">
        <v>142</v>
      </c>
      <c r="B699" t="s">
        <v>10833</v>
      </c>
      <c r="C699" t="s">
        <v>9598</v>
      </c>
      <c r="D699" t="s">
        <v>9598</v>
      </c>
      <c r="E699" t="s">
        <v>9598</v>
      </c>
    </row>
    <row r="700" spans="1:5" x14ac:dyDescent="0.45">
      <c r="A700" s="42" t="s">
        <v>10834</v>
      </c>
      <c r="B700" t="s">
        <v>10835</v>
      </c>
      <c r="C700" t="s">
        <v>9589</v>
      </c>
      <c r="D700" t="s">
        <v>9589</v>
      </c>
      <c r="E700" t="s">
        <v>9589</v>
      </c>
    </row>
    <row r="701" spans="1:5" x14ac:dyDescent="0.45">
      <c r="A701" s="42" t="s">
        <v>148</v>
      </c>
      <c r="B701" t="s">
        <v>10836</v>
      </c>
      <c r="C701" t="s">
        <v>9598</v>
      </c>
      <c r="D701" t="s">
        <v>9598</v>
      </c>
      <c r="E701" t="s">
        <v>9598</v>
      </c>
    </row>
    <row r="702" spans="1:5" x14ac:dyDescent="0.45">
      <c r="A702" s="42" t="s">
        <v>356</v>
      </c>
      <c r="B702" t="s">
        <v>10837</v>
      </c>
      <c r="C702" t="s">
        <v>9598</v>
      </c>
      <c r="D702" t="s">
        <v>9598</v>
      </c>
      <c r="E702" t="s">
        <v>9598</v>
      </c>
    </row>
    <row r="703" spans="1:5" x14ac:dyDescent="0.45">
      <c r="A703" s="42" t="s">
        <v>10838</v>
      </c>
      <c r="B703" t="s">
        <v>10839</v>
      </c>
      <c r="C703" t="s">
        <v>9598</v>
      </c>
      <c r="D703" t="s">
        <v>9598</v>
      </c>
      <c r="E703" t="s">
        <v>9598</v>
      </c>
    </row>
    <row r="704" spans="1:5" x14ac:dyDescent="0.45">
      <c r="A704" s="42" t="s">
        <v>160</v>
      </c>
      <c r="B704" t="s">
        <v>10840</v>
      </c>
      <c r="C704" t="s">
        <v>9598</v>
      </c>
      <c r="D704" t="s">
        <v>9598</v>
      </c>
      <c r="E704" t="s">
        <v>9598</v>
      </c>
    </row>
    <row r="705" spans="1:5" x14ac:dyDescent="0.45">
      <c r="A705" s="42" t="s">
        <v>181</v>
      </c>
      <c r="B705" t="s">
        <v>10841</v>
      </c>
      <c r="C705" t="s">
        <v>9598</v>
      </c>
      <c r="D705" t="s">
        <v>9598</v>
      </c>
      <c r="E705" t="s">
        <v>9598</v>
      </c>
    </row>
    <row r="706" spans="1:5" x14ac:dyDescent="0.45">
      <c r="A706" s="42" t="s">
        <v>154</v>
      </c>
      <c r="B706" t="s">
        <v>155</v>
      </c>
      <c r="C706" t="s">
        <v>9598</v>
      </c>
      <c r="D706" t="s">
        <v>9598</v>
      </c>
      <c r="E706" t="s">
        <v>9625</v>
      </c>
    </row>
    <row r="707" spans="1:5" x14ac:dyDescent="0.45">
      <c r="A707" s="42" t="s">
        <v>359</v>
      </c>
      <c r="B707" t="s">
        <v>360</v>
      </c>
      <c r="C707" t="s">
        <v>9598</v>
      </c>
      <c r="D707" t="s">
        <v>9598</v>
      </c>
      <c r="E707" t="s">
        <v>9625</v>
      </c>
    </row>
    <row r="708" spans="1:5" x14ac:dyDescent="0.45">
      <c r="A708" s="42" t="s">
        <v>10842</v>
      </c>
      <c r="B708" t="s">
        <v>10843</v>
      </c>
      <c r="C708" t="s">
        <v>9598</v>
      </c>
      <c r="D708" t="s">
        <v>9598</v>
      </c>
      <c r="E708" t="s">
        <v>9625</v>
      </c>
    </row>
    <row r="709" spans="1:5" x14ac:dyDescent="0.45">
      <c r="A709" s="42" t="s">
        <v>10844</v>
      </c>
      <c r="B709" t="s">
        <v>10845</v>
      </c>
      <c r="C709" t="s">
        <v>9598</v>
      </c>
      <c r="D709" t="s">
        <v>9598</v>
      </c>
      <c r="E709" t="s">
        <v>9625</v>
      </c>
    </row>
    <row r="710" spans="1:5" x14ac:dyDescent="0.45">
      <c r="A710" s="42" t="s">
        <v>10846</v>
      </c>
      <c r="B710" t="s">
        <v>10847</v>
      </c>
      <c r="C710" t="s">
        <v>9598</v>
      </c>
      <c r="D710" t="s">
        <v>9598</v>
      </c>
      <c r="E710" t="s">
        <v>9625</v>
      </c>
    </row>
    <row r="711" spans="1:5" x14ac:dyDescent="0.45">
      <c r="A711" s="42" t="s">
        <v>338</v>
      </c>
      <c r="B711" t="s">
        <v>339</v>
      </c>
      <c r="C711" t="s">
        <v>9598</v>
      </c>
      <c r="D711" t="s">
        <v>9598</v>
      </c>
      <c r="E711" t="s">
        <v>9625</v>
      </c>
    </row>
    <row r="712" spans="1:5" x14ac:dyDescent="0.45">
      <c r="A712" s="42" t="s">
        <v>10848</v>
      </c>
      <c r="B712" t="s">
        <v>10849</v>
      </c>
      <c r="C712" t="s">
        <v>9598</v>
      </c>
      <c r="D712" t="s">
        <v>9598</v>
      </c>
      <c r="E712" t="s">
        <v>9625</v>
      </c>
    </row>
    <row r="713" spans="1:5" x14ac:dyDescent="0.45">
      <c r="A713" s="42" t="s">
        <v>10850</v>
      </c>
      <c r="B713" t="s">
        <v>10851</v>
      </c>
      <c r="C713" t="s">
        <v>9598</v>
      </c>
      <c r="D713" t="s">
        <v>9598</v>
      </c>
      <c r="E713" t="s">
        <v>9625</v>
      </c>
    </row>
    <row r="714" spans="1:5" x14ac:dyDescent="0.45">
      <c r="A714" s="42" t="s">
        <v>185</v>
      </c>
      <c r="B714" t="s">
        <v>10852</v>
      </c>
      <c r="C714" t="s">
        <v>9598</v>
      </c>
      <c r="D714" t="s">
        <v>9598</v>
      </c>
      <c r="E714" t="s">
        <v>9625</v>
      </c>
    </row>
    <row r="715" spans="1:5" x14ac:dyDescent="0.45">
      <c r="A715" s="42" t="s">
        <v>10853</v>
      </c>
      <c r="B715" t="s">
        <v>10854</v>
      </c>
      <c r="C715" t="s">
        <v>9598</v>
      </c>
      <c r="D715" t="s">
        <v>9598</v>
      </c>
      <c r="E715" t="s">
        <v>9625</v>
      </c>
    </row>
    <row r="716" spans="1:5" x14ac:dyDescent="0.45">
      <c r="A716" s="42" t="s">
        <v>269</v>
      </c>
      <c r="B716" t="s">
        <v>270</v>
      </c>
      <c r="C716" t="s">
        <v>9598</v>
      </c>
      <c r="D716" t="s">
        <v>9598</v>
      </c>
      <c r="E716" t="s">
        <v>9625</v>
      </c>
    </row>
    <row r="717" spans="1:5" x14ac:dyDescent="0.45">
      <c r="A717" s="42" t="s">
        <v>10855</v>
      </c>
      <c r="B717" t="s">
        <v>10856</v>
      </c>
      <c r="C717" t="s">
        <v>9598</v>
      </c>
      <c r="D717" t="s">
        <v>9598</v>
      </c>
      <c r="E717" t="s">
        <v>9625</v>
      </c>
    </row>
    <row r="718" spans="1:5" x14ac:dyDescent="0.45">
      <c r="A718" s="42" t="s">
        <v>320</v>
      </c>
      <c r="B718" t="s">
        <v>321</v>
      </c>
      <c r="C718" t="s">
        <v>9598</v>
      </c>
      <c r="D718" t="s">
        <v>9598</v>
      </c>
      <c r="E718" t="s">
        <v>9625</v>
      </c>
    </row>
    <row r="719" spans="1:5" x14ac:dyDescent="0.45">
      <c r="A719" s="42" t="s">
        <v>10857</v>
      </c>
      <c r="B719" t="s">
        <v>10858</v>
      </c>
      <c r="C719" t="s">
        <v>9598</v>
      </c>
      <c r="D719" t="s">
        <v>9598</v>
      </c>
      <c r="E719" t="s">
        <v>9625</v>
      </c>
    </row>
    <row r="720" spans="1:5" x14ac:dyDescent="0.45">
      <c r="A720" s="42" t="s">
        <v>43</v>
      </c>
      <c r="B720" t="s">
        <v>44</v>
      </c>
      <c r="C720" t="s">
        <v>9598</v>
      </c>
      <c r="D720" t="s">
        <v>9598</v>
      </c>
      <c r="E720" t="s">
        <v>9625</v>
      </c>
    </row>
    <row r="721" spans="1:5" x14ac:dyDescent="0.45">
      <c r="A721" s="42" t="s">
        <v>188</v>
      </c>
      <c r="B721" t="s">
        <v>189</v>
      </c>
      <c r="C721" t="s">
        <v>9598</v>
      </c>
      <c r="D721" t="s">
        <v>9598</v>
      </c>
      <c r="E721" t="s">
        <v>9625</v>
      </c>
    </row>
    <row r="722" spans="1:5" x14ac:dyDescent="0.45">
      <c r="A722" s="42" t="s">
        <v>10859</v>
      </c>
      <c r="B722" t="s">
        <v>10860</v>
      </c>
      <c r="C722" t="s">
        <v>9598</v>
      </c>
      <c r="D722" t="s">
        <v>9598</v>
      </c>
      <c r="E722" t="s">
        <v>9625</v>
      </c>
    </row>
    <row r="723" spans="1:5" x14ac:dyDescent="0.45">
      <c r="A723" s="42" t="s">
        <v>10861</v>
      </c>
      <c r="B723" t="s">
        <v>10862</v>
      </c>
      <c r="C723" t="s">
        <v>9598</v>
      </c>
      <c r="D723" t="s">
        <v>9598</v>
      </c>
      <c r="E723" t="s">
        <v>9625</v>
      </c>
    </row>
    <row r="724" spans="1:5" x14ac:dyDescent="0.45">
      <c r="A724" s="42" t="s">
        <v>10863</v>
      </c>
      <c r="B724" t="s">
        <v>10864</v>
      </c>
      <c r="C724" t="s">
        <v>9598</v>
      </c>
      <c r="D724" t="s">
        <v>9598</v>
      </c>
      <c r="E724" t="s">
        <v>9625</v>
      </c>
    </row>
    <row r="725" spans="1:5" x14ac:dyDescent="0.45">
      <c r="A725" s="42" t="s">
        <v>308</v>
      </c>
      <c r="B725" t="s">
        <v>10865</v>
      </c>
      <c r="C725" t="s">
        <v>9598</v>
      </c>
      <c r="D725" t="s">
        <v>9598</v>
      </c>
      <c r="E725" t="s">
        <v>9625</v>
      </c>
    </row>
    <row r="726" spans="1:5" x14ac:dyDescent="0.45">
      <c r="A726" s="42" t="s">
        <v>10866</v>
      </c>
      <c r="B726" t="s">
        <v>10867</v>
      </c>
      <c r="C726" t="s">
        <v>9598</v>
      </c>
      <c r="D726" t="s">
        <v>9598</v>
      </c>
      <c r="E726" t="s">
        <v>9625</v>
      </c>
    </row>
    <row r="727" spans="1:5" x14ac:dyDescent="0.45">
      <c r="A727" s="42" t="s">
        <v>49</v>
      </c>
      <c r="B727" t="s">
        <v>10868</v>
      </c>
      <c r="C727" t="s">
        <v>9598</v>
      </c>
      <c r="D727" t="s">
        <v>9598</v>
      </c>
      <c r="E727" t="s">
        <v>9625</v>
      </c>
    </row>
    <row r="728" spans="1:5" x14ac:dyDescent="0.45">
      <c r="A728" s="42" t="s">
        <v>10869</v>
      </c>
      <c r="B728" t="s">
        <v>10870</v>
      </c>
      <c r="C728" t="s">
        <v>9598</v>
      </c>
      <c r="D728" t="s">
        <v>9598</v>
      </c>
      <c r="E728" t="s">
        <v>9625</v>
      </c>
    </row>
    <row r="729" spans="1:5" x14ac:dyDescent="0.45">
      <c r="A729" s="42" t="s">
        <v>64</v>
      </c>
      <c r="B729" t="s">
        <v>10871</v>
      </c>
      <c r="C729" t="s">
        <v>9598</v>
      </c>
      <c r="D729" t="s">
        <v>9598</v>
      </c>
      <c r="E729" t="s">
        <v>9625</v>
      </c>
    </row>
    <row r="730" spans="1:5" x14ac:dyDescent="0.45">
      <c r="A730" s="42" t="s">
        <v>230</v>
      </c>
      <c r="B730" t="s">
        <v>231</v>
      </c>
      <c r="C730" t="s">
        <v>9598</v>
      </c>
      <c r="D730" t="s">
        <v>9598</v>
      </c>
      <c r="E730" t="s">
        <v>9625</v>
      </c>
    </row>
    <row r="731" spans="1:5" x14ac:dyDescent="0.45">
      <c r="A731" s="42" t="s">
        <v>10872</v>
      </c>
      <c r="B731" t="s">
        <v>10873</v>
      </c>
      <c r="C731" t="s">
        <v>9598</v>
      </c>
      <c r="D731" t="s">
        <v>9598</v>
      </c>
      <c r="E731" t="s">
        <v>9625</v>
      </c>
    </row>
    <row r="732" spans="1:5" x14ac:dyDescent="0.45">
      <c r="A732" s="42" t="s">
        <v>10874</v>
      </c>
      <c r="B732" t="s">
        <v>10875</v>
      </c>
      <c r="C732" t="s">
        <v>9598</v>
      </c>
      <c r="D732" t="s">
        <v>9598</v>
      </c>
      <c r="E732" t="s">
        <v>9625</v>
      </c>
    </row>
    <row r="733" spans="1:5" x14ac:dyDescent="0.45">
      <c r="A733" s="42" t="s">
        <v>28</v>
      </c>
      <c r="B733" t="s">
        <v>29</v>
      </c>
      <c r="C733" t="s">
        <v>9598</v>
      </c>
      <c r="D733" t="s">
        <v>9598</v>
      </c>
      <c r="E733" t="s">
        <v>9625</v>
      </c>
    </row>
    <row r="734" spans="1:5" x14ac:dyDescent="0.45">
      <c r="A734" s="42" t="s">
        <v>10876</v>
      </c>
      <c r="B734" t="s">
        <v>10877</v>
      </c>
      <c r="C734" t="s">
        <v>9598</v>
      </c>
      <c r="D734" t="s">
        <v>9598</v>
      </c>
      <c r="E734" t="s">
        <v>9625</v>
      </c>
    </row>
    <row r="735" spans="1:5" x14ac:dyDescent="0.45">
      <c r="A735" s="42" t="s">
        <v>10878</v>
      </c>
      <c r="B735" t="s">
        <v>10879</v>
      </c>
      <c r="C735" t="s">
        <v>9598</v>
      </c>
      <c r="D735" t="s">
        <v>9598</v>
      </c>
      <c r="E735" t="s">
        <v>9625</v>
      </c>
    </row>
    <row r="736" spans="1:5" x14ac:dyDescent="0.45">
      <c r="A736" s="42" t="s">
        <v>10880</v>
      </c>
      <c r="B736" t="s">
        <v>10881</v>
      </c>
      <c r="C736" t="s">
        <v>9598</v>
      </c>
      <c r="D736" t="s">
        <v>9598</v>
      </c>
      <c r="E736" t="s">
        <v>9625</v>
      </c>
    </row>
    <row r="737" spans="1:5" x14ac:dyDescent="0.45">
      <c r="A737" s="42" t="s">
        <v>10882</v>
      </c>
      <c r="B737" t="s">
        <v>10883</v>
      </c>
      <c r="C737" t="s">
        <v>9598</v>
      </c>
      <c r="D737" t="s">
        <v>9598</v>
      </c>
      <c r="E737" t="s">
        <v>9625</v>
      </c>
    </row>
    <row r="738" spans="1:5" x14ac:dyDescent="0.45">
      <c r="A738" s="42" t="s">
        <v>10884</v>
      </c>
      <c r="B738" t="s">
        <v>10885</v>
      </c>
      <c r="C738" t="s">
        <v>9598</v>
      </c>
      <c r="D738" t="s">
        <v>9598</v>
      </c>
      <c r="E738" t="s">
        <v>9625</v>
      </c>
    </row>
    <row r="739" spans="1:5" x14ac:dyDescent="0.45">
      <c r="A739" s="42" t="s">
        <v>10886</v>
      </c>
      <c r="B739" t="s">
        <v>10887</v>
      </c>
      <c r="C739" t="s">
        <v>9598</v>
      </c>
      <c r="D739" t="s">
        <v>9598</v>
      </c>
      <c r="E739" t="s">
        <v>9625</v>
      </c>
    </row>
    <row r="740" spans="1:5" x14ac:dyDescent="0.45">
      <c r="A740" s="42" t="s">
        <v>10888</v>
      </c>
      <c r="B740" t="s">
        <v>10889</v>
      </c>
      <c r="C740" t="s">
        <v>9598</v>
      </c>
      <c r="D740" t="s">
        <v>9598</v>
      </c>
      <c r="E740" t="s">
        <v>9625</v>
      </c>
    </row>
    <row r="741" spans="1:5" x14ac:dyDescent="0.45">
      <c r="A741" s="42" t="s">
        <v>10890</v>
      </c>
      <c r="B741" t="s">
        <v>10891</v>
      </c>
      <c r="C741" t="s">
        <v>9598</v>
      </c>
      <c r="D741" t="s">
        <v>9598</v>
      </c>
      <c r="E741" t="s">
        <v>9625</v>
      </c>
    </row>
    <row r="742" spans="1:5" x14ac:dyDescent="0.45">
      <c r="A742" s="42" t="s">
        <v>10892</v>
      </c>
      <c r="B742" t="s">
        <v>10893</v>
      </c>
      <c r="C742" t="s">
        <v>9598</v>
      </c>
      <c r="D742" t="s">
        <v>9598</v>
      </c>
      <c r="E742" t="s">
        <v>9625</v>
      </c>
    </row>
    <row r="743" spans="1:5" x14ac:dyDescent="0.45">
      <c r="A743" s="42" t="s">
        <v>10894</v>
      </c>
      <c r="B743" t="s">
        <v>10895</v>
      </c>
      <c r="C743" t="s">
        <v>9598</v>
      </c>
      <c r="D743" t="s">
        <v>9598</v>
      </c>
      <c r="E743" t="s">
        <v>9625</v>
      </c>
    </row>
    <row r="744" spans="1:5" x14ac:dyDescent="0.45">
      <c r="A744" s="42" t="s">
        <v>10896</v>
      </c>
      <c r="B744" t="s">
        <v>10897</v>
      </c>
      <c r="C744" t="s">
        <v>9598</v>
      </c>
      <c r="D744" t="s">
        <v>9598</v>
      </c>
      <c r="E744" t="s">
        <v>9625</v>
      </c>
    </row>
    <row r="745" spans="1:5" x14ac:dyDescent="0.45">
      <c r="A745" s="42" t="s">
        <v>10898</v>
      </c>
      <c r="B745" t="s">
        <v>10899</v>
      </c>
      <c r="C745" t="s">
        <v>9598</v>
      </c>
      <c r="D745" t="s">
        <v>9598</v>
      </c>
      <c r="E745" t="s">
        <v>9625</v>
      </c>
    </row>
    <row r="746" spans="1:5" x14ac:dyDescent="0.45">
      <c r="A746" s="42" t="s">
        <v>10900</v>
      </c>
      <c r="B746" t="s">
        <v>10901</v>
      </c>
      <c r="C746" t="s">
        <v>9598</v>
      </c>
      <c r="D746" t="s">
        <v>9598</v>
      </c>
      <c r="E746" t="s">
        <v>9625</v>
      </c>
    </row>
    <row r="747" spans="1:5" x14ac:dyDescent="0.45">
      <c r="A747" s="42" t="s">
        <v>10902</v>
      </c>
      <c r="B747" t="s">
        <v>10903</v>
      </c>
      <c r="C747" t="s">
        <v>9598</v>
      </c>
      <c r="D747" t="s">
        <v>9598</v>
      </c>
      <c r="E747" t="s">
        <v>9625</v>
      </c>
    </row>
    <row r="748" spans="1:5" x14ac:dyDescent="0.45">
      <c r="A748" s="42" t="s">
        <v>10904</v>
      </c>
      <c r="B748" t="s">
        <v>10905</v>
      </c>
      <c r="C748" t="s">
        <v>9598</v>
      </c>
      <c r="D748" t="s">
        <v>9598</v>
      </c>
      <c r="E748" t="s">
        <v>9625</v>
      </c>
    </row>
    <row r="749" spans="1:5" x14ac:dyDescent="0.45">
      <c r="A749" s="42" t="s">
        <v>10906</v>
      </c>
      <c r="B749" t="s">
        <v>10907</v>
      </c>
      <c r="C749" t="s">
        <v>9598</v>
      </c>
      <c r="D749" t="s">
        <v>9598</v>
      </c>
      <c r="E749" t="s">
        <v>9625</v>
      </c>
    </row>
    <row r="750" spans="1:5" x14ac:dyDescent="0.45">
      <c r="A750" s="42" t="s">
        <v>10908</v>
      </c>
      <c r="B750" t="s">
        <v>10909</v>
      </c>
      <c r="C750" t="s">
        <v>9598</v>
      </c>
      <c r="D750" t="s">
        <v>9598</v>
      </c>
      <c r="E750" t="s">
        <v>9625</v>
      </c>
    </row>
    <row r="751" spans="1:5" x14ac:dyDescent="0.45">
      <c r="A751" s="42" t="s">
        <v>10910</v>
      </c>
      <c r="B751" t="s">
        <v>10911</v>
      </c>
      <c r="C751" t="s">
        <v>9598</v>
      </c>
      <c r="D751" t="s">
        <v>9598</v>
      </c>
      <c r="E751" t="s">
        <v>9625</v>
      </c>
    </row>
    <row r="752" spans="1:5" x14ac:dyDescent="0.45">
      <c r="A752" s="42" t="s">
        <v>10912</v>
      </c>
      <c r="B752" t="s">
        <v>10913</v>
      </c>
      <c r="C752" t="s">
        <v>9598</v>
      </c>
      <c r="D752" t="s">
        <v>9598</v>
      </c>
      <c r="E752" t="s">
        <v>9625</v>
      </c>
    </row>
    <row r="753" spans="1:5" x14ac:dyDescent="0.45">
      <c r="A753" s="42" t="s">
        <v>169</v>
      </c>
      <c r="B753" t="s">
        <v>170</v>
      </c>
      <c r="C753" t="s">
        <v>9598</v>
      </c>
      <c r="D753" t="s">
        <v>9598</v>
      </c>
      <c r="E753" t="s">
        <v>9598</v>
      </c>
    </row>
    <row r="754" spans="1:5" x14ac:dyDescent="0.45">
      <c r="A754" s="42" t="s">
        <v>166</v>
      </c>
      <c r="B754" t="s">
        <v>10914</v>
      </c>
      <c r="C754" t="s">
        <v>9598</v>
      </c>
      <c r="D754" t="s">
        <v>9598</v>
      </c>
      <c r="E754" t="s">
        <v>9598</v>
      </c>
    </row>
    <row r="755" spans="1:5" x14ac:dyDescent="0.45">
      <c r="A755" s="42" t="s">
        <v>163</v>
      </c>
      <c r="B755" t="s">
        <v>164</v>
      </c>
      <c r="C755" t="s">
        <v>9598</v>
      </c>
      <c r="D755" t="s">
        <v>9598</v>
      </c>
      <c r="E755" t="s">
        <v>9598</v>
      </c>
    </row>
    <row r="756" spans="1:5" x14ac:dyDescent="0.45">
      <c r="A756" s="42" t="s">
        <v>272</v>
      </c>
      <c r="B756" t="s">
        <v>273</v>
      </c>
      <c r="C756" t="s">
        <v>9598</v>
      </c>
      <c r="D756" t="s">
        <v>9598</v>
      </c>
      <c r="E756" t="s">
        <v>9625</v>
      </c>
    </row>
    <row r="757" spans="1:5" x14ac:dyDescent="0.45">
      <c r="A757" s="42" t="s">
        <v>10915</v>
      </c>
      <c r="B757" t="s">
        <v>10916</v>
      </c>
      <c r="C757" t="s">
        <v>9598</v>
      </c>
      <c r="D757" t="s">
        <v>9598</v>
      </c>
      <c r="E757" t="s">
        <v>9625</v>
      </c>
    </row>
    <row r="758" spans="1:5" x14ac:dyDescent="0.45">
      <c r="A758" s="42" t="s">
        <v>10917</v>
      </c>
      <c r="B758" t="s">
        <v>10918</v>
      </c>
      <c r="C758" t="s">
        <v>9598</v>
      </c>
      <c r="D758" t="s">
        <v>9762</v>
      </c>
      <c r="E758" t="s">
        <v>9598</v>
      </c>
    </row>
    <row r="759" spans="1:5" x14ac:dyDescent="0.45">
      <c r="A759" s="42" t="s">
        <v>353</v>
      </c>
      <c r="B759" t="s">
        <v>354</v>
      </c>
      <c r="C759" t="s">
        <v>9598</v>
      </c>
      <c r="D759" t="s">
        <v>9598</v>
      </c>
      <c r="E759" t="s">
        <v>9625</v>
      </c>
    </row>
    <row r="760" spans="1:5" x14ac:dyDescent="0.45">
      <c r="A760" s="42" t="s">
        <v>347</v>
      </c>
      <c r="B760" t="s">
        <v>348</v>
      </c>
      <c r="C760" t="s">
        <v>9598</v>
      </c>
      <c r="D760" t="s">
        <v>9762</v>
      </c>
      <c r="E760" t="s">
        <v>9598</v>
      </c>
    </row>
    <row r="761" spans="1:5" x14ac:dyDescent="0.45">
      <c r="A761" s="42" t="s">
        <v>10919</v>
      </c>
      <c r="B761" t="s">
        <v>10920</v>
      </c>
      <c r="C761" t="s">
        <v>9598</v>
      </c>
      <c r="D761" t="s">
        <v>9598</v>
      </c>
      <c r="E761" t="s">
        <v>9625</v>
      </c>
    </row>
    <row r="762" spans="1:5" x14ac:dyDescent="0.45">
      <c r="A762" s="42" t="s">
        <v>10921</v>
      </c>
      <c r="B762" t="s">
        <v>10922</v>
      </c>
      <c r="C762" t="s">
        <v>9598</v>
      </c>
      <c r="D762" t="s">
        <v>9762</v>
      </c>
      <c r="E762" t="s">
        <v>9598</v>
      </c>
    </row>
    <row r="763" spans="1:5" x14ac:dyDescent="0.45">
      <c r="A763" s="42" t="s">
        <v>10923</v>
      </c>
      <c r="B763" t="s">
        <v>10924</v>
      </c>
      <c r="C763" t="s">
        <v>9598</v>
      </c>
      <c r="D763" t="s">
        <v>9762</v>
      </c>
      <c r="E763" t="s">
        <v>9598</v>
      </c>
    </row>
    <row r="764" spans="1:5" x14ac:dyDescent="0.45">
      <c r="A764" s="42" t="s">
        <v>175</v>
      </c>
      <c r="B764" t="s">
        <v>527</v>
      </c>
      <c r="C764" t="s">
        <v>9598</v>
      </c>
      <c r="D764" t="s">
        <v>9598</v>
      </c>
      <c r="E764" t="s">
        <v>9625</v>
      </c>
    </row>
    <row r="765" spans="1:5" x14ac:dyDescent="0.45">
      <c r="A765" s="42" t="s">
        <v>362</v>
      </c>
      <c r="B765" t="s">
        <v>10925</v>
      </c>
      <c r="C765" t="s">
        <v>9598</v>
      </c>
      <c r="D765" t="s">
        <v>9598</v>
      </c>
      <c r="E765" t="s">
        <v>9625</v>
      </c>
    </row>
    <row r="766" spans="1:5" x14ac:dyDescent="0.45">
      <c r="A766" s="42" t="s">
        <v>172</v>
      </c>
      <c r="B766" t="s">
        <v>10926</v>
      </c>
      <c r="C766" t="s">
        <v>9598</v>
      </c>
      <c r="D766" t="s">
        <v>9598</v>
      </c>
      <c r="E766" t="s">
        <v>9598</v>
      </c>
    </row>
    <row r="767" spans="1:5" x14ac:dyDescent="0.45">
      <c r="A767" s="42" t="s">
        <v>178</v>
      </c>
      <c r="B767" t="s">
        <v>10927</v>
      </c>
      <c r="C767" t="s">
        <v>9598</v>
      </c>
      <c r="D767" t="s">
        <v>9598</v>
      </c>
      <c r="E767" t="s">
        <v>9598</v>
      </c>
    </row>
    <row r="768" spans="1:5" x14ac:dyDescent="0.45">
      <c r="A768" s="42" t="s">
        <v>10928</v>
      </c>
      <c r="B768" t="s">
        <v>10929</v>
      </c>
      <c r="C768" t="s">
        <v>9598</v>
      </c>
      <c r="D768" t="s">
        <v>9598</v>
      </c>
      <c r="E768" t="s">
        <v>9598</v>
      </c>
    </row>
    <row r="769" spans="1:5" x14ac:dyDescent="0.45">
      <c r="A769" s="42" t="s">
        <v>10930</v>
      </c>
      <c r="B769" t="s">
        <v>10931</v>
      </c>
      <c r="C769" t="s">
        <v>9589</v>
      </c>
      <c r="D769" t="s">
        <v>9589</v>
      </c>
      <c r="E769" t="s">
        <v>9589</v>
      </c>
    </row>
    <row r="770" spans="1:5" x14ac:dyDescent="0.45">
      <c r="A770" s="42" t="s">
        <v>465</v>
      </c>
      <c r="B770" t="s">
        <v>466</v>
      </c>
      <c r="C770" t="s">
        <v>9589</v>
      </c>
      <c r="D770" t="s">
        <v>9589</v>
      </c>
      <c r="E770" t="s">
        <v>9589</v>
      </c>
    </row>
    <row r="771" spans="1:5" x14ac:dyDescent="0.45">
      <c r="A771" s="42" t="s">
        <v>10932</v>
      </c>
      <c r="B771" t="s">
        <v>10933</v>
      </c>
      <c r="C771" t="s">
        <v>9589</v>
      </c>
      <c r="D771" t="s">
        <v>9589</v>
      </c>
      <c r="E771" t="s">
        <v>9589</v>
      </c>
    </row>
    <row r="772" spans="1:5" x14ac:dyDescent="0.45">
      <c r="A772" s="42" t="s">
        <v>10934</v>
      </c>
      <c r="B772" t="s">
        <v>10935</v>
      </c>
      <c r="C772" t="s">
        <v>9589</v>
      </c>
      <c r="D772" t="s">
        <v>9589</v>
      </c>
      <c r="E772" t="s">
        <v>9589</v>
      </c>
    </row>
    <row r="773" spans="1:5" x14ac:dyDescent="0.45">
      <c r="A773" s="42" t="s">
        <v>10936</v>
      </c>
      <c r="B773" t="s">
        <v>10937</v>
      </c>
      <c r="C773" t="s">
        <v>9589</v>
      </c>
      <c r="D773" t="s">
        <v>9589</v>
      </c>
      <c r="E773" t="s">
        <v>9589</v>
      </c>
    </row>
    <row r="774" spans="1:5" x14ac:dyDescent="0.45">
      <c r="A774" s="42" t="s">
        <v>10938</v>
      </c>
      <c r="B774" t="s">
        <v>10939</v>
      </c>
      <c r="C774" t="s">
        <v>9589</v>
      </c>
      <c r="D774" t="s">
        <v>9589</v>
      </c>
      <c r="E774" t="s">
        <v>9589</v>
      </c>
    </row>
    <row r="775" spans="1:5" x14ac:dyDescent="0.45">
      <c r="A775" s="42" t="s">
        <v>10940</v>
      </c>
      <c r="B775" t="s">
        <v>10941</v>
      </c>
      <c r="C775" t="s">
        <v>9589</v>
      </c>
      <c r="D775" t="s">
        <v>9589</v>
      </c>
      <c r="E775" t="s">
        <v>9589</v>
      </c>
    </row>
    <row r="776" spans="1:5" x14ac:dyDescent="0.45">
      <c r="A776" s="42" t="s">
        <v>10942</v>
      </c>
      <c r="B776" t="s">
        <v>10943</v>
      </c>
      <c r="C776" t="s">
        <v>9589</v>
      </c>
      <c r="D776" t="s">
        <v>9589</v>
      </c>
      <c r="E776" t="s">
        <v>9589</v>
      </c>
    </row>
    <row r="777" spans="1:5" x14ac:dyDescent="0.45">
      <c r="A777" s="42" t="s">
        <v>10944</v>
      </c>
      <c r="B777" t="s">
        <v>10945</v>
      </c>
      <c r="C777" t="s">
        <v>9589</v>
      </c>
      <c r="D777" t="s">
        <v>9589</v>
      </c>
      <c r="E777" t="s">
        <v>9589</v>
      </c>
    </row>
    <row r="778" spans="1:5" x14ac:dyDescent="0.45">
      <c r="A778" s="42" t="s">
        <v>10946</v>
      </c>
      <c r="B778" t="s">
        <v>10947</v>
      </c>
      <c r="C778" t="s">
        <v>9589</v>
      </c>
      <c r="D778" t="s">
        <v>9589</v>
      </c>
      <c r="E778" t="s">
        <v>9589</v>
      </c>
    </row>
    <row r="779" spans="1:5" x14ac:dyDescent="0.45">
      <c r="A779" s="42" t="s">
        <v>10948</v>
      </c>
      <c r="B779" t="s">
        <v>10949</v>
      </c>
      <c r="C779" t="s">
        <v>9589</v>
      </c>
      <c r="D779" t="s">
        <v>9589</v>
      </c>
      <c r="E779" t="s">
        <v>9589</v>
      </c>
    </row>
    <row r="780" spans="1:5" x14ac:dyDescent="0.45">
      <c r="A780" s="42" t="s">
        <v>453</v>
      </c>
      <c r="B780" t="s">
        <v>454</v>
      </c>
      <c r="C780" t="s">
        <v>9589</v>
      </c>
      <c r="D780" t="s">
        <v>9589</v>
      </c>
      <c r="E780" t="s">
        <v>9589</v>
      </c>
    </row>
    <row r="781" spans="1:5" x14ac:dyDescent="0.45">
      <c r="A781" s="42" t="s">
        <v>10950</v>
      </c>
      <c r="B781" t="s">
        <v>10951</v>
      </c>
      <c r="C781" t="s">
        <v>9589</v>
      </c>
      <c r="D781" t="s">
        <v>9589</v>
      </c>
      <c r="E781" t="s">
        <v>9589</v>
      </c>
    </row>
    <row r="782" spans="1:5" x14ac:dyDescent="0.45">
      <c r="A782" s="42" t="s">
        <v>10952</v>
      </c>
      <c r="B782" t="s">
        <v>10953</v>
      </c>
      <c r="C782" t="s">
        <v>9589</v>
      </c>
      <c r="D782" t="s">
        <v>9589</v>
      </c>
      <c r="E782" t="s">
        <v>9589</v>
      </c>
    </row>
    <row r="783" spans="1:5" x14ac:dyDescent="0.45">
      <c r="A783" s="42" t="s">
        <v>10954</v>
      </c>
      <c r="B783" t="s">
        <v>10955</v>
      </c>
      <c r="C783" t="s">
        <v>9589</v>
      </c>
      <c r="D783" t="s">
        <v>9589</v>
      </c>
      <c r="E783" t="s">
        <v>9589</v>
      </c>
    </row>
    <row r="784" spans="1:5" x14ac:dyDescent="0.45">
      <c r="A784" s="42" t="s">
        <v>10956</v>
      </c>
      <c r="B784" t="s">
        <v>10957</v>
      </c>
      <c r="C784" t="s">
        <v>9589</v>
      </c>
      <c r="D784" t="s">
        <v>9589</v>
      </c>
      <c r="E784" t="s">
        <v>9589</v>
      </c>
    </row>
    <row r="785" spans="1:5" x14ac:dyDescent="0.45">
      <c r="A785" s="42" t="s">
        <v>10958</v>
      </c>
      <c r="B785" t="s">
        <v>10959</v>
      </c>
      <c r="C785" t="s">
        <v>9589</v>
      </c>
      <c r="D785" t="s">
        <v>9589</v>
      </c>
      <c r="E785" t="s">
        <v>9589</v>
      </c>
    </row>
    <row r="786" spans="1:5" x14ac:dyDescent="0.45">
      <c r="A786" s="42" t="s">
        <v>10960</v>
      </c>
      <c r="B786" t="s">
        <v>10961</v>
      </c>
      <c r="C786" t="s">
        <v>9589</v>
      </c>
      <c r="D786" t="s">
        <v>9589</v>
      </c>
      <c r="E786" t="s">
        <v>9589</v>
      </c>
    </row>
    <row r="787" spans="1:5" x14ac:dyDescent="0.45">
      <c r="A787" s="42" t="s">
        <v>10962</v>
      </c>
      <c r="B787" t="s">
        <v>10963</v>
      </c>
      <c r="C787" t="s">
        <v>9589</v>
      </c>
      <c r="D787" t="s">
        <v>9589</v>
      </c>
      <c r="E787" t="s">
        <v>9589</v>
      </c>
    </row>
    <row r="788" spans="1:5" x14ac:dyDescent="0.45">
      <c r="A788" s="42" t="s">
        <v>10964</v>
      </c>
      <c r="B788" t="s">
        <v>10965</v>
      </c>
      <c r="C788" t="s">
        <v>9589</v>
      </c>
      <c r="D788" t="s">
        <v>9589</v>
      </c>
      <c r="E788" t="s">
        <v>9589</v>
      </c>
    </row>
    <row r="789" spans="1:5" x14ac:dyDescent="0.45">
      <c r="A789" s="42" t="s">
        <v>456</v>
      </c>
      <c r="B789" t="s">
        <v>457</v>
      </c>
      <c r="C789" t="s">
        <v>9589</v>
      </c>
      <c r="D789" t="s">
        <v>9589</v>
      </c>
      <c r="E789" t="s">
        <v>9589</v>
      </c>
    </row>
    <row r="790" spans="1:5" x14ac:dyDescent="0.45">
      <c r="A790" s="42" t="s">
        <v>10966</v>
      </c>
      <c r="B790" t="s">
        <v>10967</v>
      </c>
      <c r="C790" t="s">
        <v>9589</v>
      </c>
      <c r="D790" t="s">
        <v>9589</v>
      </c>
      <c r="E790" t="s">
        <v>9589</v>
      </c>
    </row>
    <row r="791" spans="1:5" x14ac:dyDescent="0.45">
      <c r="A791" s="42" t="s">
        <v>474</v>
      </c>
      <c r="B791" t="s">
        <v>475</v>
      </c>
      <c r="C791" t="s">
        <v>9589</v>
      </c>
      <c r="D791" t="s">
        <v>9589</v>
      </c>
      <c r="E791" t="s">
        <v>9589</v>
      </c>
    </row>
    <row r="792" spans="1:5" x14ac:dyDescent="0.45">
      <c r="A792" s="42" t="s">
        <v>459</v>
      </c>
      <c r="B792" t="s">
        <v>460</v>
      </c>
      <c r="C792" t="s">
        <v>9589</v>
      </c>
      <c r="D792" t="s">
        <v>9589</v>
      </c>
      <c r="E792" t="s">
        <v>9589</v>
      </c>
    </row>
    <row r="793" spans="1:5" x14ac:dyDescent="0.45">
      <c r="A793" s="42" t="s">
        <v>462</v>
      </c>
      <c r="B793" t="s">
        <v>463</v>
      </c>
      <c r="C793" t="s">
        <v>9589</v>
      </c>
      <c r="D793" t="s">
        <v>9589</v>
      </c>
      <c r="E793" t="s">
        <v>9589</v>
      </c>
    </row>
    <row r="794" spans="1:5" x14ac:dyDescent="0.45">
      <c r="A794" s="42" t="s">
        <v>10968</v>
      </c>
      <c r="B794" t="s">
        <v>10969</v>
      </c>
      <c r="C794" t="s">
        <v>9589</v>
      </c>
      <c r="D794" t="s">
        <v>9589</v>
      </c>
      <c r="E794" t="s">
        <v>9589</v>
      </c>
    </row>
    <row r="795" spans="1:5" x14ac:dyDescent="0.45">
      <c r="A795" s="42" t="s">
        <v>10970</v>
      </c>
      <c r="B795" t="s">
        <v>10971</v>
      </c>
      <c r="C795" t="s">
        <v>9589</v>
      </c>
      <c r="D795" t="s">
        <v>9589</v>
      </c>
      <c r="E795" t="s">
        <v>9589</v>
      </c>
    </row>
    <row r="796" spans="1:5" x14ac:dyDescent="0.45">
      <c r="A796" s="42" t="s">
        <v>10972</v>
      </c>
      <c r="B796" t="s">
        <v>10973</v>
      </c>
      <c r="C796" t="s">
        <v>9589</v>
      </c>
      <c r="D796" t="s">
        <v>9589</v>
      </c>
      <c r="E796" t="s">
        <v>9589</v>
      </c>
    </row>
    <row r="797" spans="1:5" x14ac:dyDescent="0.45">
      <c r="A797" s="42" t="s">
        <v>374</v>
      </c>
      <c r="B797" t="s">
        <v>375</v>
      </c>
      <c r="C797" t="s">
        <v>9589</v>
      </c>
      <c r="D797" t="s">
        <v>9589</v>
      </c>
      <c r="E797" t="s">
        <v>9589</v>
      </c>
    </row>
    <row r="798" spans="1:5" x14ac:dyDescent="0.45">
      <c r="A798" s="42" t="s">
        <v>371</v>
      </c>
      <c r="B798" t="s">
        <v>372</v>
      </c>
      <c r="C798" t="s">
        <v>9589</v>
      </c>
      <c r="D798" t="s">
        <v>9589</v>
      </c>
      <c r="E798" t="s">
        <v>9589</v>
      </c>
    </row>
    <row r="799" spans="1:5" x14ac:dyDescent="0.45">
      <c r="A799" s="42" t="s">
        <v>380</v>
      </c>
      <c r="B799" t="s">
        <v>381</v>
      </c>
      <c r="C799" t="s">
        <v>9589</v>
      </c>
      <c r="D799" t="s">
        <v>9589</v>
      </c>
      <c r="E799" t="s">
        <v>9589</v>
      </c>
    </row>
    <row r="800" spans="1:5" x14ac:dyDescent="0.45">
      <c r="A800" s="42" t="s">
        <v>377</v>
      </c>
      <c r="B800" t="s">
        <v>378</v>
      </c>
      <c r="C800" t="s">
        <v>9589</v>
      </c>
      <c r="D800" t="s">
        <v>9589</v>
      </c>
      <c r="E800" t="s">
        <v>9589</v>
      </c>
    </row>
    <row r="801" spans="1:5" x14ac:dyDescent="0.45">
      <c r="A801" s="42" t="s">
        <v>383</v>
      </c>
      <c r="B801" t="s">
        <v>384</v>
      </c>
      <c r="C801" t="s">
        <v>9589</v>
      </c>
      <c r="D801" t="s">
        <v>9589</v>
      </c>
      <c r="E801" t="s">
        <v>9589</v>
      </c>
    </row>
    <row r="802" spans="1:5" x14ac:dyDescent="0.45">
      <c r="A802" s="42" t="s">
        <v>10974</v>
      </c>
      <c r="B802" t="s">
        <v>10975</v>
      </c>
      <c r="C802" t="s">
        <v>9589</v>
      </c>
      <c r="D802" t="s">
        <v>9589</v>
      </c>
      <c r="E802" t="s">
        <v>9589</v>
      </c>
    </row>
    <row r="803" spans="1:5" x14ac:dyDescent="0.45">
      <c r="A803" s="42" t="s">
        <v>10976</v>
      </c>
      <c r="B803" t="s">
        <v>10977</v>
      </c>
      <c r="C803" t="s">
        <v>9589</v>
      </c>
      <c r="D803" t="s">
        <v>9589</v>
      </c>
      <c r="E803" t="s">
        <v>9589</v>
      </c>
    </row>
    <row r="804" spans="1:5" x14ac:dyDescent="0.45">
      <c r="A804" s="42" t="s">
        <v>10978</v>
      </c>
      <c r="B804" t="s">
        <v>10979</v>
      </c>
      <c r="C804" t="s">
        <v>9589</v>
      </c>
      <c r="D804" t="s">
        <v>9589</v>
      </c>
      <c r="E804" t="s">
        <v>9589</v>
      </c>
    </row>
    <row r="805" spans="1:5" x14ac:dyDescent="0.45">
      <c r="A805" s="42" t="s">
        <v>449</v>
      </c>
      <c r="B805" t="s">
        <v>450</v>
      </c>
      <c r="C805" t="s">
        <v>9589</v>
      </c>
      <c r="D805" t="s">
        <v>9589</v>
      </c>
      <c r="E805" t="s">
        <v>9589</v>
      </c>
    </row>
    <row r="806" spans="1:5" x14ac:dyDescent="0.45">
      <c r="A806" s="42" t="s">
        <v>10980</v>
      </c>
      <c r="B806" t="s">
        <v>10981</v>
      </c>
      <c r="C806" t="s">
        <v>9589</v>
      </c>
      <c r="D806" t="s">
        <v>9589</v>
      </c>
      <c r="E806" t="s">
        <v>9589</v>
      </c>
    </row>
    <row r="807" spans="1:5" x14ac:dyDescent="0.45">
      <c r="A807" s="42" t="s">
        <v>10982</v>
      </c>
      <c r="B807" t="s">
        <v>10983</v>
      </c>
      <c r="C807" t="s">
        <v>9589</v>
      </c>
      <c r="D807" t="s">
        <v>9589</v>
      </c>
      <c r="E807" t="s">
        <v>9589</v>
      </c>
    </row>
    <row r="808" spans="1:5" x14ac:dyDescent="0.45">
      <c r="A808" s="42" t="s">
        <v>10984</v>
      </c>
      <c r="B808" t="s">
        <v>10985</v>
      </c>
      <c r="C808" t="s">
        <v>9589</v>
      </c>
      <c r="D808" t="s">
        <v>9589</v>
      </c>
      <c r="E808" t="s">
        <v>9589</v>
      </c>
    </row>
    <row r="809" spans="1:5" x14ac:dyDescent="0.45">
      <c r="A809" s="42" t="s">
        <v>10986</v>
      </c>
      <c r="B809" t="s">
        <v>10987</v>
      </c>
      <c r="C809" t="s">
        <v>9589</v>
      </c>
      <c r="D809" t="s">
        <v>9589</v>
      </c>
      <c r="E809" t="s">
        <v>9589</v>
      </c>
    </row>
    <row r="810" spans="1:5" x14ac:dyDescent="0.45">
      <c r="A810" s="42" t="s">
        <v>10988</v>
      </c>
      <c r="B810" t="s">
        <v>10989</v>
      </c>
      <c r="C810" t="s">
        <v>9589</v>
      </c>
      <c r="D810" t="s">
        <v>9589</v>
      </c>
      <c r="E810" t="s">
        <v>9589</v>
      </c>
    </row>
    <row r="811" spans="1:5" x14ac:dyDescent="0.45">
      <c r="A811" s="42" t="s">
        <v>10990</v>
      </c>
      <c r="B811" t="s">
        <v>10991</v>
      </c>
      <c r="C811" t="s">
        <v>9589</v>
      </c>
      <c r="D811" t="s">
        <v>9589</v>
      </c>
      <c r="E811" t="s">
        <v>9589</v>
      </c>
    </row>
    <row r="812" spans="1:5" x14ac:dyDescent="0.45">
      <c r="A812" s="42" t="s">
        <v>10992</v>
      </c>
      <c r="B812" t="s">
        <v>10993</v>
      </c>
      <c r="C812" t="s">
        <v>9589</v>
      </c>
      <c r="D812" t="s">
        <v>9589</v>
      </c>
      <c r="E812" t="s">
        <v>9589</v>
      </c>
    </row>
    <row r="813" spans="1:5" x14ac:dyDescent="0.45">
      <c r="A813" s="42" t="s">
        <v>10994</v>
      </c>
      <c r="B813" t="s">
        <v>10995</v>
      </c>
      <c r="C813" t="s">
        <v>9589</v>
      </c>
      <c r="D813" t="s">
        <v>9589</v>
      </c>
      <c r="E813" t="s">
        <v>9589</v>
      </c>
    </row>
    <row r="814" spans="1:5" x14ac:dyDescent="0.45">
      <c r="A814" s="42" t="s">
        <v>10996</v>
      </c>
      <c r="B814" t="s">
        <v>10997</v>
      </c>
      <c r="C814" t="s">
        <v>9589</v>
      </c>
      <c r="D814" t="s">
        <v>9589</v>
      </c>
      <c r="E814" t="s">
        <v>9589</v>
      </c>
    </row>
    <row r="815" spans="1:5" x14ac:dyDescent="0.45">
      <c r="A815" s="42" t="s">
        <v>386</v>
      </c>
      <c r="B815" t="s">
        <v>387</v>
      </c>
      <c r="C815" t="s">
        <v>9589</v>
      </c>
      <c r="D815" t="s">
        <v>9589</v>
      </c>
      <c r="E815" t="s">
        <v>9589</v>
      </c>
    </row>
    <row r="816" spans="1:5" x14ac:dyDescent="0.45">
      <c r="A816" s="42" t="s">
        <v>10998</v>
      </c>
      <c r="B816" t="s">
        <v>10999</v>
      </c>
      <c r="C816" t="s">
        <v>9589</v>
      </c>
      <c r="D816" t="s">
        <v>9589</v>
      </c>
      <c r="E816" t="s">
        <v>9589</v>
      </c>
    </row>
    <row r="817" spans="1:5" x14ac:dyDescent="0.45">
      <c r="A817" s="42" t="s">
        <v>11000</v>
      </c>
      <c r="B817" t="s">
        <v>11001</v>
      </c>
      <c r="C817" t="s">
        <v>9589</v>
      </c>
      <c r="D817" t="s">
        <v>9589</v>
      </c>
      <c r="E817" t="s">
        <v>9589</v>
      </c>
    </row>
    <row r="818" spans="1:5" x14ac:dyDescent="0.45">
      <c r="A818" s="42" t="s">
        <v>11002</v>
      </c>
      <c r="B818" t="s">
        <v>11003</v>
      </c>
      <c r="C818" t="s">
        <v>9589</v>
      </c>
      <c r="D818" t="s">
        <v>9589</v>
      </c>
      <c r="E818" t="s">
        <v>9589</v>
      </c>
    </row>
    <row r="819" spans="1:5" x14ac:dyDescent="0.45">
      <c r="A819" s="42" t="s">
        <v>368</v>
      </c>
      <c r="B819" t="s">
        <v>369</v>
      </c>
      <c r="C819" t="s">
        <v>9589</v>
      </c>
      <c r="D819" t="s">
        <v>9589</v>
      </c>
      <c r="E819" t="s">
        <v>9589</v>
      </c>
    </row>
    <row r="820" spans="1:5" x14ac:dyDescent="0.45">
      <c r="A820" s="42" t="s">
        <v>11004</v>
      </c>
      <c r="B820" t="s">
        <v>11005</v>
      </c>
      <c r="C820" t="s">
        <v>9589</v>
      </c>
      <c r="D820" t="s">
        <v>9589</v>
      </c>
      <c r="E820" t="s">
        <v>9589</v>
      </c>
    </row>
    <row r="821" spans="1:5" x14ac:dyDescent="0.45">
      <c r="A821" s="42" t="s">
        <v>11006</v>
      </c>
      <c r="B821" t="s">
        <v>11007</v>
      </c>
      <c r="C821" t="s">
        <v>9589</v>
      </c>
      <c r="D821" t="s">
        <v>9589</v>
      </c>
      <c r="E821" t="s">
        <v>9589</v>
      </c>
    </row>
    <row r="822" spans="1:5" x14ac:dyDescent="0.45">
      <c r="A822" s="42" t="s">
        <v>389</v>
      </c>
      <c r="B822" t="s">
        <v>390</v>
      </c>
      <c r="C822" t="s">
        <v>9589</v>
      </c>
      <c r="D822" t="s">
        <v>9589</v>
      </c>
      <c r="E822" t="s">
        <v>9589</v>
      </c>
    </row>
    <row r="823" spans="1:5" x14ac:dyDescent="0.45">
      <c r="A823" s="42" t="s">
        <v>11008</v>
      </c>
      <c r="B823" t="s">
        <v>11009</v>
      </c>
      <c r="C823" t="s">
        <v>9589</v>
      </c>
      <c r="D823" t="s">
        <v>9589</v>
      </c>
      <c r="E823" t="s">
        <v>9589</v>
      </c>
    </row>
    <row r="824" spans="1:5" x14ac:dyDescent="0.45">
      <c r="A824" s="42" t="s">
        <v>11010</v>
      </c>
      <c r="B824" t="s">
        <v>11011</v>
      </c>
      <c r="C824" t="s">
        <v>9589</v>
      </c>
      <c r="D824" t="s">
        <v>9589</v>
      </c>
      <c r="E824" t="s">
        <v>9589</v>
      </c>
    </row>
    <row r="825" spans="1:5" x14ac:dyDescent="0.45">
      <c r="A825" s="42" t="s">
        <v>398</v>
      </c>
      <c r="B825" t="s">
        <v>399</v>
      </c>
      <c r="C825" t="s">
        <v>9589</v>
      </c>
      <c r="D825" t="s">
        <v>9589</v>
      </c>
      <c r="E825" t="s">
        <v>9589</v>
      </c>
    </row>
    <row r="826" spans="1:5" x14ac:dyDescent="0.45">
      <c r="A826" s="42" t="s">
        <v>443</v>
      </c>
      <c r="B826" t="s">
        <v>444</v>
      </c>
      <c r="C826" t="s">
        <v>9589</v>
      </c>
      <c r="D826" t="s">
        <v>9589</v>
      </c>
      <c r="E826" t="s">
        <v>9589</v>
      </c>
    </row>
    <row r="827" spans="1:5" x14ac:dyDescent="0.45">
      <c r="A827" s="42" t="s">
        <v>11012</v>
      </c>
      <c r="B827" t="s">
        <v>11013</v>
      </c>
      <c r="C827" t="s">
        <v>9589</v>
      </c>
      <c r="D827" t="s">
        <v>9589</v>
      </c>
      <c r="E827" t="s">
        <v>9589</v>
      </c>
    </row>
    <row r="828" spans="1:5" x14ac:dyDescent="0.45">
      <c r="A828" s="42" t="s">
        <v>437</v>
      </c>
      <c r="B828" t="s">
        <v>438</v>
      </c>
      <c r="C828" t="s">
        <v>9589</v>
      </c>
      <c r="D828" t="s">
        <v>9589</v>
      </c>
      <c r="E828" t="s">
        <v>9589</v>
      </c>
    </row>
    <row r="829" spans="1:5" x14ac:dyDescent="0.45">
      <c r="A829" s="42" t="s">
        <v>11014</v>
      </c>
      <c r="B829" t="s">
        <v>11015</v>
      </c>
      <c r="C829" t="s">
        <v>9589</v>
      </c>
      <c r="D829" t="s">
        <v>9589</v>
      </c>
      <c r="E829" t="s">
        <v>9589</v>
      </c>
    </row>
    <row r="830" spans="1:5" x14ac:dyDescent="0.45">
      <c r="A830" s="42" t="s">
        <v>11016</v>
      </c>
      <c r="B830" t="s">
        <v>11017</v>
      </c>
      <c r="C830" t="s">
        <v>9589</v>
      </c>
      <c r="D830" t="s">
        <v>9589</v>
      </c>
      <c r="E830" t="s">
        <v>9589</v>
      </c>
    </row>
    <row r="831" spans="1:5" x14ac:dyDescent="0.45">
      <c r="A831" s="42" t="s">
        <v>401</v>
      </c>
      <c r="B831" t="s">
        <v>402</v>
      </c>
      <c r="C831" t="s">
        <v>9589</v>
      </c>
      <c r="D831" t="s">
        <v>9589</v>
      </c>
      <c r="E831" t="s">
        <v>9589</v>
      </c>
    </row>
    <row r="832" spans="1:5" x14ac:dyDescent="0.45">
      <c r="A832" s="42" t="s">
        <v>11018</v>
      </c>
      <c r="B832" t="s">
        <v>11019</v>
      </c>
      <c r="C832" t="s">
        <v>9589</v>
      </c>
      <c r="D832" t="s">
        <v>9589</v>
      </c>
      <c r="E832" t="s">
        <v>9589</v>
      </c>
    </row>
    <row r="833" spans="1:5" x14ac:dyDescent="0.45">
      <c r="A833" s="42" t="s">
        <v>428</v>
      </c>
      <c r="B833" t="s">
        <v>429</v>
      </c>
      <c r="C833" t="s">
        <v>9589</v>
      </c>
      <c r="D833" t="s">
        <v>9589</v>
      </c>
      <c r="E833" t="s">
        <v>9589</v>
      </c>
    </row>
    <row r="834" spans="1:5" x14ac:dyDescent="0.45">
      <c r="A834" s="42" t="s">
        <v>395</v>
      </c>
      <c r="B834" t="s">
        <v>396</v>
      </c>
      <c r="C834" t="s">
        <v>9589</v>
      </c>
      <c r="D834" t="s">
        <v>9589</v>
      </c>
      <c r="E834" t="s">
        <v>9589</v>
      </c>
    </row>
    <row r="835" spans="1:5" x14ac:dyDescent="0.45">
      <c r="A835" s="42" t="s">
        <v>446</v>
      </c>
      <c r="B835" t="s">
        <v>447</v>
      </c>
      <c r="C835" t="s">
        <v>9589</v>
      </c>
      <c r="D835" t="s">
        <v>9589</v>
      </c>
      <c r="E835" t="s">
        <v>9589</v>
      </c>
    </row>
    <row r="836" spans="1:5" x14ac:dyDescent="0.45">
      <c r="A836" s="42" t="s">
        <v>431</v>
      </c>
      <c r="B836" t="s">
        <v>432</v>
      </c>
      <c r="C836" t="s">
        <v>9589</v>
      </c>
      <c r="D836" t="s">
        <v>9589</v>
      </c>
      <c r="E836" t="s">
        <v>9589</v>
      </c>
    </row>
    <row r="837" spans="1:5" x14ac:dyDescent="0.45">
      <c r="A837" s="43" t="s">
        <v>11020</v>
      </c>
      <c r="B837" t="s">
        <v>11021</v>
      </c>
      <c r="C837" t="s">
        <v>9589</v>
      </c>
      <c r="D837" t="s">
        <v>9589</v>
      </c>
      <c r="E837" t="s">
        <v>9589</v>
      </c>
    </row>
    <row r="838" spans="1:5" x14ac:dyDescent="0.45">
      <c r="A838" s="42" t="s">
        <v>11022</v>
      </c>
      <c r="B838" t="s">
        <v>11023</v>
      </c>
      <c r="C838" t="s">
        <v>9589</v>
      </c>
      <c r="D838" t="s">
        <v>9589</v>
      </c>
      <c r="E838" t="s">
        <v>9589</v>
      </c>
    </row>
    <row r="839" spans="1:5" x14ac:dyDescent="0.45">
      <c r="A839" s="42" t="s">
        <v>440</v>
      </c>
      <c r="B839" t="s">
        <v>441</v>
      </c>
      <c r="C839" t="s">
        <v>9589</v>
      </c>
      <c r="D839" t="s">
        <v>9589</v>
      </c>
      <c r="E839" t="s">
        <v>9589</v>
      </c>
    </row>
    <row r="840" spans="1:5" x14ac:dyDescent="0.45">
      <c r="A840" s="42" t="s">
        <v>11024</v>
      </c>
      <c r="B840" t="s">
        <v>11025</v>
      </c>
      <c r="C840" t="s">
        <v>9589</v>
      </c>
      <c r="D840" t="s">
        <v>9589</v>
      </c>
      <c r="E840" t="s">
        <v>9589</v>
      </c>
    </row>
    <row r="841" spans="1:5" x14ac:dyDescent="0.45">
      <c r="A841" s="42" t="s">
        <v>11026</v>
      </c>
      <c r="B841" t="s">
        <v>11027</v>
      </c>
      <c r="C841" t="s">
        <v>9589</v>
      </c>
      <c r="D841" t="s">
        <v>9589</v>
      </c>
      <c r="E841" t="s">
        <v>9589</v>
      </c>
    </row>
    <row r="842" spans="1:5" x14ac:dyDescent="0.45">
      <c r="A842" s="42" t="s">
        <v>404</v>
      </c>
      <c r="B842" t="s">
        <v>405</v>
      </c>
      <c r="C842" t="s">
        <v>9589</v>
      </c>
      <c r="D842" t="s">
        <v>9589</v>
      </c>
      <c r="E842" t="s">
        <v>9589</v>
      </c>
    </row>
    <row r="843" spans="1:5" x14ac:dyDescent="0.45">
      <c r="A843" s="42" t="s">
        <v>407</v>
      </c>
      <c r="B843" t="s">
        <v>408</v>
      </c>
      <c r="C843" t="s">
        <v>9589</v>
      </c>
      <c r="D843" t="s">
        <v>9589</v>
      </c>
      <c r="E843" t="s">
        <v>9589</v>
      </c>
    </row>
    <row r="844" spans="1:5" x14ac:dyDescent="0.45">
      <c r="A844" s="42" t="s">
        <v>410</v>
      </c>
      <c r="B844" t="s">
        <v>411</v>
      </c>
      <c r="C844" t="s">
        <v>9589</v>
      </c>
      <c r="D844" t="s">
        <v>9589</v>
      </c>
      <c r="E844" t="s">
        <v>9589</v>
      </c>
    </row>
    <row r="845" spans="1:5" x14ac:dyDescent="0.45">
      <c r="A845" s="42" t="s">
        <v>11028</v>
      </c>
      <c r="B845" t="s">
        <v>11029</v>
      </c>
      <c r="C845" t="s">
        <v>9598</v>
      </c>
      <c r="D845" t="s">
        <v>9598</v>
      </c>
      <c r="E845" t="s">
        <v>9598</v>
      </c>
    </row>
    <row r="846" spans="1:5" x14ac:dyDescent="0.45">
      <c r="A846" s="42" t="s">
        <v>11030</v>
      </c>
      <c r="B846" t="s">
        <v>11031</v>
      </c>
      <c r="C846" t="s">
        <v>9598</v>
      </c>
      <c r="D846" t="s">
        <v>9598</v>
      </c>
      <c r="E846" t="s">
        <v>9598</v>
      </c>
    </row>
    <row r="847" spans="1:5" x14ac:dyDescent="0.45">
      <c r="A847" s="42" t="s">
        <v>11032</v>
      </c>
      <c r="B847" t="s">
        <v>11033</v>
      </c>
      <c r="C847" t="s">
        <v>9598</v>
      </c>
      <c r="D847" t="s">
        <v>9598</v>
      </c>
      <c r="E847" t="s">
        <v>9598</v>
      </c>
    </row>
    <row r="848" spans="1:5" x14ac:dyDescent="0.45">
      <c r="A848" s="42" t="s">
        <v>11034</v>
      </c>
      <c r="B848" t="s">
        <v>11035</v>
      </c>
      <c r="C848" t="s">
        <v>9598</v>
      </c>
      <c r="D848" t="s">
        <v>9598</v>
      </c>
      <c r="E848" t="s">
        <v>9598</v>
      </c>
    </row>
    <row r="849" spans="1:5" x14ac:dyDescent="0.45">
      <c r="A849" s="42" t="s">
        <v>11036</v>
      </c>
      <c r="B849" t="s">
        <v>11037</v>
      </c>
      <c r="C849" t="s">
        <v>9598</v>
      </c>
      <c r="D849" t="s">
        <v>9598</v>
      </c>
      <c r="E849" t="s">
        <v>9598</v>
      </c>
    </row>
    <row r="850" spans="1:5" x14ac:dyDescent="0.45">
      <c r="A850" s="42" t="s">
        <v>11038</v>
      </c>
      <c r="B850" t="s">
        <v>11039</v>
      </c>
      <c r="C850" t="s">
        <v>9598</v>
      </c>
      <c r="D850" t="s">
        <v>9598</v>
      </c>
      <c r="E850" t="s">
        <v>9598</v>
      </c>
    </row>
    <row r="851" spans="1:5" x14ac:dyDescent="0.45">
      <c r="A851" s="42" t="s">
        <v>11040</v>
      </c>
      <c r="B851" t="s">
        <v>11041</v>
      </c>
      <c r="C851" t="s">
        <v>9598</v>
      </c>
      <c r="D851" t="s">
        <v>9598</v>
      </c>
      <c r="E851" t="s">
        <v>9598</v>
      </c>
    </row>
    <row r="852" spans="1:5" x14ac:dyDescent="0.45">
      <c r="A852" s="42" t="s">
        <v>11042</v>
      </c>
      <c r="B852" t="s">
        <v>11043</v>
      </c>
      <c r="C852" t="s">
        <v>9598</v>
      </c>
      <c r="D852" t="s">
        <v>9598</v>
      </c>
      <c r="E852" t="s">
        <v>9598</v>
      </c>
    </row>
    <row r="853" spans="1:5" x14ac:dyDescent="0.45">
      <c r="A853" s="42" t="s">
        <v>11044</v>
      </c>
      <c r="B853" t="s">
        <v>11045</v>
      </c>
      <c r="C853" t="s">
        <v>9589</v>
      </c>
      <c r="D853" t="s">
        <v>9589</v>
      </c>
      <c r="E853" t="s">
        <v>9589</v>
      </c>
    </row>
    <row r="854" spans="1:5" x14ac:dyDescent="0.45">
      <c r="A854" s="42" t="s">
        <v>11046</v>
      </c>
      <c r="B854" t="s">
        <v>11047</v>
      </c>
      <c r="C854" t="s">
        <v>9598</v>
      </c>
      <c r="D854" t="s">
        <v>9598</v>
      </c>
      <c r="E854" t="s">
        <v>9598</v>
      </c>
    </row>
    <row r="855" spans="1:5" x14ac:dyDescent="0.45">
      <c r="A855" s="42" t="s">
        <v>11048</v>
      </c>
      <c r="B855" t="s">
        <v>11049</v>
      </c>
      <c r="C855" t="s">
        <v>9598</v>
      </c>
      <c r="D855" t="s">
        <v>9598</v>
      </c>
      <c r="E855" t="s">
        <v>9598</v>
      </c>
    </row>
    <row r="856" spans="1:5" x14ac:dyDescent="0.45">
      <c r="A856" s="42" t="s">
        <v>11050</v>
      </c>
      <c r="B856" t="s">
        <v>11051</v>
      </c>
      <c r="C856" t="s">
        <v>9589</v>
      </c>
      <c r="D856" t="s">
        <v>9589</v>
      </c>
      <c r="E856" t="s">
        <v>9589</v>
      </c>
    </row>
    <row r="857" spans="1:5" x14ac:dyDescent="0.45">
      <c r="A857" s="42" t="s">
        <v>11052</v>
      </c>
      <c r="B857" t="s">
        <v>11053</v>
      </c>
      <c r="C857" t="s">
        <v>9598</v>
      </c>
      <c r="D857" t="s">
        <v>9598</v>
      </c>
      <c r="E857" t="s">
        <v>9598</v>
      </c>
    </row>
    <row r="858" spans="1:5" x14ac:dyDescent="0.45">
      <c r="A858" s="42" t="s">
        <v>11054</v>
      </c>
      <c r="B858" t="s">
        <v>11055</v>
      </c>
      <c r="C858" t="s">
        <v>9589</v>
      </c>
      <c r="D858" t="s">
        <v>9589</v>
      </c>
      <c r="E858" t="s">
        <v>9589</v>
      </c>
    </row>
    <row r="859" spans="1:5" x14ac:dyDescent="0.45">
      <c r="A859" s="42" t="s">
        <v>11056</v>
      </c>
      <c r="B859" t="s">
        <v>11057</v>
      </c>
      <c r="C859" t="s">
        <v>9598</v>
      </c>
      <c r="D859" t="s">
        <v>9598</v>
      </c>
      <c r="E859" t="s">
        <v>9598</v>
      </c>
    </row>
    <row r="860" spans="1:5" x14ac:dyDescent="0.45">
      <c r="A860" s="42" t="s">
        <v>11058</v>
      </c>
      <c r="B860" t="s">
        <v>11059</v>
      </c>
      <c r="C860" t="s">
        <v>9598</v>
      </c>
      <c r="D860" t="s">
        <v>9598</v>
      </c>
      <c r="E860" t="s">
        <v>9625</v>
      </c>
    </row>
    <row r="861" spans="1:5" x14ac:dyDescent="0.45">
      <c r="A861" s="42" t="s">
        <v>365</v>
      </c>
      <c r="B861" t="s">
        <v>11060</v>
      </c>
      <c r="C861" t="s">
        <v>9598</v>
      </c>
      <c r="D861" t="s">
        <v>9598</v>
      </c>
      <c r="E861" t="s">
        <v>9598</v>
      </c>
    </row>
    <row r="862" spans="1:5" x14ac:dyDescent="0.45">
      <c r="A862" s="42" t="s">
        <v>11061</v>
      </c>
      <c r="B862" t="s">
        <v>11062</v>
      </c>
      <c r="C862" t="s">
        <v>9598</v>
      </c>
      <c r="D862" t="s">
        <v>9598</v>
      </c>
      <c r="E862" t="s">
        <v>9573</v>
      </c>
    </row>
    <row r="863" spans="1:5" x14ac:dyDescent="0.45">
      <c r="A863" s="42" t="s">
        <v>11063</v>
      </c>
      <c r="B863" t="s">
        <v>11064</v>
      </c>
      <c r="C863" t="s">
        <v>9598</v>
      </c>
      <c r="D863" t="s">
        <v>9598</v>
      </c>
      <c r="E863" t="s">
        <v>9573</v>
      </c>
    </row>
    <row r="864" spans="1:5" x14ac:dyDescent="0.45">
      <c r="A864" s="42" t="s">
        <v>11065</v>
      </c>
      <c r="B864" t="s">
        <v>11066</v>
      </c>
      <c r="C864" t="s">
        <v>9598</v>
      </c>
      <c r="D864" t="s">
        <v>9598</v>
      </c>
      <c r="E864" t="s">
        <v>9573</v>
      </c>
    </row>
    <row r="865" spans="1:5" x14ac:dyDescent="0.45">
      <c r="A865" s="42" t="s">
        <v>11067</v>
      </c>
      <c r="B865" t="s">
        <v>11068</v>
      </c>
      <c r="C865" t="s">
        <v>9598</v>
      </c>
      <c r="D865" t="s">
        <v>9598</v>
      </c>
      <c r="E865" t="s">
        <v>9573</v>
      </c>
    </row>
    <row r="866" spans="1:5" x14ac:dyDescent="0.45">
      <c r="A866" s="42" t="s">
        <v>11069</v>
      </c>
      <c r="B866" t="s">
        <v>11070</v>
      </c>
      <c r="C866" t="s">
        <v>9598</v>
      </c>
      <c r="D866" t="s">
        <v>9598</v>
      </c>
      <c r="E866" t="s">
        <v>9573</v>
      </c>
    </row>
    <row r="867" spans="1:5" x14ac:dyDescent="0.45">
      <c r="A867" s="42" t="s">
        <v>11071</v>
      </c>
      <c r="B867" t="s">
        <v>11072</v>
      </c>
      <c r="C867" t="s">
        <v>9598</v>
      </c>
      <c r="D867" t="s">
        <v>9598</v>
      </c>
      <c r="E867" t="s">
        <v>9573</v>
      </c>
    </row>
    <row r="868" spans="1:5" x14ac:dyDescent="0.45">
      <c r="A868" s="42" t="s">
        <v>11073</v>
      </c>
      <c r="B868" t="s">
        <v>11074</v>
      </c>
      <c r="C868" t="s">
        <v>9598</v>
      </c>
      <c r="D868" t="s">
        <v>9598</v>
      </c>
      <c r="E868" t="s">
        <v>9573</v>
      </c>
    </row>
    <row r="869" spans="1:5" x14ac:dyDescent="0.45">
      <c r="A869" s="42" t="s">
        <v>11075</v>
      </c>
      <c r="B869" t="s">
        <v>11076</v>
      </c>
      <c r="C869" t="s">
        <v>9598</v>
      </c>
      <c r="D869" t="s">
        <v>9598</v>
      </c>
      <c r="E869" t="s">
        <v>9573</v>
      </c>
    </row>
    <row r="870" spans="1:5" x14ac:dyDescent="0.45">
      <c r="A870" s="42" t="s">
        <v>11077</v>
      </c>
      <c r="B870" t="s">
        <v>11078</v>
      </c>
      <c r="C870" t="s">
        <v>9598</v>
      </c>
      <c r="D870" t="s">
        <v>9598</v>
      </c>
      <c r="E870" t="s">
        <v>9573</v>
      </c>
    </row>
    <row r="871" spans="1:5" x14ac:dyDescent="0.45">
      <c r="A871" s="42" t="s">
        <v>11079</v>
      </c>
      <c r="B871" t="s">
        <v>11080</v>
      </c>
      <c r="C871" t="s">
        <v>9598</v>
      </c>
      <c r="D871" t="s">
        <v>9598</v>
      </c>
      <c r="E871" t="s">
        <v>9573</v>
      </c>
    </row>
    <row r="872" spans="1:5" x14ac:dyDescent="0.45">
      <c r="A872" s="42" t="s">
        <v>11081</v>
      </c>
      <c r="B872" t="s">
        <v>11082</v>
      </c>
      <c r="C872" t="s">
        <v>9598</v>
      </c>
      <c r="D872" t="s">
        <v>9598</v>
      </c>
      <c r="E872" t="s">
        <v>9573</v>
      </c>
    </row>
    <row r="873" spans="1:5" x14ac:dyDescent="0.45">
      <c r="A873" s="42" t="s">
        <v>200</v>
      </c>
      <c r="B873" t="s">
        <v>201</v>
      </c>
      <c r="C873" t="s">
        <v>9598</v>
      </c>
      <c r="D873" t="s">
        <v>9598</v>
      </c>
      <c r="E873" t="s">
        <v>9573</v>
      </c>
    </row>
    <row r="874" spans="1:5" x14ac:dyDescent="0.45">
      <c r="A874" s="42" t="s">
        <v>11083</v>
      </c>
      <c r="B874" t="s">
        <v>11084</v>
      </c>
      <c r="C874" t="s">
        <v>9598</v>
      </c>
      <c r="D874" t="s">
        <v>9598</v>
      </c>
      <c r="E874" t="s">
        <v>9573</v>
      </c>
    </row>
    <row r="875" spans="1:5" x14ac:dyDescent="0.45">
      <c r="A875" s="42" t="s">
        <v>11085</v>
      </c>
      <c r="B875" t="s">
        <v>11086</v>
      </c>
      <c r="C875" t="s">
        <v>9598</v>
      </c>
      <c r="D875" t="s">
        <v>9598</v>
      </c>
      <c r="E875" t="s">
        <v>9573</v>
      </c>
    </row>
    <row r="876" spans="1:5" x14ac:dyDescent="0.45">
      <c r="A876" s="42" t="s">
        <v>11087</v>
      </c>
      <c r="B876" t="s">
        <v>11088</v>
      </c>
      <c r="C876" t="s">
        <v>9598</v>
      </c>
      <c r="D876" t="s">
        <v>9598</v>
      </c>
      <c r="E876" t="s">
        <v>9573</v>
      </c>
    </row>
    <row r="877" spans="1:5" x14ac:dyDescent="0.45">
      <c r="A877" s="42" t="s">
        <v>11089</v>
      </c>
      <c r="B877" t="s">
        <v>11090</v>
      </c>
      <c r="C877" t="s">
        <v>9598</v>
      </c>
      <c r="D877" t="s">
        <v>9598</v>
      </c>
      <c r="E877" t="s">
        <v>9573</v>
      </c>
    </row>
    <row r="878" spans="1:5" x14ac:dyDescent="0.45">
      <c r="A878" s="42" t="s">
        <v>11091</v>
      </c>
      <c r="B878" t="s">
        <v>11092</v>
      </c>
      <c r="C878" t="s">
        <v>9598</v>
      </c>
      <c r="D878" t="s">
        <v>9598</v>
      </c>
      <c r="E878" t="s">
        <v>9573</v>
      </c>
    </row>
    <row r="879" spans="1:5" x14ac:dyDescent="0.45">
      <c r="A879" s="42" t="s">
        <v>11093</v>
      </c>
      <c r="B879" t="s">
        <v>11094</v>
      </c>
      <c r="C879" t="s">
        <v>9598</v>
      </c>
      <c r="D879" t="s">
        <v>9598</v>
      </c>
      <c r="E879" t="s">
        <v>9573</v>
      </c>
    </row>
    <row r="880" spans="1:5" x14ac:dyDescent="0.45">
      <c r="A880" s="42" t="s">
        <v>11095</v>
      </c>
      <c r="B880" t="s">
        <v>11096</v>
      </c>
      <c r="C880" t="s">
        <v>9598</v>
      </c>
      <c r="D880" t="s">
        <v>9598</v>
      </c>
      <c r="E880" t="s">
        <v>9573</v>
      </c>
    </row>
    <row r="881" spans="1:5" x14ac:dyDescent="0.45">
      <c r="A881" s="42" t="s">
        <v>11097</v>
      </c>
      <c r="B881" t="s">
        <v>11098</v>
      </c>
      <c r="C881" t="s">
        <v>9598</v>
      </c>
      <c r="D881" t="s">
        <v>9598</v>
      </c>
      <c r="E881" t="s">
        <v>9573</v>
      </c>
    </row>
    <row r="882" spans="1:5" x14ac:dyDescent="0.45">
      <c r="A882" s="42" t="s">
        <v>11099</v>
      </c>
      <c r="B882" t="s">
        <v>11100</v>
      </c>
      <c r="C882" t="s">
        <v>9598</v>
      </c>
      <c r="D882" t="s">
        <v>9598</v>
      </c>
      <c r="E882" t="s">
        <v>9573</v>
      </c>
    </row>
    <row r="883" spans="1:5" x14ac:dyDescent="0.45">
      <c r="A883" s="42" t="s">
        <v>11101</v>
      </c>
      <c r="B883" t="s">
        <v>11102</v>
      </c>
      <c r="C883" t="s">
        <v>9598</v>
      </c>
      <c r="D883" t="s">
        <v>9598</v>
      </c>
      <c r="E883" t="s">
        <v>9573</v>
      </c>
    </row>
    <row r="884" spans="1:5" x14ac:dyDescent="0.45">
      <c r="A884" s="42" t="s">
        <v>11103</v>
      </c>
      <c r="B884" t="s">
        <v>11104</v>
      </c>
      <c r="C884" t="s">
        <v>9598</v>
      </c>
      <c r="D884" t="s">
        <v>9598</v>
      </c>
      <c r="E884" t="s">
        <v>9573</v>
      </c>
    </row>
    <row r="885" spans="1:5" x14ac:dyDescent="0.45">
      <c r="A885" s="42" t="s">
        <v>11105</v>
      </c>
      <c r="B885" t="s">
        <v>11106</v>
      </c>
      <c r="C885" t="s">
        <v>9598</v>
      </c>
      <c r="D885" t="s">
        <v>9598</v>
      </c>
      <c r="E885" t="s">
        <v>9573</v>
      </c>
    </row>
    <row r="886" spans="1:5" x14ac:dyDescent="0.45">
      <c r="A886" s="42" t="s">
        <v>11107</v>
      </c>
      <c r="B886" t="s">
        <v>11108</v>
      </c>
      <c r="C886" t="s">
        <v>9598</v>
      </c>
      <c r="D886" t="s">
        <v>9598</v>
      </c>
      <c r="E886" t="s">
        <v>9573</v>
      </c>
    </row>
    <row r="887" spans="1:5" x14ac:dyDescent="0.45">
      <c r="A887" s="42" t="s">
        <v>11109</v>
      </c>
      <c r="B887" t="s">
        <v>11110</v>
      </c>
      <c r="C887" t="s">
        <v>9598</v>
      </c>
      <c r="D887" t="s">
        <v>9598</v>
      </c>
      <c r="E887" t="s">
        <v>9573</v>
      </c>
    </row>
    <row r="888" spans="1:5" x14ac:dyDescent="0.45">
      <c r="A888" s="42" t="s">
        <v>11111</v>
      </c>
      <c r="B888" t="s">
        <v>11112</v>
      </c>
      <c r="C888" t="s">
        <v>9598</v>
      </c>
      <c r="D888" t="s">
        <v>9598</v>
      </c>
      <c r="E888" t="s">
        <v>9573</v>
      </c>
    </row>
    <row r="889" spans="1:5" x14ac:dyDescent="0.45">
      <c r="A889" s="42" t="s">
        <v>11113</v>
      </c>
      <c r="B889" t="s">
        <v>11114</v>
      </c>
      <c r="C889" t="s">
        <v>9598</v>
      </c>
      <c r="D889" t="s">
        <v>9598</v>
      </c>
      <c r="E889" t="s">
        <v>9573</v>
      </c>
    </row>
    <row r="890" spans="1:5" x14ac:dyDescent="0.45">
      <c r="A890" s="42" t="s">
        <v>11115</v>
      </c>
      <c r="B890" t="s">
        <v>11116</v>
      </c>
      <c r="C890" t="s">
        <v>9598</v>
      </c>
      <c r="D890" t="s">
        <v>9598</v>
      </c>
      <c r="E890" t="s">
        <v>9573</v>
      </c>
    </row>
    <row r="891" spans="1:5" x14ac:dyDescent="0.45">
      <c r="A891" s="42" t="s">
        <v>11117</v>
      </c>
      <c r="B891" t="s">
        <v>11118</v>
      </c>
      <c r="C891" t="s">
        <v>9598</v>
      </c>
      <c r="D891" t="s">
        <v>9598</v>
      </c>
      <c r="E891" t="s">
        <v>9573</v>
      </c>
    </row>
    <row r="892" spans="1:5" x14ac:dyDescent="0.45">
      <c r="A892" s="42" t="s">
        <v>11119</v>
      </c>
      <c r="B892" t="s">
        <v>11120</v>
      </c>
      <c r="C892" t="s">
        <v>9598</v>
      </c>
      <c r="D892" t="s">
        <v>9598</v>
      </c>
      <c r="E892" t="s">
        <v>9573</v>
      </c>
    </row>
    <row r="893" spans="1:5" x14ac:dyDescent="0.45">
      <c r="A893" s="42" t="s">
        <v>11121</v>
      </c>
      <c r="B893" t="s">
        <v>11122</v>
      </c>
      <c r="C893" t="s">
        <v>9598</v>
      </c>
      <c r="D893" t="s">
        <v>9598</v>
      </c>
      <c r="E893" t="s">
        <v>9573</v>
      </c>
    </row>
    <row r="894" spans="1:5" x14ac:dyDescent="0.45">
      <c r="A894" s="42" t="s">
        <v>11123</v>
      </c>
      <c r="B894" t="s">
        <v>11124</v>
      </c>
      <c r="C894" t="s">
        <v>9598</v>
      </c>
      <c r="D894" t="s">
        <v>9598</v>
      </c>
      <c r="E894" t="s">
        <v>9573</v>
      </c>
    </row>
    <row r="895" spans="1:5" x14ac:dyDescent="0.45">
      <c r="A895" s="42" t="s">
        <v>11125</v>
      </c>
      <c r="B895" t="s">
        <v>11126</v>
      </c>
      <c r="C895" t="s">
        <v>9598</v>
      </c>
      <c r="D895" t="s">
        <v>9598</v>
      </c>
      <c r="E895" t="s">
        <v>9573</v>
      </c>
    </row>
    <row r="896" spans="1:5" x14ac:dyDescent="0.45">
      <c r="A896" s="42" t="s">
        <v>11127</v>
      </c>
      <c r="B896" t="s">
        <v>11128</v>
      </c>
      <c r="C896" t="s">
        <v>9598</v>
      </c>
      <c r="D896" t="s">
        <v>9598</v>
      </c>
      <c r="E896" t="s">
        <v>9573</v>
      </c>
    </row>
    <row r="897" spans="1:5" x14ac:dyDescent="0.45">
      <c r="A897" s="42" t="s">
        <v>11129</v>
      </c>
      <c r="B897" t="s">
        <v>11130</v>
      </c>
      <c r="C897" t="s">
        <v>9598</v>
      </c>
      <c r="D897" t="s">
        <v>9598</v>
      </c>
      <c r="E897" t="s">
        <v>9573</v>
      </c>
    </row>
    <row r="898" spans="1:5" x14ac:dyDescent="0.45">
      <c r="A898" s="42" t="s">
        <v>11131</v>
      </c>
      <c r="B898" t="s">
        <v>11132</v>
      </c>
      <c r="C898" t="s">
        <v>9598</v>
      </c>
      <c r="D898" t="s">
        <v>9598</v>
      </c>
      <c r="E898" t="s">
        <v>9573</v>
      </c>
    </row>
    <row r="899" spans="1:5" x14ac:dyDescent="0.45">
      <c r="A899" s="42" t="s">
        <v>287</v>
      </c>
      <c r="B899" t="s">
        <v>11133</v>
      </c>
      <c r="C899" t="s">
        <v>9598</v>
      </c>
      <c r="D899" t="s">
        <v>9598</v>
      </c>
      <c r="E899" t="s">
        <v>9573</v>
      </c>
    </row>
    <row r="900" spans="1:5" x14ac:dyDescent="0.45">
      <c r="A900" s="42" t="s">
        <v>11134</v>
      </c>
      <c r="B900" t="s">
        <v>11135</v>
      </c>
      <c r="C900" t="s">
        <v>9598</v>
      </c>
      <c r="D900" t="s">
        <v>9598</v>
      </c>
      <c r="E900" t="s">
        <v>9573</v>
      </c>
    </row>
    <row r="901" spans="1:5" x14ac:dyDescent="0.45">
      <c r="A901" s="42" t="s">
        <v>11136</v>
      </c>
      <c r="B901" t="s">
        <v>11137</v>
      </c>
      <c r="C901" t="s">
        <v>9598</v>
      </c>
      <c r="D901" t="s">
        <v>9598</v>
      </c>
      <c r="E901" t="s">
        <v>9573</v>
      </c>
    </row>
    <row r="902" spans="1:5" x14ac:dyDescent="0.45">
      <c r="A902" s="42" t="s">
        <v>11138</v>
      </c>
      <c r="B902" t="s">
        <v>11139</v>
      </c>
      <c r="C902" t="s">
        <v>9598</v>
      </c>
      <c r="D902" t="s">
        <v>9598</v>
      </c>
      <c r="E902" t="s">
        <v>9573</v>
      </c>
    </row>
    <row r="903" spans="1:5" x14ac:dyDescent="0.45">
      <c r="A903" s="42" t="s">
        <v>245</v>
      </c>
      <c r="B903" t="s">
        <v>246</v>
      </c>
      <c r="C903" t="s">
        <v>9598</v>
      </c>
      <c r="D903" t="s">
        <v>9598</v>
      </c>
      <c r="E903" t="s">
        <v>9573</v>
      </c>
    </row>
    <row r="904" spans="1:5" x14ac:dyDescent="0.45">
      <c r="A904" s="42" t="s">
        <v>11140</v>
      </c>
      <c r="B904" t="s">
        <v>11141</v>
      </c>
      <c r="C904" t="s">
        <v>9598</v>
      </c>
      <c r="D904" t="s">
        <v>9598</v>
      </c>
      <c r="E904" t="s">
        <v>9573</v>
      </c>
    </row>
    <row r="905" spans="1:5" x14ac:dyDescent="0.45">
      <c r="A905" s="42" t="s">
        <v>11142</v>
      </c>
      <c r="B905" t="s">
        <v>11143</v>
      </c>
      <c r="C905" t="s">
        <v>9598</v>
      </c>
      <c r="D905" t="s">
        <v>9598</v>
      </c>
      <c r="E905" t="s">
        <v>9573</v>
      </c>
    </row>
    <row r="906" spans="1:5" x14ac:dyDescent="0.45">
      <c r="A906" s="42" t="s">
        <v>11144</v>
      </c>
      <c r="B906" t="s">
        <v>11145</v>
      </c>
      <c r="C906" t="s">
        <v>9598</v>
      </c>
      <c r="D906" t="s">
        <v>9598</v>
      </c>
      <c r="E906" t="s">
        <v>9573</v>
      </c>
    </row>
    <row r="907" spans="1:5" x14ac:dyDescent="0.45">
      <c r="A907" s="42" t="s">
        <v>11146</v>
      </c>
      <c r="B907" t="s">
        <v>11147</v>
      </c>
      <c r="C907" t="s">
        <v>9598</v>
      </c>
      <c r="D907" t="s">
        <v>9598</v>
      </c>
      <c r="E907" t="s">
        <v>9573</v>
      </c>
    </row>
    <row r="908" spans="1:5" x14ac:dyDescent="0.45">
      <c r="A908" s="42" t="s">
        <v>11148</v>
      </c>
      <c r="B908" t="s">
        <v>11149</v>
      </c>
      <c r="C908" t="s">
        <v>9598</v>
      </c>
      <c r="D908" t="s">
        <v>9598</v>
      </c>
      <c r="E908" t="s">
        <v>9573</v>
      </c>
    </row>
    <row r="909" spans="1:5" x14ac:dyDescent="0.45">
      <c r="A909" s="42" t="s">
        <v>11150</v>
      </c>
      <c r="B909" t="s">
        <v>11151</v>
      </c>
      <c r="C909" t="s">
        <v>9598</v>
      </c>
      <c r="D909" t="s">
        <v>9598</v>
      </c>
      <c r="E909" t="s">
        <v>9573</v>
      </c>
    </row>
    <row r="910" spans="1:5" x14ac:dyDescent="0.45">
      <c r="A910" s="42" t="s">
        <v>11152</v>
      </c>
      <c r="B910" t="s">
        <v>11153</v>
      </c>
      <c r="C910" t="s">
        <v>9598</v>
      </c>
      <c r="D910" t="s">
        <v>9598</v>
      </c>
      <c r="E910" t="s">
        <v>9573</v>
      </c>
    </row>
    <row r="911" spans="1:5" x14ac:dyDescent="0.45">
      <c r="A911" s="42" t="s">
        <v>11154</v>
      </c>
      <c r="B911" t="s">
        <v>11155</v>
      </c>
      <c r="C911" t="s">
        <v>9598</v>
      </c>
      <c r="D911" t="s">
        <v>9598</v>
      </c>
      <c r="E911" t="s">
        <v>9573</v>
      </c>
    </row>
    <row r="912" spans="1:5" x14ac:dyDescent="0.45">
      <c r="A912" s="42" t="s">
        <v>11156</v>
      </c>
      <c r="B912" t="s">
        <v>11157</v>
      </c>
      <c r="C912" t="s">
        <v>9598</v>
      </c>
      <c r="D912" t="s">
        <v>9598</v>
      </c>
      <c r="E912" t="s">
        <v>9573</v>
      </c>
    </row>
    <row r="913" spans="1:5" x14ac:dyDescent="0.45">
      <c r="A913" s="42" t="s">
        <v>11158</v>
      </c>
      <c r="B913" t="s">
        <v>11159</v>
      </c>
      <c r="C913" t="s">
        <v>9598</v>
      </c>
      <c r="D913" t="s">
        <v>9598</v>
      </c>
      <c r="E913" t="s">
        <v>9573</v>
      </c>
    </row>
    <row r="914" spans="1:5" x14ac:dyDescent="0.45">
      <c r="A914" s="42" t="s">
        <v>11160</v>
      </c>
      <c r="B914" t="s">
        <v>11161</v>
      </c>
      <c r="C914" t="s">
        <v>9598</v>
      </c>
      <c r="D914" t="s">
        <v>9598</v>
      </c>
      <c r="E914" t="s">
        <v>9573</v>
      </c>
    </row>
    <row r="915" spans="1:5" x14ac:dyDescent="0.45">
      <c r="A915" s="42" t="s">
        <v>11162</v>
      </c>
      <c r="B915" t="s">
        <v>11163</v>
      </c>
      <c r="C915" t="s">
        <v>9598</v>
      </c>
      <c r="D915" t="s">
        <v>9598</v>
      </c>
      <c r="E915" t="s">
        <v>9573</v>
      </c>
    </row>
    <row r="916" spans="1:5" x14ac:dyDescent="0.45">
      <c r="A916" s="42" t="s">
        <v>11164</v>
      </c>
      <c r="B916" t="s">
        <v>11165</v>
      </c>
      <c r="C916" t="s">
        <v>9598</v>
      </c>
      <c r="D916" t="s">
        <v>9598</v>
      </c>
      <c r="E916" t="s">
        <v>9573</v>
      </c>
    </row>
    <row r="917" spans="1:5" x14ac:dyDescent="0.45">
      <c r="A917" s="42" t="s">
        <v>293</v>
      </c>
      <c r="B917" t="s">
        <v>294</v>
      </c>
      <c r="C917" t="s">
        <v>9598</v>
      </c>
      <c r="D917" t="s">
        <v>9598</v>
      </c>
      <c r="E917" t="s">
        <v>9573</v>
      </c>
    </row>
    <row r="918" spans="1:5" x14ac:dyDescent="0.45">
      <c r="A918" s="42" t="s">
        <v>11166</v>
      </c>
      <c r="B918" t="s">
        <v>11167</v>
      </c>
      <c r="C918" t="s">
        <v>9598</v>
      </c>
      <c r="D918" t="s">
        <v>9598</v>
      </c>
      <c r="E918" t="s">
        <v>9573</v>
      </c>
    </row>
    <row r="919" spans="1:5" x14ac:dyDescent="0.45">
      <c r="A919" s="42" t="s">
        <v>11168</v>
      </c>
      <c r="B919" t="s">
        <v>11169</v>
      </c>
      <c r="C919" t="s">
        <v>9598</v>
      </c>
      <c r="D919" t="s">
        <v>9598</v>
      </c>
      <c r="E919" t="s">
        <v>9573</v>
      </c>
    </row>
    <row r="920" spans="1:5" x14ac:dyDescent="0.45">
      <c r="A920" s="42" t="s">
        <v>11170</v>
      </c>
      <c r="B920" t="s">
        <v>11171</v>
      </c>
      <c r="C920" t="s">
        <v>9598</v>
      </c>
      <c r="D920" t="s">
        <v>9598</v>
      </c>
      <c r="E920" t="s">
        <v>9573</v>
      </c>
    </row>
    <row r="921" spans="1:5" x14ac:dyDescent="0.45">
      <c r="A921" s="42" t="s">
        <v>11172</v>
      </c>
      <c r="B921" t="s">
        <v>11173</v>
      </c>
      <c r="C921" t="s">
        <v>9598</v>
      </c>
      <c r="D921" t="s">
        <v>9598</v>
      </c>
      <c r="E921" t="s">
        <v>9573</v>
      </c>
    </row>
    <row r="922" spans="1:5" x14ac:dyDescent="0.45">
      <c r="A922" s="42" t="s">
        <v>11174</v>
      </c>
      <c r="B922" t="s">
        <v>11175</v>
      </c>
      <c r="C922" t="s">
        <v>9598</v>
      </c>
      <c r="D922" t="s">
        <v>9598</v>
      </c>
      <c r="E922" t="s">
        <v>9573</v>
      </c>
    </row>
    <row r="923" spans="1:5" x14ac:dyDescent="0.45">
      <c r="A923" s="42" t="s">
        <v>11176</v>
      </c>
      <c r="B923" t="s">
        <v>11177</v>
      </c>
      <c r="C923" t="s">
        <v>9598</v>
      </c>
      <c r="D923" t="s">
        <v>9598</v>
      </c>
      <c r="E923" t="s">
        <v>9573</v>
      </c>
    </row>
    <row r="924" spans="1:5" x14ac:dyDescent="0.45">
      <c r="A924" s="42" t="s">
        <v>67</v>
      </c>
      <c r="B924" t="s">
        <v>68</v>
      </c>
      <c r="C924" t="s">
        <v>9598</v>
      </c>
      <c r="D924" t="s">
        <v>9598</v>
      </c>
      <c r="E924" t="s">
        <v>9573</v>
      </c>
    </row>
    <row r="925" spans="1:5" x14ac:dyDescent="0.45">
      <c r="A925" s="42" t="s">
        <v>11178</v>
      </c>
      <c r="B925" t="s">
        <v>11179</v>
      </c>
      <c r="C925" t="s">
        <v>9598</v>
      </c>
      <c r="D925" t="s">
        <v>9598</v>
      </c>
      <c r="E925" t="s">
        <v>9573</v>
      </c>
    </row>
    <row r="926" spans="1:5" x14ac:dyDescent="0.45">
      <c r="A926" s="42" t="s">
        <v>11180</v>
      </c>
      <c r="B926" t="s">
        <v>11181</v>
      </c>
      <c r="C926" t="s">
        <v>9598</v>
      </c>
      <c r="D926" t="s">
        <v>9598</v>
      </c>
      <c r="E926" t="s">
        <v>9573</v>
      </c>
    </row>
    <row r="927" spans="1:5" x14ac:dyDescent="0.45">
      <c r="A927" s="42" t="s">
        <v>11182</v>
      </c>
      <c r="B927" t="s">
        <v>11183</v>
      </c>
      <c r="C927" t="s">
        <v>9598</v>
      </c>
      <c r="D927" t="s">
        <v>9598</v>
      </c>
      <c r="E927" t="s">
        <v>9573</v>
      </c>
    </row>
    <row r="928" spans="1:5" x14ac:dyDescent="0.45">
      <c r="A928" s="42" t="s">
        <v>11184</v>
      </c>
      <c r="B928" t="s">
        <v>11185</v>
      </c>
      <c r="C928" t="s">
        <v>9598</v>
      </c>
      <c r="D928" t="s">
        <v>9598</v>
      </c>
      <c r="E928" t="s">
        <v>9573</v>
      </c>
    </row>
    <row r="929" spans="1:5" x14ac:dyDescent="0.45">
      <c r="A929" s="42" t="s">
        <v>11186</v>
      </c>
      <c r="B929" t="s">
        <v>11187</v>
      </c>
      <c r="C929" t="s">
        <v>9598</v>
      </c>
      <c r="D929" t="s">
        <v>9598</v>
      </c>
      <c r="E929" t="s">
        <v>9573</v>
      </c>
    </row>
    <row r="930" spans="1:5" x14ac:dyDescent="0.45">
      <c r="A930" s="42" t="s">
        <v>11188</v>
      </c>
      <c r="B930" t="s">
        <v>11189</v>
      </c>
      <c r="C930" t="s">
        <v>9598</v>
      </c>
      <c r="D930" t="s">
        <v>9598</v>
      </c>
      <c r="E930" t="s">
        <v>9573</v>
      </c>
    </row>
    <row r="931" spans="1:5" x14ac:dyDescent="0.45">
      <c r="A931" s="42" t="s">
        <v>11190</v>
      </c>
      <c r="B931" t="s">
        <v>11191</v>
      </c>
      <c r="C931" t="s">
        <v>9598</v>
      </c>
      <c r="D931" t="s">
        <v>9598</v>
      </c>
      <c r="E931" t="s">
        <v>9573</v>
      </c>
    </row>
    <row r="932" spans="1:5" x14ac:dyDescent="0.45">
      <c r="A932" s="42" t="s">
        <v>11192</v>
      </c>
      <c r="B932" t="s">
        <v>11193</v>
      </c>
      <c r="C932" t="s">
        <v>9598</v>
      </c>
      <c r="D932" t="s">
        <v>9598</v>
      </c>
      <c r="E932" t="s">
        <v>9573</v>
      </c>
    </row>
    <row r="933" spans="1:5" x14ac:dyDescent="0.45">
      <c r="A933" s="42" t="s">
        <v>11194</v>
      </c>
      <c r="B933" t="s">
        <v>11195</v>
      </c>
      <c r="C933" t="s">
        <v>9598</v>
      </c>
      <c r="D933" t="s">
        <v>9598</v>
      </c>
      <c r="E933" t="s">
        <v>9573</v>
      </c>
    </row>
    <row r="934" spans="1:5" x14ac:dyDescent="0.45">
      <c r="A934" s="42" t="s">
        <v>11196</v>
      </c>
      <c r="B934" t="s">
        <v>11197</v>
      </c>
      <c r="C934" t="s">
        <v>9598</v>
      </c>
      <c r="D934" t="s">
        <v>9598</v>
      </c>
      <c r="E934" t="s">
        <v>9573</v>
      </c>
    </row>
    <row r="935" spans="1:5" x14ac:dyDescent="0.45">
      <c r="A935" s="42" t="s">
        <v>11198</v>
      </c>
      <c r="B935" t="s">
        <v>11199</v>
      </c>
      <c r="C935" t="s">
        <v>9598</v>
      </c>
      <c r="D935" t="s">
        <v>9598</v>
      </c>
      <c r="E935" t="s">
        <v>9573</v>
      </c>
    </row>
    <row r="936" spans="1:5" x14ac:dyDescent="0.45">
      <c r="A936" s="42" t="s">
        <v>11200</v>
      </c>
      <c r="B936" t="s">
        <v>11201</v>
      </c>
      <c r="C936" t="s">
        <v>9598</v>
      </c>
      <c r="D936" t="s">
        <v>9598</v>
      </c>
      <c r="E936" t="s">
        <v>9573</v>
      </c>
    </row>
    <row r="937" spans="1:5" x14ac:dyDescent="0.45">
      <c r="A937" s="42" t="s">
        <v>11202</v>
      </c>
      <c r="B937" t="s">
        <v>11203</v>
      </c>
      <c r="C937" t="s">
        <v>9598</v>
      </c>
      <c r="D937" t="s">
        <v>9598</v>
      </c>
      <c r="E937" t="s">
        <v>9573</v>
      </c>
    </row>
    <row r="938" spans="1:5" x14ac:dyDescent="0.45">
      <c r="A938" s="42" t="s">
        <v>11204</v>
      </c>
      <c r="B938" t="s">
        <v>11205</v>
      </c>
      <c r="C938" t="s">
        <v>9598</v>
      </c>
      <c r="D938" t="s">
        <v>9598</v>
      </c>
      <c r="E938" t="s">
        <v>9573</v>
      </c>
    </row>
    <row r="939" spans="1:5" x14ac:dyDescent="0.45">
      <c r="A939" s="42" t="s">
        <v>11206</v>
      </c>
      <c r="B939" t="s">
        <v>11207</v>
      </c>
      <c r="C939" t="s">
        <v>9598</v>
      </c>
      <c r="D939" t="s">
        <v>9598</v>
      </c>
      <c r="E939" t="s">
        <v>9573</v>
      </c>
    </row>
    <row r="940" spans="1:5" x14ac:dyDescent="0.45">
      <c r="A940" s="42" t="s">
        <v>11208</v>
      </c>
      <c r="B940" t="s">
        <v>11209</v>
      </c>
      <c r="C940" t="s">
        <v>9598</v>
      </c>
      <c r="D940" t="s">
        <v>9598</v>
      </c>
      <c r="E940" t="s">
        <v>9573</v>
      </c>
    </row>
    <row r="941" spans="1:5" x14ac:dyDescent="0.45">
      <c r="A941" s="42" t="s">
        <v>11210</v>
      </c>
      <c r="B941" t="s">
        <v>11211</v>
      </c>
      <c r="C941" t="s">
        <v>9598</v>
      </c>
      <c r="D941" t="s">
        <v>9598</v>
      </c>
      <c r="E941" t="s">
        <v>9573</v>
      </c>
    </row>
    <row r="942" spans="1:5" x14ac:dyDescent="0.45">
      <c r="A942" s="42" t="s">
        <v>11212</v>
      </c>
      <c r="B942" t="s">
        <v>11213</v>
      </c>
      <c r="C942" t="s">
        <v>9598</v>
      </c>
      <c r="D942" t="s">
        <v>9598</v>
      </c>
      <c r="E942" t="s">
        <v>9573</v>
      </c>
    </row>
    <row r="943" spans="1:5" x14ac:dyDescent="0.45">
      <c r="A943" s="42" t="s">
        <v>11214</v>
      </c>
      <c r="B943" t="s">
        <v>11215</v>
      </c>
      <c r="C943" t="s">
        <v>9598</v>
      </c>
      <c r="D943" t="s">
        <v>9598</v>
      </c>
      <c r="E943" t="s">
        <v>9573</v>
      </c>
    </row>
    <row r="944" spans="1:5" x14ac:dyDescent="0.45">
      <c r="A944" s="42" t="s">
        <v>11216</v>
      </c>
      <c r="B944" t="s">
        <v>11217</v>
      </c>
      <c r="C944" t="s">
        <v>9598</v>
      </c>
      <c r="D944" t="s">
        <v>9598</v>
      </c>
      <c r="E944" t="s">
        <v>9573</v>
      </c>
    </row>
    <row r="945" spans="1:10" x14ac:dyDescent="0.45">
      <c r="A945" s="42" t="s">
        <v>11218</v>
      </c>
      <c r="B945" t="s">
        <v>11219</v>
      </c>
      <c r="C945" t="s">
        <v>9598</v>
      </c>
      <c r="D945" t="s">
        <v>9598</v>
      </c>
      <c r="E945" t="s">
        <v>9573</v>
      </c>
    </row>
    <row r="946" spans="1:10" x14ac:dyDescent="0.45">
      <c r="A946" s="42" t="s">
        <v>11220</v>
      </c>
      <c r="B946" t="s">
        <v>11221</v>
      </c>
      <c r="C946" t="s">
        <v>9598</v>
      </c>
      <c r="D946" t="s">
        <v>9598</v>
      </c>
      <c r="E946" t="s">
        <v>9573</v>
      </c>
    </row>
    <row r="947" spans="1:10" x14ac:dyDescent="0.45">
      <c r="A947" s="42" t="s">
        <v>11222</v>
      </c>
      <c r="B947" t="s">
        <v>11223</v>
      </c>
      <c r="C947" t="s">
        <v>9598</v>
      </c>
      <c r="D947" t="s">
        <v>9598</v>
      </c>
      <c r="E947" t="s">
        <v>9573</v>
      </c>
    </row>
    <row r="948" spans="1:10" ht="18" x14ac:dyDescent="0.45">
      <c r="A948" s="42" t="s">
        <v>11224</v>
      </c>
      <c r="B948" t="s">
        <v>11225</v>
      </c>
      <c r="C948" t="s">
        <v>9598</v>
      </c>
      <c r="D948" t="s">
        <v>9598</v>
      </c>
      <c r="E948" t="s">
        <v>9573</v>
      </c>
      <c r="J948" s="40"/>
    </row>
    <row r="949" spans="1:10" x14ac:dyDescent="0.45">
      <c r="A949" s="42" t="s">
        <v>11226</v>
      </c>
      <c r="B949" t="s">
        <v>11227</v>
      </c>
      <c r="C949" t="s">
        <v>9598</v>
      </c>
      <c r="D949" t="s">
        <v>9598</v>
      </c>
      <c r="E949" t="s">
        <v>9598</v>
      </c>
    </row>
    <row r="950" spans="1:10" x14ac:dyDescent="0.45">
      <c r="A950" s="42" t="s">
        <v>11228</v>
      </c>
      <c r="B950" t="s">
        <v>11229</v>
      </c>
      <c r="C950" t="s">
        <v>9598</v>
      </c>
      <c r="D950" t="s">
        <v>9598</v>
      </c>
      <c r="E950" t="s">
        <v>9598</v>
      </c>
    </row>
    <row r="951" spans="1:10" x14ac:dyDescent="0.45">
      <c r="A951" s="42" t="s">
        <v>11230</v>
      </c>
      <c r="B951" t="s">
        <v>11231</v>
      </c>
      <c r="C951" t="s">
        <v>9598</v>
      </c>
      <c r="D951" t="s">
        <v>9598</v>
      </c>
      <c r="E951" t="s">
        <v>9598</v>
      </c>
    </row>
    <row r="952" spans="1:10" x14ac:dyDescent="0.45">
      <c r="A952" s="42" t="s">
        <v>11232</v>
      </c>
      <c r="B952" t="s">
        <v>11233</v>
      </c>
      <c r="C952" t="s">
        <v>9598</v>
      </c>
      <c r="D952" t="s">
        <v>9598</v>
      </c>
      <c r="E952" t="s">
        <v>9598</v>
      </c>
    </row>
    <row r="953" spans="1:10" x14ac:dyDescent="0.45">
      <c r="A953" s="42" t="s">
        <v>11234</v>
      </c>
      <c r="B953" t="s">
        <v>11235</v>
      </c>
      <c r="C953" t="s">
        <v>9598</v>
      </c>
      <c r="D953" t="s">
        <v>9598</v>
      </c>
      <c r="E953" t="s">
        <v>9598</v>
      </c>
    </row>
    <row r="954" spans="1:10" x14ac:dyDescent="0.45">
      <c r="A954" s="42" t="s">
        <v>11236</v>
      </c>
      <c r="B954" t="s">
        <v>11237</v>
      </c>
      <c r="C954" t="s">
        <v>9598</v>
      </c>
      <c r="D954" t="s">
        <v>9598</v>
      </c>
      <c r="E954" t="s">
        <v>9625</v>
      </c>
    </row>
    <row r="955" spans="1:10" x14ac:dyDescent="0.45">
      <c r="A955" s="42" t="s">
        <v>11238</v>
      </c>
      <c r="B955" t="s">
        <v>11239</v>
      </c>
      <c r="C955" t="s">
        <v>9598</v>
      </c>
      <c r="D955" t="s">
        <v>9762</v>
      </c>
      <c r="E955" t="s">
        <v>9598</v>
      </c>
    </row>
    <row r="956" spans="1:10" x14ac:dyDescent="0.45">
      <c r="A956" s="42" t="s">
        <v>11240</v>
      </c>
      <c r="B956" t="s">
        <v>11241</v>
      </c>
      <c r="C956" t="s">
        <v>9598</v>
      </c>
      <c r="D956" t="s">
        <v>9598</v>
      </c>
      <c r="E956" t="s">
        <v>9598</v>
      </c>
    </row>
    <row r="957" spans="1:10" x14ac:dyDescent="0.45">
      <c r="A957" s="42" t="s">
        <v>11242</v>
      </c>
      <c r="B957" t="s">
        <v>11243</v>
      </c>
      <c r="C957" t="s">
        <v>9598</v>
      </c>
      <c r="D957" t="s">
        <v>9598</v>
      </c>
      <c r="E957" t="s">
        <v>9598</v>
      </c>
    </row>
    <row r="958" spans="1:10" x14ac:dyDescent="0.45">
      <c r="A958" s="42" t="s">
        <v>11244</v>
      </c>
      <c r="B958" t="s">
        <v>11245</v>
      </c>
      <c r="C958" t="s">
        <v>9598</v>
      </c>
      <c r="D958" t="s">
        <v>9598</v>
      </c>
      <c r="E958" t="s">
        <v>9598</v>
      </c>
    </row>
    <row r="959" spans="1:10" x14ac:dyDescent="0.45">
      <c r="A959" s="42" t="s">
        <v>11246</v>
      </c>
      <c r="B959" t="s">
        <v>11247</v>
      </c>
      <c r="C959" t="s">
        <v>9589</v>
      </c>
      <c r="D959" t="s">
        <v>9589</v>
      </c>
      <c r="E959" t="s">
        <v>9589</v>
      </c>
    </row>
    <row r="960" spans="1:10" x14ac:dyDescent="0.45">
      <c r="A960" s="42" t="s">
        <v>11248</v>
      </c>
      <c r="B960" t="s">
        <v>11249</v>
      </c>
      <c r="C960" t="s">
        <v>9598</v>
      </c>
      <c r="D960" t="s">
        <v>9598</v>
      </c>
      <c r="E960" t="s">
        <v>9598</v>
      </c>
    </row>
    <row r="961" spans="1:5" x14ac:dyDescent="0.45">
      <c r="A961" s="42" t="s">
        <v>11250</v>
      </c>
      <c r="B961" t="s">
        <v>11251</v>
      </c>
      <c r="C961" t="s">
        <v>9598</v>
      </c>
      <c r="D961" t="s">
        <v>9598</v>
      </c>
      <c r="E961" t="s">
        <v>9625</v>
      </c>
    </row>
    <row r="962" spans="1:5" x14ac:dyDescent="0.45">
      <c r="A962" s="42" t="s">
        <v>11252</v>
      </c>
      <c r="B962" t="s">
        <v>11253</v>
      </c>
      <c r="C962" t="s">
        <v>9598</v>
      </c>
      <c r="D962" t="s">
        <v>9598</v>
      </c>
      <c r="E962" t="s">
        <v>9625</v>
      </c>
    </row>
    <row r="963" spans="1:5" x14ac:dyDescent="0.45">
      <c r="A963" s="42" t="s">
        <v>11254</v>
      </c>
      <c r="B963" t="s">
        <v>11255</v>
      </c>
      <c r="C963" t="s">
        <v>9598</v>
      </c>
      <c r="D963" t="s">
        <v>9598</v>
      </c>
      <c r="E963" t="s">
        <v>9625</v>
      </c>
    </row>
    <row r="964" spans="1:5" x14ac:dyDescent="0.45">
      <c r="A964" s="42" t="s">
        <v>11256</v>
      </c>
      <c r="B964" t="s">
        <v>11257</v>
      </c>
      <c r="C964" t="s">
        <v>9598</v>
      </c>
      <c r="D964" t="s">
        <v>9598</v>
      </c>
      <c r="E964" t="s">
        <v>9625</v>
      </c>
    </row>
    <row r="965" spans="1:5" x14ac:dyDescent="0.45">
      <c r="A965" s="42" t="s">
        <v>11258</v>
      </c>
      <c r="B965" t="s">
        <v>11259</v>
      </c>
      <c r="C965" t="s">
        <v>9598</v>
      </c>
      <c r="D965" t="s">
        <v>9598</v>
      </c>
      <c r="E965" t="s">
        <v>9625</v>
      </c>
    </row>
    <row r="966" spans="1:5" x14ac:dyDescent="0.45">
      <c r="A966" s="42" t="s">
        <v>11260</v>
      </c>
      <c r="B966" t="s">
        <v>11261</v>
      </c>
      <c r="C966" t="s">
        <v>9598</v>
      </c>
      <c r="D966" t="s">
        <v>9598</v>
      </c>
      <c r="E966" t="s">
        <v>9598</v>
      </c>
    </row>
    <row r="967" spans="1:5" x14ac:dyDescent="0.45">
      <c r="A967" s="42" t="s">
        <v>11262</v>
      </c>
      <c r="B967" t="s">
        <v>11263</v>
      </c>
      <c r="C967" t="s">
        <v>9598</v>
      </c>
      <c r="D967" t="s">
        <v>9598</v>
      </c>
      <c r="E967" t="s">
        <v>9598</v>
      </c>
    </row>
    <row r="968" spans="1:5" x14ac:dyDescent="0.45">
      <c r="A968" s="42" t="s">
        <v>483</v>
      </c>
      <c r="B968" t="s">
        <v>484</v>
      </c>
      <c r="C968" t="s">
        <v>9589</v>
      </c>
      <c r="D968" t="s">
        <v>9589</v>
      </c>
      <c r="E968" t="s">
        <v>9589</v>
      </c>
    </row>
    <row r="969" spans="1:5" x14ac:dyDescent="0.45">
      <c r="A969" s="42" t="s">
        <v>11264</v>
      </c>
      <c r="B969" t="s">
        <v>11265</v>
      </c>
      <c r="C969" t="s">
        <v>9598</v>
      </c>
      <c r="D969" t="s">
        <v>9598</v>
      </c>
      <c r="E969" t="s">
        <v>9598</v>
      </c>
    </row>
    <row r="970" spans="1:5" x14ac:dyDescent="0.45">
      <c r="A970" s="42" t="s">
        <v>11266</v>
      </c>
      <c r="B970" t="s">
        <v>11267</v>
      </c>
      <c r="C970" t="s">
        <v>9598</v>
      </c>
      <c r="D970" t="s">
        <v>9598</v>
      </c>
      <c r="E970" t="s">
        <v>9598</v>
      </c>
    </row>
    <row r="971" spans="1:5" x14ac:dyDescent="0.45">
      <c r="A971" s="42" t="s">
        <v>11268</v>
      </c>
      <c r="B971" t="s">
        <v>11269</v>
      </c>
      <c r="C971" t="s">
        <v>9598</v>
      </c>
      <c r="D971" t="s">
        <v>9598</v>
      </c>
      <c r="E971" t="s">
        <v>9598</v>
      </c>
    </row>
    <row r="972" spans="1:5" x14ac:dyDescent="0.45">
      <c r="A972" s="42" t="s">
        <v>11270</v>
      </c>
      <c r="B972" t="s">
        <v>11271</v>
      </c>
      <c r="C972" t="s">
        <v>9598</v>
      </c>
      <c r="D972" t="s">
        <v>9598</v>
      </c>
      <c r="E972" t="s">
        <v>9598</v>
      </c>
    </row>
    <row r="973" spans="1:5" x14ac:dyDescent="0.45">
      <c r="A973" s="42" t="s">
        <v>11272</v>
      </c>
      <c r="B973" t="s">
        <v>11273</v>
      </c>
      <c r="C973" t="s">
        <v>9589</v>
      </c>
      <c r="D973" t="s">
        <v>9589</v>
      </c>
      <c r="E973" t="s">
        <v>9589</v>
      </c>
    </row>
    <row r="974" spans="1:5" x14ac:dyDescent="0.45">
      <c r="A974" s="42" t="s">
        <v>11274</v>
      </c>
      <c r="B974" t="s">
        <v>11275</v>
      </c>
      <c r="C974" t="s">
        <v>9598</v>
      </c>
      <c r="D974" t="s">
        <v>9598</v>
      </c>
      <c r="E974" t="s">
        <v>9598</v>
      </c>
    </row>
    <row r="975" spans="1:5" x14ac:dyDescent="0.45">
      <c r="A975" s="42" t="s">
        <v>12693</v>
      </c>
      <c r="B975" t="s">
        <v>12689</v>
      </c>
      <c r="C975" t="s">
        <v>9589</v>
      </c>
      <c r="D975" t="s">
        <v>9589</v>
      </c>
      <c r="E975" t="s">
        <v>9589</v>
      </c>
    </row>
    <row r="976" spans="1:5" x14ac:dyDescent="0.45">
      <c r="A976" s="42" t="s">
        <v>12694</v>
      </c>
      <c r="B976" t="s">
        <v>12690</v>
      </c>
      <c r="C976" t="s">
        <v>9589</v>
      </c>
      <c r="D976" t="s">
        <v>9589</v>
      </c>
      <c r="E976" t="s">
        <v>9589</v>
      </c>
    </row>
    <row r="977" spans="1:5" x14ac:dyDescent="0.45">
      <c r="A977" s="42">
        <v>2149794</v>
      </c>
      <c r="B977" t="s">
        <v>12698</v>
      </c>
      <c r="C977" t="s">
        <v>9589</v>
      </c>
      <c r="D977" t="s">
        <v>9589</v>
      </c>
      <c r="E977" t="s">
        <v>9589</v>
      </c>
    </row>
  </sheetData>
  <conditionalFormatting sqref="A1:A1048576">
    <cfRule type="duplicateValues" dxfId="7" priority="1"/>
  </conditionalFormatting>
  <conditionalFormatting sqref="A977">
    <cfRule type="duplicateValues" dxfId="6"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1"/>
  <sheetViews>
    <sheetView tabSelected="1" zoomScale="67" zoomScaleNormal="100" workbookViewId="0">
      <selection activeCell="E240" sqref="E240"/>
    </sheetView>
  </sheetViews>
  <sheetFormatPr defaultColWidth="9" defaultRowHeight="18" x14ac:dyDescent="0.55000000000000004"/>
  <cols>
    <col min="1" max="1" width="23.86328125" style="8" customWidth="1"/>
    <col min="2" max="2" width="15.73046875" style="8" bestFit="1" customWidth="1"/>
    <col min="3" max="3" width="94.1328125" style="8" bestFit="1" customWidth="1"/>
    <col min="4" max="4" width="17.86328125" style="8" customWidth="1"/>
    <col min="5" max="5" width="27.3984375" style="8" customWidth="1"/>
    <col min="6" max="16384" width="9" style="8"/>
  </cols>
  <sheetData>
    <row r="1" spans="1:5" x14ac:dyDescent="0.55000000000000004">
      <c r="A1" s="8" t="s">
        <v>9568</v>
      </c>
      <c r="B1" s="8" t="s">
        <v>486</v>
      </c>
      <c r="C1" s="8" t="s">
        <v>487</v>
      </c>
      <c r="D1" s="9" t="s">
        <v>0</v>
      </c>
      <c r="E1" s="8" t="s">
        <v>1</v>
      </c>
    </row>
    <row r="2" spans="1:5" hidden="1" x14ac:dyDescent="0.55000000000000004">
      <c r="A2" s="8" t="s">
        <v>319</v>
      </c>
      <c r="B2" s="21" t="s">
        <v>320</v>
      </c>
      <c r="C2" s="8" t="s">
        <v>321</v>
      </c>
      <c r="D2" s="9">
        <v>57600</v>
      </c>
      <c r="E2" s="8" t="s">
        <v>183</v>
      </c>
    </row>
    <row r="3" spans="1:5" hidden="1" x14ac:dyDescent="0.55000000000000004">
      <c r="A3" s="8" t="s">
        <v>271</v>
      </c>
      <c r="B3" s="21" t="s">
        <v>272</v>
      </c>
      <c r="C3" s="8" t="s">
        <v>273</v>
      </c>
      <c r="D3" s="9">
        <v>42937</v>
      </c>
      <c r="E3" s="8" t="s">
        <v>183</v>
      </c>
    </row>
    <row r="4" spans="1:5" hidden="1" x14ac:dyDescent="0.55000000000000004">
      <c r="A4" s="8" t="s">
        <v>42</v>
      </c>
      <c r="B4" s="21" t="s">
        <v>43</v>
      </c>
      <c r="C4" s="8" t="s">
        <v>44</v>
      </c>
      <c r="D4" s="9">
        <v>43718</v>
      </c>
      <c r="E4" s="8" t="s">
        <v>5</v>
      </c>
    </row>
    <row r="5" spans="1:5" hidden="1" x14ac:dyDescent="0.55000000000000004">
      <c r="A5" s="8" t="s">
        <v>42</v>
      </c>
      <c r="B5" s="21" t="s">
        <v>43</v>
      </c>
      <c r="C5" s="8" t="s">
        <v>44</v>
      </c>
      <c r="D5" s="9">
        <v>43718</v>
      </c>
      <c r="E5" s="8" t="s">
        <v>183</v>
      </c>
    </row>
    <row r="6" spans="1:5" hidden="1" x14ac:dyDescent="0.55000000000000004">
      <c r="A6" s="8" t="s">
        <v>187</v>
      </c>
      <c r="B6" s="21" t="s">
        <v>188</v>
      </c>
      <c r="C6" s="8" t="s">
        <v>189</v>
      </c>
      <c r="D6" s="9">
        <v>85008</v>
      </c>
      <c r="E6" s="8" t="s">
        <v>183</v>
      </c>
    </row>
    <row r="7" spans="1:5" hidden="1" x14ac:dyDescent="0.55000000000000004">
      <c r="A7" s="8" t="s">
        <v>307</v>
      </c>
      <c r="B7" s="21" t="s">
        <v>308</v>
      </c>
      <c r="C7" s="8" t="s">
        <v>309</v>
      </c>
      <c r="D7" s="9">
        <v>105380</v>
      </c>
      <c r="E7" s="8" t="s">
        <v>183</v>
      </c>
    </row>
    <row r="8" spans="1:5" hidden="1" x14ac:dyDescent="0.55000000000000004">
      <c r="A8" s="8" t="s">
        <v>48</v>
      </c>
      <c r="B8" s="21" t="s">
        <v>49</v>
      </c>
      <c r="C8" s="8" t="s">
        <v>50</v>
      </c>
      <c r="D8" s="9">
        <v>48175</v>
      </c>
      <c r="E8" s="8" t="s">
        <v>5</v>
      </c>
    </row>
    <row r="9" spans="1:5" hidden="1" x14ac:dyDescent="0.55000000000000004">
      <c r="A9" s="8" t="s">
        <v>48</v>
      </c>
      <c r="B9" s="21" t="s">
        <v>49</v>
      </c>
      <c r="C9" s="8" t="s">
        <v>50</v>
      </c>
      <c r="D9" s="9">
        <v>48175</v>
      </c>
      <c r="E9" s="8" t="s">
        <v>183</v>
      </c>
    </row>
    <row r="10" spans="1:5" hidden="1" x14ac:dyDescent="0.55000000000000004">
      <c r="A10" s="8" t="s">
        <v>63</v>
      </c>
      <c r="B10" s="21" t="s">
        <v>64</v>
      </c>
      <c r="C10" s="8" t="s">
        <v>65</v>
      </c>
      <c r="D10" s="9">
        <v>24096</v>
      </c>
      <c r="E10" s="8" t="s">
        <v>5</v>
      </c>
    </row>
    <row r="11" spans="1:5" hidden="1" x14ac:dyDescent="0.55000000000000004">
      <c r="A11" s="8" t="s">
        <v>63</v>
      </c>
      <c r="B11" s="21" t="s">
        <v>64</v>
      </c>
      <c r="C11" s="8" t="s">
        <v>65</v>
      </c>
      <c r="D11" s="9">
        <v>24096</v>
      </c>
      <c r="E11" s="8" t="s">
        <v>183</v>
      </c>
    </row>
    <row r="12" spans="1:5" hidden="1" x14ac:dyDescent="0.55000000000000004">
      <c r="A12" s="8" t="s">
        <v>229</v>
      </c>
      <c r="B12" s="21" t="s">
        <v>230</v>
      </c>
      <c r="C12" s="8" t="s">
        <v>231</v>
      </c>
      <c r="D12" s="9">
        <v>18168</v>
      </c>
      <c r="E12" s="8" t="s">
        <v>183</v>
      </c>
    </row>
    <row r="13" spans="1:5" hidden="1" x14ac:dyDescent="0.55000000000000004">
      <c r="A13" s="8" t="s">
        <v>27</v>
      </c>
      <c r="B13" s="21" t="s">
        <v>28</v>
      </c>
      <c r="C13" s="8" t="s">
        <v>29</v>
      </c>
      <c r="D13" s="9">
        <v>19571</v>
      </c>
      <c r="E13" s="8" t="s">
        <v>5</v>
      </c>
    </row>
    <row r="14" spans="1:5" hidden="1" x14ac:dyDescent="0.55000000000000004">
      <c r="A14" s="8" t="s">
        <v>27</v>
      </c>
      <c r="B14" s="21" t="s">
        <v>28</v>
      </c>
      <c r="C14" s="8" t="s">
        <v>29</v>
      </c>
      <c r="D14" s="9">
        <v>19571</v>
      </c>
      <c r="E14" s="8" t="s">
        <v>183</v>
      </c>
    </row>
    <row r="15" spans="1:5" hidden="1" x14ac:dyDescent="0.55000000000000004">
      <c r="A15" s="8" t="s">
        <v>325</v>
      </c>
      <c r="B15" s="21" t="s">
        <v>326</v>
      </c>
      <c r="C15" s="8" t="s">
        <v>327</v>
      </c>
      <c r="D15" s="9">
        <v>46327</v>
      </c>
      <c r="E15" s="8" t="s">
        <v>183</v>
      </c>
    </row>
    <row r="16" spans="1:5" hidden="1" x14ac:dyDescent="0.55000000000000004">
      <c r="A16" s="8" t="s">
        <v>337</v>
      </c>
      <c r="B16" s="21" t="s">
        <v>338</v>
      </c>
      <c r="C16" s="8" t="s">
        <v>339</v>
      </c>
      <c r="D16" s="9">
        <v>39744</v>
      </c>
      <c r="E16" s="8" t="s">
        <v>183</v>
      </c>
    </row>
    <row r="17" spans="1:5" hidden="1" x14ac:dyDescent="0.55000000000000004">
      <c r="A17" s="8" t="s">
        <v>235</v>
      </c>
      <c r="B17" s="21" t="s">
        <v>236</v>
      </c>
      <c r="C17" s="8" t="s">
        <v>237</v>
      </c>
      <c r="D17" s="9">
        <v>22085</v>
      </c>
      <c r="E17" s="8" t="s">
        <v>183</v>
      </c>
    </row>
    <row r="18" spans="1:5" hidden="1" x14ac:dyDescent="0.55000000000000004">
      <c r="A18" s="8" t="s">
        <v>211</v>
      </c>
      <c r="B18" s="21" t="s">
        <v>212</v>
      </c>
      <c r="C18" s="8" t="s">
        <v>213</v>
      </c>
      <c r="D18" s="9">
        <v>27837</v>
      </c>
      <c r="E18" s="8" t="s">
        <v>183</v>
      </c>
    </row>
    <row r="19" spans="1:5" hidden="1" x14ac:dyDescent="0.55000000000000004">
      <c r="A19" s="8" t="s">
        <v>241</v>
      </c>
      <c r="B19" s="21" t="s">
        <v>242</v>
      </c>
      <c r="C19" s="8" t="s">
        <v>243</v>
      </c>
      <c r="D19" s="9">
        <v>50181</v>
      </c>
      <c r="E19" s="8" t="s">
        <v>183</v>
      </c>
    </row>
    <row r="20" spans="1:5" hidden="1" x14ac:dyDescent="0.55000000000000004">
      <c r="A20" s="8" t="s">
        <v>90</v>
      </c>
      <c r="B20" s="21" t="s">
        <v>91</v>
      </c>
      <c r="C20" s="8" t="s">
        <v>92</v>
      </c>
      <c r="D20" s="9">
        <v>25091</v>
      </c>
      <c r="E20" s="8" t="s">
        <v>5</v>
      </c>
    </row>
    <row r="21" spans="1:5" hidden="1" x14ac:dyDescent="0.55000000000000004">
      <c r="A21" s="8" t="s">
        <v>90</v>
      </c>
      <c r="B21" s="21" t="s">
        <v>91</v>
      </c>
      <c r="C21" s="8" t="s">
        <v>92</v>
      </c>
      <c r="D21" s="9">
        <v>25091</v>
      </c>
      <c r="E21" s="8" t="s">
        <v>183</v>
      </c>
    </row>
    <row r="22" spans="1:5" hidden="1" x14ac:dyDescent="0.55000000000000004">
      <c r="A22" s="8" t="s">
        <v>328</v>
      </c>
      <c r="B22" s="21" t="s">
        <v>329</v>
      </c>
      <c r="C22" s="8" t="s">
        <v>330</v>
      </c>
      <c r="D22" s="9">
        <v>42654</v>
      </c>
      <c r="E22" s="8" t="s">
        <v>183</v>
      </c>
    </row>
    <row r="23" spans="1:5" hidden="1" x14ac:dyDescent="0.55000000000000004">
      <c r="A23" s="8" t="s">
        <v>334</v>
      </c>
      <c r="B23" s="21" t="s">
        <v>335</v>
      </c>
      <c r="C23" s="8" t="s">
        <v>336</v>
      </c>
      <c r="D23" s="9">
        <v>34925</v>
      </c>
      <c r="E23" s="8" t="s">
        <v>183</v>
      </c>
    </row>
    <row r="24" spans="1:5" hidden="1" x14ac:dyDescent="0.55000000000000004">
      <c r="A24" s="8" t="s">
        <v>184</v>
      </c>
      <c r="B24" s="21" t="s">
        <v>185</v>
      </c>
      <c r="C24" s="8" t="s">
        <v>186</v>
      </c>
      <c r="D24" s="9">
        <v>38861</v>
      </c>
      <c r="E24" s="8" t="s">
        <v>183</v>
      </c>
    </row>
    <row r="25" spans="1:5" hidden="1" x14ac:dyDescent="0.55000000000000004">
      <c r="A25" s="8" t="s">
        <v>340</v>
      </c>
      <c r="B25" s="21" t="s">
        <v>341</v>
      </c>
      <c r="C25" s="8" t="s">
        <v>342</v>
      </c>
      <c r="D25" s="9">
        <v>26400</v>
      </c>
      <c r="E25" s="8" t="s">
        <v>183</v>
      </c>
    </row>
    <row r="26" spans="1:5" hidden="1" x14ac:dyDescent="0.55000000000000004">
      <c r="A26" s="8" t="s">
        <v>268</v>
      </c>
      <c r="B26" s="21" t="s">
        <v>269</v>
      </c>
      <c r="C26" s="8" t="s">
        <v>270</v>
      </c>
      <c r="D26" s="9">
        <v>90816</v>
      </c>
      <c r="E26" s="8" t="s">
        <v>183</v>
      </c>
    </row>
    <row r="27" spans="1:5" hidden="1" x14ac:dyDescent="0.55000000000000004">
      <c r="A27" s="8" t="s">
        <v>208</v>
      </c>
      <c r="B27" s="21" t="s">
        <v>209</v>
      </c>
      <c r="C27" s="8" t="s">
        <v>210</v>
      </c>
      <c r="D27" s="9">
        <v>32116</v>
      </c>
      <c r="E27" s="8" t="s">
        <v>183</v>
      </c>
    </row>
    <row r="28" spans="1:5" hidden="1" x14ac:dyDescent="0.55000000000000004">
      <c r="A28" s="8" t="s">
        <v>66</v>
      </c>
      <c r="B28" s="21" t="s">
        <v>67</v>
      </c>
      <c r="C28" s="8" t="s">
        <v>68</v>
      </c>
      <c r="D28" s="9">
        <v>29236</v>
      </c>
      <c r="E28" s="8" t="s">
        <v>5</v>
      </c>
    </row>
    <row r="29" spans="1:5" hidden="1" x14ac:dyDescent="0.55000000000000004">
      <c r="A29" s="8" t="s">
        <v>66</v>
      </c>
      <c r="B29" s="21" t="s">
        <v>67</v>
      </c>
      <c r="C29" s="8" t="s">
        <v>68</v>
      </c>
      <c r="D29" s="9">
        <v>29236</v>
      </c>
      <c r="E29" s="8" t="s">
        <v>183</v>
      </c>
    </row>
    <row r="30" spans="1:5" hidden="1" x14ac:dyDescent="0.55000000000000004">
      <c r="A30" s="8" t="s">
        <v>138</v>
      </c>
      <c r="B30" s="21" t="s">
        <v>139</v>
      </c>
      <c r="C30" s="8" t="s">
        <v>140</v>
      </c>
      <c r="D30" s="9">
        <v>6982</v>
      </c>
      <c r="E30" s="8" t="s">
        <v>5</v>
      </c>
    </row>
    <row r="31" spans="1:5" hidden="1" x14ac:dyDescent="0.55000000000000004">
      <c r="A31" s="8" t="s">
        <v>138</v>
      </c>
      <c r="B31" s="21" t="s">
        <v>139</v>
      </c>
      <c r="C31" s="8" t="s">
        <v>140</v>
      </c>
      <c r="D31" s="9">
        <v>6982</v>
      </c>
      <c r="E31" s="8" t="s">
        <v>183</v>
      </c>
    </row>
    <row r="32" spans="1:5" hidden="1" x14ac:dyDescent="0.55000000000000004">
      <c r="A32" s="8" t="s">
        <v>286</v>
      </c>
      <c r="B32" s="21" t="s">
        <v>287</v>
      </c>
      <c r="C32" s="8" t="s">
        <v>288</v>
      </c>
      <c r="D32" s="9">
        <v>119289</v>
      </c>
      <c r="E32" s="8" t="s">
        <v>183</v>
      </c>
    </row>
    <row r="33" spans="1:5" hidden="1" x14ac:dyDescent="0.55000000000000004">
      <c r="A33" s="8" t="s">
        <v>199</v>
      </c>
      <c r="B33" s="21" t="s">
        <v>200</v>
      </c>
      <c r="C33" s="8" t="s">
        <v>201</v>
      </c>
      <c r="D33" s="9">
        <v>61067</v>
      </c>
      <c r="E33" s="8" t="s">
        <v>183</v>
      </c>
    </row>
    <row r="34" spans="1:5" hidden="1" x14ac:dyDescent="0.55000000000000004">
      <c r="A34" s="8" t="s">
        <v>292</v>
      </c>
      <c r="B34" s="21" t="s">
        <v>293</v>
      </c>
      <c r="C34" s="8" t="s">
        <v>294</v>
      </c>
      <c r="D34" s="9">
        <v>25920</v>
      </c>
      <c r="E34" s="8" t="s">
        <v>183</v>
      </c>
    </row>
    <row r="35" spans="1:5" hidden="1" x14ac:dyDescent="0.55000000000000004">
      <c r="A35" s="8" t="s">
        <v>244</v>
      </c>
      <c r="B35" s="21" t="s">
        <v>245</v>
      </c>
      <c r="C35" s="8" t="s">
        <v>246</v>
      </c>
      <c r="D35" s="9">
        <v>106933</v>
      </c>
      <c r="E35" s="8" t="s">
        <v>183</v>
      </c>
    </row>
    <row r="36" spans="1:5" hidden="1" x14ac:dyDescent="0.55000000000000004">
      <c r="A36" s="8" t="s">
        <v>265</v>
      </c>
      <c r="B36" s="21" t="s">
        <v>266</v>
      </c>
      <c r="C36" s="8" t="s">
        <v>267</v>
      </c>
      <c r="D36" s="9">
        <v>24960</v>
      </c>
      <c r="E36" s="8" t="s">
        <v>183</v>
      </c>
    </row>
    <row r="37" spans="1:5" hidden="1" x14ac:dyDescent="0.55000000000000004">
      <c r="A37" s="8" t="s">
        <v>117</v>
      </c>
      <c r="B37" s="21" t="s">
        <v>118</v>
      </c>
      <c r="C37" s="8" t="s">
        <v>119</v>
      </c>
      <c r="D37" s="9">
        <v>5846</v>
      </c>
      <c r="E37" s="8" t="s">
        <v>5</v>
      </c>
    </row>
    <row r="38" spans="1:5" hidden="1" x14ac:dyDescent="0.55000000000000004">
      <c r="A38" s="8" t="s">
        <v>117</v>
      </c>
      <c r="B38" s="21" t="s">
        <v>118</v>
      </c>
      <c r="C38" s="8" t="s">
        <v>119</v>
      </c>
      <c r="D38" s="9">
        <v>5846</v>
      </c>
      <c r="E38" s="8" t="s">
        <v>183</v>
      </c>
    </row>
    <row r="39" spans="1:5" hidden="1" x14ac:dyDescent="0.55000000000000004">
      <c r="A39" s="8" t="s">
        <v>259</v>
      </c>
      <c r="B39" s="21" t="s">
        <v>260</v>
      </c>
      <c r="C39" s="8" t="s">
        <v>261</v>
      </c>
      <c r="D39" s="9">
        <v>13152</v>
      </c>
      <c r="E39" s="8" t="s">
        <v>183</v>
      </c>
    </row>
    <row r="40" spans="1:5" hidden="1" x14ac:dyDescent="0.55000000000000004">
      <c r="A40" s="8" t="s">
        <v>123</v>
      </c>
      <c r="B40" s="21" t="s">
        <v>124</v>
      </c>
      <c r="C40" s="8" t="s">
        <v>125</v>
      </c>
      <c r="D40" s="9">
        <v>8870</v>
      </c>
      <c r="E40" s="8" t="s">
        <v>5</v>
      </c>
    </row>
    <row r="41" spans="1:5" hidden="1" x14ac:dyDescent="0.55000000000000004">
      <c r="A41" s="8" t="s">
        <v>123</v>
      </c>
      <c r="B41" s="21" t="s">
        <v>124</v>
      </c>
      <c r="C41" s="8" t="s">
        <v>125</v>
      </c>
      <c r="D41" s="9">
        <v>8870</v>
      </c>
      <c r="E41" s="8" t="s">
        <v>183</v>
      </c>
    </row>
    <row r="42" spans="1:5" hidden="1" x14ac:dyDescent="0.55000000000000004">
      <c r="A42" s="8" t="s">
        <v>81</v>
      </c>
      <c r="B42" s="21" t="s">
        <v>82</v>
      </c>
      <c r="C42" s="8" t="s">
        <v>83</v>
      </c>
      <c r="D42" s="9">
        <v>9878</v>
      </c>
      <c r="E42" s="8" t="s">
        <v>5</v>
      </c>
    </row>
    <row r="43" spans="1:5" hidden="1" x14ac:dyDescent="0.55000000000000004">
      <c r="A43" s="8" t="s">
        <v>81</v>
      </c>
      <c r="B43" s="21" t="s">
        <v>82</v>
      </c>
      <c r="C43" s="8" t="s">
        <v>83</v>
      </c>
      <c r="D43" s="9">
        <v>9878</v>
      </c>
      <c r="E43" s="8" t="s">
        <v>183</v>
      </c>
    </row>
    <row r="44" spans="1:5" hidden="1" x14ac:dyDescent="0.55000000000000004">
      <c r="A44" s="8" t="s">
        <v>87</v>
      </c>
      <c r="B44" s="21" t="s">
        <v>88</v>
      </c>
      <c r="C44" s="8" t="s">
        <v>89</v>
      </c>
      <c r="D44" s="9">
        <v>17376</v>
      </c>
      <c r="E44" s="8" t="s">
        <v>5</v>
      </c>
    </row>
    <row r="45" spans="1:5" hidden="1" x14ac:dyDescent="0.55000000000000004">
      <c r="A45" s="8" t="s">
        <v>87</v>
      </c>
      <c r="B45" s="21" t="s">
        <v>88</v>
      </c>
      <c r="C45" s="8" t="s">
        <v>89</v>
      </c>
      <c r="D45" s="9">
        <v>17376</v>
      </c>
      <c r="E45" s="8" t="s">
        <v>183</v>
      </c>
    </row>
    <row r="46" spans="1:5" hidden="1" x14ac:dyDescent="0.55000000000000004">
      <c r="A46" s="8" t="s">
        <v>250</v>
      </c>
      <c r="B46" s="21" t="s">
        <v>251</v>
      </c>
      <c r="C46" s="8" t="s">
        <v>252</v>
      </c>
      <c r="D46" s="9">
        <v>6221</v>
      </c>
      <c r="E46" s="8" t="s">
        <v>183</v>
      </c>
    </row>
    <row r="47" spans="1:5" hidden="1" x14ac:dyDescent="0.55000000000000004">
      <c r="A47" s="8" t="s">
        <v>283</v>
      </c>
      <c r="B47" s="21" t="s">
        <v>284</v>
      </c>
      <c r="C47" s="8" t="s">
        <v>285</v>
      </c>
      <c r="D47" s="9">
        <v>6221</v>
      </c>
      <c r="E47" s="8" t="s">
        <v>183</v>
      </c>
    </row>
    <row r="48" spans="1:5" hidden="1" x14ac:dyDescent="0.55000000000000004">
      <c r="A48" s="8" t="s">
        <v>367</v>
      </c>
      <c r="B48" s="21" t="s">
        <v>10998</v>
      </c>
      <c r="C48" s="8" t="s">
        <v>369</v>
      </c>
      <c r="D48" s="9">
        <v>79200</v>
      </c>
      <c r="E48" s="8" t="s">
        <v>502</v>
      </c>
    </row>
    <row r="49" spans="1:5" hidden="1" x14ac:dyDescent="0.55000000000000004">
      <c r="A49" s="8" t="s">
        <v>391</v>
      </c>
      <c r="B49" s="21" t="s">
        <v>392</v>
      </c>
      <c r="C49" s="8" t="s">
        <v>393</v>
      </c>
      <c r="D49" s="9">
        <v>80000</v>
      </c>
      <c r="E49" s="8" t="s">
        <v>502</v>
      </c>
    </row>
    <row r="50" spans="1:5" hidden="1" x14ac:dyDescent="0.55000000000000004">
      <c r="A50" s="8" t="s">
        <v>373</v>
      </c>
      <c r="B50" s="21" t="s">
        <v>374</v>
      </c>
      <c r="C50" s="8" t="s">
        <v>375</v>
      </c>
      <c r="D50" s="9">
        <v>75330</v>
      </c>
      <c r="E50" s="8" t="s">
        <v>502</v>
      </c>
    </row>
    <row r="51" spans="1:5" hidden="1" x14ac:dyDescent="0.55000000000000004">
      <c r="A51" s="8" t="s">
        <v>370</v>
      </c>
      <c r="B51" s="21" t="s">
        <v>371</v>
      </c>
      <c r="C51" s="8" t="s">
        <v>372</v>
      </c>
      <c r="D51" s="9">
        <v>33000</v>
      </c>
      <c r="E51" s="8" t="s">
        <v>502</v>
      </c>
    </row>
    <row r="52" spans="1:5" hidden="1" x14ac:dyDescent="0.55000000000000004">
      <c r="A52" s="8" t="s">
        <v>385</v>
      </c>
      <c r="B52" s="21" t="s">
        <v>386</v>
      </c>
      <c r="C52" s="8" t="s">
        <v>387</v>
      </c>
      <c r="D52" s="9">
        <v>36080</v>
      </c>
      <c r="E52" s="8" t="s">
        <v>502</v>
      </c>
    </row>
    <row r="53" spans="1:5" hidden="1" x14ac:dyDescent="0.55000000000000004">
      <c r="A53" s="8" t="s">
        <v>376</v>
      </c>
      <c r="B53" s="21" t="s">
        <v>377</v>
      </c>
      <c r="C53" s="8" t="s">
        <v>378</v>
      </c>
      <c r="D53" s="9">
        <v>35424</v>
      </c>
      <c r="E53" s="8" t="s">
        <v>502</v>
      </c>
    </row>
    <row r="54" spans="1:5" hidden="1" x14ac:dyDescent="0.55000000000000004">
      <c r="A54" s="8" t="s">
        <v>382</v>
      </c>
      <c r="B54" s="21" t="s">
        <v>383</v>
      </c>
      <c r="C54" s="8" t="s">
        <v>384</v>
      </c>
      <c r="D54" s="9">
        <v>80190</v>
      </c>
      <c r="E54" s="8" t="s">
        <v>502</v>
      </c>
    </row>
    <row r="55" spans="1:5" hidden="1" x14ac:dyDescent="0.55000000000000004">
      <c r="A55" s="8" t="s">
        <v>379</v>
      </c>
      <c r="B55" s="21" t="s">
        <v>380</v>
      </c>
      <c r="C55" s="8" t="s">
        <v>381</v>
      </c>
      <c r="D55" s="9">
        <v>80190</v>
      </c>
      <c r="E55" s="8" t="s">
        <v>502</v>
      </c>
    </row>
    <row r="56" spans="1:5" hidden="1" x14ac:dyDescent="0.55000000000000004">
      <c r="A56" s="8" t="s">
        <v>445</v>
      </c>
      <c r="B56" s="21" t="s">
        <v>446</v>
      </c>
      <c r="C56" s="8" t="s">
        <v>447</v>
      </c>
      <c r="D56" s="9">
        <v>33000</v>
      </c>
      <c r="E56" s="8" t="s">
        <v>502</v>
      </c>
    </row>
    <row r="57" spans="1:5" hidden="1" x14ac:dyDescent="0.55000000000000004">
      <c r="A57" s="8" t="s">
        <v>442</v>
      </c>
      <c r="B57" s="21" t="s">
        <v>443</v>
      </c>
      <c r="C57" s="8" t="s">
        <v>444</v>
      </c>
      <c r="D57" s="9">
        <v>33000</v>
      </c>
      <c r="E57" s="8" t="s">
        <v>502</v>
      </c>
    </row>
    <row r="58" spans="1:5" hidden="1" x14ac:dyDescent="0.55000000000000004">
      <c r="A58" s="8" t="s">
        <v>436</v>
      </c>
      <c r="B58" s="21" t="s">
        <v>437</v>
      </c>
      <c r="C58" s="8" t="s">
        <v>438</v>
      </c>
      <c r="D58" s="9">
        <v>36960</v>
      </c>
      <c r="E58" s="8" t="s">
        <v>502</v>
      </c>
    </row>
    <row r="59" spans="1:5" hidden="1" x14ac:dyDescent="0.55000000000000004">
      <c r="A59" s="8" t="s">
        <v>439</v>
      </c>
      <c r="B59" s="21" t="s">
        <v>440</v>
      </c>
      <c r="C59" s="8" t="s">
        <v>441</v>
      </c>
      <c r="D59" s="9">
        <v>32340</v>
      </c>
      <c r="E59" s="8" t="s">
        <v>502</v>
      </c>
    </row>
    <row r="60" spans="1:5" hidden="1" x14ac:dyDescent="0.55000000000000004">
      <c r="A60" s="8" t="s">
        <v>388</v>
      </c>
      <c r="B60" s="21" t="s">
        <v>389</v>
      </c>
      <c r="C60" s="8" t="s">
        <v>390</v>
      </c>
      <c r="D60" s="9">
        <v>92185</v>
      </c>
      <c r="E60" s="8" t="s">
        <v>502</v>
      </c>
    </row>
    <row r="61" spans="1:5" hidden="1" x14ac:dyDescent="0.55000000000000004">
      <c r="A61" s="8" t="s">
        <v>433</v>
      </c>
      <c r="B61" s="21" t="s">
        <v>10392</v>
      </c>
      <c r="C61" s="8" t="s">
        <v>435</v>
      </c>
      <c r="D61" s="9">
        <v>64476</v>
      </c>
      <c r="E61" s="8" t="s">
        <v>502</v>
      </c>
    </row>
    <row r="62" spans="1:5" hidden="1" x14ac:dyDescent="0.55000000000000004">
      <c r="A62" s="8" t="s">
        <v>430</v>
      </c>
      <c r="B62" s="21" t="s">
        <v>431</v>
      </c>
      <c r="C62" s="8" t="s">
        <v>432</v>
      </c>
      <c r="D62" s="9">
        <v>75636</v>
      </c>
      <c r="E62" s="8" t="s">
        <v>502</v>
      </c>
    </row>
    <row r="63" spans="1:5" hidden="1" x14ac:dyDescent="0.55000000000000004">
      <c r="A63" s="8" t="s">
        <v>409</v>
      </c>
      <c r="B63" s="21" t="s">
        <v>410</v>
      </c>
      <c r="C63" s="8" t="s">
        <v>411</v>
      </c>
      <c r="D63" s="9">
        <v>19116</v>
      </c>
      <c r="E63" s="8" t="s">
        <v>502</v>
      </c>
    </row>
    <row r="64" spans="1:5" hidden="1" x14ac:dyDescent="0.55000000000000004">
      <c r="A64" s="8" t="s">
        <v>412</v>
      </c>
      <c r="B64" s="21" t="s">
        <v>413</v>
      </c>
      <c r="C64" s="8" t="s">
        <v>414</v>
      </c>
      <c r="D64" s="9">
        <v>47790</v>
      </c>
      <c r="E64" s="8" t="s">
        <v>502</v>
      </c>
    </row>
    <row r="65" spans="1:5" hidden="1" x14ac:dyDescent="0.55000000000000004">
      <c r="A65" s="8" t="s">
        <v>403</v>
      </c>
      <c r="B65" s="21" t="s">
        <v>404</v>
      </c>
      <c r="C65" s="8" t="s">
        <v>405</v>
      </c>
      <c r="D65" s="9">
        <v>20088</v>
      </c>
      <c r="E65" s="8" t="s">
        <v>502</v>
      </c>
    </row>
    <row r="66" spans="1:5" hidden="1" x14ac:dyDescent="0.55000000000000004">
      <c r="A66" s="8" t="s">
        <v>406</v>
      </c>
      <c r="B66" s="21" t="s">
        <v>407</v>
      </c>
      <c r="C66" s="8" t="s">
        <v>408</v>
      </c>
      <c r="D66" s="9">
        <v>50220</v>
      </c>
      <c r="E66" s="8" t="s">
        <v>502</v>
      </c>
    </row>
    <row r="67" spans="1:5" hidden="1" x14ac:dyDescent="0.55000000000000004">
      <c r="A67" s="8" t="s">
        <v>418</v>
      </c>
      <c r="B67" s="21" t="s">
        <v>419</v>
      </c>
      <c r="C67" s="8" t="s">
        <v>420</v>
      </c>
      <c r="D67" s="9">
        <v>49500</v>
      </c>
      <c r="E67" s="8" t="s">
        <v>502</v>
      </c>
    </row>
    <row r="68" spans="1:5" hidden="1" x14ac:dyDescent="0.55000000000000004">
      <c r="A68" s="8" t="s">
        <v>415</v>
      </c>
      <c r="B68" s="21" t="s">
        <v>10357</v>
      </c>
      <c r="C68" s="8" t="s">
        <v>10358</v>
      </c>
      <c r="D68" s="9">
        <v>52920</v>
      </c>
      <c r="E68" s="8" t="s">
        <v>502</v>
      </c>
    </row>
    <row r="69" spans="1:5" hidden="1" x14ac:dyDescent="0.55000000000000004">
      <c r="A69" s="8" t="s">
        <v>424</v>
      </c>
      <c r="B69" s="21" t="s">
        <v>425</v>
      </c>
      <c r="C69" s="8" t="s">
        <v>426</v>
      </c>
      <c r="D69" s="9">
        <v>51150</v>
      </c>
      <c r="E69" s="8" t="s">
        <v>502</v>
      </c>
    </row>
    <row r="70" spans="1:5" hidden="1" x14ac:dyDescent="0.55000000000000004">
      <c r="A70" s="8" t="s">
        <v>448</v>
      </c>
      <c r="B70" s="21" t="s">
        <v>449</v>
      </c>
      <c r="C70" s="8" t="s">
        <v>450</v>
      </c>
      <c r="D70" s="9">
        <v>48384</v>
      </c>
      <c r="E70" s="8" t="s">
        <v>502</v>
      </c>
    </row>
    <row r="71" spans="1:5" hidden="1" x14ac:dyDescent="0.55000000000000004">
      <c r="A71" s="8" t="s">
        <v>451</v>
      </c>
      <c r="B71" s="21" t="s">
        <v>10982</v>
      </c>
      <c r="C71" s="8" t="s">
        <v>12567</v>
      </c>
      <c r="D71" s="9">
        <v>39960</v>
      </c>
      <c r="E71" s="8" t="s">
        <v>502</v>
      </c>
    </row>
    <row r="72" spans="1:5" hidden="1" x14ac:dyDescent="0.55000000000000004">
      <c r="A72" s="8" t="s">
        <v>452</v>
      </c>
      <c r="B72" s="21" t="s">
        <v>453</v>
      </c>
      <c r="C72" s="8" t="s">
        <v>454</v>
      </c>
      <c r="D72" s="9">
        <v>8845</v>
      </c>
      <c r="E72" s="8" t="s">
        <v>502</v>
      </c>
    </row>
    <row r="73" spans="1:5" hidden="1" x14ac:dyDescent="0.55000000000000004">
      <c r="A73" s="8" t="s">
        <v>455</v>
      </c>
      <c r="B73" s="21" t="s">
        <v>456</v>
      </c>
      <c r="C73" s="8" t="s">
        <v>457</v>
      </c>
      <c r="D73" s="9">
        <v>8845</v>
      </c>
      <c r="E73" s="8" t="s">
        <v>502</v>
      </c>
    </row>
    <row r="74" spans="1:5" hidden="1" x14ac:dyDescent="0.55000000000000004">
      <c r="A74" s="8" t="s">
        <v>473</v>
      </c>
      <c r="B74" s="21" t="s">
        <v>474</v>
      </c>
      <c r="C74" s="8" t="s">
        <v>475</v>
      </c>
      <c r="D74" s="9">
        <v>17400</v>
      </c>
      <c r="E74" s="8" t="s">
        <v>502</v>
      </c>
    </row>
    <row r="75" spans="1:5" hidden="1" x14ac:dyDescent="0.55000000000000004">
      <c r="A75" s="8" t="s">
        <v>470</v>
      </c>
      <c r="B75" s="21" t="s">
        <v>471</v>
      </c>
      <c r="C75" s="8" t="s">
        <v>472</v>
      </c>
      <c r="D75" s="9">
        <v>39150</v>
      </c>
      <c r="E75" s="8" t="s">
        <v>502</v>
      </c>
    </row>
    <row r="76" spans="1:5" hidden="1" x14ac:dyDescent="0.55000000000000004">
      <c r="A76" s="8" t="s">
        <v>458</v>
      </c>
      <c r="B76" s="21" t="s">
        <v>459</v>
      </c>
      <c r="C76" s="8" t="s">
        <v>460</v>
      </c>
      <c r="D76" s="9">
        <v>8837</v>
      </c>
      <c r="E76" s="8" t="s">
        <v>502</v>
      </c>
    </row>
    <row r="77" spans="1:5" hidden="1" x14ac:dyDescent="0.55000000000000004">
      <c r="A77" s="8" t="s">
        <v>461</v>
      </c>
      <c r="B77" s="21" t="s">
        <v>462</v>
      </c>
      <c r="C77" s="8" t="s">
        <v>463</v>
      </c>
      <c r="D77" s="9">
        <v>8837</v>
      </c>
      <c r="E77" s="8" t="s">
        <v>502</v>
      </c>
    </row>
    <row r="78" spans="1:5" hidden="1" x14ac:dyDescent="0.55000000000000004">
      <c r="A78" s="8" t="s">
        <v>397</v>
      </c>
      <c r="B78" s="21" t="s">
        <v>398</v>
      </c>
      <c r="C78" s="8" t="s">
        <v>399</v>
      </c>
      <c r="D78" s="9">
        <v>46980</v>
      </c>
      <c r="E78" s="8" t="s">
        <v>502</v>
      </c>
    </row>
    <row r="79" spans="1:5" hidden="1" x14ac:dyDescent="0.55000000000000004">
      <c r="A79" s="21" t="s">
        <v>12684</v>
      </c>
      <c r="B79" s="21" t="s">
        <v>11020</v>
      </c>
      <c r="C79" s="8" t="s">
        <v>11021</v>
      </c>
      <c r="D79" s="9">
        <v>82080</v>
      </c>
      <c r="E79" s="8" t="s">
        <v>502</v>
      </c>
    </row>
    <row r="80" spans="1:5" hidden="1" x14ac:dyDescent="0.55000000000000004">
      <c r="A80" s="8" t="s">
        <v>400</v>
      </c>
      <c r="B80" s="21" t="s">
        <v>401</v>
      </c>
      <c r="C80" s="8" t="s">
        <v>402</v>
      </c>
      <c r="D80" s="9">
        <v>16254</v>
      </c>
      <c r="E80" s="8" t="s">
        <v>502</v>
      </c>
    </row>
    <row r="81" spans="1:5" hidden="1" x14ac:dyDescent="0.55000000000000004">
      <c r="A81" s="8" t="s">
        <v>421</v>
      </c>
      <c r="B81" s="21" t="s">
        <v>422</v>
      </c>
      <c r="C81" s="8" t="s">
        <v>423</v>
      </c>
      <c r="D81" s="9">
        <v>12474</v>
      </c>
      <c r="E81" s="8" t="s">
        <v>502</v>
      </c>
    </row>
    <row r="82" spans="1:5" hidden="1" x14ac:dyDescent="0.55000000000000004">
      <c r="A82" s="8" t="s">
        <v>12685</v>
      </c>
      <c r="B82" s="21" t="s">
        <v>10968</v>
      </c>
      <c r="C82" s="8" t="s">
        <v>12691</v>
      </c>
      <c r="D82" s="9">
        <v>8837</v>
      </c>
      <c r="E82" s="8" t="s">
        <v>502</v>
      </c>
    </row>
    <row r="83" spans="1:5" hidden="1" x14ac:dyDescent="0.55000000000000004">
      <c r="A83" s="8" t="s">
        <v>12686</v>
      </c>
      <c r="B83" s="21" t="s">
        <v>10972</v>
      </c>
      <c r="C83" s="8" t="s">
        <v>12692</v>
      </c>
      <c r="D83" s="9">
        <v>8837</v>
      </c>
      <c r="E83" s="8" t="s">
        <v>502</v>
      </c>
    </row>
    <row r="84" spans="1:5" hidden="1" x14ac:dyDescent="0.55000000000000004">
      <c r="A84" s="8" t="s">
        <v>427</v>
      </c>
      <c r="B84" s="21" t="s">
        <v>428</v>
      </c>
      <c r="C84" s="8" t="s">
        <v>429</v>
      </c>
      <c r="D84" s="9">
        <v>70956</v>
      </c>
      <c r="E84" s="8" t="s">
        <v>502</v>
      </c>
    </row>
    <row r="85" spans="1:5" hidden="1" x14ac:dyDescent="0.55000000000000004">
      <c r="A85" s="8" t="s">
        <v>464</v>
      </c>
      <c r="B85" s="21" t="s">
        <v>10930</v>
      </c>
      <c r="C85" s="8" t="s">
        <v>11296</v>
      </c>
      <c r="D85" s="9">
        <v>33750</v>
      </c>
      <c r="E85" s="8" t="s">
        <v>502</v>
      </c>
    </row>
    <row r="86" spans="1:5" hidden="1" x14ac:dyDescent="0.55000000000000004">
      <c r="A86" s="21" t="s">
        <v>11298</v>
      </c>
      <c r="B86" s="21" t="s">
        <v>10932</v>
      </c>
      <c r="C86" s="8" t="s">
        <v>11297</v>
      </c>
      <c r="D86" s="9">
        <v>33750</v>
      </c>
      <c r="E86" s="8" t="s">
        <v>502</v>
      </c>
    </row>
    <row r="87" spans="1:5" hidden="1" x14ac:dyDescent="0.55000000000000004">
      <c r="A87" s="21" t="s">
        <v>11299</v>
      </c>
      <c r="B87" s="21" t="s">
        <v>465</v>
      </c>
      <c r="C87" s="8" t="s">
        <v>12687</v>
      </c>
      <c r="D87" s="9">
        <v>70000</v>
      </c>
      <c r="E87" s="8" t="s">
        <v>502</v>
      </c>
    </row>
    <row r="88" spans="1:5" hidden="1" x14ac:dyDescent="0.55000000000000004">
      <c r="A88" s="8" t="s">
        <v>394</v>
      </c>
      <c r="B88" s="21" t="s">
        <v>395</v>
      </c>
      <c r="C88" s="8" t="s">
        <v>396</v>
      </c>
      <c r="D88" s="9">
        <v>46980</v>
      </c>
      <c r="E88" s="8" t="s">
        <v>502</v>
      </c>
    </row>
    <row r="89" spans="1:5" hidden="1" x14ac:dyDescent="0.55000000000000004">
      <c r="A89" s="8" t="s">
        <v>467</v>
      </c>
      <c r="B89" s="21" t="s">
        <v>468</v>
      </c>
      <c r="C89" s="8" t="s">
        <v>469</v>
      </c>
      <c r="D89" s="9">
        <v>13500</v>
      </c>
      <c r="E89" s="8" t="s">
        <v>502</v>
      </c>
    </row>
    <row r="90" spans="1:5" hidden="1" x14ac:dyDescent="0.55000000000000004">
      <c r="A90" s="8" t="s">
        <v>479</v>
      </c>
      <c r="B90" s="21" t="s">
        <v>480</v>
      </c>
      <c r="C90" s="8" t="s">
        <v>481</v>
      </c>
      <c r="D90" s="9">
        <v>31524</v>
      </c>
      <c r="E90" s="8" t="s">
        <v>502</v>
      </c>
    </row>
    <row r="91" spans="1:5" hidden="1" x14ac:dyDescent="0.55000000000000004">
      <c r="A91" s="8" t="s">
        <v>476</v>
      </c>
      <c r="B91" s="21" t="s">
        <v>477</v>
      </c>
      <c r="C91" s="8" t="s">
        <v>478</v>
      </c>
      <c r="D91" s="9">
        <v>31524</v>
      </c>
      <c r="E91" s="8" t="s">
        <v>502</v>
      </c>
    </row>
    <row r="92" spans="1:5" hidden="1" x14ac:dyDescent="0.55000000000000004">
      <c r="A92" s="21" t="s">
        <v>12697</v>
      </c>
      <c r="B92" s="41" t="s">
        <v>12939</v>
      </c>
      <c r="C92" s="8" t="s">
        <v>12698</v>
      </c>
      <c r="D92" s="9">
        <v>44000</v>
      </c>
      <c r="E92" s="8" t="s">
        <v>502</v>
      </c>
    </row>
    <row r="93" spans="1:5" hidden="1" x14ac:dyDescent="0.55000000000000004">
      <c r="A93" s="8" t="s">
        <v>482</v>
      </c>
      <c r="B93" s="21" t="s">
        <v>483</v>
      </c>
      <c r="C93" s="8" t="s">
        <v>484</v>
      </c>
      <c r="D93" s="9">
        <v>100000</v>
      </c>
      <c r="E93" s="8" t="s">
        <v>502</v>
      </c>
    </row>
    <row r="94" spans="1:5" hidden="1" x14ac:dyDescent="0.55000000000000004">
      <c r="A94" s="8" t="s">
        <v>12681</v>
      </c>
      <c r="B94" s="21" t="s">
        <v>11246</v>
      </c>
      <c r="C94" s="8" t="s">
        <v>12688</v>
      </c>
      <c r="D94" s="9">
        <v>42000</v>
      </c>
      <c r="E94" s="8" t="s">
        <v>502</v>
      </c>
    </row>
    <row r="95" spans="1:5" hidden="1" x14ac:dyDescent="0.55000000000000004">
      <c r="A95" s="8" t="s">
        <v>12682</v>
      </c>
      <c r="B95" s="21" t="s">
        <v>12693</v>
      </c>
      <c r="C95" s="8" t="s">
        <v>12689</v>
      </c>
      <c r="D95" s="9">
        <v>16500</v>
      </c>
      <c r="E95" s="8" t="s">
        <v>502</v>
      </c>
    </row>
    <row r="96" spans="1:5" hidden="1" x14ac:dyDescent="0.55000000000000004">
      <c r="A96" s="8" t="s">
        <v>12683</v>
      </c>
      <c r="B96" s="21" t="s">
        <v>12694</v>
      </c>
      <c r="C96" s="8" t="s">
        <v>12690</v>
      </c>
      <c r="D96" s="9">
        <v>26000</v>
      </c>
      <c r="E96" s="8" t="s">
        <v>502</v>
      </c>
    </row>
    <row r="97" spans="1:5" hidden="1" x14ac:dyDescent="0.55000000000000004">
      <c r="A97" s="8" t="s">
        <v>232</v>
      </c>
      <c r="B97" s="21" t="s">
        <v>233</v>
      </c>
      <c r="C97" s="8" t="s">
        <v>234</v>
      </c>
      <c r="D97" s="9">
        <v>27720</v>
      </c>
      <c r="E97" s="8" t="s">
        <v>183</v>
      </c>
    </row>
    <row r="98" spans="1:5" hidden="1" x14ac:dyDescent="0.55000000000000004">
      <c r="A98" s="8" t="s">
        <v>93</v>
      </c>
      <c r="B98" s="21" t="s">
        <v>94</v>
      </c>
      <c r="C98" s="8" t="s">
        <v>95</v>
      </c>
      <c r="D98" s="9">
        <v>9475</v>
      </c>
      <c r="E98" s="8" t="s">
        <v>5</v>
      </c>
    </row>
    <row r="99" spans="1:5" hidden="1" x14ac:dyDescent="0.55000000000000004">
      <c r="A99" s="8" t="s">
        <v>93</v>
      </c>
      <c r="B99" s="21" t="s">
        <v>94</v>
      </c>
      <c r="C99" s="8" t="s">
        <v>95</v>
      </c>
      <c r="D99" s="9">
        <v>9475</v>
      </c>
      <c r="E99" s="8" t="s">
        <v>183</v>
      </c>
    </row>
    <row r="100" spans="1:5" hidden="1" x14ac:dyDescent="0.55000000000000004">
      <c r="A100" s="8" t="s">
        <v>247</v>
      </c>
      <c r="B100" s="21" t="s">
        <v>248</v>
      </c>
      <c r="C100" s="8" t="s">
        <v>249</v>
      </c>
      <c r="D100" s="9">
        <v>27720</v>
      </c>
      <c r="E100" s="8" t="s">
        <v>183</v>
      </c>
    </row>
    <row r="101" spans="1:5" hidden="1" x14ac:dyDescent="0.55000000000000004">
      <c r="A101" s="8" t="s">
        <v>108</v>
      </c>
      <c r="B101" s="21" t="s">
        <v>109</v>
      </c>
      <c r="C101" s="8" t="s">
        <v>110</v>
      </c>
      <c r="D101" s="9">
        <v>9475</v>
      </c>
      <c r="E101" s="8" t="s">
        <v>5</v>
      </c>
    </row>
    <row r="102" spans="1:5" hidden="1" x14ac:dyDescent="0.55000000000000004">
      <c r="A102" s="8" t="s">
        <v>108</v>
      </c>
      <c r="B102" s="21" t="s">
        <v>109</v>
      </c>
      <c r="C102" s="8" t="s">
        <v>110</v>
      </c>
      <c r="D102" s="9">
        <v>9475</v>
      </c>
      <c r="E102" s="8" t="s">
        <v>183</v>
      </c>
    </row>
    <row r="103" spans="1:5" hidden="1" x14ac:dyDescent="0.55000000000000004">
      <c r="A103" s="8" t="s">
        <v>331</v>
      </c>
      <c r="B103" s="21" t="s">
        <v>332</v>
      </c>
      <c r="C103" s="8" t="s">
        <v>333</v>
      </c>
      <c r="D103" s="9">
        <v>26400</v>
      </c>
      <c r="E103" s="8" t="s">
        <v>183</v>
      </c>
    </row>
    <row r="104" spans="1:5" hidden="1" x14ac:dyDescent="0.55000000000000004">
      <c r="A104" s="8" t="s">
        <v>310</v>
      </c>
      <c r="B104" s="21" t="s">
        <v>311</v>
      </c>
      <c r="C104" s="8" t="s">
        <v>312</v>
      </c>
      <c r="D104" s="9">
        <v>9475</v>
      </c>
      <c r="E104" s="8" t="s">
        <v>183</v>
      </c>
    </row>
    <row r="105" spans="1:5" hidden="1" x14ac:dyDescent="0.55000000000000004">
      <c r="A105" s="8" t="s">
        <v>202</v>
      </c>
      <c r="B105" s="21" t="s">
        <v>203</v>
      </c>
      <c r="C105" s="8" t="s">
        <v>204</v>
      </c>
      <c r="D105" s="9">
        <v>28512</v>
      </c>
      <c r="E105" s="8" t="s">
        <v>183</v>
      </c>
    </row>
    <row r="106" spans="1:5" hidden="1" x14ac:dyDescent="0.55000000000000004">
      <c r="A106" s="8" t="s">
        <v>298</v>
      </c>
      <c r="B106" s="21" t="s">
        <v>299</v>
      </c>
      <c r="C106" s="8" t="s">
        <v>300</v>
      </c>
      <c r="D106" s="9">
        <v>28512</v>
      </c>
      <c r="E106" s="8" t="s">
        <v>183</v>
      </c>
    </row>
    <row r="107" spans="1:5" hidden="1" x14ac:dyDescent="0.55000000000000004">
      <c r="A107" s="8" t="s">
        <v>60</v>
      </c>
      <c r="B107" s="21" t="s">
        <v>61</v>
      </c>
      <c r="C107" s="8" t="s">
        <v>62</v>
      </c>
      <c r="D107" s="9">
        <v>24960</v>
      </c>
      <c r="E107" s="8" t="s">
        <v>5</v>
      </c>
    </row>
    <row r="108" spans="1:5" hidden="1" x14ac:dyDescent="0.55000000000000004">
      <c r="A108" s="8" t="s">
        <v>60</v>
      </c>
      <c r="B108" s="21" t="s">
        <v>61</v>
      </c>
      <c r="C108" s="8" t="s">
        <v>62</v>
      </c>
      <c r="D108" s="9">
        <v>24960</v>
      </c>
      <c r="E108" s="8" t="s">
        <v>183</v>
      </c>
    </row>
    <row r="109" spans="1:5" hidden="1" x14ac:dyDescent="0.55000000000000004">
      <c r="A109" s="8" t="s">
        <v>30</v>
      </c>
      <c r="B109" s="21" t="s">
        <v>31</v>
      </c>
      <c r="C109" s="8" t="s">
        <v>32</v>
      </c>
      <c r="D109" s="9">
        <v>24960</v>
      </c>
      <c r="E109" s="8" t="s">
        <v>5</v>
      </c>
    </row>
    <row r="110" spans="1:5" hidden="1" x14ac:dyDescent="0.55000000000000004">
      <c r="A110" s="8" t="s">
        <v>30</v>
      </c>
      <c r="B110" s="21" t="s">
        <v>31</v>
      </c>
      <c r="C110" s="8" t="s">
        <v>32</v>
      </c>
      <c r="D110" s="9">
        <v>24960</v>
      </c>
      <c r="E110" s="8" t="s">
        <v>183</v>
      </c>
    </row>
    <row r="111" spans="1:5" hidden="1" x14ac:dyDescent="0.55000000000000004">
      <c r="A111" s="8" t="s">
        <v>57</v>
      </c>
      <c r="B111" s="21" t="s">
        <v>58</v>
      </c>
      <c r="C111" s="8" t="s">
        <v>59</v>
      </c>
      <c r="D111" s="9">
        <v>24960</v>
      </c>
      <c r="E111" s="8" t="s">
        <v>5</v>
      </c>
    </row>
    <row r="112" spans="1:5" hidden="1" x14ac:dyDescent="0.55000000000000004">
      <c r="A112" s="8" t="s">
        <v>57</v>
      </c>
      <c r="B112" s="21" t="s">
        <v>58</v>
      </c>
      <c r="C112" s="8" t="s">
        <v>59</v>
      </c>
      <c r="D112" s="9">
        <v>24960</v>
      </c>
      <c r="E112" s="8" t="s">
        <v>183</v>
      </c>
    </row>
    <row r="113" spans="1:5" hidden="1" x14ac:dyDescent="0.55000000000000004">
      <c r="A113" s="8" t="s">
        <v>39</v>
      </c>
      <c r="B113" s="21" t="s">
        <v>40</v>
      </c>
      <c r="C113" s="8" t="s">
        <v>41</v>
      </c>
      <c r="D113" s="9">
        <v>24960</v>
      </c>
      <c r="E113" s="8" t="s">
        <v>5</v>
      </c>
    </row>
    <row r="114" spans="1:5" hidden="1" x14ac:dyDescent="0.55000000000000004">
      <c r="A114" s="8" t="s">
        <v>39</v>
      </c>
      <c r="B114" s="21" t="s">
        <v>40</v>
      </c>
      <c r="C114" s="8" t="s">
        <v>41</v>
      </c>
      <c r="D114" s="9">
        <v>24960</v>
      </c>
      <c r="E114" s="8" t="s">
        <v>183</v>
      </c>
    </row>
    <row r="115" spans="1:5" hidden="1" x14ac:dyDescent="0.55000000000000004">
      <c r="A115" s="8" t="s">
        <v>217</v>
      </c>
      <c r="B115" s="21" t="s">
        <v>218</v>
      </c>
      <c r="C115" s="8" t="s">
        <v>219</v>
      </c>
      <c r="D115" s="9">
        <v>17424</v>
      </c>
      <c r="E115" s="8" t="s">
        <v>183</v>
      </c>
    </row>
    <row r="116" spans="1:5" hidden="1" x14ac:dyDescent="0.55000000000000004">
      <c r="A116" s="8" t="s">
        <v>196</v>
      </c>
      <c r="B116" s="21" t="s">
        <v>197</v>
      </c>
      <c r="C116" s="8" t="s">
        <v>198</v>
      </c>
      <c r="D116" s="9">
        <v>30720</v>
      </c>
      <c r="E116" s="8" t="s">
        <v>183</v>
      </c>
    </row>
    <row r="117" spans="1:5" hidden="1" x14ac:dyDescent="0.55000000000000004">
      <c r="A117" s="8" t="s">
        <v>24</v>
      </c>
      <c r="B117" s="21" t="s">
        <v>25</v>
      </c>
      <c r="C117" s="8" t="s">
        <v>26</v>
      </c>
      <c r="D117" s="9">
        <v>18768</v>
      </c>
      <c r="E117" s="8" t="s">
        <v>5</v>
      </c>
    </row>
    <row r="118" spans="1:5" hidden="1" x14ac:dyDescent="0.55000000000000004">
      <c r="A118" s="8" t="s">
        <v>24</v>
      </c>
      <c r="B118" s="21" t="s">
        <v>25</v>
      </c>
      <c r="C118" s="8" t="s">
        <v>26</v>
      </c>
      <c r="D118" s="9">
        <v>18768</v>
      </c>
      <c r="E118" s="8" t="s">
        <v>183</v>
      </c>
    </row>
    <row r="119" spans="1:5" hidden="1" x14ac:dyDescent="0.55000000000000004">
      <c r="A119" s="8" t="s">
        <v>2</v>
      </c>
      <c r="B119" s="21" t="s">
        <v>3</v>
      </c>
      <c r="C119" s="8" t="s">
        <v>4</v>
      </c>
      <c r="D119" s="9">
        <v>26095</v>
      </c>
      <c r="E119" s="8" t="s">
        <v>5</v>
      </c>
    </row>
    <row r="120" spans="1:5" hidden="1" x14ac:dyDescent="0.55000000000000004">
      <c r="A120" s="8" t="s">
        <v>2</v>
      </c>
      <c r="B120" s="21" t="s">
        <v>3</v>
      </c>
      <c r="C120" s="8" t="s">
        <v>4</v>
      </c>
      <c r="D120" s="9">
        <v>26095</v>
      </c>
      <c r="E120" s="8" t="s">
        <v>183</v>
      </c>
    </row>
    <row r="121" spans="1:5" hidden="1" x14ac:dyDescent="0.55000000000000004">
      <c r="A121" s="8" t="s">
        <v>33</v>
      </c>
      <c r="B121" s="21" t="s">
        <v>34</v>
      </c>
      <c r="C121" s="8" t="s">
        <v>35</v>
      </c>
      <c r="D121" s="9">
        <v>20064</v>
      </c>
      <c r="E121" s="8" t="s">
        <v>5</v>
      </c>
    </row>
    <row r="122" spans="1:5" hidden="1" x14ac:dyDescent="0.55000000000000004">
      <c r="A122" s="8" t="s">
        <v>33</v>
      </c>
      <c r="B122" s="21" t="s">
        <v>34</v>
      </c>
      <c r="C122" s="8" t="s">
        <v>35</v>
      </c>
      <c r="D122" s="9">
        <v>20064</v>
      </c>
      <c r="E122" s="8" t="s">
        <v>183</v>
      </c>
    </row>
    <row r="123" spans="1:5" hidden="1" x14ac:dyDescent="0.55000000000000004">
      <c r="A123" s="8" t="s">
        <v>15</v>
      </c>
      <c r="B123" s="21" t="s">
        <v>16</v>
      </c>
      <c r="C123" s="8" t="s">
        <v>17</v>
      </c>
      <c r="D123" s="9">
        <v>27600</v>
      </c>
      <c r="E123" s="8" t="s">
        <v>5</v>
      </c>
    </row>
    <row r="124" spans="1:5" hidden="1" x14ac:dyDescent="0.55000000000000004">
      <c r="A124" s="8" t="s">
        <v>15</v>
      </c>
      <c r="B124" s="21" t="s">
        <v>16</v>
      </c>
      <c r="C124" s="8" t="s">
        <v>17</v>
      </c>
      <c r="D124" s="9">
        <v>27600</v>
      </c>
      <c r="E124" s="8" t="s">
        <v>183</v>
      </c>
    </row>
    <row r="125" spans="1:5" hidden="1" x14ac:dyDescent="0.55000000000000004">
      <c r="A125" s="8" t="s">
        <v>238</v>
      </c>
      <c r="B125" s="21" t="s">
        <v>239</v>
      </c>
      <c r="C125" s="8" t="s">
        <v>240</v>
      </c>
      <c r="D125" s="9">
        <v>18648</v>
      </c>
      <c r="E125" s="8" t="s">
        <v>183</v>
      </c>
    </row>
    <row r="126" spans="1:5" hidden="1" x14ac:dyDescent="0.55000000000000004">
      <c r="A126" s="8" t="s">
        <v>193</v>
      </c>
      <c r="B126" s="21" t="s">
        <v>194</v>
      </c>
      <c r="C126" s="8" t="s">
        <v>195</v>
      </c>
      <c r="D126" s="9">
        <v>24960</v>
      </c>
      <c r="E126" s="8" t="s">
        <v>183</v>
      </c>
    </row>
    <row r="127" spans="1:5" hidden="1" x14ac:dyDescent="0.55000000000000004">
      <c r="A127" s="8" t="s">
        <v>36</v>
      </c>
      <c r="B127" s="21" t="s">
        <v>37</v>
      </c>
      <c r="C127" s="8" t="s">
        <v>38</v>
      </c>
      <c r="D127" s="9">
        <v>24960</v>
      </c>
      <c r="E127" s="8" t="s">
        <v>5</v>
      </c>
    </row>
    <row r="128" spans="1:5" hidden="1" x14ac:dyDescent="0.55000000000000004">
      <c r="A128" s="8" t="s">
        <v>36</v>
      </c>
      <c r="B128" s="21" t="s">
        <v>37</v>
      </c>
      <c r="C128" s="8" t="s">
        <v>38</v>
      </c>
      <c r="D128" s="9">
        <v>24960</v>
      </c>
      <c r="E128" s="8" t="s">
        <v>183</v>
      </c>
    </row>
    <row r="129" spans="1:5" hidden="1" x14ac:dyDescent="0.55000000000000004">
      <c r="A129" s="8" t="s">
        <v>205</v>
      </c>
      <c r="B129" s="21" t="s">
        <v>206</v>
      </c>
      <c r="C129" s="8" t="s">
        <v>207</v>
      </c>
      <c r="D129" s="9">
        <v>24960</v>
      </c>
      <c r="E129" s="8" t="s">
        <v>183</v>
      </c>
    </row>
    <row r="130" spans="1:5" hidden="1" x14ac:dyDescent="0.55000000000000004">
      <c r="A130" s="8" t="s">
        <v>214</v>
      </c>
      <c r="B130" s="21" t="s">
        <v>215</v>
      </c>
      <c r="C130" s="8" t="s">
        <v>216</v>
      </c>
      <c r="D130" s="9">
        <v>24960</v>
      </c>
      <c r="E130" s="8" t="s">
        <v>183</v>
      </c>
    </row>
    <row r="131" spans="1:5" hidden="1" x14ac:dyDescent="0.55000000000000004">
      <c r="A131" s="8" t="s">
        <v>72</v>
      </c>
      <c r="B131" s="21" t="s">
        <v>73</v>
      </c>
      <c r="C131" s="8" t="s">
        <v>74</v>
      </c>
      <c r="D131" s="9">
        <v>24960</v>
      </c>
      <c r="E131" s="8" t="s">
        <v>5</v>
      </c>
    </row>
    <row r="132" spans="1:5" hidden="1" x14ac:dyDescent="0.55000000000000004">
      <c r="A132" s="8" t="s">
        <v>72</v>
      </c>
      <c r="B132" s="21" t="s">
        <v>73</v>
      </c>
      <c r="C132" s="8" t="s">
        <v>74</v>
      </c>
      <c r="D132" s="9">
        <v>24960</v>
      </c>
      <c r="E132" s="8" t="s">
        <v>183</v>
      </c>
    </row>
    <row r="133" spans="1:5" hidden="1" x14ac:dyDescent="0.55000000000000004">
      <c r="A133" s="8" t="s">
        <v>226</v>
      </c>
      <c r="B133" s="21" t="s">
        <v>227</v>
      </c>
      <c r="C133" s="8" t="s">
        <v>228</v>
      </c>
      <c r="D133" s="9">
        <v>24960</v>
      </c>
      <c r="E133" s="8" t="s">
        <v>183</v>
      </c>
    </row>
    <row r="134" spans="1:5" hidden="1" x14ac:dyDescent="0.55000000000000004">
      <c r="A134" s="8" t="s">
        <v>12</v>
      </c>
      <c r="B134" s="21" t="s">
        <v>13</v>
      </c>
      <c r="C134" s="8" t="s">
        <v>14</v>
      </c>
      <c r="D134" s="9">
        <v>29568</v>
      </c>
      <c r="E134" s="8" t="s">
        <v>5</v>
      </c>
    </row>
    <row r="135" spans="1:5" hidden="1" x14ac:dyDescent="0.55000000000000004">
      <c r="A135" s="8" t="s">
        <v>12</v>
      </c>
      <c r="B135" s="21" t="s">
        <v>13</v>
      </c>
      <c r="C135" s="8" t="s">
        <v>14</v>
      </c>
      <c r="D135" s="9">
        <v>29568</v>
      </c>
      <c r="E135" s="8" t="s">
        <v>183</v>
      </c>
    </row>
    <row r="136" spans="1:5" hidden="1" x14ac:dyDescent="0.55000000000000004">
      <c r="A136" s="8" t="s">
        <v>21</v>
      </c>
      <c r="B136" s="21" t="s">
        <v>22</v>
      </c>
      <c r="C136" s="8" t="s">
        <v>23</v>
      </c>
      <c r="D136" s="9">
        <v>29568</v>
      </c>
      <c r="E136" s="8" t="s">
        <v>5</v>
      </c>
    </row>
    <row r="137" spans="1:5" hidden="1" x14ac:dyDescent="0.55000000000000004">
      <c r="A137" s="8" t="s">
        <v>21</v>
      </c>
      <c r="B137" s="21" t="s">
        <v>22</v>
      </c>
      <c r="C137" s="8" t="s">
        <v>23</v>
      </c>
      <c r="D137" s="9">
        <v>29568</v>
      </c>
      <c r="E137" s="8" t="s">
        <v>183</v>
      </c>
    </row>
    <row r="138" spans="1:5" hidden="1" x14ac:dyDescent="0.55000000000000004">
      <c r="A138" s="8" t="s">
        <v>18</v>
      </c>
      <c r="B138" s="21" t="s">
        <v>19</v>
      </c>
      <c r="C138" s="8" t="s">
        <v>20</v>
      </c>
      <c r="D138" s="9">
        <v>29568</v>
      </c>
      <c r="E138" s="8" t="s">
        <v>5</v>
      </c>
    </row>
    <row r="139" spans="1:5" hidden="1" x14ac:dyDescent="0.55000000000000004">
      <c r="A139" s="8" t="s">
        <v>18</v>
      </c>
      <c r="B139" s="21" t="s">
        <v>19</v>
      </c>
      <c r="C139" s="8" t="s">
        <v>20</v>
      </c>
      <c r="D139" s="9">
        <v>29568</v>
      </c>
      <c r="E139" s="8" t="s">
        <v>183</v>
      </c>
    </row>
    <row r="140" spans="1:5" hidden="1" x14ac:dyDescent="0.55000000000000004">
      <c r="A140" s="8" t="s">
        <v>69</v>
      </c>
      <c r="B140" s="21" t="s">
        <v>70</v>
      </c>
      <c r="C140" s="8" t="s">
        <v>71</v>
      </c>
      <c r="D140" s="9">
        <v>24096</v>
      </c>
      <c r="E140" s="8" t="s">
        <v>5</v>
      </c>
    </row>
    <row r="141" spans="1:5" hidden="1" x14ac:dyDescent="0.55000000000000004">
      <c r="A141" s="8" t="s">
        <v>69</v>
      </c>
      <c r="B141" s="21" t="s">
        <v>70</v>
      </c>
      <c r="C141" s="8" t="s">
        <v>71</v>
      </c>
      <c r="D141" s="9">
        <v>24096</v>
      </c>
      <c r="E141" s="8" t="s">
        <v>183</v>
      </c>
    </row>
    <row r="142" spans="1:5" hidden="1" x14ac:dyDescent="0.55000000000000004">
      <c r="A142" s="8" t="s">
        <v>126</v>
      </c>
      <c r="B142" s="21" t="s">
        <v>127</v>
      </c>
      <c r="C142" s="8" t="s">
        <v>128</v>
      </c>
      <c r="D142" s="9">
        <v>6754</v>
      </c>
      <c r="E142" s="8" t="s">
        <v>5</v>
      </c>
    </row>
    <row r="143" spans="1:5" hidden="1" x14ac:dyDescent="0.55000000000000004">
      <c r="A143" s="8" t="s">
        <v>126</v>
      </c>
      <c r="B143" s="21" t="s">
        <v>127</v>
      </c>
      <c r="C143" s="8" t="s">
        <v>128</v>
      </c>
      <c r="D143" s="9">
        <v>6754</v>
      </c>
      <c r="E143" s="8" t="s">
        <v>183</v>
      </c>
    </row>
    <row r="144" spans="1:5" hidden="1" x14ac:dyDescent="0.55000000000000004">
      <c r="A144" s="8" t="s">
        <v>84</v>
      </c>
      <c r="B144" s="21" t="s">
        <v>85</v>
      </c>
      <c r="C144" s="8" t="s">
        <v>86</v>
      </c>
      <c r="D144" s="9">
        <v>25200</v>
      </c>
      <c r="E144" s="8" t="s">
        <v>5</v>
      </c>
    </row>
    <row r="145" spans="1:5" hidden="1" x14ac:dyDescent="0.55000000000000004">
      <c r="A145" s="8" t="s">
        <v>84</v>
      </c>
      <c r="B145" s="21" t="s">
        <v>85</v>
      </c>
      <c r="C145" s="8" t="s">
        <v>86</v>
      </c>
      <c r="D145" s="9">
        <v>25200</v>
      </c>
      <c r="E145" s="8" t="s">
        <v>183</v>
      </c>
    </row>
    <row r="146" spans="1:5" hidden="1" x14ac:dyDescent="0.55000000000000004">
      <c r="A146" s="8" t="s">
        <v>114</v>
      </c>
      <c r="B146" s="21" t="s">
        <v>115</v>
      </c>
      <c r="C146" s="8" t="s">
        <v>116</v>
      </c>
      <c r="D146" s="9">
        <v>8568</v>
      </c>
      <c r="E146" s="8" t="s">
        <v>5</v>
      </c>
    </row>
    <row r="147" spans="1:5" hidden="1" x14ac:dyDescent="0.55000000000000004">
      <c r="A147" s="8" t="s">
        <v>114</v>
      </c>
      <c r="B147" s="21" t="s">
        <v>115</v>
      </c>
      <c r="C147" s="8" t="s">
        <v>116</v>
      </c>
      <c r="D147" s="9">
        <v>8568</v>
      </c>
      <c r="E147" s="8" t="s">
        <v>183</v>
      </c>
    </row>
    <row r="148" spans="1:5" x14ac:dyDescent="0.55000000000000004">
      <c r="A148" s="8" t="s">
        <v>51</v>
      </c>
      <c r="B148" s="21" t="s">
        <v>52</v>
      </c>
      <c r="C148" s="8" t="s">
        <v>53</v>
      </c>
      <c r="D148" s="9">
        <v>47376</v>
      </c>
      <c r="E148" s="8" t="s">
        <v>5</v>
      </c>
    </row>
    <row r="149" spans="1:5" x14ac:dyDescent="0.55000000000000004">
      <c r="A149" s="8" t="s">
        <v>51</v>
      </c>
      <c r="B149" s="21" t="s">
        <v>52</v>
      </c>
      <c r="C149" s="8" t="s">
        <v>53</v>
      </c>
      <c r="D149" s="9">
        <v>47376</v>
      </c>
      <c r="E149" s="8" t="s">
        <v>183</v>
      </c>
    </row>
    <row r="150" spans="1:5" hidden="1" x14ac:dyDescent="0.55000000000000004">
      <c r="A150" s="8" t="s">
        <v>190</v>
      </c>
      <c r="B150" s="21" t="s">
        <v>191</v>
      </c>
      <c r="C150" s="8" t="s">
        <v>192</v>
      </c>
      <c r="D150" s="9">
        <v>47376</v>
      </c>
      <c r="E150" s="8" t="s">
        <v>183</v>
      </c>
    </row>
    <row r="151" spans="1:5" hidden="1" x14ac:dyDescent="0.55000000000000004">
      <c r="A151" s="8" t="s">
        <v>105</v>
      </c>
      <c r="B151" s="21" t="s">
        <v>106</v>
      </c>
      <c r="C151" s="8" t="s">
        <v>107</v>
      </c>
      <c r="D151" s="9">
        <v>16632</v>
      </c>
      <c r="E151" s="8" t="s">
        <v>5</v>
      </c>
    </row>
    <row r="152" spans="1:5" hidden="1" x14ac:dyDescent="0.55000000000000004">
      <c r="A152" s="8" t="s">
        <v>105</v>
      </c>
      <c r="B152" s="21" t="s">
        <v>106</v>
      </c>
      <c r="C152" s="8" t="s">
        <v>107</v>
      </c>
      <c r="D152" s="9">
        <v>16632</v>
      </c>
      <c r="E152" s="8" t="s">
        <v>183</v>
      </c>
    </row>
    <row r="153" spans="1:5" hidden="1" x14ac:dyDescent="0.55000000000000004">
      <c r="A153" s="8" t="s">
        <v>223</v>
      </c>
      <c r="B153" s="21" t="s">
        <v>224</v>
      </c>
      <c r="C153" s="8" t="s">
        <v>225</v>
      </c>
      <c r="D153" s="9">
        <v>16632</v>
      </c>
      <c r="E153" s="8" t="s">
        <v>183</v>
      </c>
    </row>
    <row r="154" spans="1:5" hidden="1" x14ac:dyDescent="0.55000000000000004">
      <c r="A154" s="8" t="s">
        <v>78</v>
      </c>
      <c r="B154" s="21" t="s">
        <v>79</v>
      </c>
      <c r="C154" s="8" t="s">
        <v>80</v>
      </c>
      <c r="D154" s="9">
        <v>22075</v>
      </c>
      <c r="E154" s="8" t="s">
        <v>5</v>
      </c>
    </row>
    <row r="155" spans="1:5" hidden="1" x14ac:dyDescent="0.55000000000000004">
      <c r="A155" s="8" t="s">
        <v>78</v>
      </c>
      <c r="B155" s="21" t="s">
        <v>79</v>
      </c>
      <c r="C155" s="8" t="s">
        <v>80</v>
      </c>
      <c r="D155" s="9">
        <v>22075</v>
      </c>
      <c r="E155" s="8" t="s">
        <v>183</v>
      </c>
    </row>
    <row r="156" spans="1:5" hidden="1" x14ac:dyDescent="0.55000000000000004">
      <c r="A156" s="8" t="s">
        <v>102</v>
      </c>
      <c r="B156" s="21" t="s">
        <v>103</v>
      </c>
      <c r="C156" s="8" t="s">
        <v>104</v>
      </c>
      <c r="D156" s="9">
        <v>22075</v>
      </c>
      <c r="E156" s="8" t="s">
        <v>5</v>
      </c>
    </row>
    <row r="157" spans="1:5" hidden="1" x14ac:dyDescent="0.55000000000000004">
      <c r="A157" s="8" t="s">
        <v>102</v>
      </c>
      <c r="B157" s="21" t="s">
        <v>103</v>
      </c>
      <c r="C157" s="8" t="s">
        <v>104</v>
      </c>
      <c r="D157" s="9">
        <v>22075</v>
      </c>
      <c r="E157" s="8" t="s">
        <v>183</v>
      </c>
    </row>
    <row r="158" spans="1:5" hidden="1" x14ac:dyDescent="0.55000000000000004">
      <c r="A158" s="8" t="s">
        <v>316</v>
      </c>
      <c r="B158" s="21" t="s">
        <v>317</v>
      </c>
      <c r="C158" s="8" t="s">
        <v>318</v>
      </c>
      <c r="D158" s="9">
        <v>22075</v>
      </c>
      <c r="E158" s="8" t="s">
        <v>183</v>
      </c>
    </row>
    <row r="159" spans="1:5" hidden="1" x14ac:dyDescent="0.55000000000000004">
      <c r="A159" s="8" t="s">
        <v>111</v>
      </c>
      <c r="B159" s="21" t="s">
        <v>112</v>
      </c>
      <c r="C159" s="8" t="s">
        <v>113</v>
      </c>
      <c r="D159" s="9">
        <v>25704</v>
      </c>
      <c r="E159" s="8" t="s">
        <v>5</v>
      </c>
    </row>
    <row r="160" spans="1:5" hidden="1" x14ac:dyDescent="0.55000000000000004">
      <c r="A160" s="8" t="s">
        <v>111</v>
      </c>
      <c r="B160" s="21" t="s">
        <v>112</v>
      </c>
      <c r="C160" s="8" t="s">
        <v>113</v>
      </c>
      <c r="D160" s="9">
        <v>25704</v>
      </c>
      <c r="E160" s="8" t="s">
        <v>183</v>
      </c>
    </row>
    <row r="161" spans="1:5" hidden="1" x14ac:dyDescent="0.55000000000000004">
      <c r="A161" s="8" t="s">
        <v>96</v>
      </c>
      <c r="B161" s="21" t="s">
        <v>97</v>
      </c>
      <c r="C161" s="8" t="s">
        <v>98</v>
      </c>
      <c r="D161" s="9">
        <v>28325</v>
      </c>
      <c r="E161" s="8" t="s">
        <v>5</v>
      </c>
    </row>
    <row r="162" spans="1:5" hidden="1" x14ac:dyDescent="0.55000000000000004">
      <c r="A162" s="8" t="s">
        <v>96</v>
      </c>
      <c r="B162" s="21" t="s">
        <v>97</v>
      </c>
      <c r="C162" s="8" t="s">
        <v>98</v>
      </c>
      <c r="D162" s="9">
        <v>28325</v>
      </c>
      <c r="E162" s="8" t="s">
        <v>183</v>
      </c>
    </row>
    <row r="163" spans="1:5" hidden="1" x14ac:dyDescent="0.55000000000000004">
      <c r="A163" s="8" t="s">
        <v>301</v>
      </c>
      <c r="B163" s="21" t="s">
        <v>302</v>
      </c>
      <c r="C163" s="8" t="s">
        <v>303</v>
      </c>
      <c r="D163" s="9">
        <v>22075</v>
      </c>
      <c r="E163" s="8" t="s">
        <v>183</v>
      </c>
    </row>
    <row r="164" spans="1:5" hidden="1" x14ac:dyDescent="0.55000000000000004">
      <c r="A164" s="8" t="s">
        <v>6</v>
      </c>
      <c r="B164" s="21" t="s">
        <v>7</v>
      </c>
      <c r="C164" s="8" t="s">
        <v>8</v>
      </c>
      <c r="D164" s="9">
        <v>29645</v>
      </c>
      <c r="E164" s="8" t="s">
        <v>5</v>
      </c>
    </row>
    <row r="165" spans="1:5" hidden="1" x14ac:dyDescent="0.55000000000000004">
      <c r="A165" s="8" t="s">
        <v>6</v>
      </c>
      <c r="B165" s="21" t="s">
        <v>7</v>
      </c>
      <c r="C165" s="8" t="s">
        <v>8</v>
      </c>
      <c r="D165" s="9">
        <v>29645</v>
      </c>
      <c r="E165" s="8" t="s">
        <v>183</v>
      </c>
    </row>
    <row r="166" spans="1:5" hidden="1" x14ac:dyDescent="0.55000000000000004">
      <c r="A166" s="8" t="s">
        <v>9</v>
      </c>
      <c r="B166" s="21" t="s">
        <v>10</v>
      </c>
      <c r="C166" s="8" t="s">
        <v>11</v>
      </c>
      <c r="D166" s="9">
        <v>29645</v>
      </c>
      <c r="E166" s="8" t="s">
        <v>5</v>
      </c>
    </row>
    <row r="167" spans="1:5" hidden="1" x14ac:dyDescent="0.55000000000000004">
      <c r="A167" s="8" t="s">
        <v>9</v>
      </c>
      <c r="B167" s="21" t="s">
        <v>10</v>
      </c>
      <c r="C167" s="8" t="s">
        <v>11</v>
      </c>
      <c r="D167" s="9">
        <v>29645</v>
      </c>
      <c r="E167" s="8" t="s">
        <v>183</v>
      </c>
    </row>
    <row r="168" spans="1:5" hidden="1" x14ac:dyDescent="0.55000000000000004">
      <c r="A168" s="8" t="s">
        <v>280</v>
      </c>
      <c r="B168" s="21" t="s">
        <v>281</v>
      </c>
      <c r="C168" s="8" t="s">
        <v>282</v>
      </c>
      <c r="D168" s="9">
        <v>8770</v>
      </c>
      <c r="E168" s="8" t="s">
        <v>183</v>
      </c>
    </row>
    <row r="169" spans="1:5" hidden="1" x14ac:dyDescent="0.55000000000000004">
      <c r="A169" s="8" t="s">
        <v>289</v>
      </c>
      <c r="B169" s="21" t="s">
        <v>290</v>
      </c>
      <c r="C169" s="8" t="s">
        <v>291</v>
      </c>
      <c r="D169" s="9">
        <v>25704</v>
      </c>
      <c r="E169" s="8" t="s">
        <v>183</v>
      </c>
    </row>
    <row r="170" spans="1:5" hidden="1" x14ac:dyDescent="0.55000000000000004">
      <c r="A170" s="8" t="s">
        <v>54</v>
      </c>
      <c r="B170" s="21" t="s">
        <v>55</v>
      </c>
      <c r="C170" s="8" t="s">
        <v>56</v>
      </c>
      <c r="D170" s="9">
        <v>27216</v>
      </c>
      <c r="E170" s="8" t="s">
        <v>5</v>
      </c>
    </row>
    <row r="171" spans="1:5" hidden="1" x14ac:dyDescent="0.55000000000000004">
      <c r="A171" s="8" t="s">
        <v>54</v>
      </c>
      <c r="B171" s="21" t="s">
        <v>55</v>
      </c>
      <c r="C171" s="8" t="s">
        <v>56</v>
      </c>
      <c r="D171" s="9">
        <v>27216</v>
      </c>
      <c r="E171" s="8" t="s">
        <v>183</v>
      </c>
    </row>
    <row r="172" spans="1:5" hidden="1" x14ac:dyDescent="0.55000000000000004">
      <c r="A172" s="8" t="s">
        <v>45</v>
      </c>
      <c r="B172" s="21" t="s">
        <v>46</v>
      </c>
      <c r="C172" s="8" t="s">
        <v>47</v>
      </c>
      <c r="D172" s="9">
        <v>27216</v>
      </c>
      <c r="E172" s="8" t="s">
        <v>5</v>
      </c>
    </row>
    <row r="173" spans="1:5" hidden="1" x14ac:dyDescent="0.55000000000000004">
      <c r="A173" s="8" t="s">
        <v>45</v>
      </c>
      <c r="B173" s="21" t="s">
        <v>46</v>
      </c>
      <c r="C173" s="8" t="s">
        <v>47</v>
      </c>
      <c r="D173" s="9">
        <v>27216</v>
      </c>
      <c r="E173" s="8" t="s">
        <v>183</v>
      </c>
    </row>
    <row r="174" spans="1:5" hidden="1" x14ac:dyDescent="0.55000000000000004">
      <c r="A174" s="8" t="s">
        <v>75</v>
      </c>
      <c r="B174" s="21" t="s">
        <v>76</v>
      </c>
      <c r="C174" s="8" t="s">
        <v>77</v>
      </c>
      <c r="D174" s="9">
        <v>16934</v>
      </c>
      <c r="E174" s="8" t="s">
        <v>5</v>
      </c>
    </row>
    <row r="175" spans="1:5" hidden="1" x14ac:dyDescent="0.55000000000000004">
      <c r="A175" s="8" t="s">
        <v>75</v>
      </c>
      <c r="B175" s="21" t="s">
        <v>76</v>
      </c>
      <c r="C175" s="8" t="s">
        <v>77</v>
      </c>
      <c r="D175" s="9">
        <v>16934</v>
      </c>
      <c r="E175" s="8" t="s">
        <v>183</v>
      </c>
    </row>
    <row r="176" spans="1:5" hidden="1" x14ac:dyDescent="0.55000000000000004">
      <c r="A176" s="8" t="s">
        <v>256</v>
      </c>
      <c r="B176" s="21" t="s">
        <v>257</v>
      </c>
      <c r="C176" s="8" t="s">
        <v>258</v>
      </c>
      <c r="D176" s="9">
        <v>13745</v>
      </c>
      <c r="E176" s="8" t="s">
        <v>183</v>
      </c>
    </row>
    <row r="177" spans="1:5" hidden="1" x14ac:dyDescent="0.55000000000000004">
      <c r="A177" s="8" t="s">
        <v>132</v>
      </c>
      <c r="B177" s="21" t="s">
        <v>528</v>
      </c>
      <c r="C177" s="8" t="s">
        <v>529</v>
      </c>
      <c r="D177" s="9">
        <v>22752</v>
      </c>
      <c r="E177" s="8" t="s">
        <v>5</v>
      </c>
    </row>
    <row r="178" spans="1:5" hidden="1" x14ac:dyDescent="0.55000000000000004">
      <c r="A178" s="8" t="s">
        <v>132</v>
      </c>
      <c r="B178" s="21" t="s">
        <v>528</v>
      </c>
      <c r="C178" s="8" t="s">
        <v>529</v>
      </c>
      <c r="D178" s="9">
        <v>22752</v>
      </c>
      <c r="E178" s="8" t="s">
        <v>183</v>
      </c>
    </row>
    <row r="179" spans="1:5" hidden="1" x14ac:dyDescent="0.55000000000000004">
      <c r="A179" s="8" t="s">
        <v>220</v>
      </c>
      <c r="B179" s="21" t="s">
        <v>221</v>
      </c>
      <c r="C179" s="8" t="s">
        <v>222</v>
      </c>
      <c r="D179" s="9">
        <v>25200</v>
      </c>
      <c r="E179" s="8" t="s">
        <v>183</v>
      </c>
    </row>
    <row r="180" spans="1:5" hidden="1" x14ac:dyDescent="0.55000000000000004">
      <c r="A180" s="8" t="s">
        <v>162</v>
      </c>
      <c r="B180" s="21" t="s">
        <v>163</v>
      </c>
      <c r="C180" s="8" t="s">
        <v>164</v>
      </c>
      <c r="D180" s="9">
        <v>11345</v>
      </c>
      <c r="E180" s="8" t="s">
        <v>5</v>
      </c>
    </row>
    <row r="181" spans="1:5" hidden="1" x14ac:dyDescent="0.55000000000000004">
      <c r="A181" s="8" t="s">
        <v>162</v>
      </c>
      <c r="B181" s="21" t="s">
        <v>163</v>
      </c>
      <c r="C181" s="8" t="s">
        <v>164</v>
      </c>
      <c r="D181" s="9">
        <v>11345</v>
      </c>
      <c r="E181" s="8" t="s">
        <v>183</v>
      </c>
    </row>
    <row r="182" spans="1:5" hidden="1" x14ac:dyDescent="0.55000000000000004">
      <c r="A182" s="8" t="s">
        <v>165</v>
      </c>
      <c r="B182" s="21" t="s">
        <v>166</v>
      </c>
      <c r="C182" s="8" t="s">
        <v>167</v>
      </c>
      <c r="D182" s="9">
        <v>11345</v>
      </c>
      <c r="E182" s="8" t="s">
        <v>5</v>
      </c>
    </row>
    <row r="183" spans="1:5" hidden="1" x14ac:dyDescent="0.55000000000000004">
      <c r="A183" s="8" t="s">
        <v>165</v>
      </c>
      <c r="B183" s="21" t="s">
        <v>166</v>
      </c>
      <c r="C183" s="8" t="s">
        <v>167</v>
      </c>
      <c r="D183" s="9">
        <v>11345</v>
      </c>
      <c r="E183" s="8" t="s">
        <v>183</v>
      </c>
    </row>
    <row r="184" spans="1:5" hidden="1" x14ac:dyDescent="0.55000000000000004">
      <c r="A184" s="8" t="s">
        <v>168</v>
      </c>
      <c r="B184" s="21" t="s">
        <v>169</v>
      </c>
      <c r="C184" s="8" t="s">
        <v>170</v>
      </c>
      <c r="D184" s="9">
        <v>11345</v>
      </c>
      <c r="E184" s="8" t="s">
        <v>5</v>
      </c>
    </row>
    <row r="185" spans="1:5" hidden="1" x14ac:dyDescent="0.55000000000000004">
      <c r="A185" s="8" t="s">
        <v>168</v>
      </c>
      <c r="B185" s="21" t="s">
        <v>169</v>
      </c>
      <c r="C185" s="8" t="s">
        <v>170</v>
      </c>
      <c r="D185" s="9">
        <v>11345</v>
      </c>
      <c r="E185" s="8" t="s">
        <v>183</v>
      </c>
    </row>
    <row r="186" spans="1:5" hidden="1" x14ac:dyDescent="0.55000000000000004">
      <c r="A186" s="8" t="s">
        <v>129</v>
      </c>
      <c r="B186" s="21" t="s">
        <v>130</v>
      </c>
      <c r="C186" s="8" t="s">
        <v>131</v>
      </c>
      <c r="D186" s="9">
        <v>22075</v>
      </c>
      <c r="E186" s="8" t="s">
        <v>5</v>
      </c>
    </row>
    <row r="187" spans="1:5" hidden="1" x14ac:dyDescent="0.55000000000000004">
      <c r="A187" s="8" t="s">
        <v>129</v>
      </c>
      <c r="B187" s="21" t="s">
        <v>130</v>
      </c>
      <c r="C187" s="8" t="s">
        <v>131</v>
      </c>
      <c r="D187" s="9">
        <v>22075</v>
      </c>
      <c r="E187" s="8" t="s">
        <v>183</v>
      </c>
    </row>
    <row r="188" spans="1:5" hidden="1" x14ac:dyDescent="0.55000000000000004">
      <c r="A188" s="8" t="s">
        <v>99</v>
      </c>
      <c r="B188" s="21" t="s">
        <v>100</v>
      </c>
      <c r="C188" s="8" t="s">
        <v>101</v>
      </c>
      <c r="D188" s="9">
        <v>27216</v>
      </c>
      <c r="E188" s="8" t="s">
        <v>5</v>
      </c>
    </row>
    <row r="189" spans="1:5" hidden="1" x14ac:dyDescent="0.55000000000000004">
      <c r="A189" s="8" t="s">
        <v>99</v>
      </c>
      <c r="B189" s="21" t="s">
        <v>100</v>
      </c>
      <c r="C189" s="8" t="s">
        <v>101</v>
      </c>
      <c r="D189" s="9">
        <v>27216</v>
      </c>
      <c r="E189" s="8" t="s">
        <v>183</v>
      </c>
    </row>
    <row r="190" spans="1:5" hidden="1" x14ac:dyDescent="0.55000000000000004">
      <c r="A190" s="8" t="s">
        <v>135</v>
      </c>
      <c r="B190" s="21" t="s">
        <v>136</v>
      </c>
      <c r="C190" s="8" t="s">
        <v>137</v>
      </c>
      <c r="D190" s="9">
        <v>24873</v>
      </c>
      <c r="E190" s="8" t="s">
        <v>5</v>
      </c>
    </row>
    <row r="191" spans="1:5" hidden="1" x14ac:dyDescent="0.55000000000000004">
      <c r="A191" s="8" t="s">
        <v>135</v>
      </c>
      <c r="B191" s="21" t="s">
        <v>136</v>
      </c>
      <c r="C191" s="8" t="s">
        <v>137</v>
      </c>
      <c r="D191" s="9">
        <v>24873</v>
      </c>
      <c r="E191" s="8" t="s">
        <v>183</v>
      </c>
    </row>
    <row r="192" spans="1:5" hidden="1" x14ac:dyDescent="0.55000000000000004">
      <c r="A192" s="8" t="s">
        <v>304</v>
      </c>
      <c r="B192" s="21" t="s">
        <v>305</v>
      </c>
      <c r="C192" s="8" t="s">
        <v>306</v>
      </c>
      <c r="D192" s="9">
        <v>46255</v>
      </c>
      <c r="E192" s="8" t="s">
        <v>183</v>
      </c>
    </row>
    <row r="193" spans="1:5" hidden="1" x14ac:dyDescent="0.55000000000000004">
      <c r="A193" s="8" t="s">
        <v>274</v>
      </c>
      <c r="B193" s="21" t="s">
        <v>275</v>
      </c>
      <c r="C193" s="8" t="s">
        <v>276</v>
      </c>
      <c r="D193" s="9">
        <v>31111</v>
      </c>
      <c r="E193" s="8" t="s">
        <v>183</v>
      </c>
    </row>
    <row r="194" spans="1:5" hidden="1" x14ac:dyDescent="0.55000000000000004">
      <c r="A194" s="8" t="s">
        <v>253</v>
      </c>
      <c r="B194" s="21" t="s">
        <v>254</v>
      </c>
      <c r="C194" s="8" t="s">
        <v>255</v>
      </c>
      <c r="D194" s="9">
        <v>31111</v>
      </c>
      <c r="E194" s="8" t="s">
        <v>183</v>
      </c>
    </row>
    <row r="195" spans="1:5" hidden="1" x14ac:dyDescent="0.55000000000000004">
      <c r="A195" s="8" t="s">
        <v>120</v>
      </c>
      <c r="B195" s="21" t="s">
        <v>121</v>
      </c>
      <c r="C195" s="8" t="s">
        <v>122</v>
      </c>
      <c r="D195" s="9">
        <v>22691</v>
      </c>
      <c r="E195" s="8" t="s">
        <v>5</v>
      </c>
    </row>
    <row r="196" spans="1:5" hidden="1" x14ac:dyDescent="0.55000000000000004">
      <c r="A196" s="8" t="s">
        <v>120</v>
      </c>
      <c r="B196" s="21" t="s">
        <v>121</v>
      </c>
      <c r="C196" s="8" t="s">
        <v>122</v>
      </c>
      <c r="D196" s="9">
        <v>22691</v>
      </c>
      <c r="E196" s="8" t="s">
        <v>183</v>
      </c>
    </row>
    <row r="197" spans="1:5" hidden="1" x14ac:dyDescent="0.55000000000000004">
      <c r="A197" s="8" t="s">
        <v>295</v>
      </c>
      <c r="B197" s="21" t="s">
        <v>296</v>
      </c>
      <c r="C197" s="8" t="s">
        <v>297</v>
      </c>
      <c r="D197" s="9">
        <v>22691</v>
      </c>
      <c r="E197" s="8" t="s">
        <v>183</v>
      </c>
    </row>
    <row r="198" spans="1:5" hidden="1" x14ac:dyDescent="0.55000000000000004">
      <c r="A198" s="8" t="s">
        <v>277</v>
      </c>
      <c r="B198" s="21" t="s">
        <v>278</v>
      </c>
      <c r="C198" s="8" t="s">
        <v>279</v>
      </c>
      <c r="D198" s="9">
        <v>22691</v>
      </c>
      <c r="E198" s="8" t="s">
        <v>183</v>
      </c>
    </row>
    <row r="199" spans="1:5" hidden="1" x14ac:dyDescent="0.55000000000000004">
      <c r="A199" s="8" t="s">
        <v>262</v>
      </c>
      <c r="B199" s="21" t="s">
        <v>263</v>
      </c>
      <c r="C199" s="8" t="s">
        <v>264</v>
      </c>
      <c r="D199" s="9">
        <v>22691</v>
      </c>
      <c r="E199" s="8" t="s">
        <v>183</v>
      </c>
    </row>
    <row r="200" spans="1:5" hidden="1" x14ac:dyDescent="0.55000000000000004">
      <c r="A200" s="8" t="s">
        <v>313</v>
      </c>
      <c r="B200" s="21" t="s">
        <v>314</v>
      </c>
      <c r="C200" s="8" t="s">
        <v>315</v>
      </c>
      <c r="D200" s="9">
        <v>22691</v>
      </c>
      <c r="E200" s="8" t="s">
        <v>183</v>
      </c>
    </row>
    <row r="201" spans="1:5" hidden="1" x14ac:dyDescent="0.55000000000000004">
      <c r="A201" s="8" t="s">
        <v>322</v>
      </c>
      <c r="B201" s="21" t="s">
        <v>323</v>
      </c>
      <c r="C201" s="8" t="s">
        <v>324</v>
      </c>
      <c r="D201" s="9">
        <v>22691</v>
      </c>
      <c r="E201" s="8" t="s">
        <v>183</v>
      </c>
    </row>
    <row r="202" spans="1:5" hidden="1" x14ac:dyDescent="0.55000000000000004">
      <c r="A202" s="8" t="s">
        <v>349</v>
      </c>
      <c r="B202" s="21" t="s">
        <v>350</v>
      </c>
      <c r="C202" s="8" t="s">
        <v>351</v>
      </c>
      <c r="D202" s="9">
        <v>71568</v>
      </c>
      <c r="E202" s="8" t="s">
        <v>183</v>
      </c>
    </row>
    <row r="203" spans="1:5" hidden="1" x14ac:dyDescent="0.55000000000000004">
      <c r="A203" s="8" t="s">
        <v>156</v>
      </c>
      <c r="B203" s="21" t="s">
        <v>157</v>
      </c>
      <c r="C203" s="8" t="s">
        <v>158</v>
      </c>
      <c r="D203" s="9">
        <v>52224</v>
      </c>
      <c r="E203" s="8" t="s">
        <v>5</v>
      </c>
    </row>
    <row r="204" spans="1:5" hidden="1" x14ac:dyDescent="0.55000000000000004">
      <c r="A204" s="8" t="s">
        <v>156</v>
      </c>
      <c r="B204" s="21" t="s">
        <v>157</v>
      </c>
      <c r="C204" s="8" t="s">
        <v>158</v>
      </c>
      <c r="D204" s="9">
        <v>52224</v>
      </c>
      <c r="E204" s="8" t="s">
        <v>183</v>
      </c>
    </row>
    <row r="205" spans="1:5" hidden="1" x14ac:dyDescent="0.55000000000000004">
      <c r="A205" s="8" t="s">
        <v>150</v>
      </c>
      <c r="B205" s="21" t="s">
        <v>151</v>
      </c>
      <c r="C205" s="8" t="s">
        <v>152</v>
      </c>
      <c r="D205" s="9">
        <v>87072</v>
      </c>
      <c r="E205" s="8" t="s">
        <v>5</v>
      </c>
    </row>
    <row r="206" spans="1:5" hidden="1" x14ac:dyDescent="0.55000000000000004">
      <c r="A206" s="8" t="s">
        <v>150</v>
      </c>
      <c r="B206" s="21" t="s">
        <v>151</v>
      </c>
      <c r="C206" s="8" t="s">
        <v>152</v>
      </c>
      <c r="D206" s="9">
        <v>87072</v>
      </c>
      <c r="E206" s="8" t="s">
        <v>183</v>
      </c>
    </row>
    <row r="207" spans="1:5" hidden="1" x14ac:dyDescent="0.55000000000000004">
      <c r="A207" s="8" t="s">
        <v>174</v>
      </c>
      <c r="B207" s="21" t="s">
        <v>175</v>
      </c>
      <c r="C207" s="8" t="s">
        <v>176</v>
      </c>
      <c r="D207" s="9">
        <v>26400</v>
      </c>
      <c r="E207" s="8" t="s">
        <v>5</v>
      </c>
    </row>
    <row r="208" spans="1:5" hidden="1" x14ac:dyDescent="0.55000000000000004">
      <c r="A208" s="8" t="s">
        <v>174</v>
      </c>
      <c r="B208" s="21" t="s">
        <v>175</v>
      </c>
      <c r="C208" s="8" t="s">
        <v>176</v>
      </c>
      <c r="D208" s="9">
        <v>26400</v>
      </c>
      <c r="E208" s="8" t="s">
        <v>183</v>
      </c>
    </row>
    <row r="209" spans="1:5" hidden="1" x14ac:dyDescent="0.55000000000000004">
      <c r="A209" s="8" t="s">
        <v>361</v>
      </c>
      <c r="B209" s="21" t="s">
        <v>362</v>
      </c>
      <c r="C209" s="8" t="s">
        <v>363</v>
      </c>
      <c r="D209" s="9">
        <v>38400</v>
      </c>
      <c r="E209" s="8" t="s">
        <v>183</v>
      </c>
    </row>
    <row r="210" spans="1:5" hidden="1" x14ac:dyDescent="0.55000000000000004">
      <c r="A210" s="8" t="s">
        <v>352</v>
      </c>
      <c r="B210" s="21" t="s">
        <v>353</v>
      </c>
      <c r="C210" s="8" t="s">
        <v>354</v>
      </c>
      <c r="D210" s="9">
        <v>28865</v>
      </c>
      <c r="E210" s="8" t="s">
        <v>183</v>
      </c>
    </row>
    <row r="211" spans="1:5" hidden="1" x14ac:dyDescent="0.55000000000000004">
      <c r="A211" s="8" t="s">
        <v>346</v>
      </c>
      <c r="B211" s="21" t="s">
        <v>347</v>
      </c>
      <c r="C211" s="8" t="s">
        <v>348</v>
      </c>
      <c r="D211" s="9">
        <v>37113</v>
      </c>
      <c r="E211" s="8" t="s">
        <v>183</v>
      </c>
    </row>
    <row r="212" spans="1:5" hidden="1" x14ac:dyDescent="0.55000000000000004">
      <c r="A212" s="8" t="s">
        <v>141</v>
      </c>
      <c r="B212" s="21" t="s">
        <v>142</v>
      </c>
      <c r="C212" s="8" t="s">
        <v>143</v>
      </c>
      <c r="D212" s="9">
        <v>65520</v>
      </c>
      <c r="E212" s="8" t="s">
        <v>5</v>
      </c>
    </row>
    <row r="213" spans="1:5" hidden="1" x14ac:dyDescent="0.55000000000000004">
      <c r="A213" s="8" t="s">
        <v>141</v>
      </c>
      <c r="B213" s="21" t="s">
        <v>142</v>
      </c>
      <c r="C213" s="8" t="s">
        <v>143</v>
      </c>
      <c r="D213" s="9">
        <v>65520</v>
      </c>
      <c r="E213" s="8" t="s">
        <v>183</v>
      </c>
    </row>
    <row r="214" spans="1:5" hidden="1" x14ac:dyDescent="0.55000000000000004">
      <c r="A214" s="8" t="s">
        <v>343</v>
      </c>
      <c r="B214" s="21" t="s">
        <v>344</v>
      </c>
      <c r="C214" s="8" t="s">
        <v>345</v>
      </c>
      <c r="D214" s="9">
        <v>65520</v>
      </c>
      <c r="E214" s="8" t="s">
        <v>183</v>
      </c>
    </row>
    <row r="215" spans="1:5" hidden="1" x14ac:dyDescent="0.55000000000000004">
      <c r="A215" s="8" t="s">
        <v>144</v>
      </c>
      <c r="B215" s="21" t="s">
        <v>145</v>
      </c>
      <c r="C215" s="8" t="s">
        <v>146</v>
      </c>
      <c r="D215" s="9">
        <v>55440</v>
      </c>
      <c r="E215" s="8" t="s">
        <v>5</v>
      </c>
    </row>
    <row r="216" spans="1:5" hidden="1" x14ac:dyDescent="0.55000000000000004">
      <c r="A216" s="8" t="s">
        <v>144</v>
      </c>
      <c r="B216" s="21" t="s">
        <v>145</v>
      </c>
      <c r="C216" s="8" t="s">
        <v>146</v>
      </c>
      <c r="D216" s="9">
        <v>55440</v>
      </c>
      <c r="E216" s="8" t="s">
        <v>183</v>
      </c>
    </row>
    <row r="217" spans="1:5" hidden="1" x14ac:dyDescent="0.55000000000000004">
      <c r="A217" s="8" t="s">
        <v>171</v>
      </c>
      <c r="B217" s="21" t="s">
        <v>172</v>
      </c>
      <c r="C217" s="8" t="s">
        <v>173</v>
      </c>
      <c r="D217" s="9">
        <v>11597</v>
      </c>
      <c r="E217" s="8" t="s">
        <v>5</v>
      </c>
    </row>
    <row r="218" spans="1:5" hidden="1" x14ac:dyDescent="0.55000000000000004">
      <c r="A218" s="8" t="s">
        <v>171</v>
      </c>
      <c r="B218" s="21" t="s">
        <v>172</v>
      </c>
      <c r="C218" s="8" t="s">
        <v>173</v>
      </c>
      <c r="D218" s="9">
        <v>11597</v>
      </c>
      <c r="E218" s="8" t="s">
        <v>183</v>
      </c>
    </row>
    <row r="219" spans="1:5" hidden="1" x14ac:dyDescent="0.55000000000000004">
      <c r="A219" s="8" t="s">
        <v>177</v>
      </c>
      <c r="B219" s="21" t="s">
        <v>178</v>
      </c>
      <c r="C219" s="8" t="s">
        <v>179</v>
      </c>
      <c r="D219" s="9">
        <v>11597</v>
      </c>
      <c r="E219" s="8" t="s">
        <v>5</v>
      </c>
    </row>
    <row r="220" spans="1:5" hidden="1" x14ac:dyDescent="0.55000000000000004">
      <c r="A220" s="8" t="s">
        <v>177</v>
      </c>
      <c r="B220" s="21" t="s">
        <v>178</v>
      </c>
      <c r="C220" s="8" t="s">
        <v>179</v>
      </c>
      <c r="D220" s="9">
        <v>11597</v>
      </c>
      <c r="E220" s="8" t="s">
        <v>183</v>
      </c>
    </row>
    <row r="221" spans="1:5" hidden="1" x14ac:dyDescent="0.55000000000000004">
      <c r="A221" s="8" t="s">
        <v>147</v>
      </c>
      <c r="B221" s="21" t="s">
        <v>148</v>
      </c>
      <c r="C221" s="8" t="s">
        <v>149</v>
      </c>
      <c r="D221" s="9">
        <v>26880</v>
      </c>
      <c r="E221" s="8" t="s">
        <v>5</v>
      </c>
    </row>
    <row r="222" spans="1:5" hidden="1" x14ac:dyDescent="0.55000000000000004">
      <c r="A222" s="8" t="s">
        <v>147</v>
      </c>
      <c r="B222" s="21" t="s">
        <v>148</v>
      </c>
      <c r="C222" s="8" t="s">
        <v>149</v>
      </c>
      <c r="D222" s="9">
        <v>26880</v>
      </c>
      <c r="E222" s="8" t="s">
        <v>183</v>
      </c>
    </row>
    <row r="223" spans="1:5" hidden="1" x14ac:dyDescent="0.55000000000000004">
      <c r="A223" s="8" t="s">
        <v>355</v>
      </c>
      <c r="B223" s="21" t="s">
        <v>356</v>
      </c>
      <c r="C223" s="8" t="s">
        <v>357</v>
      </c>
      <c r="D223" s="9">
        <v>26880</v>
      </c>
      <c r="E223" s="8" t="s">
        <v>183</v>
      </c>
    </row>
    <row r="224" spans="1:5" hidden="1" x14ac:dyDescent="0.55000000000000004">
      <c r="A224" s="8" t="s">
        <v>180</v>
      </c>
      <c r="B224" s="21" t="s">
        <v>181</v>
      </c>
      <c r="C224" s="8" t="s">
        <v>182</v>
      </c>
      <c r="D224" s="9">
        <v>29568</v>
      </c>
      <c r="E224" s="8" t="s">
        <v>5</v>
      </c>
    </row>
    <row r="225" spans="1:5" hidden="1" x14ac:dyDescent="0.55000000000000004">
      <c r="A225" s="8" t="s">
        <v>180</v>
      </c>
      <c r="B225" s="21" t="s">
        <v>181</v>
      </c>
      <c r="C225" s="8" t="s">
        <v>182</v>
      </c>
      <c r="D225" s="9">
        <v>29568</v>
      </c>
      <c r="E225" s="8" t="s">
        <v>183</v>
      </c>
    </row>
    <row r="226" spans="1:5" hidden="1" x14ac:dyDescent="0.55000000000000004">
      <c r="A226" s="8" t="s">
        <v>159</v>
      </c>
      <c r="B226" s="21" t="s">
        <v>160</v>
      </c>
      <c r="C226" s="8" t="s">
        <v>161</v>
      </c>
      <c r="D226" s="9">
        <v>29568</v>
      </c>
      <c r="E226" s="8" t="s">
        <v>5</v>
      </c>
    </row>
    <row r="227" spans="1:5" hidden="1" x14ac:dyDescent="0.55000000000000004">
      <c r="A227" s="8" t="s">
        <v>159</v>
      </c>
      <c r="B227" s="21" t="s">
        <v>160</v>
      </c>
      <c r="C227" s="8" t="s">
        <v>161</v>
      </c>
      <c r="D227" s="9">
        <v>29568</v>
      </c>
      <c r="E227" s="8" t="s">
        <v>183</v>
      </c>
    </row>
    <row r="228" spans="1:5" hidden="1" x14ac:dyDescent="0.55000000000000004">
      <c r="A228" s="8" t="s">
        <v>153</v>
      </c>
      <c r="B228" s="21" t="s">
        <v>154</v>
      </c>
      <c r="C228" s="8" t="s">
        <v>155</v>
      </c>
      <c r="D228" s="9">
        <v>32832</v>
      </c>
      <c r="E228" s="8" t="s">
        <v>5</v>
      </c>
    </row>
    <row r="229" spans="1:5" hidden="1" x14ac:dyDescent="0.55000000000000004">
      <c r="A229" s="8" t="s">
        <v>153</v>
      </c>
      <c r="B229" s="21" t="s">
        <v>154</v>
      </c>
      <c r="C229" s="8" t="s">
        <v>155</v>
      </c>
      <c r="D229" s="9">
        <v>32832</v>
      </c>
      <c r="E229" s="8" t="s">
        <v>183</v>
      </c>
    </row>
    <row r="230" spans="1:5" hidden="1" x14ac:dyDescent="0.55000000000000004">
      <c r="A230" s="8" t="s">
        <v>358</v>
      </c>
      <c r="B230" s="21" t="s">
        <v>359</v>
      </c>
      <c r="C230" s="8" t="s">
        <v>360</v>
      </c>
      <c r="D230" s="9">
        <v>62208</v>
      </c>
      <c r="E230" s="8" t="s">
        <v>183</v>
      </c>
    </row>
    <row r="231" spans="1:5" hidden="1" x14ac:dyDescent="0.55000000000000004">
      <c r="A231" s="8" t="s">
        <v>364</v>
      </c>
      <c r="B231" s="21" t="s">
        <v>365</v>
      </c>
      <c r="C231" s="8" t="s">
        <v>366</v>
      </c>
      <c r="D231" s="9">
        <v>109440</v>
      </c>
      <c r="E231" s="8" t="s">
        <v>183</v>
      </c>
    </row>
  </sheetData>
  <conditionalFormatting sqref="B2:B231">
    <cfRule type="duplicateValues" dxfId="2" priority="3"/>
  </conditionalFormatting>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8D907AB-841C-41C8-B298-8CB95E1197E5}">
          <x14:formula1>
            <xm:f>'Data Validation'!$C$2:$C$4</xm:f>
          </x14:formula1>
          <xm:sqref>E2:E231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28"/>
  <sheetViews>
    <sheetView zoomScale="43" zoomScaleNormal="58" zoomScaleSheetLayoutView="40" workbookViewId="0">
      <selection activeCell="A3" sqref="A3"/>
    </sheetView>
  </sheetViews>
  <sheetFormatPr defaultColWidth="9" defaultRowHeight="21.75" customHeight="1" x14ac:dyDescent="0.45"/>
  <cols>
    <col min="1" max="1" width="11.3984375" style="27" customWidth="1"/>
    <col min="2" max="2" width="34.73046875" style="3" bestFit="1" customWidth="1"/>
    <col min="3" max="3" width="18.73046875" style="3" bestFit="1" customWidth="1"/>
    <col min="4" max="4" width="16.1328125" style="3" bestFit="1" customWidth="1"/>
    <col min="5" max="6" width="22" style="3" bestFit="1" customWidth="1"/>
    <col min="7" max="7" width="26.86328125" style="3" customWidth="1"/>
    <col min="8" max="8" width="22" style="3" bestFit="1" customWidth="1"/>
    <col min="9" max="9" width="90.1328125" style="3" bestFit="1" customWidth="1"/>
    <col min="10" max="10" width="16.73046875" style="3" bestFit="1" customWidth="1"/>
    <col min="11" max="11" width="20.86328125" style="3" bestFit="1" customWidth="1"/>
    <col min="12" max="12" width="25.59765625" style="3" bestFit="1" customWidth="1"/>
    <col min="13" max="13" width="27.59765625" style="3" bestFit="1" customWidth="1"/>
    <col min="14" max="14" width="23.59765625" style="3" bestFit="1" customWidth="1"/>
    <col min="15" max="15" width="71.1328125" style="3" bestFit="1" customWidth="1"/>
    <col min="16" max="16" width="23.1328125" style="3" customWidth="1"/>
    <col min="17" max="17" width="20.796875" style="3" bestFit="1" customWidth="1"/>
    <col min="18" max="16384" width="9" style="3"/>
  </cols>
  <sheetData>
    <row r="1" spans="1:17" s="1" customFormat="1" ht="21.75" customHeight="1" x14ac:dyDescent="0.45">
      <c r="A1" s="25" t="s">
        <v>516</v>
      </c>
      <c r="B1" s="1" t="s">
        <v>488</v>
      </c>
      <c r="C1" s="1" t="s">
        <v>1</v>
      </c>
      <c r="D1" s="1" t="s">
        <v>495</v>
      </c>
      <c r="E1" s="1" t="s">
        <v>489</v>
      </c>
      <c r="F1" s="1" t="s">
        <v>490</v>
      </c>
      <c r="G1" s="1" t="s">
        <v>485</v>
      </c>
      <c r="H1" s="1" t="s">
        <v>486</v>
      </c>
      <c r="I1" s="1" t="s">
        <v>487</v>
      </c>
      <c r="J1" s="2" t="s">
        <v>0</v>
      </c>
      <c r="K1" s="2" t="s">
        <v>491</v>
      </c>
      <c r="L1" s="2" t="s">
        <v>492</v>
      </c>
      <c r="M1" s="2" t="s">
        <v>506</v>
      </c>
      <c r="N1" s="2" t="s">
        <v>493</v>
      </c>
      <c r="O1" s="2" t="s">
        <v>494</v>
      </c>
      <c r="P1" s="1" t="s">
        <v>533</v>
      </c>
      <c r="Q1" s="1" t="s">
        <v>12536</v>
      </c>
    </row>
    <row r="2" spans="1:17" s="30" customFormat="1" ht="18" x14ac:dyDescent="0.45">
      <c r="A2" s="29">
        <v>1</v>
      </c>
      <c r="B2" s="24" t="s">
        <v>503</v>
      </c>
      <c r="C2" s="24" t="s">
        <v>502</v>
      </c>
      <c r="D2" s="24" t="s">
        <v>498</v>
      </c>
      <c r="E2" s="24" t="s">
        <v>496</v>
      </c>
      <c r="F2" s="24" t="s">
        <v>11452</v>
      </c>
      <c r="G2" s="24" t="s">
        <v>373</v>
      </c>
      <c r="H2" s="30" t="str">
        <f>VLOOKUP(gia_khuyen_mai[[#This Row],[Barcode]],'Giá gốc'!$A:$B,2,0)</f>
        <v>2145686</v>
      </c>
      <c r="I2" s="30" t="str">
        <f>VLOOKUP(gia_khuyen_mai[[#This Row],[Mã sản phẩm]],'Giá gốc'!$B:$C,2,0)</f>
        <v>Xúc xích hong khói 450g</v>
      </c>
      <c r="J2" s="31">
        <f>VLOOKUP(gia_khuyen_mai[[#This Row],[Mã sản phẩm]],'Giá gốc'!B:D,3,0)</f>
        <v>75330</v>
      </c>
      <c r="K2" s="32">
        <v>0.08</v>
      </c>
      <c r="L2" s="33">
        <f>ROUND((1-gia_khuyen_mai[[#This Row],[% Giảm giá]]) * gia_khuyen_mai[[#This Row],[Giá gốc]], 0)</f>
        <v>69304</v>
      </c>
      <c r="M2" s="33" t="s">
        <v>508</v>
      </c>
      <c r="N2" s="30" t="s">
        <v>410</v>
      </c>
      <c r="O2" s="30" t="str">
        <f>IFERROR(VLOOKUP(gia_khuyen_mai[[#This Row],[Mã hàng tặng]],'Giá gốc'!B:C,2,0),"")</f>
        <v>Xúc xích Hotdog 200g</v>
      </c>
      <c r="P2" s="24"/>
      <c r="Q2" s="30" t="str">
        <f>VLOOKUP(gia_khuyen_mai[[#This Row],[Mã sản phẩm]],product[[Mã sản phẩm]:[DS - ĐV]],3,0)</f>
        <v>Food Đức Việt</v>
      </c>
    </row>
    <row r="3" spans="1:17" ht="21.75" customHeight="1" x14ac:dyDescent="0.45">
      <c r="A3" s="26">
        <v>2</v>
      </c>
      <c r="B3" s="4" t="s">
        <v>503</v>
      </c>
      <c r="C3" s="4" t="s">
        <v>183</v>
      </c>
      <c r="D3" s="4" t="s">
        <v>498</v>
      </c>
      <c r="E3" s="4" t="s">
        <v>496</v>
      </c>
      <c r="F3" s="4" t="s">
        <v>497</v>
      </c>
      <c r="G3" s="4" t="s">
        <v>385</v>
      </c>
      <c r="H3" s="3" t="str">
        <f>VLOOKUP(gia_khuyen_mai[[#This Row],[Barcode]],'Giá gốc'!$A:$B,2,0)</f>
        <v>2145714</v>
      </c>
      <c r="I3" s="3" t="str">
        <f>VLOOKUP(gia_khuyen_mai[[#This Row],[Mã sản phẩm]],'Giá gốc'!$B:$C,2,0)</f>
        <v>Xúc xích viên hong khói 200g</v>
      </c>
      <c r="J3" s="5">
        <f>VLOOKUP(gia_khuyen_mai[[#This Row],[Mã sản phẩm]],'Giá gốc'!B:D,3,0)</f>
        <v>36080</v>
      </c>
      <c r="K3" s="6">
        <v>0.3</v>
      </c>
      <c r="L3" s="7">
        <f>ROUND((1-gia_khuyen_mai[[#This Row],[% Giảm giá]]) * gia_khuyen_mai[[#This Row],[Giá gốc]], 0)</f>
        <v>25256</v>
      </c>
      <c r="M3" s="7"/>
      <c r="O3" s="3" t="str">
        <f>IFERROR(VLOOKUP(gia_khuyen_mai[[#This Row],[Mã hàng tặng]],'Giá gốc'!B:C,2,0),"")</f>
        <v/>
      </c>
      <c r="P3" s="4"/>
      <c r="Q3" s="3" t="str">
        <f>VLOOKUP(gia_khuyen_mai[[#This Row],[Mã sản phẩm]],product[[Mã sản phẩm]:[DS - ĐV]],3,0)</f>
        <v>Food Đức Việt</v>
      </c>
    </row>
    <row r="4" spans="1:17" ht="21.75" customHeight="1" x14ac:dyDescent="0.45">
      <c r="A4" s="26">
        <v>3</v>
      </c>
      <c r="B4" s="4" t="s">
        <v>509</v>
      </c>
      <c r="C4" s="4" t="s">
        <v>183</v>
      </c>
      <c r="D4" s="4" t="s">
        <v>498</v>
      </c>
      <c r="E4" s="4" t="s">
        <v>504</v>
      </c>
      <c r="F4" s="4" t="s">
        <v>505</v>
      </c>
      <c r="G4" s="4" t="s">
        <v>376</v>
      </c>
      <c r="H4" s="3" t="str">
        <f>VLOOKUP(gia_khuyen_mai[[#This Row],[Barcode]],'Giá gốc'!$A:$B,2,0)</f>
        <v>2145690</v>
      </c>
      <c r="I4" s="3" t="str">
        <f>VLOOKUP(gia_khuyen_mai[[#This Row],[Mã sản phẩm]],'Giá gốc'!$B:$C,2,0)</f>
        <v>Xúc xích vườn bia 200g * 1EA</v>
      </c>
      <c r="J4" s="5">
        <f>VLOOKUP(gia_khuyen_mai[[#This Row],[Mã sản phẩm]],'Giá gốc'!B:D,3,0)</f>
        <v>35424</v>
      </c>
      <c r="K4" s="6">
        <v>0.2</v>
      </c>
      <c r="L4" s="7">
        <f>ROUND((1-gia_khuyen_mai[[#This Row],[% Giảm giá]]) * gia_khuyen_mai[[#This Row],[Giá gốc]], 0)</f>
        <v>28339</v>
      </c>
      <c r="M4" s="7"/>
      <c r="O4" s="3" t="str">
        <f>IFERROR(VLOOKUP(gia_khuyen_mai[[#This Row],[Mã hàng tặng]],'Giá gốc'!B:C,2,0),"")</f>
        <v/>
      </c>
      <c r="P4" s="4"/>
      <c r="Q4" s="3" t="str">
        <f>VLOOKUP(gia_khuyen_mai[[#This Row],[Mã sản phẩm]],product[[Mã sản phẩm]:[DS - ĐV]],3,0)</f>
        <v>Food Đức Việt</v>
      </c>
    </row>
    <row r="5" spans="1:17" ht="21.75" customHeight="1" x14ac:dyDescent="0.45">
      <c r="A5" s="26">
        <v>4</v>
      </c>
      <c r="B5" s="4" t="s">
        <v>509</v>
      </c>
      <c r="C5" s="4" t="s">
        <v>5</v>
      </c>
      <c r="D5" s="4" t="s">
        <v>498</v>
      </c>
      <c r="E5" s="4" t="s">
        <v>510</v>
      </c>
      <c r="F5" s="4" t="s">
        <v>505</v>
      </c>
      <c r="G5" s="4" t="s">
        <v>376</v>
      </c>
      <c r="H5" s="3" t="str">
        <f>VLOOKUP(gia_khuyen_mai[[#This Row],[Barcode]],'Giá gốc'!$A:$B,2,0)</f>
        <v>2145690</v>
      </c>
      <c r="I5" s="3" t="str">
        <f>VLOOKUP(gia_khuyen_mai[[#This Row],[Mã sản phẩm]],'Giá gốc'!$B:$C,2,0)</f>
        <v>Xúc xích vườn bia 200g * 1EA</v>
      </c>
      <c r="J5" s="5">
        <f>VLOOKUP(gia_khuyen_mai[[#This Row],[Mã sản phẩm]],'Giá gốc'!B:D,3,0)</f>
        <v>35424</v>
      </c>
      <c r="K5" s="6">
        <v>0.2</v>
      </c>
      <c r="L5" s="7">
        <f>ROUND((1-gia_khuyen_mai[[#This Row],[% Giảm giá]]) * gia_khuyen_mai[[#This Row],[Giá gốc]], 0)</f>
        <v>28339</v>
      </c>
      <c r="M5" s="7"/>
      <c r="O5" s="3" t="str">
        <f>IFERROR(VLOOKUP(gia_khuyen_mai[[#This Row],[Mã hàng tặng]],'Giá gốc'!B:C,2,0),"")</f>
        <v/>
      </c>
      <c r="P5" s="4"/>
      <c r="Q5" s="3" t="str">
        <f>VLOOKUP(gia_khuyen_mai[[#This Row],[Mã sản phẩm]],product[[Mã sản phẩm]:[DS - ĐV]],3,0)</f>
        <v>Food Đức Việt</v>
      </c>
    </row>
    <row r="6" spans="1:17" ht="21.75" customHeight="1" x14ac:dyDescent="0.45">
      <c r="A6" s="26">
        <v>5</v>
      </c>
      <c r="B6" s="4" t="s">
        <v>509</v>
      </c>
      <c r="C6" s="4" t="s">
        <v>183</v>
      </c>
      <c r="D6" s="4" t="s">
        <v>498</v>
      </c>
      <c r="E6" s="4" t="s">
        <v>504</v>
      </c>
      <c r="F6" s="4" t="s">
        <v>505</v>
      </c>
      <c r="G6" s="4" t="s">
        <v>379</v>
      </c>
      <c r="H6" s="3" t="str">
        <f>VLOOKUP(gia_khuyen_mai[[#This Row],[Barcode]],'Giá gốc'!$A:$B,2,0)</f>
        <v>2145689</v>
      </c>
      <c r="I6" s="3" t="str">
        <f>VLOOKUP(gia_khuyen_mai[[#This Row],[Mã sản phẩm]],'Giá gốc'!$B:$C,2,0)</f>
        <v>Xúc xích vườn bia 450g * 1EA</v>
      </c>
      <c r="J6" s="5">
        <f>VLOOKUP(gia_khuyen_mai[[#This Row],[Mã sản phẩm]],'Giá gốc'!B:D,3,0)</f>
        <v>80190</v>
      </c>
      <c r="K6" s="6"/>
      <c r="L6" s="7">
        <f>ROUND((1-gia_khuyen_mai[[#This Row],[% Giảm giá]]) * gia_khuyen_mai[[#This Row],[Giá gốc]], 0)</f>
        <v>80190</v>
      </c>
      <c r="M6" s="7" t="s">
        <v>508</v>
      </c>
      <c r="N6" s="3" t="s">
        <v>410</v>
      </c>
      <c r="O6" s="3" t="str">
        <f>IFERROR(VLOOKUP(gia_khuyen_mai[[#This Row],[Mã hàng tặng]],'Giá gốc'!B:C,2,0),"")</f>
        <v>Xúc xích Hotdog 200g</v>
      </c>
      <c r="P6" s="4"/>
      <c r="Q6" s="3" t="str">
        <f>VLOOKUP(gia_khuyen_mai[[#This Row],[Mã sản phẩm]],product[[Mã sản phẩm]:[DS - ĐV]],3,0)</f>
        <v>Food Đức Việt</v>
      </c>
    </row>
    <row r="7" spans="1:17" ht="21.75" customHeight="1" x14ac:dyDescent="0.45">
      <c r="A7" s="26">
        <v>6</v>
      </c>
      <c r="B7" s="4" t="s">
        <v>509</v>
      </c>
      <c r="C7" s="4" t="s">
        <v>5</v>
      </c>
      <c r="D7" s="4" t="s">
        <v>498</v>
      </c>
      <c r="E7" s="4" t="s">
        <v>510</v>
      </c>
      <c r="F7" s="4" t="s">
        <v>505</v>
      </c>
      <c r="G7" s="4" t="s">
        <v>379</v>
      </c>
      <c r="H7" s="3" t="str">
        <f>VLOOKUP(gia_khuyen_mai[[#This Row],[Barcode]],'Giá gốc'!$A:$B,2,0)</f>
        <v>2145689</v>
      </c>
      <c r="I7" s="3" t="str">
        <f>VLOOKUP(gia_khuyen_mai[[#This Row],[Mã sản phẩm]],'Giá gốc'!B:C,2,0)</f>
        <v>Xúc xích vườn bia 450g * 1EA</v>
      </c>
      <c r="J7" s="5">
        <f>VLOOKUP(gia_khuyen_mai[[#This Row],[Mã sản phẩm]],'Giá gốc'!B:D,3,0)</f>
        <v>80190</v>
      </c>
      <c r="K7" s="6"/>
      <c r="L7" s="7">
        <f>ROUND((1-gia_khuyen_mai[[#This Row],[% Giảm giá]]) * gia_khuyen_mai[[#This Row],[Giá gốc]], 0)</f>
        <v>80190</v>
      </c>
      <c r="M7" s="7" t="s">
        <v>508</v>
      </c>
      <c r="N7" s="3" t="s">
        <v>410</v>
      </c>
      <c r="O7" s="3" t="str">
        <f>IFERROR(VLOOKUP(gia_khuyen_mai[[#This Row],[Mã hàng tặng]],'Giá gốc'!B:C,2,0),"")</f>
        <v>Xúc xích Hotdog 200g</v>
      </c>
      <c r="P7" s="4"/>
      <c r="Q7" s="3" t="str">
        <f>VLOOKUP(gia_khuyen_mai[[#This Row],[Mã sản phẩm]],product[[Mã sản phẩm]:[DS - ĐV]],3,0)</f>
        <v>Food Đức Việt</v>
      </c>
    </row>
    <row r="8" spans="1:17" ht="21.75" customHeight="1" x14ac:dyDescent="0.45">
      <c r="A8" s="26">
        <v>7</v>
      </c>
      <c r="B8" s="4" t="s">
        <v>503</v>
      </c>
      <c r="C8" s="4" t="s">
        <v>183</v>
      </c>
      <c r="D8" s="4" t="s">
        <v>498</v>
      </c>
      <c r="E8" s="4" t="s">
        <v>496</v>
      </c>
      <c r="F8" s="4" t="s">
        <v>497</v>
      </c>
      <c r="G8" s="4" t="s">
        <v>442</v>
      </c>
      <c r="H8" s="3" t="str">
        <f>VLOOKUP(gia_khuyen_mai[[#This Row],[Barcode]],'Giá gốc'!$A:$B,2,0)</f>
        <v>2145735</v>
      </c>
      <c r="I8" s="3" t="str">
        <f>VLOOKUP(gia_khuyen_mai[[#This Row],[Mã sản phẩm]],'Giá gốc'!$B:$C,2,0)</f>
        <v>Xúc xích tỏi 200g</v>
      </c>
      <c r="J8" s="5">
        <f>VLOOKUP(gia_khuyen_mai[[#This Row],[Mã sản phẩm]],'Giá gốc'!B:D,3,0)</f>
        <v>33000</v>
      </c>
      <c r="K8" s="6">
        <v>0.23</v>
      </c>
      <c r="L8" s="7">
        <f>ROUND((1-gia_khuyen_mai[[#This Row],[% Giảm giá]]) * gia_khuyen_mai[[#This Row],[Giá gốc]], 0)</f>
        <v>25410</v>
      </c>
      <c r="M8" s="7"/>
      <c r="O8" s="3" t="str">
        <f>IFERROR(VLOOKUP(gia_khuyen_mai[[#This Row],[Mã hàng tặng]],'Giá gốc'!B:C,2,0),"")</f>
        <v/>
      </c>
      <c r="P8" s="4"/>
      <c r="Q8" s="3" t="str">
        <f>VLOOKUP(gia_khuyen_mai[[#This Row],[Mã sản phẩm]],product[[Mã sản phẩm]:[DS - ĐV]],3,0)</f>
        <v>Food Đức Việt</v>
      </c>
    </row>
    <row r="9" spans="1:17" ht="21.75" customHeight="1" x14ac:dyDescent="0.45">
      <c r="A9" s="26">
        <v>8</v>
      </c>
      <c r="B9" s="4" t="s">
        <v>503</v>
      </c>
      <c r="C9" s="4" t="s">
        <v>502</v>
      </c>
      <c r="D9" s="4" t="s">
        <v>498</v>
      </c>
      <c r="E9" s="4" t="s">
        <v>496</v>
      </c>
      <c r="F9" s="4" t="s">
        <v>497</v>
      </c>
      <c r="G9" s="4" t="s">
        <v>433</v>
      </c>
      <c r="H9" s="3" t="str">
        <f>VLOOKUP(gia_khuyen_mai[[#This Row],[Barcode]],'Giá gốc'!$A:$B,2,0)</f>
        <v>2146417</v>
      </c>
      <c r="I9" s="3" t="str">
        <f>VLOOKUP(gia_khuyen_mai[[#This Row],[Mã sản phẩm]],'Giá gốc'!$B:$C,2,0)</f>
        <v>Chân giò hong khói rút xương 300g</v>
      </c>
      <c r="J9" s="5">
        <f>VLOOKUP(gia_khuyen_mai[[#This Row],[Mã sản phẩm]],'Giá gốc'!B:D,3,0)</f>
        <v>64476</v>
      </c>
      <c r="K9" s="6">
        <v>0.23</v>
      </c>
      <c r="L9" s="7">
        <f>ROUND((1-gia_khuyen_mai[[#This Row],[% Giảm giá]]) * gia_khuyen_mai[[#This Row],[Giá gốc]], 0)</f>
        <v>49647</v>
      </c>
      <c r="M9" s="7"/>
      <c r="O9" s="3" t="str">
        <f>IFERROR(VLOOKUP(gia_khuyen_mai[[#This Row],[Mã hàng tặng]],'Giá gốc'!B:C,2,0),"")</f>
        <v/>
      </c>
      <c r="P9" s="4"/>
      <c r="Q9" s="3" t="str">
        <f>VLOOKUP(gia_khuyen_mai[[#This Row],[Mã sản phẩm]],product[[Mã sản phẩm]:[DS - ĐV]],3,0)</f>
        <v>Food Đức Việt</v>
      </c>
    </row>
    <row r="10" spans="1:17" ht="21.75" customHeight="1" x14ac:dyDescent="0.45">
      <c r="A10" s="26">
        <v>9</v>
      </c>
      <c r="B10" s="4" t="s">
        <v>509</v>
      </c>
      <c r="C10" s="4" t="s">
        <v>502</v>
      </c>
      <c r="D10" s="4" t="s">
        <v>498</v>
      </c>
      <c r="E10" s="4" t="s">
        <v>512</v>
      </c>
      <c r="F10" s="4" t="s">
        <v>505</v>
      </c>
      <c r="G10" s="4" t="s">
        <v>433</v>
      </c>
      <c r="H10" s="3" t="str">
        <f>VLOOKUP(gia_khuyen_mai[[#This Row],[Barcode]],'Giá gốc'!$A:$B,2,0)</f>
        <v>2146417</v>
      </c>
      <c r="I10" s="3" t="str">
        <f>VLOOKUP(gia_khuyen_mai[[#This Row],[Mã sản phẩm]],'Giá gốc'!$B:$C,2,0)</f>
        <v>Chân giò hong khói rút xương 300g</v>
      </c>
      <c r="J10" s="5">
        <f>VLOOKUP(gia_khuyen_mai[[#This Row],[Mã sản phẩm]],'Giá gốc'!B:D,3,0)</f>
        <v>64476</v>
      </c>
      <c r="K10" s="6">
        <v>0.2</v>
      </c>
      <c r="L10" s="7">
        <f>ROUND((1-gia_khuyen_mai[[#This Row],[% Giảm giá]]) * gia_khuyen_mai[[#This Row],[Giá gốc]], 0)</f>
        <v>51581</v>
      </c>
      <c r="M10" s="7"/>
      <c r="O10" s="3" t="str">
        <f>IFERROR(VLOOKUP(gia_khuyen_mai[[#This Row],[Mã hàng tặng]],'Giá gốc'!B:C,2,0),"")</f>
        <v/>
      </c>
      <c r="P10" s="4"/>
      <c r="Q10" s="3" t="str">
        <f>VLOOKUP(gia_khuyen_mai[[#This Row],[Mã sản phẩm]],product[[Mã sản phẩm]:[DS - ĐV]],3,0)</f>
        <v>Food Đức Việt</v>
      </c>
    </row>
    <row r="11" spans="1:17" ht="21.75" customHeight="1" x14ac:dyDescent="0.45">
      <c r="A11" s="26">
        <v>10</v>
      </c>
      <c r="B11" s="4" t="s">
        <v>509</v>
      </c>
      <c r="C11" s="4" t="s">
        <v>183</v>
      </c>
      <c r="D11" s="4" t="s">
        <v>498</v>
      </c>
      <c r="E11" s="4" t="s">
        <v>504</v>
      </c>
      <c r="F11" s="4" t="s">
        <v>505</v>
      </c>
      <c r="G11" s="4" t="s">
        <v>409</v>
      </c>
      <c r="H11" s="3" t="str">
        <f>VLOOKUP(gia_khuyen_mai[[#This Row],[Barcode]],'Giá gốc'!$A:$B,2,0)</f>
        <v>2145765</v>
      </c>
      <c r="I11" s="3" t="str">
        <f>VLOOKUP(gia_khuyen_mai[[#This Row],[Mã sản phẩm]],'Giá gốc'!$B:$C,2,0)</f>
        <v>Xúc xích Hotdog 200g</v>
      </c>
      <c r="J11" s="5">
        <f>VLOOKUP(gia_khuyen_mai[[#This Row],[Mã sản phẩm]],'Giá gốc'!B:D,3,0)</f>
        <v>19116</v>
      </c>
      <c r="K11" s="6">
        <v>0.2</v>
      </c>
      <c r="L11" s="7">
        <f>ROUND((1-gia_khuyen_mai[[#This Row],[% Giảm giá]]) * gia_khuyen_mai[[#This Row],[Giá gốc]], 0)</f>
        <v>15293</v>
      </c>
      <c r="M11" s="7"/>
      <c r="O11" s="3" t="str">
        <f>IFERROR(VLOOKUP(gia_khuyen_mai[[#This Row],[Mã hàng tặng]],'Giá gốc'!B:C,2,0),"")</f>
        <v/>
      </c>
      <c r="Q11" s="3" t="str">
        <f>VLOOKUP(gia_khuyen_mai[[#This Row],[Mã sản phẩm]],product[[Mã sản phẩm]:[DS - ĐV]],3,0)</f>
        <v>Food Đức Việt</v>
      </c>
    </row>
    <row r="12" spans="1:17" ht="21.75" customHeight="1" x14ac:dyDescent="0.45">
      <c r="A12" s="26">
        <v>11</v>
      </c>
      <c r="B12" s="4" t="s">
        <v>509</v>
      </c>
      <c r="C12" s="4" t="s">
        <v>5</v>
      </c>
      <c r="D12" s="4" t="s">
        <v>498</v>
      </c>
      <c r="E12" s="4" t="s">
        <v>510</v>
      </c>
      <c r="F12" s="4" t="s">
        <v>505</v>
      </c>
      <c r="G12" s="4" t="s">
        <v>409</v>
      </c>
      <c r="H12" s="3" t="str">
        <f>VLOOKUP(gia_khuyen_mai[[#This Row],[Barcode]],'Giá gốc'!$A:$B,2,0)</f>
        <v>2145765</v>
      </c>
      <c r="I12" s="3" t="str">
        <f>VLOOKUP(gia_khuyen_mai[[#This Row],[Mã sản phẩm]],'Giá gốc'!$B:$C,2,0)</f>
        <v>Xúc xích Hotdog 200g</v>
      </c>
      <c r="J12" s="5">
        <f>VLOOKUP(gia_khuyen_mai[[#This Row],[Mã sản phẩm]],'Giá gốc'!B:D,3,0)</f>
        <v>19116</v>
      </c>
      <c r="K12" s="6">
        <v>0.2</v>
      </c>
      <c r="L12" s="7">
        <f>ROUND((1-gia_khuyen_mai[[#This Row],[% Giảm giá]]) * gia_khuyen_mai[[#This Row],[Giá gốc]], 0)</f>
        <v>15293</v>
      </c>
      <c r="M12" s="7"/>
      <c r="O12" s="3" t="str">
        <f>IFERROR(VLOOKUP(gia_khuyen_mai[[#This Row],[Mã hàng tặng]],'Giá gốc'!B:C,2,0),"")</f>
        <v/>
      </c>
      <c r="Q12" s="3" t="str">
        <f>VLOOKUP(gia_khuyen_mai[[#This Row],[Mã sản phẩm]],product[[Mã sản phẩm]:[DS - ĐV]],3,0)</f>
        <v>Food Đức Việt</v>
      </c>
    </row>
    <row r="13" spans="1:17" ht="21.75" customHeight="1" x14ac:dyDescent="0.45">
      <c r="A13" s="26">
        <v>12</v>
      </c>
      <c r="B13" s="4" t="s">
        <v>509</v>
      </c>
      <c r="C13" s="4" t="s">
        <v>183</v>
      </c>
      <c r="D13" s="4" t="s">
        <v>498</v>
      </c>
      <c r="E13" s="4" t="s">
        <v>504</v>
      </c>
      <c r="F13" s="4" t="s">
        <v>505</v>
      </c>
      <c r="G13" s="4" t="s">
        <v>406</v>
      </c>
      <c r="H13" s="3" t="str">
        <f>VLOOKUP(gia_khuyen_mai[[#This Row],[Barcode]],'Giá gốc'!$A:$B,2,0)</f>
        <v>2145764</v>
      </c>
      <c r="I13" s="3" t="str">
        <f>VLOOKUP(gia_khuyen_mai[[#This Row],[Mã sản phẩm]],'Giá gốc'!$B:$C,2,0)</f>
        <v>Xúc xích Cocktail 500g</v>
      </c>
      <c r="J13" s="5">
        <f>VLOOKUP(gia_khuyen_mai[[#This Row],[Mã sản phẩm]],'Giá gốc'!B:D,3,0)</f>
        <v>50220</v>
      </c>
      <c r="K13" s="6">
        <v>0.22</v>
      </c>
      <c r="L13" s="7">
        <f>ROUND((1-gia_khuyen_mai[[#This Row],[% Giảm giá]]) * gia_khuyen_mai[[#This Row],[Giá gốc]], 0)</f>
        <v>39172</v>
      </c>
      <c r="M13" s="7"/>
      <c r="O13" s="3" t="str">
        <f>IFERROR(VLOOKUP(gia_khuyen_mai[[#This Row],[Mã hàng tặng]],'Giá gốc'!B:C,2,0),"")</f>
        <v/>
      </c>
      <c r="Q13" s="3" t="str">
        <f>VLOOKUP(gia_khuyen_mai[[#This Row],[Mã sản phẩm]],product[[Mã sản phẩm]:[DS - ĐV]],3,0)</f>
        <v>Food Đức Việt</v>
      </c>
    </row>
    <row r="14" spans="1:17" ht="21.75" customHeight="1" x14ac:dyDescent="0.45">
      <c r="A14" s="26">
        <v>13</v>
      </c>
      <c r="B14" s="4" t="s">
        <v>509</v>
      </c>
      <c r="C14" s="4" t="s">
        <v>5</v>
      </c>
      <c r="D14" s="4" t="s">
        <v>498</v>
      </c>
      <c r="E14" s="4" t="s">
        <v>510</v>
      </c>
      <c r="F14" s="4" t="s">
        <v>505</v>
      </c>
      <c r="G14" s="4" t="s">
        <v>406</v>
      </c>
      <c r="H14" s="3" t="str">
        <f>VLOOKUP(gia_khuyen_mai[[#This Row],[Barcode]],'Giá gốc'!$A:$B,2,0)</f>
        <v>2145764</v>
      </c>
      <c r="I14" s="3" t="str">
        <f>VLOOKUP(gia_khuyen_mai[[#This Row],[Mã sản phẩm]],'Giá gốc'!$B:$C,2,0)</f>
        <v>Xúc xích Cocktail 500g</v>
      </c>
      <c r="J14" s="5">
        <f>VLOOKUP(gia_khuyen_mai[[#This Row],[Mã sản phẩm]],'Giá gốc'!B:D,3,0)</f>
        <v>50220</v>
      </c>
      <c r="K14" s="6">
        <v>0.22</v>
      </c>
      <c r="L14" s="7">
        <f>ROUND((1-gia_khuyen_mai[[#This Row],[% Giảm giá]]) * gia_khuyen_mai[[#This Row],[Giá gốc]], 0)</f>
        <v>39172</v>
      </c>
      <c r="M14" s="7"/>
      <c r="O14" s="3" t="str">
        <f>IFERROR(VLOOKUP(gia_khuyen_mai[[#This Row],[Mã hàng tặng]],'Giá gốc'!B:C,2,0),"")</f>
        <v/>
      </c>
      <c r="Q14" s="3" t="str">
        <f>VLOOKUP(gia_khuyen_mai[[#This Row],[Mã sản phẩm]],product[[Mã sản phẩm]:[DS - ĐV]],3,0)</f>
        <v>Food Đức Việt</v>
      </c>
    </row>
    <row r="15" spans="1:17" ht="21.75" customHeight="1" x14ac:dyDescent="0.45">
      <c r="A15" s="26">
        <v>14</v>
      </c>
      <c r="B15" s="4" t="s">
        <v>503</v>
      </c>
      <c r="C15" s="4" t="s">
        <v>502</v>
      </c>
      <c r="D15" s="4" t="s">
        <v>498</v>
      </c>
      <c r="E15" s="4" t="s">
        <v>496</v>
      </c>
      <c r="F15" s="4" t="s">
        <v>514</v>
      </c>
      <c r="G15" s="4" t="s">
        <v>415</v>
      </c>
      <c r="H15" s="3" t="str">
        <f>VLOOKUP(gia_khuyen_mai[[#This Row],[Barcode]],'Giá gốc'!$A:$B,2,0)</f>
        <v>2145767</v>
      </c>
      <c r="I15" s="3" t="str">
        <f>VLOOKUP(gia_khuyen_mai[[#This Row],[Mã sản phẩm]],'Giá gốc'!$B:$C,2,0)</f>
        <v>Xúc xích Mỹ 500g</v>
      </c>
      <c r="J15" s="5">
        <f>VLOOKUP(gia_khuyen_mai[[#This Row],[Mã sản phẩm]],'Giá gốc'!B:D,3,0)</f>
        <v>52920</v>
      </c>
      <c r="K15" s="6">
        <v>0.22</v>
      </c>
      <c r="L15" s="7">
        <f>ROUND((1-gia_khuyen_mai[[#This Row],[% Giảm giá]]) * gia_khuyen_mai[[#This Row],[Giá gốc]], 0)</f>
        <v>41278</v>
      </c>
      <c r="M15" s="7"/>
      <c r="O15" s="3" t="str">
        <f>IFERROR(VLOOKUP(gia_khuyen_mai[[#This Row],[Mã hàng tặng]],'Giá gốc'!B:C,2,0),"")</f>
        <v/>
      </c>
      <c r="Q15" s="3" t="str">
        <f>VLOOKUP(gia_khuyen_mai[[#This Row],[Mã sản phẩm]],product[[Mã sản phẩm]:[DS - ĐV]],3,0)</f>
        <v>Food Đức Việt</v>
      </c>
    </row>
    <row r="16" spans="1:17" ht="21.75" customHeight="1" x14ac:dyDescent="0.45">
      <c r="A16" s="26">
        <v>15</v>
      </c>
      <c r="B16" s="4" t="s">
        <v>509</v>
      </c>
      <c r="C16" s="4" t="s">
        <v>502</v>
      </c>
      <c r="D16" s="4" t="s">
        <v>498</v>
      </c>
      <c r="E16" s="4" t="s">
        <v>504</v>
      </c>
      <c r="F16" s="4" t="s">
        <v>505</v>
      </c>
      <c r="G16" s="4" t="s">
        <v>415</v>
      </c>
      <c r="H16" s="3" t="str">
        <f>VLOOKUP(gia_khuyen_mai[[#This Row],[Barcode]],'Giá gốc'!$A:$B,2,0)</f>
        <v>2145767</v>
      </c>
      <c r="I16" s="3" t="str">
        <f>VLOOKUP(gia_khuyen_mai[[#This Row],[Mã sản phẩm]],'Giá gốc'!$B:$C,2,0)</f>
        <v>Xúc xích Mỹ 500g</v>
      </c>
      <c r="J16" s="5">
        <f>VLOOKUP(gia_khuyen_mai[[#This Row],[Mã sản phẩm]],'Giá gốc'!B:D,3,0)</f>
        <v>52920</v>
      </c>
      <c r="K16" s="6">
        <v>0.22</v>
      </c>
      <c r="L16" s="7">
        <f>ROUND((1-gia_khuyen_mai[[#This Row],[% Giảm giá]]) * gia_khuyen_mai[[#This Row],[Giá gốc]], 0)</f>
        <v>41278</v>
      </c>
      <c r="M16" s="7"/>
      <c r="O16" s="3" t="str">
        <f>IFERROR(VLOOKUP(gia_khuyen_mai[[#This Row],[Mã hàng tặng]],'Giá gốc'!B:C,2,0),"")</f>
        <v/>
      </c>
      <c r="Q16" s="3" t="str">
        <f>VLOOKUP(gia_khuyen_mai[[#This Row],[Mã sản phẩm]],product[[Mã sản phẩm]:[DS - ĐV]],3,0)</f>
        <v>Food Đức Việt</v>
      </c>
    </row>
    <row r="17" spans="1:17" ht="21.75" customHeight="1" x14ac:dyDescent="0.45">
      <c r="A17" s="26">
        <v>17</v>
      </c>
      <c r="B17" s="4" t="s">
        <v>503</v>
      </c>
      <c r="C17" s="4" t="s">
        <v>183</v>
      </c>
      <c r="D17" s="4" t="s">
        <v>498</v>
      </c>
      <c r="E17" s="4" t="s">
        <v>496</v>
      </c>
      <c r="F17" s="4" t="s">
        <v>497</v>
      </c>
      <c r="G17" s="4" t="s">
        <v>424</v>
      </c>
      <c r="H17" s="3" t="str">
        <f>VLOOKUP(gia_khuyen_mai[[#This Row],[Barcode]],'Giá gốc'!$A:$B,2,0)</f>
        <v>2145774</v>
      </c>
      <c r="I17" s="3" t="str">
        <f>VLOOKUP(gia_khuyen_mai[[#This Row],[Mã sản phẩm]],'Giá gốc'!$B:$C,2,0)</f>
        <v>Xúc xích Pari (50g) 500g</v>
      </c>
      <c r="J17" s="5">
        <f>VLOOKUP(gia_khuyen_mai[[#This Row],[Mã sản phẩm]],'Giá gốc'!B:D,3,0)</f>
        <v>51150</v>
      </c>
      <c r="K17" s="6">
        <v>0.22</v>
      </c>
      <c r="L17" s="7">
        <f>ROUND((1-gia_khuyen_mai[[#This Row],[% Giảm giá]]) * gia_khuyen_mai[[#This Row],[Giá gốc]], 0)</f>
        <v>39897</v>
      </c>
      <c r="M17" s="7"/>
      <c r="O17" s="3" t="str">
        <f>IFERROR(VLOOKUP(gia_khuyen_mai[[#This Row],[Mã hàng tặng]],'Giá gốc'!B:C,2,0),"")</f>
        <v/>
      </c>
      <c r="Q17" s="3" t="str">
        <f>VLOOKUP(gia_khuyen_mai[[#This Row],[Mã sản phẩm]],product[[Mã sản phẩm]:[DS - ĐV]],3,0)</f>
        <v>Food Đức Việt</v>
      </c>
    </row>
    <row r="18" spans="1:17" ht="21.75" customHeight="1" x14ac:dyDescent="0.45">
      <c r="A18" s="26">
        <v>18</v>
      </c>
      <c r="B18" s="4" t="s">
        <v>503</v>
      </c>
      <c r="C18" s="4" t="s">
        <v>183</v>
      </c>
      <c r="D18" s="4" t="s">
        <v>498</v>
      </c>
      <c r="E18" s="4" t="s">
        <v>496</v>
      </c>
      <c r="F18" s="4" t="s">
        <v>497</v>
      </c>
      <c r="G18" s="4" t="s">
        <v>452</v>
      </c>
      <c r="H18" s="3" t="str">
        <f>VLOOKUP(gia_khuyen_mai[[#This Row],[Barcode]],'Giá gốc'!$A:$B,2,0)</f>
        <v>2145648</v>
      </c>
      <c r="I18" s="3" t="str">
        <f>VLOOKUP(gia_khuyen_mai[[#This Row],[Mã sản phẩm]],'Giá gốc'!$B:$C,2,0)</f>
        <v>Đức Việt Handy - xúc xích ăn liền vị heo 105g * 20EA</v>
      </c>
      <c r="J18" s="5">
        <f>VLOOKUP(gia_khuyen_mai[[#This Row],[Mã sản phẩm]],'Giá gốc'!B:D,3,0)</f>
        <v>8845</v>
      </c>
      <c r="K18" s="6">
        <v>0.25</v>
      </c>
      <c r="L18" s="7">
        <f>ROUND((1-gia_khuyen_mai[[#This Row],[% Giảm giá]]) * gia_khuyen_mai[[#This Row],[Giá gốc]], 0)</f>
        <v>6634</v>
      </c>
      <c r="M18" s="7"/>
      <c r="O18" s="3" t="str">
        <f>IFERROR(VLOOKUP(gia_khuyen_mai[[#This Row],[Mã hàng tặng]],'Giá gốc'!B:C,2,0),"")</f>
        <v/>
      </c>
      <c r="Q18" s="3" t="str">
        <f>VLOOKUP(gia_khuyen_mai[[#This Row],[Mã sản phẩm]],product[[Mã sản phẩm]:[DS - ĐV]],3,0)</f>
        <v>Food Đức Việt</v>
      </c>
    </row>
    <row r="19" spans="1:17" ht="21.75" customHeight="1" x14ac:dyDescent="0.45">
      <c r="A19" s="26">
        <v>19</v>
      </c>
      <c r="B19" s="4" t="s">
        <v>503</v>
      </c>
      <c r="C19" s="4" t="s">
        <v>183</v>
      </c>
      <c r="D19" s="4" t="s">
        <v>498</v>
      </c>
      <c r="E19" s="4" t="s">
        <v>496</v>
      </c>
      <c r="F19" s="4" t="s">
        <v>497</v>
      </c>
      <c r="G19" s="4" t="s">
        <v>455</v>
      </c>
      <c r="H19" s="3" t="str">
        <f>VLOOKUP(gia_khuyen_mai[[#This Row],[Barcode]],'Giá gốc'!$A:$B,2,0)</f>
        <v>2145657</v>
      </c>
      <c r="I19" s="3" t="str">
        <f>VLOOKUP(gia_khuyen_mai[[#This Row],[Mã sản phẩm]],'Giá gốc'!$B:$C,2,0)</f>
        <v>Đức Việt Handy - xúc xích ăn liền vị bò 105g * 20EA</v>
      </c>
      <c r="J19" s="5">
        <f>VLOOKUP(gia_khuyen_mai[[#This Row],[Mã sản phẩm]],'Giá gốc'!B:D,3,0)</f>
        <v>8845</v>
      </c>
      <c r="K19" s="6">
        <v>0.25</v>
      </c>
      <c r="L19" s="7">
        <f>ROUND((1-gia_khuyen_mai[[#This Row],[% Giảm giá]]) * gia_khuyen_mai[[#This Row],[Giá gốc]], 0)</f>
        <v>6634</v>
      </c>
      <c r="M19" s="7"/>
      <c r="O19" s="3" t="str">
        <f>IFERROR(VLOOKUP(gia_khuyen_mai[[#This Row],[Mã hàng tặng]],'Giá gốc'!B:C,2,0),"")</f>
        <v/>
      </c>
      <c r="Q19" s="3" t="str">
        <f>VLOOKUP(gia_khuyen_mai[[#This Row],[Mã sản phẩm]],product[[Mã sản phẩm]:[DS - ĐV]],3,0)</f>
        <v>Food Đức Việt</v>
      </c>
    </row>
    <row r="20" spans="1:17" ht="21.75" customHeight="1" x14ac:dyDescent="0.45">
      <c r="A20" s="26">
        <v>20</v>
      </c>
      <c r="B20" s="4" t="s">
        <v>509</v>
      </c>
      <c r="C20" s="4" t="s">
        <v>502</v>
      </c>
      <c r="D20" s="4" t="s">
        <v>498</v>
      </c>
      <c r="E20" s="4" t="s">
        <v>511</v>
      </c>
      <c r="F20" s="4" t="s">
        <v>497</v>
      </c>
      <c r="G20" s="4" t="s">
        <v>473</v>
      </c>
      <c r="H20" s="3" t="str">
        <f>VLOOKUP(gia_khuyen_mai[[#This Row],[Barcode]],'Giá gốc'!$A:$B,2,0)</f>
        <v>2145679</v>
      </c>
      <c r="I20" s="3" t="str">
        <f>VLOOKUP(gia_khuyen_mai[[#This Row],[Mã sản phẩm]],'Giá gốc'!$B:$C,2,0)</f>
        <v>Đức Việt Handy- Xúc xích thịt heo muối hồng Himalaya 175g * 20EA</v>
      </c>
      <c r="J20" s="5">
        <f>VLOOKUP(gia_khuyen_mai[[#This Row],[Mã sản phẩm]],'Giá gốc'!B:D,3,0)</f>
        <v>17400</v>
      </c>
      <c r="K20" s="6"/>
      <c r="L20" s="7">
        <f>ROUND((1-gia_khuyen_mai[[#This Row],[% Giảm giá]]) * gia_khuyen_mai[[#This Row],[Giá gốc]], 0)</f>
        <v>17400</v>
      </c>
      <c r="M20" s="7" t="s">
        <v>507</v>
      </c>
      <c r="N20" s="3" t="s">
        <v>474</v>
      </c>
      <c r="O20" s="3" t="str">
        <f>IFERROR(VLOOKUP(gia_khuyen_mai[[#This Row],[Mã hàng tặng]],'Giá gốc'!B:C,2,0),"")</f>
        <v>Đức Việt Handy- Xúc xích thịt heo muối hồng Himalaya 175g * 20EA</v>
      </c>
      <c r="Q20" s="3" t="str">
        <f>VLOOKUP(gia_khuyen_mai[[#This Row],[Mã sản phẩm]],product[[Mã sản phẩm]:[DS - ĐV]],3,0)</f>
        <v>Food Đức Việt</v>
      </c>
    </row>
    <row r="21" spans="1:17" ht="21.75" customHeight="1" x14ac:dyDescent="0.45">
      <c r="A21" s="26">
        <v>21</v>
      </c>
      <c r="B21" s="4" t="s">
        <v>509</v>
      </c>
      <c r="C21" s="4" t="s">
        <v>502</v>
      </c>
      <c r="D21" s="4" t="s">
        <v>498</v>
      </c>
      <c r="E21" s="4" t="s">
        <v>512</v>
      </c>
      <c r="F21" s="4" t="s">
        <v>505</v>
      </c>
      <c r="G21" s="4" t="s">
        <v>473</v>
      </c>
      <c r="H21" s="3" t="str">
        <f>VLOOKUP(gia_khuyen_mai[[#This Row],[Barcode]],'Giá gốc'!$A:$B,2,0)</f>
        <v>2145679</v>
      </c>
      <c r="I21" s="3" t="str">
        <f>VLOOKUP(gia_khuyen_mai[[#This Row],[Mã sản phẩm]],'Giá gốc'!$B:$C,2,0)</f>
        <v>Đức Việt Handy- Xúc xích thịt heo muối hồng Himalaya 175g * 20EA</v>
      </c>
      <c r="J21" s="5">
        <f>VLOOKUP(gia_khuyen_mai[[#This Row],[Mã sản phẩm]],'Giá gốc'!B:D,3,0)</f>
        <v>17400</v>
      </c>
      <c r="K21" s="6">
        <v>0.25</v>
      </c>
      <c r="L21" s="7">
        <f>ROUND((1-gia_khuyen_mai[[#This Row],[% Giảm giá]]) * gia_khuyen_mai[[#This Row],[Giá gốc]], 0)</f>
        <v>13050</v>
      </c>
      <c r="M21" s="7"/>
      <c r="O21" s="3" t="str">
        <f>IFERROR(VLOOKUP(gia_khuyen_mai[[#This Row],[Mã hàng tặng]],'Giá gốc'!B:C,2,0),"")</f>
        <v/>
      </c>
      <c r="Q21" s="3" t="str">
        <f>VLOOKUP(gia_khuyen_mai[[#This Row],[Mã sản phẩm]],product[[Mã sản phẩm]:[DS - ĐV]],3,0)</f>
        <v>Food Đức Việt</v>
      </c>
    </row>
    <row r="22" spans="1:17" ht="21.75" customHeight="1" x14ac:dyDescent="0.45">
      <c r="A22" s="26">
        <v>22</v>
      </c>
      <c r="B22" s="4" t="s">
        <v>509</v>
      </c>
      <c r="C22" s="4" t="s">
        <v>183</v>
      </c>
      <c r="D22" s="4" t="s">
        <v>498</v>
      </c>
      <c r="E22" s="4" t="s">
        <v>504</v>
      </c>
      <c r="F22" s="4" t="s">
        <v>505</v>
      </c>
      <c r="G22" s="4" t="s">
        <v>470</v>
      </c>
      <c r="H22" s="3" t="str">
        <f>VLOOKUP(gia_khuyen_mai[[#This Row],[Barcode]],'Giá gốc'!$A:$B,2,0)</f>
        <v>2146839</v>
      </c>
      <c r="I22" s="3" t="str">
        <f>VLOOKUP(gia_khuyen_mai[[#This Row],[Mã sản phẩm]],'Giá gốc'!$B:$C,2,0)</f>
        <v>Seoul's Hotdog Chiên xù 250g (M)</v>
      </c>
      <c r="J22" s="5">
        <f>VLOOKUP(gia_khuyen_mai[[#This Row],[Mã sản phẩm]],'Giá gốc'!B:D,3,0)</f>
        <v>39150</v>
      </c>
      <c r="K22" s="6">
        <v>0.25</v>
      </c>
      <c r="L22" s="7">
        <f>ROUND((1-gia_khuyen_mai[[#This Row],[% Giảm giá]]) * gia_khuyen_mai[[#This Row],[Giá gốc]], 0)</f>
        <v>29363</v>
      </c>
      <c r="M22" s="7"/>
      <c r="O22" s="3" t="str">
        <f>IFERROR(VLOOKUP(gia_khuyen_mai[[#This Row],[Mã hàng tặng]],'Giá gốc'!B:C,2,0),"")</f>
        <v/>
      </c>
      <c r="Q22" s="3" t="str">
        <f>VLOOKUP(gia_khuyen_mai[[#This Row],[Mã sản phẩm]],product[[Mã sản phẩm]:[DS - ĐV]],3,0)</f>
        <v>Food Đức Việt</v>
      </c>
    </row>
    <row r="23" spans="1:17" ht="21.75" customHeight="1" x14ac:dyDescent="0.45">
      <c r="A23" s="26">
        <v>23</v>
      </c>
      <c r="B23" s="4" t="s">
        <v>509</v>
      </c>
      <c r="C23" s="4" t="s">
        <v>5</v>
      </c>
      <c r="D23" s="4" t="s">
        <v>498</v>
      </c>
      <c r="E23" s="4" t="s">
        <v>510</v>
      </c>
      <c r="F23" s="4" t="s">
        <v>505</v>
      </c>
      <c r="G23" s="4" t="s">
        <v>470</v>
      </c>
      <c r="H23" s="3" t="str">
        <f>VLOOKUP(gia_khuyen_mai[[#This Row],[Barcode]],'Giá gốc'!$A:$B,2,0)</f>
        <v>2146839</v>
      </c>
      <c r="I23" s="3" t="str">
        <f>VLOOKUP(gia_khuyen_mai[[#This Row],[Mã sản phẩm]],'Giá gốc'!$B:$C,2,0)</f>
        <v>Seoul's Hotdog Chiên xù 250g (M)</v>
      </c>
      <c r="J23" s="5">
        <f>VLOOKUP(gia_khuyen_mai[[#This Row],[Mã sản phẩm]],'Giá gốc'!B:D,3,0)</f>
        <v>39150</v>
      </c>
      <c r="K23" s="6">
        <v>0.25</v>
      </c>
      <c r="L23" s="7">
        <f>ROUND((1-gia_khuyen_mai[[#This Row],[% Giảm giá]]) * gia_khuyen_mai[[#This Row],[Giá gốc]], 0)</f>
        <v>29363</v>
      </c>
      <c r="M23" s="7"/>
      <c r="O23" s="3" t="str">
        <f>IFERROR(VLOOKUP(gia_khuyen_mai[[#This Row],[Mã hàng tặng]],'Giá gốc'!B:C,2,0),"")</f>
        <v/>
      </c>
      <c r="Q23" s="3" t="str">
        <f>VLOOKUP(gia_khuyen_mai[[#This Row],[Mã sản phẩm]],product[[Mã sản phẩm]:[DS - ĐV]],3,0)</f>
        <v>Food Đức Việt</v>
      </c>
    </row>
    <row r="24" spans="1:17" ht="21.75" customHeight="1" x14ac:dyDescent="0.45">
      <c r="A24" s="26">
        <v>25</v>
      </c>
      <c r="B24" s="4" t="s">
        <v>513</v>
      </c>
      <c r="C24" s="4" t="s">
        <v>502</v>
      </c>
      <c r="D24" s="4" t="s">
        <v>498</v>
      </c>
      <c r="E24" s="4" t="s">
        <v>514</v>
      </c>
      <c r="F24" s="4" t="s">
        <v>515</v>
      </c>
      <c r="G24" s="4" t="s">
        <v>394</v>
      </c>
      <c r="H24" s="3" t="str">
        <f>VLOOKUP(gia_khuyen_mai[[#This Row],[Barcode]],'Giá gốc'!$A:$B,2,0)</f>
        <v>2145744</v>
      </c>
      <c r="I24" s="3" t="str">
        <f>VLOOKUP(gia_khuyen_mai[[#This Row],[Mã sản phẩm]],'Giá gốc'!$B:$C,2,0)</f>
        <v>Xúc xích bắp phô mai 250g</v>
      </c>
      <c r="J24" s="5">
        <f>VLOOKUP(gia_khuyen_mai[[#This Row],[Mã sản phẩm]],'Giá gốc'!B:D,3,0)</f>
        <v>46980</v>
      </c>
      <c r="K24" s="6"/>
      <c r="L24" s="7">
        <f>ROUND((1-gia_khuyen_mai[[#This Row],[% Giảm giá]]) * gia_khuyen_mai[[#This Row],[Giá gốc]], 0)</f>
        <v>46980</v>
      </c>
      <c r="M24" s="7"/>
      <c r="O24" s="3" t="str">
        <f>IFERROR(VLOOKUP(gia_khuyen_mai[[#This Row],[Mã hàng tặng]],'Giá gốc'!B:C,2,0),"")</f>
        <v/>
      </c>
      <c r="Q24" s="3" t="str">
        <f>VLOOKUP(gia_khuyen_mai[[#This Row],[Mã sản phẩm]],product[[Mã sản phẩm]:[DS - ĐV]],3,0)</f>
        <v>Food Đức Việt</v>
      </c>
    </row>
    <row r="25" spans="1:17" ht="21.75" customHeight="1" x14ac:dyDescent="0.45">
      <c r="A25" s="26">
        <v>26</v>
      </c>
      <c r="B25" s="4" t="s">
        <v>513</v>
      </c>
      <c r="C25" s="4" t="s">
        <v>183</v>
      </c>
      <c r="D25" s="4" t="s">
        <v>499</v>
      </c>
      <c r="E25" s="4" t="s">
        <v>514</v>
      </c>
      <c r="F25" s="4" t="s">
        <v>515</v>
      </c>
      <c r="G25" s="4" t="s">
        <v>467</v>
      </c>
      <c r="H25" s="3" t="str">
        <f>VLOOKUP(gia_khuyen_mai[[#This Row],[Barcode]],'Giá gốc'!$A:$B,2,0)</f>
        <v>2148987</v>
      </c>
      <c r="I25" s="3" t="str">
        <f>VLOOKUP(gia_khuyen_mai[[#This Row],[Mã sản phẩm]],'Giá gốc'!$B:$C,2,0)</f>
        <v>Kimchi cải thảo cắt lát 150g * 30EA</v>
      </c>
      <c r="J25" s="5">
        <f>VLOOKUP(gia_khuyen_mai[[#This Row],[Mã sản phẩm]],'Giá gốc'!B:D,3,0)</f>
        <v>13500</v>
      </c>
      <c r="K25" s="6"/>
      <c r="L25" s="7">
        <f>ROUND((1-gia_khuyen_mai[[#This Row],[% Giảm giá]]) * gia_khuyen_mai[[#This Row],[Giá gốc]], 0)</f>
        <v>13500</v>
      </c>
      <c r="M25" s="7"/>
      <c r="O25" s="3" t="str">
        <f>IFERROR(VLOOKUP(gia_khuyen_mai[[#This Row],[Mã hàng tặng]],'Giá gốc'!B:C,2,0),"")</f>
        <v/>
      </c>
      <c r="Q25" s="3" t="str">
        <f>VLOOKUP(gia_khuyen_mai[[#This Row],[Mã sản phẩm]],product[[Mã sản phẩm]:[DS - ĐV]],3,0)</f>
        <v>Food Đức Việt</v>
      </c>
    </row>
    <row r="26" spans="1:17" ht="21.75" customHeight="1" x14ac:dyDescent="0.45">
      <c r="A26" s="26">
        <v>27</v>
      </c>
      <c r="B26" s="4" t="s">
        <v>503</v>
      </c>
      <c r="C26" s="4" t="s">
        <v>183</v>
      </c>
      <c r="D26" s="4" t="s">
        <v>498</v>
      </c>
      <c r="E26" s="4" t="s">
        <v>496</v>
      </c>
      <c r="F26" s="4" t="s">
        <v>497</v>
      </c>
      <c r="G26" s="3" t="s">
        <v>482</v>
      </c>
      <c r="H26" s="3" t="str">
        <f>VLOOKUP(gia_khuyen_mai[[#This Row],[Barcode]],'Giá gốc'!$A:$B,2,0)</f>
        <v>2150771</v>
      </c>
      <c r="I26" s="3" t="str">
        <f>VLOOKUP(gia_khuyen_mai[[#This Row],[Mã sản phẩm]],'Giá gốc'!$B:$C,2,0)</f>
        <v>Lạp xưởng tươi (62g) 500g</v>
      </c>
      <c r="J26" s="5">
        <f>VLOOKUP(gia_khuyen_mai[[#This Row],[Mã sản phẩm]],'Giá gốc'!B:D,3,0)</f>
        <v>100000</v>
      </c>
      <c r="K26" s="6">
        <v>0.3</v>
      </c>
      <c r="L26" s="7">
        <f>ROUND((1-gia_khuyen_mai[[#This Row],[% Giảm giá]]) * gia_khuyen_mai[[#This Row],[Giá gốc]], 0)</f>
        <v>70000</v>
      </c>
      <c r="M26" s="7"/>
      <c r="O26" s="3" t="str">
        <f>IFERROR(VLOOKUP(gia_khuyen_mai[[#This Row],[Mã hàng tặng]],'Giá gốc'!B:C,2,0),"")</f>
        <v/>
      </c>
      <c r="Q26" s="3" t="str">
        <f>VLOOKUP(gia_khuyen_mai[[#This Row],[Mã sản phẩm]],product[[Mã sản phẩm]:[DS - ĐV]],3,0)</f>
        <v>Food Đức Việt</v>
      </c>
    </row>
    <row r="27" spans="1:17" ht="21.75" customHeight="1" x14ac:dyDescent="0.45">
      <c r="A27" s="26">
        <v>28</v>
      </c>
      <c r="B27" s="4" t="s">
        <v>517</v>
      </c>
      <c r="C27" s="4" t="s">
        <v>183</v>
      </c>
      <c r="D27" s="4" t="s">
        <v>498</v>
      </c>
      <c r="E27" s="4" t="s">
        <v>518</v>
      </c>
      <c r="F27" s="4" t="s">
        <v>497</v>
      </c>
      <c r="G27" s="3" t="s">
        <v>75</v>
      </c>
      <c r="H27" s="3" t="str">
        <f>VLOOKUP(gia_khuyen_mai[[#This Row],[Barcode]],'Giá gốc'!$A:$B,2,0)</f>
        <v>1025515</v>
      </c>
      <c r="I27" s="3" t="str">
        <f>VLOOKUP(gia_khuyen_mai[[#This Row],[Mã sản phẩm]],'Giá gốc'!$B:$C,2,0)</f>
        <v>Sốt Spaghetti vị Rose - Kem cà chua 120g</v>
      </c>
      <c r="J27" s="5">
        <f>VLOOKUP(gia_khuyen_mai[[#This Row],[Mã sản phẩm]],'Giá gốc'!B:D,3,0)</f>
        <v>16934</v>
      </c>
      <c r="K27" s="6"/>
      <c r="L27" s="7">
        <f>ROUND((1-gia_khuyen_mai[[#This Row],[% Giảm giá]]) * gia_khuyen_mai[[#This Row],[Giá gốc]], 0)</f>
        <v>16934</v>
      </c>
      <c r="M27" s="7" t="s">
        <v>507</v>
      </c>
      <c r="N27" s="3" t="s">
        <v>76</v>
      </c>
      <c r="O27" s="3" t="str">
        <f>IFERROR(VLOOKUP(gia_khuyen_mai[[#This Row],[Mã hàng tặng]],'Giá gốc'!B:C,2,0),"")</f>
        <v>Sốt Spaghetti vị Rose - Kem cà chua 120g</v>
      </c>
      <c r="Q27" s="3" t="str">
        <f>VLOOKUP(gia_khuyen_mai[[#This Row],[Mã sản phẩm]],product[[Mã sản phẩm]:[DS - ĐV]],3,0)</f>
        <v>Food Daesang</v>
      </c>
    </row>
    <row r="28" spans="1:17" ht="21.75" customHeight="1" x14ac:dyDescent="0.45">
      <c r="A28" s="26">
        <v>29</v>
      </c>
      <c r="B28" s="4" t="s">
        <v>517</v>
      </c>
      <c r="C28" s="4" t="s">
        <v>183</v>
      </c>
      <c r="D28" s="4" t="s">
        <v>498</v>
      </c>
      <c r="E28" s="4" t="s">
        <v>518</v>
      </c>
      <c r="F28" s="4" t="s">
        <v>497</v>
      </c>
      <c r="G28" s="3" t="s">
        <v>54</v>
      </c>
      <c r="H28" s="3" t="str">
        <f>VLOOKUP(gia_khuyen_mai[[#This Row],[Barcode]],'Giá gốc'!$A:$B,2,0)</f>
        <v>1025516</v>
      </c>
      <c r="I28" s="3" t="str">
        <f>VLOOKUP(gia_khuyen_mai[[#This Row],[Mã sản phẩm]],'Giá gốc'!$B:$C,2,0)</f>
        <v>Sốt Spaghetti Bolognese - Thịt bằm 120g x 40EA (HD)</v>
      </c>
      <c r="J28" s="5">
        <f>VLOOKUP(gia_khuyen_mai[[#This Row],[Mã sản phẩm]],'Giá gốc'!B:D,3,0)</f>
        <v>27216</v>
      </c>
      <c r="K28" s="6"/>
      <c r="L28" s="7">
        <f>ROUND((1-gia_khuyen_mai[[#This Row],[% Giảm giá]]) * gia_khuyen_mai[[#This Row],[Giá gốc]], 0)</f>
        <v>27216</v>
      </c>
      <c r="M28" s="7" t="s">
        <v>507</v>
      </c>
      <c r="N28" s="3" t="s">
        <v>55</v>
      </c>
      <c r="O28" s="3" t="str">
        <f>IFERROR(VLOOKUP(gia_khuyen_mai[[#This Row],[Mã hàng tặng]],'Giá gốc'!B:C,2,0),"")</f>
        <v>Sốt Spaghetti Bolognese - Thịt bằm 120g x 40EA (HD)</v>
      </c>
      <c r="Q28" s="3" t="str">
        <f>VLOOKUP(gia_khuyen_mai[[#This Row],[Mã sản phẩm]],product[[Mã sản phẩm]:[DS - ĐV]],3,0)</f>
        <v>Food Daesang</v>
      </c>
    </row>
    <row r="29" spans="1:17" ht="21.75" customHeight="1" x14ac:dyDescent="0.45">
      <c r="A29" s="26">
        <v>30</v>
      </c>
      <c r="B29" s="4" t="s">
        <v>517</v>
      </c>
      <c r="C29" s="4" t="s">
        <v>183</v>
      </c>
      <c r="D29" s="4" t="s">
        <v>498</v>
      </c>
      <c r="E29" s="4" t="s">
        <v>518</v>
      </c>
      <c r="F29" s="4" t="s">
        <v>497</v>
      </c>
      <c r="G29" s="3" t="s">
        <v>45</v>
      </c>
      <c r="H29" s="3" t="str">
        <f>VLOOKUP(gia_khuyen_mai[[#This Row],[Barcode]],'Giá gốc'!$A:$B,2,0)</f>
        <v>1025514</v>
      </c>
      <c r="I29" s="3" t="str">
        <f>VLOOKUP(gia_khuyen_mai[[#This Row],[Mã sản phẩm]],'Giá gốc'!$B:$C,2,0)</f>
        <v>Sốt Spaghetti Phô mai Kem 120g x 40EA (HD)</v>
      </c>
      <c r="J29" s="5">
        <f>VLOOKUP(gia_khuyen_mai[[#This Row],[Mã sản phẩm]],'Giá gốc'!B:D,3,0)</f>
        <v>27216</v>
      </c>
      <c r="K29" s="6"/>
      <c r="L29" s="7">
        <f>ROUND((1-gia_khuyen_mai[[#This Row],[% Giảm giá]]) * gia_khuyen_mai[[#This Row],[Giá gốc]], 0)</f>
        <v>27216</v>
      </c>
      <c r="M29" s="7" t="s">
        <v>507</v>
      </c>
      <c r="N29" s="3" t="s">
        <v>46</v>
      </c>
      <c r="O29" s="3" t="str">
        <f>IFERROR(VLOOKUP(gia_khuyen_mai[[#This Row],[Mã hàng tặng]],'Giá gốc'!B:C,2,0),"")</f>
        <v>Sốt Spaghetti Phô mai Kem 120g x 40EA (HD)</v>
      </c>
      <c r="Q29" s="3" t="str">
        <f>VLOOKUP(gia_khuyen_mai[[#This Row],[Mã sản phẩm]],product[[Mã sản phẩm]:[DS - ĐV]],3,0)</f>
        <v>Food Daesang</v>
      </c>
    </row>
    <row r="30" spans="1:17" ht="21.75" customHeight="1" x14ac:dyDescent="0.45">
      <c r="A30" s="26">
        <v>31</v>
      </c>
      <c r="B30" s="4" t="s">
        <v>517</v>
      </c>
      <c r="C30" s="4" t="s">
        <v>183</v>
      </c>
      <c r="D30" s="4" t="s">
        <v>498</v>
      </c>
      <c r="E30" s="4" t="s">
        <v>518</v>
      </c>
      <c r="F30" s="4" t="s">
        <v>497</v>
      </c>
      <c r="G30" s="3" t="s">
        <v>84</v>
      </c>
      <c r="H30" s="3" t="str">
        <f>VLOOKUP(gia_khuyen_mai[[#This Row],[Barcode]],'Giá gốc'!$A:$B,2,0)</f>
        <v>1023556</v>
      </c>
      <c r="I30" s="3" t="str">
        <f>VLOOKUP(gia_khuyen_mai[[#This Row],[Mã sản phẩm]],'Giá gốc'!$B:$C,2,0)</f>
        <v>Sốt muối Kim Chi Hàn Quốc 180g * 40EA (HD)</v>
      </c>
      <c r="J30" s="5">
        <f>VLOOKUP(gia_khuyen_mai[[#This Row],[Mã sản phẩm]],'Giá gốc'!B:D,3,0)</f>
        <v>25200</v>
      </c>
      <c r="K30" s="6">
        <v>0.25</v>
      </c>
      <c r="L30" s="7">
        <f>ROUND((1-gia_khuyen_mai[[#This Row],[% Giảm giá]]) * gia_khuyen_mai[[#This Row],[Giá gốc]], 0)</f>
        <v>18900</v>
      </c>
      <c r="M30" s="7"/>
      <c r="O30" s="3" t="str">
        <f>IFERROR(VLOOKUP(gia_khuyen_mai[[#This Row],[Mã hàng tặng]],'Giá gốc'!B:C,2,0),"")</f>
        <v/>
      </c>
      <c r="Q30" s="3" t="str">
        <f>VLOOKUP(gia_khuyen_mai[[#This Row],[Mã sản phẩm]],product[[Mã sản phẩm]:[DS - ĐV]],3,0)</f>
        <v>Food Daesang</v>
      </c>
    </row>
    <row r="31" spans="1:17" ht="21.75" customHeight="1" x14ac:dyDescent="0.45">
      <c r="A31" s="26">
        <v>32</v>
      </c>
      <c r="B31" s="4" t="s">
        <v>517</v>
      </c>
      <c r="C31" s="4" t="s">
        <v>183</v>
      </c>
      <c r="D31" s="4" t="s">
        <v>498</v>
      </c>
      <c r="E31" s="4" t="s">
        <v>518</v>
      </c>
      <c r="F31" s="4" t="s">
        <v>497</v>
      </c>
      <c r="G31" s="3" t="s">
        <v>144</v>
      </c>
      <c r="H31" s="3" t="str">
        <f>VLOOKUP(gia_khuyen_mai[[#This Row],[Barcode]],'Giá gốc'!$A:$B,2,0)</f>
        <v>1106573</v>
      </c>
      <c r="I31" s="3" t="str">
        <f>VLOOKUP(gia_khuyen_mai[[#This Row],[Mã sản phẩm]],'Giá gốc'!$B:$C,2,0)</f>
        <v>Sốt Spaghetti Rose - Kem &amp; cà chua 340g x 15EA (HD)</v>
      </c>
      <c r="J31" s="5">
        <f>VLOOKUP(gia_khuyen_mai[[#This Row],[Mã sản phẩm]],'Giá gốc'!B:D,3,0)</f>
        <v>55440</v>
      </c>
      <c r="K31" s="6">
        <v>0.25</v>
      </c>
      <c r="L31" s="7">
        <f>ROUND((1-gia_khuyen_mai[[#This Row],[% Giảm giá]]) * gia_khuyen_mai[[#This Row],[Giá gốc]], 0)</f>
        <v>41580</v>
      </c>
      <c r="M31" s="7"/>
      <c r="O31" s="3" t="str">
        <f>IFERROR(VLOOKUP(gia_khuyen_mai[[#This Row],[Mã hàng tặng]],'Giá gốc'!B:C,2,0),"")</f>
        <v/>
      </c>
      <c r="Q31" s="3" t="str">
        <f>VLOOKUP(gia_khuyen_mai[[#This Row],[Mã sản phẩm]],product[[Mã sản phẩm]:[DS - ĐV]],3,0)</f>
        <v>Food Daesang</v>
      </c>
    </row>
    <row r="32" spans="1:17" ht="21.75" customHeight="1" x14ac:dyDescent="0.45">
      <c r="A32" s="26">
        <v>33</v>
      </c>
      <c r="B32" s="4" t="s">
        <v>517</v>
      </c>
      <c r="C32" s="4" t="s">
        <v>183</v>
      </c>
      <c r="D32" s="4" t="s">
        <v>498</v>
      </c>
      <c r="E32" s="4" t="s">
        <v>519</v>
      </c>
      <c r="F32" s="4" t="s">
        <v>497</v>
      </c>
      <c r="G32" s="3" t="s">
        <v>141</v>
      </c>
      <c r="H32" s="3" t="str">
        <f>VLOOKUP(gia_khuyen_mai[[#This Row],[Barcode]],'Giá gốc'!$A:$B,2,0)</f>
        <v>1106574</v>
      </c>
      <c r="I32" s="3" t="str">
        <f>VLOOKUP(gia_khuyen_mai[[#This Row],[Mã sản phẩm]],'Giá gốc'!$B:$C,2,0)</f>
        <v>Sốt Spaghetti Bolognese - Thịt bằm 340g x 15EA (HD)</v>
      </c>
      <c r="J32" s="5">
        <f>VLOOKUP(gia_khuyen_mai[[#This Row],[Mã sản phẩm]],'Giá gốc'!B:D,3,0)</f>
        <v>65520</v>
      </c>
      <c r="K32" s="6"/>
      <c r="L32" s="7">
        <f>ROUND((1-gia_khuyen_mai[[#This Row],[% Giảm giá]]) * gia_khuyen_mai[[#This Row],[Giá gốc]], 0)</f>
        <v>65520</v>
      </c>
      <c r="M32" s="7" t="s">
        <v>508</v>
      </c>
      <c r="N32" s="3" t="s">
        <v>175</v>
      </c>
      <c r="O32" s="3" t="str">
        <f>IFERROR(VLOOKUP(gia_khuyen_mai[[#This Row],[Mã hàng tặng]],'Giá gốc'!B:C,2,0),"")</f>
        <v>Mì Ý Spaghetti O'Food 250g*40EA</v>
      </c>
      <c r="Q32" s="3" t="str">
        <f>VLOOKUP(gia_khuyen_mai[[#This Row],[Mã sản phẩm]],product[[Mã sản phẩm]:[DS - ĐV]],3,0)</f>
        <v>Food Daesang</v>
      </c>
    </row>
    <row r="33" spans="1:17" ht="21.75" customHeight="1" x14ac:dyDescent="0.45">
      <c r="A33" s="26">
        <v>34</v>
      </c>
      <c r="B33" s="4" t="s">
        <v>517</v>
      </c>
      <c r="C33" s="4" t="s">
        <v>183</v>
      </c>
      <c r="D33" s="4" t="s">
        <v>498</v>
      </c>
      <c r="E33" s="4" t="s">
        <v>518</v>
      </c>
      <c r="F33" s="4" t="s">
        <v>497</v>
      </c>
      <c r="G33" s="3" t="s">
        <v>126</v>
      </c>
      <c r="H33" s="3" t="str">
        <f>VLOOKUP(gia_khuyen_mai[[#This Row],[Barcode]],'Giá gốc'!$A:$B,2,0)</f>
        <v>1025531</v>
      </c>
      <c r="I33" s="3" t="str">
        <f>VLOOKUP(gia_khuyen_mai[[#This Row],[Mã sản phẩm]],'Giá gốc'!$B:$C,2,0)</f>
        <v>Bột chiên giòn thêm hạt 100g x 96EA (lốc 6 x 16 lốc) (HD)</v>
      </c>
      <c r="J33" s="5">
        <f>VLOOKUP(gia_khuyen_mai[[#This Row],[Mã sản phẩm]],'Giá gốc'!B:D,3,0)</f>
        <v>6754</v>
      </c>
      <c r="K33" s="6">
        <v>0.15</v>
      </c>
      <c r="L33" s="7">
        <f>ROUND((1-gia_khuyen_mai[[#This Row],[% Giảm giá]]) * gia_khuyen_mai[[#This Row],[Giá gốc]], 0)</f>
        <v>5741</v>
      </c>
      <c r="M33" s="7"/>
      <c r="O33" s="3" t="str">
        <f>IFERROR(VLOOKUP(gia_khuyen_mai[[#This Row],[Mã hàng tặng]],'Giá gốc'!B:C,2,0),"")</f>
        <v/>
      </c>
      <c r="Q33" s="3" t="str">
        <f>VLOOKUP(gia_khuyen_mai[[#This Row],[Mã sản phẩm]],product[[Mã sản phẩm]:[DS - ĐV]],3,0)</f>
        <v>Food Daesang</v>
      </c>
    </row>
    <row r="34" spans="1:17" ht="21.75" customHeight="1" x14ac:dyDescent="0.45">
      <c r="A34" s="26">
        <v>35</v>
      </c>
      <c r="B34" s="4" t="s">
        <v>517</v>
      </c>
      <c r="C34" s="4" t="s">
        <v>183</v>
      </c>
      <c r="D34" s="4" t="s">
        <v>498</v>
      </c>
      <c r="E34" s="4" t="s">
        <v>518</v>
      </c>
      <c r="F34" s="4" t="s">
        <v>497</v>
      </c>
      <c r="G34" s="3" t="s">
        <v>81</v>
      </c>
      <c r="H34" s="3" t="str">
        <f>VLOOKUP(gia_khuyen_mai[[#This Row],[Barcode]],'Giá gốc'!$A:$B,2,0)</f>
        <v>1021841</v>
      </c>
      <c r="I34" s="3" t="str">
        <f>VLOOKUP(gia_khuyen_mai[[#This Row],[Mã sản phẩm]],'Giá gốc'!$B:$C,2,0)</f>
        <v>Bột chiên xù 100g* 40 EA ( lốc 10  x 4 lốc) (HD)</v>
      </c>
      <c r="J34" s="5">
        <f>VLOOKUP(gia_khuyen_mai[[#This Row],[Mã sản phẩm]],'Giá gốc'!B:D,3,0)</f>
        <v>9878</v>
      </c>
      <c r="K34" s="6">
        <v>0.15</v>
      </c>
      <c r="L34" s="7">
        <f>ROUND((1-gia_khuyen_mai[[#This Row],[% Giảm giá]]) * gia_khuyen_mai[[#This Row],[Giá gốc]], 0)</f>
        <v>8396</v>
      </c>
      <c r="M34" s="7"/>
      <c r="O34" s="3" t="str">
        <f>IFERROR(VLOOKUP(gia_khuyen_mai[[#This Row],[Mã hàng tặng]],'Giá gốc'!B:C,2,0),"")</f>
        <v/>
      </c>
      <c r="Q34" s="3" t="str">
        <f>VLOOKUP(gia_khuyen_mai[[#This Row],[Mã sản phẩm]],product[[Mã sản phẩm]:[DS - ĐV]],3,0)</f>
        <v>Food Daesang</v>
      </c>
    </row>
    <row r="35" spans="1:17" ht="21.75" customHeight="1" x14ac:dyDescent="0.45">
      <c r="A35" s="26">
        <v>36</v>
      </c>
      <c r="B35" s="4" t="s">
        <v>517</v>
      </c>
      <c r="C35" s="4" t="s">
        <v>183</v>
      </c>
      <c r="D35" s="4" t="s">
        <v>498</v>
      </c>
      <c r="E35" s="4" t="s">
        <v>514</v>
      </c>
      <c r="F35" s="4" t="s">
        <v>497</v>
      </c>
      <c r="G35" s="3" t="s">
        <v>120</v>
      </c>
      <c r="H35" s="3" t="str">
        <f>VLOOKUP(gia_khuyen_mai[[#This Row],[Barcode]],'Giá gốc'!$A:$B,2,0)</f>
        <v>1105823</v>
      </c>
      <c r="I35" s="3" t="str">
        <f>VLOOKUP(gia_khuyen_mai[[#This Row],[Mã sản phẩm]],'Giá gốc'!$B:$C,2,0)</f>
        <v>Tokpokki Hàn Quốc vị BBQ (hộp) 105g*24EA (HD)</v>
      </c>
      <c r="J35" s="5">
        <f>VLOOKUP(gia_khuyen_mai[[#This Row],[Mã sản phẩm]],'Giá gốc'!B:D,3,0)</f>
        <v>22691</v>
      </c>
      <c r="K35" s="6">
        <v>0.25</v>
      </c>
      <c r="L35" s="7">
        <f>ROUND((1-gia_khuyen_mai[[#This Row],[% Giảm giá]]) * gia_khuyen_mai[[#This Row],[Giá gốc]], 0)</f>
        <v>17018</v>
      </c>
      <c r="M35" s="7"/>
      <c r="O35" s="3" t="str">
        <f>IFERROR(VLOOKUP(gia_khuyen_mai[[#This Row],[Mã hàng tặng]],'Giá gốc'!B:C,2,0),"")</f>
        <v/>
      </c>
      <c r="Q35" s="3" t="str">
        <f>VLOOKUP(gia_khuyen_mai[[#This Row],[Mã sản phẩm]],product[[Mã sản phẩm]:[DS - ĐV]],3,0)</f>
        <v>Food Daesang</v>
      </c>
    </row>
    <row r="36" spans="1:17" ht="21.75" customHeight="1" x14ac:dyDescent="0.45">
      <c r="A36" s="26">
        <v>37</v>
      </c>
      <c r="B36" s="4" t="s">
        <v>517</v>
      </c>
      <c r="C36" s="4" t="s">
        <v>183</v>
      </c>
      <c r="D36" s="4" t="s">
        <v>498</v>
      </c>
      <c r="E36" s="4" t="s">
        <v>514</v>
      </c>
      <c r="F36" s="4" t="s">
        <v>497</v>
      </c>
      <c r="G36" s="3" t="s">
        <v>36</v>
      </c>
      <c r="H36" s="3" t="str">
        <f>VLOOKUP(gia_khuyen_mai[[#This Row],[Barcode]],'Giá gốc'!$A:$B,2,0)</f>
        <v>1022846</v>
      </c>
      <c r="I36" s="3" t="str">
        <f>VLOOKUP(gia_khuyen_mai[[#This Row],[Mã sản phẩm]],'Giá gốc'!$B:$C,2,0)</f>
        <v>Tokpokki Hàn Quốc tròn vị phô mai - Không cay (hộp) 105g*24EA(HD)</v>
      </c>
      <c r="J36" s="5">
        <f>VLOOKUP(gia_khuyen_mai[[#This Row],[Mã sản phẩm]],'Giá gốc'!B:D,3,0)</f>
        <v>24960</v>
      </c>
      <c r="K36" s="6">
        <v>0.25</v>
      </c>
      <c r="L36" s="7">
        <f>ROUND((1-gia_khuyen_mai[[#This Row],[% Giảm giá]]) * gia_khuyen_mai[[#This Row],[Giá gốc]], 0)</f>
        <v>18720</v>
      </c>
      <c r="M36" s="7"/>
      <c r="O36" s="3" t="str">
        <f>IFERROR(VLOOKUP(gia_khuyen_mai[[#This Row],[Mã hàng tặng]],'Giá gốc'!B:C,2,0),"")</f>
        <v/>
      </c>
      <c r="Q36" s="3" t="str">
        <f>VLOOKUP(gia_khuyen_mai[[#This Row],[Mã sản phẩm]],product[[Mã sản phẩm]:[DS - ĐV]],3,0)</f>
        <v>Food Daesang</v>
      </c>
    </row>
    <row r="37" spans="1:17" ht="21.75" customHeight="1" x14ac:dyDescent="0.45">
      <c r="A37" s="26">
        <v>38</v>
      </c>
      <c r="B37" s="4" t="s">
        <v>517</v>
      </c>
      <c r="C37" s="4" t="s">
        <v>183</v>
      </c>
      <c r="D37" s="4" t="s">
        <v>498</v>
      </c>
      <c r="E37" s="4" t="s">
        <v>514</v>
      </c>
      <c r="F37" s="4" t="s">
        <v>497</v>
      </c>
      <c r="G37" s="3" t="s">
        <v>72</v>
      </c>
      <c r="H37" s="3" t="str">
        <f>VLOOKUP(gia_khuyen_mai[[#This Row],[Barcode]],'Giá gốc'!$A:$B,2,0)</f>
        <v>1022847</v>
      </c>
      <c r="I37" s="3" t="str">
        <f>VLOOKUP(gia_khuyen_mai[[#This Row],[Mã sản phẩm]],'Giá gốc'!$B:$C,2,0)</f>
        <v>Tokpokki Hàn Quốc tròn vị phô mai - Không cay (gói) 140g*24EA(HD)</v>
      </c>
      <c r="J37" s="5">
        <f>VLOOKUP(gia_khuyen_mai[[#This Row],[Mã sản phẩm]],'Giá gốc'!B:D,3,0)</f>
        <v>24960</v>
      </c>
      <c r="K37" s="6">
        <v>0.25</v>
      </c>
      <c r="L37" s="7">
        <f>ROUND((1-gia_khuyen_mai[[#This Row],[% Giảm giá]]) * gia_khuyen_mai[[#This Row],[Giá gốc]], 0)</f>
        <v>18720</v>
      </c>
      <c r="M37" s="7"/>
      <c r="O37" s="3" t="str">
        <f>IFERROR(VLOOKUP(gia_khuyen_mai[[#This Row],[Mã hàng tặng]],'Giá gốc'!B:C,2,0),"")</f>
        <v/>
      </c>
      <c r="Q37" s="3" t="str">
        <f>VLOOKUP(gia_khuyen_mai[[#This Row],[Mã sản phẩm]],product[[Mã sản phẩm]:[DS - ĐV]],3,0)</f>
        <v>Food Daesang</v>
      </c>
    </row>
    <row r="38" spans="1:17" ht="21.75" customHeight="1" x14ac:dyDescent="0.45">
      <c r="A38" s="26">
        <v>39</v>
      </c>
      <c r="B38" s="4" t="s">
        <v>517</v>
      </c>
      <c r="C38" s="4" t="s">
        <v>183</v>
      </c>
      <c r="D38" s="4" t="s">
        <v>498</v>
      </c>
      <c r="E38" s="4" t="s">
        <v>514</v>
      </c>
      <c r="F38" s="4" t="s">
        <v>497</v>
      </c>
      <c r="G38" s="3" t="s">
        <v>60</v>
      </c>
      <c r="H38" s="3" t="str">
        <f>VLOOKUP(gia_khuyen_mai[[#This Row],[Barcode]],'Giá gốc'!$A:$B,2,0)</f>
        <v>1021859</v>
      </c>
      <c r="I38" s="3" t="str">
        <f>VLOOKUP(gia_khuyen_mai[[#This Row],[Mã sản phẩm]],'Giá gốc'!$B:$C,2,0)</f>
        <v>Tokpokki Hàn Quốc vị truyền thống (hộp)
105g * 24EA (HD)</v>
      </c>
      <c r="J38" s="5">
        <f>VLOOKUP(gia_khuyen_mai[[#This Row],[Mã sản phẩm]],'Giá gốc'!B:D,3,0)</f>
        <v>24960</v>
      </c>
      <c r="K38" s="6">
        <v>0.25</v>
      </c>
      <c r="L38" s="7">
        <f>ROUND((1-gia_khuyen_mai[[#This Row],[% Giảm giá]]) * gia_khuyen_mai[[#This Row],[Giá gốc]], 0)</f>
        <v>18720</v>
      </c>
      <c r="M38" s="7"/>
      <c r="O38" s="3" t="str">
        <f>IFERROR(VLOOKUP(gia_khuyen_mai[[#This Row],[Mã hàng tặng]],'Giá gốc'!B:C,2,0),"")</f>
        <v/>
      </c>
      <c r="Q38" s="3" t="str">
        <f>VLOOKUP(gia_khuyen_mai[[#This Row],[Mã sản phẩm]],product[[Mã sản phẩm]:[DS - ĐV]],3,0)</f>
        <v>Food Daesang</v>
      </c>
    </row>
    <row r="39" spans="1:17" ht="21.75" customHeight="1" x14ac:dyDescent="0.45">
      <c r="A39" s="26">
        <v>40</v>
      </c>
      <c r="B39" s="4" t="s">
        <v>517</v>
      </c>
      <c r="C39" s="4" t="s">
        <v>183</v>
      </c>
      <c r="D39" s="4" t="s">
        <v>498</v>
      </c>
      <c r="E39" s="4" t="s">
        <v>514</v>
      </c>
      <c r="F39" s="4" t="s">
        <v>497</v>
      </c>
      <c r="G39" s="3" t="s">
        <v>30</v>
      </c>
      <c r="H39" s="3" t="str">
        <f>VLOOKUP(gia_khuyen_mai[[#This Row],[Barcode]],'Giá gốc'!$A:$B,2,0)</f>
        <v>1021862</v>
      </c>
      <c r="I39" s="3" t="str">
        <f>VLOOKUP(gia_khuyen_mai[[#This Row],[Mã sản phẩm]],'Giá gốc'!$B:$C,2,0)</f>
        <v>Tokpokki Hàn Quốc vị phô mai (hộp)
105g * 24EA (HD</v>
      </c>
      <c r="J39" s="5">
        <f>VLOOKUP(gia_khuyen_mai[[#This Row],[Mã sản phẩm]],'Giá gốc'!B:D,3,0)</f>
        <v>24960</v>
      </c>
      <c r="K39" s="6">
        <v>0.25</v>
      </c>
      <c r="L39" s="7">
        <f>ROUND((1-gia_khuyen_mai[[#This Row],[% Giảm giá]]) * gia_khuyen_mai[[#This Row],[Giá gốc]], 0)</f>
        <v>18720</v>
      </c>
      <c r="M39" s="7"/>
      <c r="O39" s="3" t="str">
        <f>IFERROR(VLOOKUP(gia_khuyen_mai[[#This Row],[Mã hàng tặng]],'Giá gốc'!B:C,2,0),"")</f>
        <v/>
      </c>
      <c r="Q39" s="3" t="str">
        <f>VLOOKUP(gia_khuyen_mai[[#This Row],[Mã sản phẩm]],product[[Mã sản phẩm]:[DS - ĐV]],3,0)</f>
        <v>Food Daesang</v>
      </c>
    </row>
    <row r="40" spans="1:17" ht="21.75" customHeight="1" x14ac:dyDescent="0.45">
      <c r="A40" s="26">
        <v>41</v>
      </c>
      <c r="B40" s="4" t="s">
        <v>517</v>
      </c>
      <c r="C40" s="4" t="s">
        <v>183</v>
      </c>
      <c r="D40" s="4" t="s">
        <v>498</v>
      </c>
      <c r="E40" s="4" t="s">
        <v>514</v>
      </c>
      <c r="F40" s="4" t="s">
        <v>497</v>
      </c>
      <c r="G40" s="3" t="s">
        <v>57</v>
      </c>
      <c r="H40" s="3" t="str">
        <f>VLOOKUP(gia_khuyen_mai[[#This Row],[Barcode]],'Giá gốc'!$A:$B,2,0)</f>
        <v>1021861</v>
      </c>
      <c r="I40" s="3" t="str">
        <f>VLOOKUP(gia_khuyen_mai[[#This Row],[Mã sản phẩm]],'Giá gốc'!$B:$C,2,0)</f>
        <v>Tokpokki Hàn Quốc vị truyền thống (gói) 140g * 24EA (HD)</v>
      </c>
      <c r="J40" s="5">
        <f>VLOOKUP(gia_khuyen_mai[[#This Row],[Mã sản phẩm]],'Giá gốc'!B:D,3,0)</f>
        <v>24960</v>
      </c>
      <c r="K40" s="6">
        <v>0.25</v>
      </c>
      <c r="L40" s="7">
        <f>ROUND((1-gia_khuyen_mai[[#This Row],[% Giảm giá]]) * gia_khuyen_mai[[#This Row],[Giá gốc]], 0)</f>
        <v>18720</v>
      </c>
      <c r="M40" s="7"/>
      <c r="O40" s="3" t="str">
        <f>IFERROR(VLOOKUP(gia_khuyen_mai[[#This Row],[Mã hàng tặng]],'Giá gốc'!B:C,2,0),"")</f>
        <v/>
      </c>
      <c r="Q40" s="3" t="str">
        <f>VLOOKUP(gia_khuyen_mai[[#This Row],[Mã sản phẩm]],product[[Mã sản phẩm]:[DS - ĐV]],3,0)</f>
        <v>Food Daesang</v>
      </c>
    </row>
    <row r="41" spans="1:17" ht="21.75" customHeight="1" x14ac:dyDescent="0.45">
      <c r="A41" s="26">
        <v>42</v>
      </c>
      <c r="B41" s="4" t="s">
        <v>517</v>
      </c>
      <c r="C41" s="4" t="s">
        <v>183</v>
      </c>
      <c r="D41" s="4" t="s">
        <v>498</v>
      </c>
      <c r="E41" s="4" t="s">
        <v>514</v>
      </c>
      <c r="F41" s="4" t="s">
        <v>497</v>
      </c>
      <c r="G41" s="3" t="s">
        <v>39</v>
      </c>
      <c r="H41" s="3" t="str">
        <f>VLOOKUP(gia_khuyen_mai[[#This Row],[Barcode]],'Giá gốc'!$A:$B,2,0)</f>
        <v>1021863</v>
      </c>
      <c r="I41" s="3" t="str">
        <f>VLOOKUP(gia_khuyen_mai[[#This Row],[Mã sản phẩm]],'Giá gốc'!$B:$C,2,0)</f>
        <v>Tokpokki Hàn Quốc vị phô mai (gói) 140g * 24EA (HD)</v>
      </c>
      <c r="J41" s="5">
        <f>VLOOKUP(gia_khuyen_mai[[#This Row],[Mã sản phẩm]],'Giá gốc'!B:D,3,0)</f>
        <v>24960</v>
      </c>
      <c r="K41" s="6">
        <v>0.25</v>
      </c>
      <c r="L41" s="7">
        <f>ROUND((1-gia_khuyen_mai[[#This Row],[% Giảm giá]]) * gia_khuyen_mai[[#This Row],[Giá gốc]], 0)</f>
        <v>18720</v>
      </c>
      <c r="M41" s="7"/>
      <c r="O41" s="3" t="str">
        <f>IFERROR(VLOOKUP(gia_khuyen_mai[[#This Row],[Mã hàng tặng]],'Giá gốc'!B:C,2,0),"")</f>
        <v/>
      </c>
      <c r="Q41" s="3" t="str">
        <f>VLOOKUP(gia_khuyen_mai[[#This Row],[Mã sản phẩm]],product[[Mã sản phẩm]:[DS - ĐV]],3,0)</f>
        <v>Food Daesang</v>
      </c>
    </row>
    <row r="42" spans="1:17" ht="21.75" customHeight="1" x14ac:dyDescent="0.45">
      <c r="A42" s="26">
        <v>43</v>
      </c>
      <c r="B42" s="4" t="s">
        <v>517</v>
      </c>
      <c r="C42" s="4" t="s">
        <v>183</v>
      </c>
      <c r="D42" s="4" t="s">
        <v>498</v>
      </c>
      <c r="E42" s="4" t="s">
        <v>514</v>
      </c>
      <c r="F42" s="4" t="s">
        <v>497</v>
      </c>
      <c r="G42" s="3" t="s">
        <v>147</v>
      </c>
      <c r="H42" s="3" t="str">
        <f>VLOOKUP(gia_khuyen_mai[[#This Row],[Barcode]],'Giá gốc'!$A:$B,2,0)</f>
        <v>1106775</v>
      </c>
      <c r="I42" s="3" t="str">
        <f>VLOOKUP(gia_khuyen_mai[[#This Row],[Mã sản phẩm]],'Giá gốc'!$B:$C,2,0)</f>
        <v xml:space="preserve">Tokpokki Rose Hàn Quốc (hộp) 100g*24EA (HD) </v>
      </c>
      <c r="J42" s="5">
        <f>VLOOKUP(gia_khuyen_mai[[#This Row],[Mã sản phẩm]],'Giá gốc'!B:D,3,0)</f>
        <v>26880</v>
      </c>
      <c r="K42" s="6">
        <v>0.25</v>
      </c>
      <c r="L42" s="7">
        <f>ROUND((1-gia_khuyen_mai[[#This Row],[% Giảm giá]]) * gia_khuyen_mai[[#This Row],[Giá gốc]], 0)</f>
        <v>20160</v>
      </c>
      <c r="M42" s="7"/>
      <c r="O42" s="3" t="str">
        <f>IFERROR(VLOOKUP(gia_khuyen_mai[[#This Row],[Mã hàng tặng]],'Giá gốc'!B:C,2,0),"")</f>
        <v/>
      </c>
      <c r="Q42" s="3" t="str">
        <f>VLOOKUP(gia_khuyen_mai[[#This Row],[Mã sản phẩm]],product[[Mã sản phẩm]:[DS - ĐV]],3,0)</f>
        <v>Food Daesang</v>
      </c>
    </row>
    <row r="43" spans="1:17" ht="21.75" customHeight="1" x14ac:dyDescent="0.45">
      <c r="A43" s="26">
        <v>44</v>
      </c>
      <c r="B43" s="4" t="s">
        <v>517</v>
      </c>
      <c r="C43" s="4" t="s">
        <v>183</v>
      </c>
      <c r="D43" s="4" t="s">
        <v>498</v>
      </c>
      <c r="E43" s="4" t="s">
        <v>514</v>
      </c>
      <c r="F43" s="4" t="s">
        <v>497</v>
      </c>
      <c r="G43" s="3" t="s">
        <v>2</v>
      </c>
      <c r="H43" s="3" t="str">
        <f>VLOOKUP(gia_khuyen_mai[[#This Row],[Barcode]],'Giá gốc'!$A:$B,2,0)</f>
        <v>1023739</v>
      </c>
      <c r="I43" s="3" t="str">
        <f>VLOOKUP(gia_khuyen_mai[[#This Row],[Mã sản phẩm]],'Giá gốc'!$B:$C,2,0)</f>
        <v>Lá Kim tẩm dầu Oliu 5g lốc 3 * 36 lốc (HD)</v>
      </c>
      <c r="J43" s="5">
        <f>VLOOKUP(gia_khuyen_mai[[#This Row],[Mã sản phẩm]],'Giá gốc'!B:D,3,0)</f>
        <v>26095</v>
      </c>
      <c r="K43" s="6">
        <v>0.05</v>
      </c>
      <c r="L43" s="7">
        <f>ROUND((1-gia_khuyen_mai[[#This Row],[% Giảm giá]]) * gia_khuyen_mai[[#This Row],[Giá gốc]], 0)</f>
        <v>24790</v>
      </c>
      <c r="M43" s="7" t="s">
        <v>507</v>
      </c>
      <c r="O43" s="3" t="str">
        <f>IFERROR(VLOOKUP(gia_khuyen_mai[[#This Row],[Mã hàng tặng]],'Giá gốc'!B:C,2,0),"")</f>
        <v/>
      </c>
      <c r="Q43" s="3" t="str">
        <f>VLOOKUP(gia_khuyen_mai[[#This Row],[Mã sản phẩm]],product[[Mã sản phẩm]:[DS - ĐV]],3,0)</f>
        <v>Food Daesang</v>
      </c>
    </row>
    <row r="44" spans="1:17" ht="21.75" customHeight="1" x14ac:dyDescent="0.45">
      <c r="A44" s="26">
        <v>45</v>
      </c>
      <c r="B44" s="4" t="s">
        <v>517</v>
      </c>
      <c r="C44" s="4" t="s">
        <v>183</v>
      </c>
      <c r="D44" s="4" t="s">
        <v>498</v>
      </c>
      <c r="E44" s="4" t="s">
        <v>514</v>
      </c>
      <c r="F44" s="4" t="s">
        <v>497</v>
      </c>
      <c r="G44" s="3" t="s">
        <v>9</v>
      </c>
      <c r="H44" s="3" t="str">
        <f>VLOOKUP(gia_khuyen_mai[[#This Row],[Barcode]],'Giá gốc'!$A:$B,2,0)</f>
        <v>1024696</v>
      </c>
      <c r="I44" s="3" t="str">
        <f>VLOOKUP(gia_khuyen_mai[[#This Row],[Mã sản phẩm]],'Giá gốc'!$B:$C,2,0)</f>
        <v>Lá Kim Tảo biển cao cấp 5g lốc 3 * 36 lốc (HD)</v>
      </c>
      <c r="J44" s="5">
        <f>VLOOKUP(gia_khuyen_mai[[#This Row],[Mã sản phẩm]],'Giá gốc'!B:D,3,0)</f>
        <v>29645</v>
      </c>
      <c r="K44" s="6">
        <v>0.05</v>
      </c>
      <c r="L44" s="7">
        <f>ROUND((1-gia_khuyen_mai[[#This Row],[% Giảm giá]]) * gia_khuyen_mai[[#This Row],[Giá gốc]], 0)</f>
        <v>28163</v>
      </c>
      <c r="M44" s="7" t="s">
        <v>507</v>
      </c>
      <c r="O44" s="3" t="str">
        <f>IFERROR(VLOOKUP(gia_khuyen_mai[[#This Row],[Mã hàng tặng]],'Giá gốc'!B:C,2,0),"")</f>
        <v/>
      </c>
      <c r="Q44" s="3" t="str">
        <f>VLOOKUP(gia_khuyen_mai[[#This Row],[Mã sản phẩm]],product[[Mã sản phẩm]:[DS - ĐV]],3,0)</f>
        <v>Food Daesang</v>
      </c>
    </row>
    <row r="45" spans="1:17" ht="21.75" customHeight="1" x14ac:dyDescent="0.45">
      <c r="A45" s="26">
        <v>46</v>
      </c>
      <c r="B45" s="4" t="s">
        <v>517</v>
      </c>
      <c r="C45" s="4" t="s">
        <v>183</v>
      </c>
      <c r="D45" s="4" t="s">
        <v>498</v>
      </c>
      <c r="E45" s="4" t="s">
        <v>514</v>
      </c>
      <c r="F45" s="4" t="s">
        <v>497</v>
      </c>
      <c r="G45" s="3" t="s">
        <v>6</v>
      </c>
      <c r="H45" s="3" t="str">
        <f>VLOOKUP(gia_khuyen_mai[[#This Row],[Barcode]],'Giá gốc'!$A:$B,2,0)</f>
        <v>1024697</v>
      </c>
      <c r="I45" s="3" t="str">
        <f>VLOOKUP(gia_khuyen_mai[[#This Row],[Mã sản phẩm]],'Giá gốc'!$B:$C,2,0)</f>
        <v>Lá Kim Trẻ em 5g lốc 3 * 36 lốc (HD)</v>
      </c>
      <c r="J45" s="5">
        <f>VLOOKUP(gia_khuyen_mai[[#This Row],[Mã sản phẩm]],'Giá gốc'!B:D,3,0)</f>
        <v>29645</v>
      </c>
      <c r="K45" s="6">
        <v>0.05</v>
      </c>
      <c r="L45" s="7">
        <f>ROUND((1-gia_khuyen_mai[[#This Row],[% Giảm giá]]) * gia_khuyen_mai[[#This Row],[Giá gốc]], 0)</f>
        <v>28163</v>
      </c>
      <c r="M45" s="7" t="s">
        <v>507</v>
      </c>
      <c r="N45" s="3" t="s">
        <v>7</v>
      </c>
      <c r="O45" s="3" t="str">
        <f>IFERROR(VLOOKUP(gia_khuyen_mai[[#This Row],[Mã hàng tặng]],'Giá gốc'!B:C,2,0),"")</f>
        <v>Lá Kim Trẻ em 5g lốc 3 * 36 lốc (HD)</v>
      </c>
      <c r="Q45" s="3" t="str">
        <f>VLOOKUP(gia_khuyen_mai[[#This Row],[Mã sản phẩm]],product[[Mã sản phẩm]:[DS - ĐV]],3,0)</f>
        <v>Food Daesang</v>
      </c>
    </row>
    <row r="46" spans="1:17" ht="21.75" customHeight="1" x14ac:dyDescent="0.45">
      <c r="A46" s="26">
        <v>47</v>
      </c>
      <c r="B46" s="4" t="s">
        <v>517</v>
      </c>
      <c r="C46" s="4" t="s">
        <v>183</v>
      </c>
      <c r="D46" s="4" t="s">
        <v>498</v>
      </c>
      <c r="E46" s="4" t="s">
        <v>514</v>
      </c>
      <c r="F46" s="4" t="s">
        <v>497</v>
      </c>
      <c r="G46" s="3" t="s">
        <v>132</v>
      </c>
      <c r="H46" s="3" t="str">
        <f>VLOOKUP(gia_khuyen_mai[[#This Row],[Barcode]],'Giá gốc'!$A:$B,2,0)</f>
        <v>1025313</v>
      </c>
      <c r="I46" s="3" t="str">
        <f>VLOOKUP(gia_khuyen_mai[[#This Row],[Mã sản phẩm]],'Giá gốc'!$B:$C,2,0)</f>
        <v>Lá Kim tẩm dầu Ô liu 4g lốc 3 * 24 lốc (HD) + 12 lốc KM</v>
      </c>
      <c r="J46" s="5">
        <f>VLOOKUP(gia_khuyen_mai[[#This Row],[Mã sản phẩm]],'Giá gốc'!B:D,3,0)</f>
        <v>22752</v>
      </c>
      <c r="K46" s="6">
        <v>0.05</v>
      </c>
      <c r="L46" s="7">
        <f>ROUND((1-gia_khuyen_mai[[#This Row],[% Giảm giá]]) * gia_khuyen_mai[[#This Row],[Giá gốc]], 0)</f>
        <v>21614</v>
      </c>
      <c r="M46" s="7" t="s">
        <v>507</v>
      </c>
      <c r="O46" s="3" t="str">
        <f>IFERROR(VLOOKUP(gia_khuyen_mai[[#This Row],[Mã hàng tặng]],'Giá gốc'!B:C,2,0),"")</f>
        <v/>
      </c>
      <c r="Q46" s="3" t="str">
        <f>VLOOKUP(gia_khuyen_mai[[#This Row],[Mã sản phẩm]],product[[Mã sản phẩm]:[DS - ĐV]],3,0)</f>
        <v>Food Daesang</v>
      </c>
    </row>
    <row r="47" spans="1:17" ht="21.75" customHeight="1" x14ac:dyDescent="0.45">
      <c r="A47" s="26">
        <v>48</v>
      </c>
      <c r="B47" s="4" t="s">
        <v>517</v>
      </c>
      <c r="C47" s="4" t="s">
        <v>183</v>
      </c>
      <c r="D47" s="4" t="s">
        <v>498</v>
      </c>
      <c r="E47" s="4" t="s">
        <v>519</v>
      </c>
      <c r="F47" s="4" t="s">
        <v>497</v>
      </c>
      <c r="G47" s="3" t="s">
        <v>156</v>
      </c>
      <c r="H47" s="3" t="str">
        <f>VLOOKUP(gia_khuyen_mai[[#This Row],[Barcode]],'Giá gốc'!$A:$B,2,0)</f>
        <v>1106389</v>
      </c>
      <c r="I47" s="3" t="str">
        <f>VLOOKUP(gia_khuyen_mai[[#This Row],[Mã sản phẩm]],'Giá gốc'!$B:$C,2,0)</f>
        <v>Lá Kim tẩm dầu Ô Liu 5g lốc 9 (KM 6+3)*12 lốc (HD)</v>
      </c>
      <c r="J47" s="5">
        <f>VLOOKUP(gia_khuyen_mai[[#This Row],[Mã sản phẩm]],'Giá gốc'!B:D,3,0)</f>
        <v>52224</v>
      </c>
      <c r="K47" s="6">
        <v>7.0000000000000007E-2</v>
      </c>
      <c r="L47" s="7">
        <f>ROUND((1-gia_khuyen_mai[[#This Row],[% Giảm giá]]) * gia_khuyen_mai[[#This Row],[Giá gốc]], 0)</f>
        <v>48568</v>
      </c>
      <c r="M47" s="7"/>
      <c r="O47" s="3" t="str">
        <f>IFERROR(VLOOKUP(gia_khuyen_mai[[#This Row],[Mã hàng tặng]],'Giá gốc'!B:C,2,0),"")</f>
        <v/>
      </c>
      <c r="Q47" s="3" t="str">
        <f>VLOOKUP(gia_khuyen_mai[[#This Row],[Mã sản phẩm]],product[[Mã sản phẩm]:[DS - ĐV]],3,0)</f>
        <v>Food Daesang</v>
      </c>
    </row>
    <row r="48" spans="1:17" ht="21.75" customHeight="1" x14ac:dyDescent="0.45">
      <c r="A48" s="26">
        <v>49</v>
      </c>
      <c r="B48" s="4" t="s">
        <v>517</v>
      </c>
      <c r="C48" s="4" t="s">
        <v>183</v>
      </c>
      <c r="D48" s="4" t="s">
        <v>498</v>
      </c>
      <c r="E48" s="4" t="s">
        <v>514</v>
      </c>
      <c r="F48" s="4" t="s">
        <v>497</v>
      </c>
      <c r="G48" s="3" t="s">
        <v>150</v>
      </c>
      <c r="H48" s="3" t="str">
        <f>VLOOKUP(gia_khuyen_mai[[#This Row],[Barcode]],'Giá gốc'!$A:$B,2,0)</f>
        <v>1106388</v>
      </c>
      <c r="I48" s="3" t="str">
        <f>VLOOKUP(gia_khuyen_mai[[#This Row],[Mã sản phẩm]],'Giá gốc'!$B:$C,2,0)</f>
        <v>Lá Kim tẩm dầu Ô Liu 5g lốc 16 (KM 10+6)*8 lốc (HD)</v>
      </c>
      <c r="J48" s="5">
        <f>VLOOKUP(gia_khuyen_mai[[#This Row],[Mã sản phẩm]],'Giá gốc'!B:D,3,0)</f>
        <v>87072</v>
      </c>
      <c r="K48" s="6">
        <v>0.05</v>
      </c>
      <c r="L48" s="7">
        <f>ROUND((1-gia_khuyen_mai[[#This Row],[% Giảm giá]]) * gia_khuyen_mai[[#This Row],[Giá gốc]], 0)</f>
        <v>82718</v>
      </c>
      <c r="M48" s="7"/>
      <c r="O48" s="3" t="str">
        <f>IFERROR(VLOOKUP(gia_khuyen_mai[[#This Row],[Mã hàng tặng]],'Giá gốc'!B:C,2,0),"")</f>
        <v/>
      </c>
      <c r="Q48" s="3" t="str">
        <f>VLOOKUP(gia_khuyen_mai[[#This Row],[Mã sản phẩm]],product[[Mã sản phẩm]:[DS - ĐV]],3,0)</f>
        <v>Food Daesang</v>
      </c>
    </row>
    <row r="49" spans="1:17" ht="21.75" customHeight="1" x14ac:dyDescent="0.45">
      <c r="A49" s="26">
        <v>50</v>
      </c>
      <c r="B49" s="4" t="s">
        <v>517</v>
      </c>
      <c r="C49" s="4" t="s">
        <v>183</v>
      </c>
      <c r="D49" s="4" t="s">
        <v>498</v>
      </c>
      <c r="E49" s="4" t="s">
        <v>514</v>
      </c>
      <c r="F49" s="4" t="s">
        <v>497</v>
      </c>
      <c r="G49" s="3" t="s">
        <v>15</v>
      </c>
      <c r="H49" s="3" t="str">
        <f>VLOOKUP(gia_khuyen_mai[[#This Row],[Barcode]],'Giá gốc'!$A:$B,2,0)</f>
        <v>1106048</v>
      </c>
      <c r="I49" s="3" t="str">
        <f>VLOOKUP(gia_khuyen_mai[[#This Row],[Mã sản phẩm]],'Giá gốc'!$B:$C,2,0)</f>
        <v>Rong biển giòn trộn gia vị 40g KM lá kim tẩm dầu oliu 4g (30 lốc) HD</v>
      </c>
      <c r="J49" s="5">
        <f>VLOOKUP(gia_khuyen_mai[[#This Row],[Mã sản phẩm]],'Giá gốc'!B:D,3,0)</f>
        <v>27600</v>
      </c>
      <c r="K49" s="6">
        <v>0.05</v>
      </c>
      <c r="L49" s="7">
        <f>ROUND((1-gia_khuyen_mai[[#This Row],[% Giảm giá]]) * gia_khuyen_mai[[#This Row],[Giá gốc]], 0)</f>
        <v>26220</v>
      </c>
      <c r="M49" s="7" t="s">
        <v>508</v>
      </c>
      <c r="O49" s="3" t="str">
        <f>IFERROR(VLOOKUP(gia_khuyen_mai[[#This Row],[Mã hàng tặng]],'Giá gốc'!B:C,2,0),"")</f>
        <v/>
      </c>
      <c r="Q49" s="3" t="str">
        <f>VLOOKUP(gia_khuyen_mai[[#This Row],[Mã sản phẩm]],product[[Mã sản phẩm]:[DS - ĐV]],3,0)</f>
        <v>Food Daesang</v>
      </c>
    </row>
    <row r="50" spans="1:17" ht="21.75" customHeight="1" x14ac:dyDescent="0.45">
      <c r="A50" s="26">
        <v>51</v>
      </c>
      <c r="B50" s="4" t="s">
        <v>517</v>
      </c>
      <c r="C50" s="4" t="s">
        <v>183</v>
      </c>
      <c r="D50" s="4" t="s">
        <v>498</v>
      </c>
      <c r="E50" s="4" t="s">
        <v>514</v>
      </c>
      <c r="F50" s="4" t="s">
        <v>497</v>
      </c>
      <c r="G50" s="3" t="s">
        <v>18</v>
      </c>
      <c r="H50" s="3" t="str">
        <f>VLOOKUP(gia_khuyen_mai[[#This Row],[Barcode]],'Giá gốc'!$A:$B,2,0)</f>
        <v>1106056</v>
      </c>
      <c r="I50" s="3" t="str">
        <f>VLOOKUP(gia_khuyen_mai[[#This Row],[Mã sản phẩm]],'Giá gốc'!$B:$C,2,0)</f>
        <v>Rong biển giòn trộn hạt óc chó, hạnh nhân 40G KM lá kim tẩm dầu oliu 4G (30 lốc) HD</v>
      </c>
      <c r="J50" s="5">
        <f>VLOOKUP(gia_khuyen_mai[[#This Row],[Mã sản phẩm]],'Giá gốc'!B:D,3,0)</f>
        <v>29568</v>
      </c>
      <c r="K50" s="6">
        <v>0.05</v>
      </c>
      <c r="L50" s="7">
        <f>ROUND((1-gia_khuyen_mai[[#This Row],[% Giảm giá]]) * gia_khuyen_mai[[#This Row],[Giá gốc]], 0)</f>
        <v>28090</v>
      </c>
      <c r="M50" s="7" t="s">
        <v>508</v>
      </c>
      <c r="O50" s="3" t="str">
        <f>IFERROR(VLOOKUP(gia_khuyen_mai[[#This Row],[Mã hàng tặng]],'Giá gốc'!B:C,2,0),"")</f>
        <v/>
      </c>
      <c r="Q50" s="3" t="str">
        <f>VLOOKUP(gia_khuyen_mai[[#This Row],[Mã sản phẩm]],product[[Mã sản phẩm]:[DS - ĐV]],3,0)</f>
        <v>Food Daesang</v>
      </c>
    </row>
    <row r="51" spans="1:17" ht="21.75" customHeight="1" x14ac:dyDescent="0.45">
      <c r="A51" s="26">
        <v>52</v>
      </c>
      <c r="B51" s="4" t="s">
        <v>517</v>
      </c>
      <c r="C51" s="4" t="s">
        <v>183</v>
      </c>
      <c r="D51" s="4" t="s">
        <v>498</v>
      </c>
      <c r="E51" s="4" t="s">
        <v>514</v>
      </c>
      <c r="F51" s="4" t="s">
        <v>497</v>
      </c>
      <c r="G51" s="3" t="s">
        <v>21</v>
      </c>
      <c r="H51" s="3" t="str">
        <f>VLOOKUP(gia_khuyen_mai[[#This Row],[Barcode]],'Giá gốc'!$A:$B,2,0)</f>
        <v>1106049</v>
      </c>
      <c r="I51" s="3" t="str">
        <f>VLOOKUP(gia_khuyen_mai[[#This Row],[Mã sản phẩm]],'Giá gốc'!$B:$C,2,0)</f>
        <v>Rong biển giòn trộn hải sản 40G KM lá kim tẩm dầu oliu 4G (30 lốc) HD</v>
      </c>
      <c r="J51" s="5">
        <f>VLOOKUP(gia_khuyen_mai[[#This Row],[Mã sản phẩm]],'Giá gốc'!B:D,3,0)</f>
        <v>29568</v>
      </c>
      <c r="K51" s="6">
        <v>0.05</v>
      </c>
      <c r="L51" s="7">
        <f>ROUND((1-gia_khuyen_mai[[#This Row],[% Giảm giá]]) * gia_khuyen_mai[[#This Row],[Giá gốc]], 0)</f>
        <v>28090</v>
      </c>
      <c r="M51" s="7" t="s">
        <v>508</v>
      </c>
      <c r="O51" s="3" t="str">
        <f>IFERROR(VLOOKUP(gia_khuyen_mai[[#This Row],[Mã hàng tặng]],'Giá gốc'!B:C,2,0),"")</f>
        <v/>
      </c>
      <c r="Q51" s="3" t="str">
        <f>VLOOKUP(gia_khuyen_mai[[#This Row],[Mã sản phẩm]],product[[Mã sản phẩm]:[DS - ĐV]],3,0)</f>
        <v>Food Daesang</v>
      </c>
    </row>
    <row r="52" spans="1:17" ht="21.75" customHeight="1" x14ac:dyDescent="0.45">
      <c r="A52" s="26">
        <v>53</v>
      </c>
      <c r="B52" s="4" t="s">
        <v>517</v>
      </c>
      <c r="C52" s="4" t="s">
        <v>183</v>
      </c>
      <c r="D52" s="4" t="s">
        <v>498</v>
      </c>
      <c r="E52" s="4" t="s">
        <v>514</v>
      </c>
      <c r="F52" s="4" t="s">
        <v>497</v>
      </c>
      <c r="G52" s="3" t="s">
        <v>12</v>
      </c>
      <c r="H52" s="3" t="str">
        <f>VLOOKUP(gia_khuyen_mai[[#This Row],[Barcode]],'Giá gốc'!$A:$B,2,0)</f>
        <v>1106055</v>
      </c>
      <c r="I52" s="3" t="str">
        <f>VLOOKUP(gia_khuyen_mai[[#This Row],[Mã sản phẩm]],'Giá gốc'!$B:$C,2,0)</f>
        <v>Rong biển giòn trộn khô gà 40G KM lá kim tẩm dầu oliu 4G (30 lốc) HD</v>
      </c>
      <c r="J52" s="5">
        <f>VLOOKUP(gia_khuyen_mai[[#This Row],[Mã sản phẩm]],'Giá gốc'!B:D,3,0)</f>
        <v>29568</v>
      </c>
      <c r="K52" s="6">
        <v>0.05</v>
      </c>
      <c r="L52" s="7">
        <f>ROUND((1-gia_khuyen_mai[[#This Row],[% Giảm giá]]) * gia_khuyen_mai[[#This Row],[Giá gốc]], 0)</f>
        <v>28090</v>
      </c>
      <c r="M52" s="7" t="s">
        <v>508</v>
      </c>
      <c r="O52" s="3" t="str">
        <f>IFERROR(VLOOKUP(gia_khuyen_mai[[#This Row],[Mã hàng tặng]],'Giá gốc'!B:C,2,0),"")</f>
        <v/>
      </c>
      <c r="Q52" s="3" t="str">
        <f>VLOOKUP(gia_khuyen_mai[[#This Row],[Mã sản phẩm]],product[[Mã sản phẩm]:[DS - ĐV]],3,0)</f>
        <v>Food Daesang</v>
      </c>
    </row>
    <row r="53" spans="1:17" ht="18" x14ac:dyDescent="0.45">
      <c r="A53" s="26">
        <v>54</v>
      </c>
      <c r="B53" s="4" t="s">
        <v>517</v>
      </c>
      <c r="C53" s="4" t="s">
        <v>183</v>
      </c>
      <c r="D53" s="4" t="s">
        <v>498</v>
      </c>
      <c r="E53" s="4" t="s">
        <v>519</v>
      </c>
      <c r="F53" s="4" t="s">
        <v>497</v>
      </c>
      <c r="G53" s="3" t="s">
        <v>159</v>
      </c>
      <c r="H53" s="3" t="str">
        <f>VLOOKUP(gia_khuyen_mai[[#This Row],[Barcode]],'Giá gốc'!$A:$B,2,0)</f>
        <v>1107393</v>
      </c>
      <c r="I53" s="3" t="str">
        <f>VLOOKUP(gia_khuyen_mai[[#This Row],[Mã sản phẩm]],'Giá gốc'!$B:$C,2,0)</f>
        <v xml:space="preserve">Rong biển giòn trộn cá hồi 30g * 30EA (HD) </v>
      </c>
      <c r="J53" s="5">
        <f>VLOOKUP(gia_khuyen_mai[[#This Row],[Mã sản phẩm]],'Giá gốc'!B:D,3,0)</f>
        <v>29568</v>
      </c>
      <c r="K53" s="6">
        <v>0.05</v>
      </c>
      <c r="L53" s="7">
        <f>ROUND((1-gia_khuyen_mai[[#This Row],[% Giảm giá]]) * gia_khuyen_mai[[#This Row],[Giá gốc]], 0)</f>
        <v>28090</v>
      </c>
      <c r="M53" s="7" t="s">
        <v>508</v>
      </c>
      <c r="N53" s="3" t="s">
        <v>133</v>
      </c>
      <c r="O53" s="3" t="str">
        <f>IFERROR(VLOOKUP(gia_khuyen_mai[[#This Row],[Mã hàng tặng]],'Giá gốc'!B:C,2,0),"")</f>
        <v/>
      </c>
      <c r="Q53" s="3" t="str">
        <f>VLOOKUP(gia_khuyen_mai[[#This Row],[Mã sản phẩm]],product[[Mã sản phẩm]:[DS - ĐV]],3,0)</f>
        <v>Food Daesang</v>
      </c>
    </row>
    <row r="54" spans="1:17" ht="21.75" customHeight="1" x14ac:dyDescent="0.45">
      <c r="A54" s="26">
        <v>55</v>
      </c>
      <c r="B54" s="4" t="s">
        <v>517</v>
      </c>
      <c r="C54" s="4" t="s">
        <v>183</v>
      </c>
      <c r="D54" s="4" t="s">
        <v>498</v>
      </c>
      <c r="E54" s="4" t="s">
        <v>519</v>
      </c>
      <c r="F54" s="4" t="s">
        <v>497</v>
      </c>
      <c r="G54" s="3" t="s">
        <v>180</v>
      </c>
      <c r="H54" s="3" t="str">
        <f>VLOOKUP(gia_khuyen_mai[[#This Row],[Barcode]],'Giá gốc'!$A:$B,2,0)</f>
        <v>1107394</v>
      </c>
      <c r="I54" s="3" t="str">
        <f>VLOOKUP(gia_khuyen_mai[[#This Row],[Mã sản phẩm]],'Giá gốc'!$B:$C,2,0)</f>
        <v xml:space="preserve">Rong biển giòn trộn rau &amp; hạt 30g *30 EA (HD) </v>
      </c>
      <c r="J54" s="5">
        <f>VLOOKUP(gia_khuyen_mai[[#This Row],[Mã sản phẩm]],'Giá gốc'!B:D,3,0)</f>
        <v>29568</v>
      </c>
      <c r="K54" s="6">
        <v>0.05</v>
      </c>
      <c r="L54" s="7">
        <f>ROUND((1-gia_khuyen_mai[[#This Row],[% Giảm giá]]) * gia_khuyen_mai[[#This Row],[Giá gốc]], 0)</f>
        <v>28090</v>
      </c>
      <c r="M54" s="7" t="s">
        <v>508</v>
      </c>
      <c r="N54" s="3" t="s">
        <v>133</v>
      </c>
      <c r="O54" s="3" t="str">
        <f>IFERROR(VLOOKUP(gia_khuyen_mai[[#This Row],[Mã hàng tặng]],'Giá gốc'!B:C,2,0),"")</f>
        <v/>
      </c>
      <c r="Q54" s="3" t="str">
        <f>VLOOKUP(gia_khuyen_mai[[#This Row],[Mã sản phẩm]],product[[Mã sản phẩm]:[DS - ĐV]],3,0)</f>
        <v>Food Daesang</v>
      </c>
    </row>
    <row r="55" spans="1:17" ht="21.75" customHeight="1" x14ac:dyDescent="0.45">
      <c r="A55" s="26">
        <v>56</v>
      </c>
      <c r="B55" s="4" t="s">
        <v>517</v>
      </c>
      <c r="C55" s="4" t="s">
        <v>183</v>
      </c>
      <c r="D55" s="4" t="s">
        <v>498</v>
      </c>
      <c r="E55" s="4" t="s">
        <v>518</v>
      </c>
      <c r="F55" s="4" t="s">
        <v>497</v>
      </c>
      <c r="G55" s="3" t="s">
        <v>42</v>
      </c>
      <c r="H55" s="3" t="str">
        <f>VLOOKUP(gia_khuyen_mai[[#This Row],[Barcode]],'Giá gốc'!$A:$B,2,0)</f>
        <v>2012967</v>
      </c>
      <c r="I55" s="3" t="str">
        <f>VLOOKUP(gia_khuyen_mai[[#This Row],[Mã sản phẩm]],'Giá gốc'!$B:$C,2,0)</f>
        <v>Rong biển hàn quốc 50gr*40EA</v>
      </c>
      <c r="J55" s="5">
        <f>VLOOKUP(gia_khuyen_mai[[#This Row],[Mã sản phẩm]],'Giá gốc'!B:D,3,0)</f>
        <v>43718</v>
      </c>
      <c r="K55" s="6">
        <v>0.25</v>
      </c>
      <c r="L55" s="7">
        <f>ROUND((1-gia_khuyen_mai[[#This Row],[% Giảm giá]]) * gia_khuyen_mai[[#This Row],[Giá gốc]], 0)</f>
        <v>32789</v>
      </c>
      <c r="M55" s="7"/>
      <c r="O55" s="3" t="str">
        <f>IFERROR(VLOOKUP(gia_khuyen_mai[[#This Row],[Mã hàng tặng]],'Giá gốc'!B:C,2,0),"")</f>
        <v/>
      </c>
      <c r="Q55" s="3" t="str">
        <f>VLOOKUP(gia_khuyen_mai[[#This Row],[Mã sản phẩm]],product[[Mã sản phẩm]:[DS - ĐV]],3,0)</f>
        <v>Food Daesang</v>
      </c>
    </row>
    <row r="56" spans="1:17" ht="21.75" customHeight="1" x14ac:dyDescent="0.45">
      <c r="A56" s="26">
        <v>57</v>
      </c>
      <c r="B56" s="4" t="s">
        <v>517</v>
      </c>
      <c r="C56" s="4" t="s">
        <v>183</v>
      </c>
      <c r="D56" s="4" t="s">
        <v>498</v>
      </c>
      <c r="E56" s="4" t="s">
        <v>514</v>
      </c>
      <c r="F56" s="4" t="s">
        <v>497</v>
      </c>
      <c r="G56" s="3" t="s">
        <v>27</v>
      </c>
      <c r="H56" s="3" t="str">
        <f>VLOOKUP(gia_khuyen_mai[[#This Row],[Barcode]],'Giá gốc'!$A:$B,2,0)</f>
        <v>2015475</v>
      </c>
      <c r="I56" s="3" t="str">
        <f>VLOOKUP(gia_khuyen_mai[[#This Row],[Mã sản phẩm]],'Giá gốc'!$B:$C,2,0)</f>
        <v>Lá Kim tẩm dầu Oliu 4.5g lốc 2 (40 lốc)</v>
      </c>
      <c r="J56" s="5">
        <f>VLOOKUP(gia_khuyen_mai[[#This Row],[Mã sản phẩm]],'Giá gốc'!B:D,3,0)</f>
        <v>19571</v>
      </c>
      <c r="K56" s="6"/>
      <c r="L56" s="7">
        <f>ROUND((1-gia_khuyen_mai[[#This Row],[% Giảm giá]]) * gia_khuyen_mai[[#This Row],[Giá gốc]], 0)</f>
        <v>19571</v>
      </c>
      <c r="M56" s="7" t="s">
        <v>507</v>
      </c>
      <c r="N56" s="3" t="s">
        <v>28</v>
      </c>
      <c r="O56" s="3" t="str">
        <f>IFERROR(VLOOKUP(gia_khuyen_mai[[#This Row],[Mã hàng tặng]],'Giá gốc'!B:C,2,0),"")</f>
        <v>Lá Kim tẩm dầu Oliu 4.5g lốc 2 (40 lốc)</v>
      </c>
      <c r="Q56" s="3" t="str">
        <f>VLOOKUP(gia_khuyen_mai[[#This Row],[Mã sản phẩm]],product[[Mã sản phẩm]:[DS - ĐV]],3,0)</f>
        <v>Food Daesang</v>
      </c>
    </row>
    <row r="57" spans="1:17" ht="21.75" customHeight="1" x14ac:dyDescent="0.45">
      <c r="A57" s="26">
        <v>58</v>
      </c>
      <c r="B57" s="4" t="s">
        <v>517</v>
      </c>
      <c r="C57" s="4" t="s">
        <v>183</v>
      </c>
      <c r="D57" s="4" t="s">
        <v>498</v>
      </c>
      <c r="E57" s="4" t="s">
        <v>518</v>
      </c>
      <c r="F57" s="4" t="s">
        <v>497</v>
      </c>
      <c r="G57" s="3" t="s">
        <v>33</v>
      </c>
      <c r="H57" s="3" t="str">
        <f>VLOOKUP(gia_khuyen_mai[[#This Row],[Barcode]],'Giá gốc'!$A:$B,2,0)</f>
        <v>1021808</v>
      </c>
      <c r="I57" s="3" t="str">
        <f>VLOOKUP(gia_khuyen_mai[[#This Row],[Mã sản phẩm]],'Giá gốc'!$B:$C,2,0)</f>
        <v>Lá Kim cuốn cơm 10g * 64EA (HD)</v>
      </c>
      <c r="J57" s="5">
        <f>VLOOKUP(gia_khuyen_mai[[#This Row],[Mã sản phẩm]],'Giá gốc'!B:D,3,0)</f>
        <v>20064</v>
      </c>
      <c r="K57" s="6">
        <v>0.25</v>
      </c>
      <c r="L57" s="7">
        <f>ROUND((1-gia_khuyen_mai[[#This Row],[% Giảm giá]]) * gia_khuyen_mai[[#This Row],[Giá gốc]], 0)</f>
        <v>15048</v>
      </c>
      <c r="M57" s="7"/>
      <c r="O57" s="3" t="str">
        <f>IFERROR(VLOOKUP(gia_khuyen_mai[[#This Row],[Mã hàng tặng]],'Giá gốc'!B:C,2,0),"")</f>
        <v/>
      </c>
      <c r="Q57" s="3" t="str">
        <f>VLOOKUP(gia_khuyen_mai[[#This Row],[Mã sản phẩm]],product[[Mã sản phẩm]:[DS - ĐV]],3,0)</f>
        <v>Food Daesang</v>
      </c>
    </row>
    <row r="58" spans="1:17" ht="21.75" customHeight="1" x14ac:dyDescent="0.45">
      <c r="A58" s="26">
        <v>59</v>
      </c>
      <c r="B58" s="4" t="s">
        <v>517</v>
      </c>
      <c r="C58" s="4" t="s">
        <v>183</v>
      </c>
      <c r="D58" s="4" t="s">
        <v>498</v>
      </c>
      <c r="E58" s="4" t="s">
        <v>518</v>
      </c>
      <c r="F58" s="4" t="s">
        <v>497</v>
      </c>
      <c r="G58" s="3" t="s">
        <v>48</v>
      </c>
      <c r="H58" s="3" t="str">
        <f>VLOOKUP(gia_khuyen_mai[[#This Row],[Barcode]],'Giá gốc'!$A:$B,2,0)</f>
        <v>2014434</v>
      </c>
      <c r="I58" s="3" t="str">
        <f>VLOOKUP(gia_khuyen_mai[[#This Row],[Mã sản phẩm]],'Giá gốc'!$B:$C,2,0)</f>
        <v>Rong biển giòn trộn gia vị 50g</v>
      </c>
      <c r="J58" s="5">
        <f>VLOOKUP(gia_khuyen_mai[[#This Row],[Mã sản phẩm]],'Giá gốc'!B:D,3,0)</f>
        <v>48175</v>
      </c>
      <c r="K58" s="6"/>
      <c r="L58" s="7">
        <f>ROUND((1-gia_khuyen_mai[[#This Row],[% Giảm giá]]) * gia_khuyen_mai[[#This Row],[Giá gốc]], 0)</f>
        <v>48175</v>
      </c>
      <c r="M58" s="7" t="s">
        <v>508</v>
      </c>
      <c r="N58" s="3" t="s">
        <v>133</v>
      </c>
      <c r="O58" s="3" t="str">
        <f>IFERROR(VLOOKUP(gia_khuyen_mai[[#This Row],[Mã hàng tặng]],'Giá gốc'!B:C,2,0),"")</f>
        <v/>
      </c>
      <c r="Q58" s="3" t="str">
        <f>VLOOKUP(gia_khuyen_mai[[#This Row],[Mã sản phẩm]],product[[Mã sản phẩm]:[DS - ĐV]],3,0)</f>
        <v>Food Daesang</v>
      </c>
    </row>
    <row r="59" spans="1:17" ht="21.75" customHeight="1" x14ac:dyDescent="0.45">
      <c r="A59" s="26">
        <v>60</v>
      </c>
      <c r="B59" s="4" t="s">
        <v>517</v>
      </c>
      <c r="C59" s="4" t="s">
        <v>183</v>
      </c>
      <c r="D59" s="4" t="s">
        <v>498</v>
      </c>
      <c r="E59" s="4" t="s">
        <v>518</v>
      </c>
      <c r="F59" s="4" t="s">
        <v>497</v>
      </c>
      <c r="G59" s="3" t="s">
        <v>69</v>
      </c>
      <c r="H59" s="3" t="str">
        <f>VLOOKUP(gia_khuyen_mai[[#This Row],[Barcode]],'Giá gốc'!$A:$B,2,0)</f>
        <v>1025611</v>
      </c>
      <c r="I59" s="3" t="str">
        <f>VLOOKUP(gia_khuyen_mai[[#This Row],[Mã sản phẩm]],'Giá gốc'!$B:$C,2,0)</f>
        <v>Lá kim tẩm gia vị 22g*64EA</v>
      </c>
      <c r="J59" s="5">
        <f>VLOOKUP(gia_khuyen_mai[[#This Row],[Mã sản phẩm]],'Giá gốc'!B:D,3,0)</f>
        <v>24096</v>
      </c>
      <c r="K59" s="6">
        <v>0.25</v>
      </c>
      <c r="L59" s="7">
        <f>ROUND((1-gia_khuyen_mai[[#This Row],[% Giảm giá]]) * gia_khuyen_mai[[#This Row],[Giá gốc]], 0)</f>
        <v>18072</v>
      </c>
      <c r="M59" s="7"/>
      <c r="O59" s="3" t="str">
        <f>IFERROR(VLOOKUP(gia_khuyen_mai[[#This Row],[Mã hàng tặng]],'Giá gốc'!B:C,2,0),"")</f>
        <v/>
      </c>
      <c r="Q59" s="3" t="str">
        <f>VLOOKUP(gia_khuyen_mai[[#This Row],[Mã sản phẩm]],product[[Mã sản phẩm]:[DS - ĐV]],3,0)</f>
        <v>Food Daesang</v>
      </c>
    </row>
    <row r="60" spans="1:17" ht="21.75" customHeight="1" x14ac:dyDescent="0.45">
      <c r="A60" s="26">
        <v>61</v>
      </c>
      <c r="B60" s="4" t="s">
        <v>517</v>
      </c>
      <c r="C60" s="4" t="s">
        <v>183</v>
      </c>
      <c r="D60" s="4" t="s">
        <v>498</v>
      </c>
      <c r="E60" s="4" t="s">
        <v>519</v>
      </c>
      <c r="F60" s="4" t="s">
        <v>497</v>
      </c>
      <c r="G60" s="3" t="s">
        <v>171</v>
      </c>
      <c r="H60" s="3" t="str">
        <f>VLOOKUP(gia_khuyen_mai[[#This Row],[Barcode]],'Giá gốc'!$A:$B,2,0)</f>
        <v>2144605</v>
      </c>
      <c r="I60" s="3" t="str">
        <f>VLOOKUP(gia_khuyen_mai[[#This Row],[Mã sản phẩm]],'Giá gốc'!$B:$C,2,0)</f>
        <v>Snack rong biển nướng Wavy vị truyền thống 8g*60EA</v>
      </c>
      <c r="J60" s="5">
        <f>VLOOKUP(gia_khuyen_mai[[#This Row],[Mã sản phẩm]],'Giá gốc'!B:D,3,0)</f>
        <v>11597</v>
      </c>
      <c r="K60" s="6"/>
      <c r="L60" s="7">
        <f>ROUND((1-gia_khuyen_mai[[#This Row],[% Giảm giá]]) * gia_khuyen_mai[[#This Row],[Giá gốc]], 0)</f>
        <v>11597</v>
      </c>
      <c r="M60" s="7" t="s">
        <v>507</v>
      </c>
      <c r="N60" s="3" t="s">
        <v>172</v>
      </c>
      <c r="O60" s="3" t="str">
        <f>IFERROR(VLOOKUP(gia_khuyen_mai[[#This Row],[Mã hàng tặng]],'Giá gốc'!B:C,2,0),"")</f>
        <v>Snack rong biển nướng Wavy vị truyền thống 8g*60EA</v>
      </c>
      <c r="Q60" s="3" t="str">
        <f>VLOOKUP(gia_khuyen_mai[[#This Row],[Mã sản phẩm]],product[[Mã sản phẩm]:[DS - ĐV]],3,0)</f>
        <v>Food Daesang</v>
      </c>
    </row>
    <row r="61" spans="1:17" ht="21.75" customHeight="1" x14ac:dyDescent="0.45">
      <c r="A61" s="26">
        <v>62</v>
      </c>
      <c r="B61" s="4" t="s">
        <v>517</v>
      </c>
      <c r="C61" s="4" t="s">
        <v>183</v>
      </c>
      <c r="D61" s="4" t="s">
        <v>498</v>
      </c>
      <c r="E61" s="4" t="s">
        <v>519</v>
      </c>
      <c r="F61" s="4" t="s">
        <v>497</v>
      </c>
      <c r="G61" s="3" t="s">
        <v>177</v>
      </c>
      <c r="H61" s="3" t="str">
        <f>VLOOKUP(gia_khuyen_mai[[#This Row],[Barcode]],'Giá gốc'!$A:$B,2,0)</f>
        <v>2144606</v>
      </c>
      <c r="I61" s="3" t="str">
        <f>VLOOKUP(gia_khuyen_mai[[#This Row],[Mã sản phẩm]],'Giá gốc'!$B:$C,2,0)</f>
        <v>Snack rong biển nướng Wavy vị phô mai 8g*60EA</v>
      </c>
      <c r="J61" s="5">
        <f>VLOOKUP(gia_khuyen_mai[[#This Row],[Mã sản phẩm]],'Giá gốc'!B:D,3,0)</f>
        <v>11597</v>
      </c>
      <c r="K61" s="6"/>
      <c r="L61" s="7">
        <f>ROUND((1-gia_khuyen_mai[[#This Row],[% Giảm giá]]) * gia_khuyen_mai[[#This Row],[Giá gốc]], 0)</f>
        <v>11597</v>
      </c>
      <c r="M61" s="7" t="s">
        <v>507</v>
      </c>
      <c r="N61" s="3" t="s">
        <v>178</v>
      </c>
      <c r="O61" s="3" t="str">
        <f>IFERROR(VLOOKUP(gia_khuyen_mai[[#This Row],[Mã hàng tặng]],'Giá gốc'!B:C,2,0),"")</f>
        <v>Snack rong biển nướng Wavy vị phô mai 8g*60EA</v>
      </c>
      <c r="Q61" s="3" t="str">
        <f>VLOOKUP(gia_khuyen_mai[[#This Row],[Mã sản phẩm]],product[[Mã sản phẩm]:[DS - ĐV]],3,0)</f>
        <v>Food Daesang</v>
      </c>
    </row>
    <row r="62" spans="1:17" ht="21.75" customHeight="1" x14ac:dyDescent="0.45">
      <c r="A62" s="26">
        <v>63</v>
      </c>
      <c r="B62" s="4" t="s">
        <v>517</v>
      </c>
      <c r="C62" s="4" t="s">
        <v>5</v>
      </c>
      <c r="D62" s="4" t="s">
        <v>498</v>
      </c>
      <c r="E62" s="4" t="s">
        <v>519</v>
      </c>
      <c r="F62" s="4" t="s">
        <v>497</v>
      </c>
      <c r="G62" s="3" t="s">
        <v>141</v>
      </c>
      <c r="H62" s="3" t="str">
        <f>VLOOKUP(gia_khuyen_mai[[#This Row],[Barcode]],'Giá gốc'!$A:$B,2,0)</f>
        <v>1106574</v>
      </c>
      <c r="I62" s="3" t="str">
        <f>VLOOKUP(gia_khuyen_mai[[#This Row],[Mã sản phẩm]],'Giá gốc'!$B:$C,2,0)</f>
        <v>Sốt Spaghetti Bolognese - Thịt bằm 340g x 15EA (HD)</v>
      </c>
      <c r="J62" s="5">
        <f>VLOOKUP(gia_khuyen_mai[[#This Row],[Mã sản phẩm]],'Giá gốc'!B:D,3,0)</f>
        <v>65520</v>
      </c>
      <c r="K62" s="6"/>
      <c r="L62" s="7">
        <f>ROUND((1-gia_khuyen_mai[[#This Row],[% Giảm giá]]) * gia_khuyen_mai[[#This Row],[Giá gốc]], 0)</f>
        <v>65520</v>
      </c>
      <c r="M62" s="7" t="s">
        <v>508</v>
      </c>
      <c r="N62" s="3" t="s">
        <v>341</v>
      </c>
      <c r="O62" s="3" t="str">
        <f>IFERROR(VLOOKUP(gia_khuyen_mai[[#This Row],[Mã hàng tặng]],'Giá gốc'!B:C,2,0),"")</f>
        <v>Mì Spaghetti 250g*40EA</v>
      </c>
      <c r="P62" s="4" t="s">
        <v>530</v>
      </c>
      <c r="Q62" s="3" t="str">
        <f>VLOOKUP(gia_khuyen_mai[[#This Row],[Mã sản phẩm]],product[[Mã sản phẩm]:[DS - ĐV]],3,0)</f>
        <v>Food Daesang</v>
      </c>
    </row>
    <row r="63" spans="1:17" ht="21.75" customHeight="1" x14ac:dyDescent="0.45">
      <c r="A63" s="26">
        <v>64</v>
      </c>
      <c r="B63" s="4" t="s">
        <v>517</v>
      </c>
      <c r="C63" s="4" t="s">
        <v>5</v>
      </c>
      <c r="D63" s="4" t="s">
        <v>498</v>
      </c>
      <c r="E63" s="4" t="s">
        <v>519</v>
      </c>
      <c r="F63" s="4" t="s">
        <v>497</v>
      </c>
      <c r="G63" s="3" t="s">
        <v>156</v>
      </c>
      <c r="H63" s="3" t="str">
        <f>VLOOKUP(gia_khuyen_mai[[#This Row],[Barcode]],'Giá gốc'!$A:$B,2,0)</f>
        <v>1106389</v>
      </c>
      <c r="I63" s="3" t="str">
        <f>VLOOKUP(gia_khuyen_mai[[#This Row],[Mã sản phẩm]],'Giá gốc'!$B:$C,2,0)</f>
        <v>Lá Kim tẩm dầu Ô Liu 5g lốc 9 (KM 6+3)*12 lốc (HD)</v>
      </c>
      <c r="J63" s="5">
        <f>VLOOKUP(gia_khuyen_mai[[#This Row],[Mã sản phẩm]],'Giá gốc'!B:D,3,0)</f>
        <v>52224</v>
      </c>
      <c r="K63" s="6">
        <v>7.0000000000000007E-2</v>
      </c>
      <c r="L63" s="7">
        <f>ROUND((1-gia_khuyen_mai[[#This Row],[% Giảm giá]]) * gia_khuyen_mai[[#This Row],[Giá gốc]], 0)</f>
        <v>48568</v>
      </c>
      <c r="M63" s="7"/>
      <c r="O63" s="3" t="str">
        <f>IFERROR(VLOOKUP(gia_khuyen_mai[[#This Row],[Mã hàng tặng]],'Giá gốc'!B:C,2,0),"")</f>
        <v/>
      </c>
      <c r="P63" s="4" t="s">
        <v>523</v>
      </c>
      <c r="Q63" s="3" t="str">
        <f>VLOOKUP(gia_khuyen_mai[[#This Row],[Mã sản phẩm]],product[[Mã sản phẩm]:[DS - ĐV]],3,0)</f>
        <v>Food Daesang</v>
      </c>
    </row>
    <row r="64" spans="1:17" ht="21.75" customHeight="1" x14ac:dyDescent="0.45">
      <c r="A64" s="26">
        <v>65</v>
      </c>
      <c r="B64" s="4" t="s">
        <v>517</v>
      </c>
      <c r="C64" s="4" t="s">
        <v>5</v>
      </c>
      <c r="D64" s="4" t="s">
        <v>498</v>
      </c>
      <c r="E64" s="4" t="s">
        <v>519</v>
      </c>
      <c r="F64" s="4" t="s">
        <v>497</v>
      </c>
      <c r="G64" s="3" t="s">
        <v>159</v>
      </c>
      <c r="H64" s="3" t="str">
        <f>VLOOKUP(gia_khuyen_mai[[#This Row],[Barcode]],'Giá gốc'!$A:$B,2,0)</f>
        <v>1107393</v>
      </c>
      <c r="I64" s="3" t="str">
        <f>VLOOKUP(gia_khuyen_mai[[#This Row],[Mã sản phẩm]],'Giá gốc'!$B:$C,2,0)</f>
        <v xml:space="preserve">Rong biển giòn trộn cá hồi 30g * 30EA (HD) </v>
      </c>
      <c r="J64" s="5">
        <f>VLOOKUP(gia_khuyen_mai[[#This Row],[Mã sản phẩm]],'Giá gốc'!B:D,3,0)</f>
        <v>29568</v>
      </c>
      <c r="K64" s="6">
        <v>0.05</v>
      </c>
      <c r="L64" s="7">
        <f>ROUND((1-gia_khuyen_mai[[#This Row],[% Giảm giá]]) * gia_khuyen_mai[[#This Row],[Giá gốc]], 0)</f>
        <v>28090</v>
      </c>
      <c r="M64" s="7" t="s">
        <v>508</v>
      </c>
      <c r="N64" s="3" t="s">
        <v>133</v>
      </c>
      <c r="O64" s="3" t="str">
        <f>IFERROR(VLOOKUP(gia_khuyen_mai[[#This Row],[Mã hàng tặng]],'Giá gốc'!B:C,2,0),"")</f>
        <v/>
      </c>
      <c r="P64" s="4" t="s">
        <v>525</v>
      </c>
      <c r="Q64" s="3" t="str">
        <f>VLOOKUP(gia_khuyen_mai[[#This Row],[Mã sản phẩm]],product[[Mã sản phẩm]:[DS - ĐV]],3,0)</f>
        <v>Food Daesang</v>
      </c>
    </row>
    <row r="65" spans="1:17" ht="21.75" customHeight="1" x14ac:dyDescent="0.45">
      <c r="A65" s="26">
        <v>66</v>
      </c>
      <c r="B65" s="4" t="s">
        <v>517</v>
      </c>
      <c r="C65" s="4" t="s">
        <v>5</v>
      </c>
      <c r="D65" s="4" t="s">
        <v>498</v>
      </c>
      <c r="E65" s="4" t="s">
        <v>519</v>
      </c>
      <c r="F65" s="4" t="s">
        <v>497</v>
      </c>
      <c r="G65" s="3" t="s">
        <v>180</v>
      </c>
      <c r="H65" s="3" t="str">
        <f>VLOOKUP(gia_khuyen_mai[[#This Row],[Barcode]],'Giá gốc'!$A:$B,2,0)</f>
        <v>1107394</v>
      </c>
      <c r="I65" s="3" t="str">
        <f>VLOOKUP(gia_khuyen_mai[[#This Row],[Mã sản phẩm]],'Giá gốc'!$B:$C,2,0)</f>
        <v xml:space="preserve">Rong biển giòn trộn rau &amp; hạt 30g *30 EA (HD) </v>
      </c>
      <c r="J65" s="5">
        <f>VLOOKUP(gia_khuyen_mai[[#This Row],[Mã sản phẩm]],'Giá gốc'!B:D,3,0)</f>
        <v>29568</v>
      </c>
      <c r="K65" s="6">
        <v>0.05</v>
      </c>
      <c r="L65" s="7">
        <f>ROUND((1-gia_khuyen_mai[[#This Row],[% Giảm giá]]) * gia_khuyen_mai[[#This Row],[Giá gốc]], 0)</f>
        <v>28090</v>
      </c>
      <c r="M65" s="7" t="s">
        <v>508</v>
      </c>
      <c r="N65" s="3" t="s">
        <v>133</v>
      </c>
      <c r="O65" s="3" t="str">
        <f>IFERROR(VLOOKUP(gia_khuyen_mai[[#This Row],[Mã hàng tặng]],'Giá gốc'!B:C,2,0),"")</f>
        <v/>
      </c>
      <c r="P65" s="4" t="s">
        <v>525</v>
      </c>
      <c r="Q65" s="3" t="str">
        <f>VLOOKUP(gia_khuyen_mai[[#This Row],[Mã sản phẩm]],product[[Mã sản phẩm]:[DS - ĐV]],3,0)</f>
        <v>Food Daesang</v>
      </c>
    </row>
    <row r="66" spans="1:17" ht="21.75" customHeight="1" x14ac:dyDescent="0.45">
      <c r="A66" s="26">
        <v>67</v>
      </c>
      <c r="B66" s="4" t="s">
        <v>517</v>
      </c>
      <c r="C66" s="4" t="s">
        <v>5</v>
      </c>
      <c r="D66" s="4" t="s">
        <v>498</v>
      </c>
      <c r="E66" s="4" t="s">
        <v>519</v>
      </c>
      <c r="F66" s="4" t="s">
        <v>497</v>
      </c>
      <c r="G66" s="3" t="s">
        <v>171</v>
      </c>
      <c r="H66" s="3" t="str">
        <f>VLOOKUP(gia_khuyen_mai[[#This Row],[Barcode]],'Giá gốc'!$A:$B,2,0)</f>
        <v>2144605</v>
      </c>
      <c r="I66" s="3" t="str">
        <f>VLOOKUP(gia_khuyen_mai[[#This Row],[Mã sản phẩm]],'Giá gốc'!$B:$C,2,0)</f>
        <v>Snack rong biển nướng Wavy vị truyền thống 8g*60EA</v>
      </c>
      <c r="J66" s="5">
        <f>VLOOKUP(gia_khuyen_mai[[#This Row],[Mã sản phẩm]],'Giá gốc'!B:D,3,0)</f>
        <v>11597</v>
      </c>
      <c r="K66" s="6"/>
      <c r="L66" s="7">
        <f>ROUND((1-gia_khuyen_mai[[#This Row],[% Giảm giá]]) * gia_khuyen_mai[[#This Row],[Giá gốc]], 0)</f>
        <v>11597</v>
      </c>
      <c r="M66" s="7" t="s">
        <v>507</v>
      </c>
      <c r="N66" s="3" t="s">
        <v>172</v>
      </c>
      <c r="O66" s="3" t="str">
        <f>IFERROR(VLOOKUP(gia_khuyen_mai[[#This Row],[Mã hàng tặng]],'Giá gốc'!B:C,2,0),"")</f>
        <v>Snack rong biển nướng Wavy vị truyền thống 8g*60EA</v>
      </c>
      <c r="P66" s="4" t="s">
        <v>507</v>
      </c>
      <c r="Q66" s="3" t="str">
        <f>VLOOKUP(gia_khuyen_mai[[#This Row],[Mã sản phẩm]],product[[Mã sản phẩm]:[DS - ĐV]],3,0)</f>
        <v>Food Daesang</v>
      </c>
    </row>
    <row r="67" spans="1:17" ht="21.75" customHeight="1" x14ac:dyDescent="0.45">
      <c r="A67" s="26">
        <v>68</v>
      </c>
      <c r="B67" s="4" t="s">
        <v>517</v>
      </c>
      <c r="C67" s="4" t="s">
        <v>5</v>
      </c>
      <c r="D67" s="4" t="s">
        <v>498</v>
      </c>
      <c r="E67" s="4" t="s">
        <v>519</v>
      </c>
      <c r="F67" s="4" t="s">
        <v>497</v>
      </c>
      <c r="G67" s="3" t="s">
        <v>177</v>
      </c>
      <c r="H67" s="3" t="str">
        <f>VLOOKUP(gia_khuyen_mai[[#This Row],[Barcode]],'Giá gốc'!$A:$B,2,0)</f>
        <v>2144606</v>
      </c>
      <c r="I67" s="3" t="str">
        <f>VLOOKUP(gia_khuyen_mai[[#This Row],[Mã sản phẩm]],'Giá gốc'!$B:$C,2,0)</f>
        <v>Snack rong biển nướng Wavy vị phô mai 8g*60EA</v>
      </c>
      <c r="J67" s="5">
        <f>VLOOKUP(gia_khuyen_mai[[#This Row],[Mã sản phẩm]],'Giá gốc'!B:D,3,0)</f>
        <v>11597</v>
      </c>
      <c r="K67" s="6"/>
      <c r="L67" s="7">
        <f>ROUND((1-gia_khuyen_mai[[#This Row],[% Giảm giá]]) * gia_khuyen_mai[[#This Row],[Giá gốc]], 0)</f>
        <v>11597</v>
      </c>
      <c r="M67" s="7" t="s">
        <v>507</v>
      </c>
      <c r="N67" s="3" t="s">
        <v>178</v>
      </c>
      <c r="O67" s="3" t="str">
        <f>IFERROR(VLOOKUP(gia_khuyen_mai[[#This Row],[Mã hàng tặng]],'Giá gốc'!B:C,2,0),"")</f>
        <v>Snack rong biển nướng Wavy vị phô mai 8g*60EA</v>
      </c>
      <c r="P67" s="4" t="s">
        <v>507</v>
      </c>
      <c r="Q67" s="3" t="str">
        <f>VLOOKUP(gia_khuyen_mai[[#This Row],[Mã sản phẩm]],product[[Mã sản phẩm]:[DS - ĐV]],3,0)</f>
        <v>Food Daesang</v>
      </c>
    </row>
    <row r="68" spans="1:17" ht="21.75" customHeight="1" x14ac:dyDescent="0.45">
      <c r="A68" s="26">
        <v>69</v>
      </c>
      <c r="B68" s="4" t="s">
        <v>517</v>
      </c>
      <c r="C68" s="4" t="s">
        <v>5</v>
      </c>
      <c r="D68" s="4" t="s">
        <v>498</v>
      </c>
      <c r="E68" s="4" t="s">
        <v>518</v>
      </c>
      <c r="F68" s="4" t="s">
        <v>497</v>
      </c>
      <c r="G68" s="3" t="s">
        <v>220</v>
      </c>
      <c r="H68" s="3" t="str">
        <f>VLOOKUP(gia_khuyen_mai[[#This Row],[Barcode]],'Giá gốc'!$A:$B,2,0)</f>
        <v>1025389</v>
      </c>
      <c r="I68" s="3" t="str">
        <f>VLOOKUP(gia_khuyen_mai[[#This Row],[Mã sản phẩm]],'Giá gốc'!$B:$C,2,0)</f>
        <v>Sốt muối kim chi Hàn Quốc cay dịu 180g*40EA</v>
      </c>
      <c r="J68" s="5">
        <f>VLOOKUP(gia_khuyen_mai[[#This Row],[Mã sản phẩm]],'Giá gốc'!B:D,3,0)</f>
        <v>25200</v>
      </c>
      <c r="K68" s="6">
        <v>0.25</v>
      </c>
      <c r="L68" s="7">
        <f>ROUND((1-gia_khuyen_mai[[#This Row],[% Giảm giá]]) * gia_khuyen_mai[[#This Row],[Giá gốc]], 0)</f>
        <v>18900</v>
      </c>
      <c r="M68" s="7"/>
      <c r="O68" s="3" t="str">
        <f>IFERROR(VLOOKUP(gia_khuyen_mai[[#This Row],[Mã hàng tặng]],'Giá gốc'!B:C,2,0),"")</f>
        <v/>
      </c>
      <c r="P68" s="4" t="s">
        <v>520</v>
      </c>
      <c r="Q68" s="3" t="str">
        <f>VLOOKUP(gia_khuyen_mai[[#This Row],[Mã sản phẩm]],product[[Mã sản phẩm]:[DS - ĐV]],3,0)</f>
        <v>Food Daesang</v>
      </c>
    </row>
    <row r="69" spans="1:17" ht="21.75" customHeight="1" x14ac:dyDescent="0.45">
      <c r="A69" s="26">
        <v>70</v>
      </c>
      <c r="B69" s="4" t="s">
        <v>517</v>
      </c>
      <c r="C69" s="4" t="s">
        <v>5</v>
      </c>
      <c r="D69" s="4" t="s">
        <v>498</v>
      </c>
      <c r="E69" s="4" t="s">
        <v>518</v>
      </c>
      <c r="F69" s="4" t="s">
        <v>497</v>
      </c>
      <c r="G69" s="3" t="s">
        <v>75</v>
      </c>
      <c r="H69" s="3" t="str">
        <f>VLOOKUP(gia_khuyen_mai[[#This Row],[Barcode]],'Giá gốc'!$A:$B,2,0)</f>
        <v>1025515</v>
      </c>
      <c r="I69" s="3" t="str">
        <f>VLOOKUP(gia_khuyen_mai[[#This Row],[Mã sản phẩm]],'Giá gốc'!$B:$C,2,0)</f>
        <v>Sốt Spaghetti vị Rose - Kem cà chua 120g</v>
      </c>
      <c r="J69" s="5">
        <f>VLOOKUP(gia_khuyen_mai[[#This Row],[Mã sản phẩm]],'Giá gốc'!B:D,3,0)</f>
        <v>16934</v>
      </c>
      <c r="K69" s="6"/>
      <c r="L69" s="7">
        <f>ROUND((1-gia_khuyen_mai[[#This Row],[% Giảm giá]]) * gia_khuyen_mai[[#This Row],[Giá gốc]], 0)</f>
        <v>16934</v>
      </c>
      <c r="M69" s="7" t="s">
        <v>507</v>
      </c>
      <c r="N69" s="3" t="s">
        <v>76</v>
      </c>
      <c r="O69" s="3" t="str">
        <f>IFERROR(VLOOKUP(gia_khuyen_mai[[#This Row],[Mã hàng tặng]],'Giá gốc'!B:C,2,0),"")</f>
        <v>Sốt Spaghetti vị Rose - Kem cà chua 120g</v>
      </c>
      <c r="P69" s="4" t="s">
        <v>507</v>
      </c>
      <c r="Q69" s="3" t="str">
        <f>VLOOKUP(gia_khuyen_mai[[#This Row],[Mã sản phẩm]],product[[Mã sản phẩm]:[DS - ĐV]],3,0)</f>
        <v>Food Daesang</v>
      </c>
    </row>
    <row r="70" spans="1:17" ht="21.75" customHeight="1" x14ac:dyDescent="0.45">
      <c r="A70" s="26">
        <v>71</v>
      </c>
      <c r="B70" s="4" t="s">
        <v>517</v>
      </c>
      <c r="C70" s="4" t="s">
        <v>5</v>
      </c>
      <c r="D70" s="4" t="s">
        <v>498</v>
      </c>
      <c r="E70" s="4" t="s">
        <v>518</v>
      </c>
      <c r="F70" s="4" t="s">
        <v>497</v>
      </c>
      <c r="G70" s="3" t="s">
        <v>54</v>
      </c>
      <c r="H70" s="3" t="str">
        <f>VLOOKUP(gia_khuyen_mai[[#This Row],[Barcode]],'Giá gốc'!$A:$B,2,0)</f>
        <v>1025516</v>
      </c>
      <c r="I70" s="3" t="str">
        <f>VLOOKUP(gia_khuyen_mai[[#This Row],[Mã sản phẩm]],'Giá gốc'!$B:$C,2,0)</f>
        <v>Sốt Spaghetti Bolognese - Thịt bằm 120g x 40EA (HD)</v>
      </c>
      <c r="J70" s="5">
        <f>VLOOKUP(gia_khuyen_mai[[#This Row],[Mã sản phẩm]],'Giá gốc'!B:D,3,0)</f>
        <v>27216</v>
      </c>
      <c r="K70" s="6"/>
      <c r="L70" s="7">
        <f>ROUND((1-gia_khuyen_mai[[#This Row],[% Giảm giá]]) * gia_khuyen_mai[[#This Row],[Giá gốc]], 0)</f>
        <v>27216</v>
      </c>
      <c r="M70" s="7" t="s">
        <v>507</v>
      </c>
      <c r="N70" s="3" t="s">
        <v>55</v>
      </c>
      <c r="O70" s="3" t="str">
        <f>IFERROR(VLOOKUP(gia_khuyen_mai[[#This Row],[Mã hàng tặng]],'Giá gốc'!B:C,2,0),"")</f>
        <v>Sốt Spaghetti Bolognese - Thịt bằm 120g x 40EA (HD)</v>
      </c>
      <c r="P70" s="4" t="s">
        <v>507</v>
      </c>
      <c r="Q70" s="3" t="str">
        <f>VLOOKUP(gia_khuyen_mai[[#This Row],[Mã sản phẩm]],product[[Mã sản phẩm]:[DS - ĐV]],3,0)</f>
        <v>Food Daesang</v>
      </c>
    </row>
    <row r="71" spans="1:17" ht="21.75" customHeight="1" x14ac:dyDescent="0.45">
      <c r="A71" s="26">
        <v>72</v>
      </c>
      <c r="B71" s="4" t="s">
        <v>517</v>
      </c>
      <c r="C71" s="4" t="s">
        <v>5</v>
      </c>
      <c r="D71" s="4" t="s">
        <v>498</v>
      </c>
      <c r="E71" s="4" t="s">
        <v>518</v>
      </c>
      <c r="F71" s="4" t="s">
        <v>497</v>
      </c>
      <c r="G71" s="3" t="s">
        <v>45</v>
      </c>
      <c r="H71" s="3" t="str">
        <f>VLOOKUP(gia_khuyen_mai[[#This Row],[Barcode]],'Giá gốc'!$A:$B,2,0)</f>
        <v>1025514</v>
      </c>
      <c r="I71" s="3" t="str">
        <f>VLOOKUP(gia_khuyen_mai[[#This Row],[Mã sản phẩm]],'Giá gốc'!$B:$C,2,0)</f>
        <v>Sốt Spaghetti Phô mai Kem 120g x 40EA (HD)</v>
      </c>
      <c r="J71" s="5">
        <f>VLOOKUP(gia_khuyen_mai[[#This Row],[Mã sản phẩm]],'Giá gốc'!B:D,3,0)</f>
        <v>27216</v>
      </c>
      <c r="K71" s="6"/>
      <c r="L71" s="7">
        <f>ROUND((1-gia_khuyen_mai[[#This Row],[% Giảm giá]]) * gia_khuyen_mai[[#This Row],[Giá gốc]], 0)</f>
        <v>27216</v>
      </c>
      <c r="M71" s="7" t="s">
        <v>507</v>
      </c>
      <c r="N71" s="3" t="s">
        <v>46</v>
      </c>
      <c r="O71" s="3" t="str">
        <f>IFERROR(VLOOKUP(gia_khuyen_mai[[#This Row],[Mã hàng tặng]],'Giá gốc'!B:C,2,0),"")</f>
        <v>Sốt Spaghetti Phô mai Kem 120g x 40EA (HD)</v>
      </c>
      <c r="P71" s="4" t="s">
        <v>507</v>
      </c>
      <c r="Q71" s="3" t="str">
        <f>VLOOKUP(gia_khuyen_mai[[#This Row],[Mã sản phẩm]],product[[Mã sản phẩm]:[DS - ĐV]],3,0)</f>
        <v>Food Daesang</v>
      </c>
    </row>
    <row r="72" spans="1:17" ht="21.75" customHeight="1" x14ac:dyDescent="0.45">
      <c r="A72" s="26">
        <v>73</v>
      </c>
      <c r="B72" s="4" t="s">
        <v>517</v>
      </c>
      <c r="C72" s="4" t="s">
        <v>5</v>
      </c>
      <c r="D72" s="4" t="s">
        <v>498</v>
      </c>
      <c r="E72" s="4" t="s">
        <v>518</v>
      </c>
      <c r="F72" s="4" t="s">
        <v>497</v>
      </c>
      <c r="G72" s="3" t="s">
        <v>84</v>
      </c>
      <c r="H72" s="3" t="str">
        <f>VLOOKUP(gia_khuyen_mai[[#This Row],[Barcode]],'Giá gốc'!$A:$B,2,0)</f>
        <v>1023556</v>
      </c>
      <c r="I72" s="3" t="str">
        <f>VLOOKUP(gia_khuyen_mai[[#This Row],[Mã sản phẩm]],'Giá gốc'!$B:$C,2,0)</f>
        <v>Sốt muối Kim Chi Hàn Quốc 180g * 40EA (HD)</v>
      </c>
      <c r="J72" s="5">
        <f>VLOOKUP(gia_khuyen_mai[[#This Row],[Mã sản phẩm]],'Giá gốc'!B:D,3,0)</f>
        <v>25200</v>
      </c>
      <c r="K72" s="6">
        <v>0.25</v>
      </c>
      <c r="L72" s="7">
        <f>ROUND((1-gia_khuyen_mai[[#This Row],[% Giảm giá]]) * gia_khuyen_mai[[#This Row],[Giá gốc]], 0)</f>
        <v>18900</v>
      </c>
      <c r="M72" s="7"/>
      <c r="O72" s="3" t="str">
        <f>IFERROR(VLOOKUP(gia_khuyen_mai[[#This Row],[Mã hàng tặng]],'Giá gốc'!B:C,2,0),"")</f>
        <v/>
      </c>
      <c r="P72" s="4" t="s">
        <v>520</v>
      </c>
      <c r="Q72" s="3" t="str">
        <f>VLOOKUP(gia_khuyen_mai[[#This Row],[Mã sản phẩm]],product[[Mã sản phẩm]:[DS - ĐV]],3,0)</f>
        <v>Food Daesang</v>
      </c>
    </row>
    <row r="73" spans="1:17" ht="21.75" customHeight="1" x14ac:dyDescent="0.45">
      <c r="A73" s="26">
        <v>74</v>
      </c>
      <c r="B73" s="4" t="s">
        <v>517</v>
      </c>
      <c r="C73" s="4" t="s">
        <v>5</v>
      </c>
      <c r="D73" s="4" t="s">
        <v>498</v>
      </c>
      <c r="E73" s="4" t="s">
        <v>518</v>
      </c>
      <c r="F73" s="4" t="s">
        <v>497</v>
      </c>
      <c r="G73" s="3" t="s">
        <v>144</v>
      </c>
      <c r="H73" s="3" t="str">
        <f>VLOOKUP(gia_khuyen_mai[[#This Row],[Barcode]],'Giá gốc'!$A:$B,2,0)</f>
        <v>1106573</v>
      </c>
      <c r="I73" s="3" t="str">
        <f>VLOOKUP(gia_khuyen_mai[[#This Row],[Mã sản phẩm]],'Giá gốc'!$B:$C,2,0)</f>
        <v>Sốt Spaghetti Rose - Kem &amp; cà chua 340g x 15EA (HD)</v>
      </c>
      <c r="J73" s="5">
        <f>VLOOKUP(gia_khuyen_mai[[#This Row],[Mã sản phẩm]],'Giá gốc'!B:D,3,0)</f>
        <v>55440</v>
      </c>
      <c r="K73" s="6">
        <v>0.25</v>
      </c>
      <c r="L73" s="7">
        <f>ROUND((1-gia_khuyen_mai[[#This Row],[% Giảm giá]]) * gia_khuyen_mai[[#This Row],[Giá gốc]], 0)</f>
        <v>41580</v>
      </c>
      <c r="M73" s="7"/>
      <c r="O73" s="3" t="str">
        <f>IFERROR(VLOOKUP(gia_khuyen_mai[[#This Row],[Mã hàng tặng]],'Giá gốc'!B:C,2,0),"")</f>
        <v/>
      </c>
      <c r="P73" s="4" t="s">
        <v>520</v>
      </c>
      <c r="Q73" s="3" t="str">
        <f>VLOOKUP(gia_khuyen_mai[[#This Row],[Mã sản phẩm]],product[[Mã sản phẩm]:[DS - ĐV]],3,0)</f>
        <v>Food Daesang</v>
      </c>
    </row>
    <row r="74" spans="1:17" ht="21.75" customHeight="1" x14ac:dyDescent="0.45">
      <c r="A74" s="26">
        <v>75</v>
      </c>
      <c r="B74" s="4" t="s">
        <v>517</v>
      </c>
      <c r="C74" s="4" t="s">
        <v>5</v>
      </c>
      <c r="D74" s="4" t="s">
        <v>498</v>
      </c>
      <c r="E74" s="4" t="s">
        <v>518</v>
      </c>
      <c r="F74" s="4" t="s">
        <v>497</v>
      </c>
      <c r="G74" s="3" t="s">
        <v>343</v>
      </c>
      <c r="H74" s="3" t="str">
        <f>VLOOKUP(gia_khuyen_mai[[#This Row],[Barcode]],'Giá gốc'!$A:$B,2,0)</f>
        <v>1106572</v>
      </c>
      <c r="I74" s="3" t="str">
        <f>VLOOKUP(gia_khuyen_mai[[#This Row],[Mã sản phẩm]],'Giá gốc'!$B:$C,2,0)</f>
        <v>Sốt Spaghetti Phô mai Kem 340g x 15EA (HD)</v>
      </c>
      <c r="J74" s="5">
        <f>VLOOKUP(gia_khuyen_mai[[#This Row],[Mã sản phẩm]],'Giá gốc'!B:D,3,0)</f>
        <v>65520</v>
      </c>
      <c r="K74" s="6">
        <v>0.25</v>
      </c>
      <c r="L74" s="7">
        <f>ROUND((1-gia_khuyen_mai[[#This Row],[% Giảm giá]]) * gia_khuyen_mai[[#This Row],[Giá gốc]], 0)</f>
        <v>49140</v>
      </c>
      <c r="M74" s="7"/>
      <c r="O74" s="3" t="str">
        <f>IFERROR(VLOOKUP(gia_khuyen_mai[[#This Row],[Mã hàng tặng]],'Giá gốc'!B:C,2,0),"")</f>
        <v/>
      </c>
      <c r="P74" s="4" t="s">
        <v>520</v>
      </c>
      <c r="Q74" s="3" t="str">
        <f>VLOOKUP(gia_khuyen_mai[[#This Row],[Mã sản phẩm]],product[[Mã sản phẩm]:[DS - ĐV]],3,0)</f>
        <v>Food Daesang</v>
      </c>
    </row>
    <row r="75" spans="1:17" ht="21.75" customHeight="1" x14ac:dyDescent="0.45">
      <c r="A75" s="26">
        <v>76</v>
      </c>
      <c r="B75" s="4" t="s">
        <v>517</v>
      </c>
      <c r="C75" s="4" t="s">
        <v>5</v>
      </c>
      <c r="D75" s="4" t="s">
        <v>498</v>
      </c>
      <c r="E75" s="4" t="s">
        <v>518</v>
      </c>
      <c r="F75" s="4" t="s">
        <v>497</v>
      </c>
      <c r="G75" s="3" t="s">
        <v>126</v>
      </c>
      <c r="H75" s="3" t="str">
        <f>VLOOKUP(gia_khuyen_mai[[#This Row],[Barcode]],'Giá gốc'!$A:$B,2,0)</f>
        <v>1025531</v>
      </c>
      <c r="I75" s="3" t="str">
        <f>VLOOKUP(gia_khuyen_mai[[#This Row],[Mã sản phẩm]],'Giá gốc'!$B:$C,2,0)</f>
        <v>Bột chiên giòn thêm hạt 100g x 96EA (lốc 6 x 16 lốc) (HD)</v>
      </c>
      <c r="J75" s="5">
        <f>VLOOKUP(gia_khuyen_mai[[#This Row],[Mã sản phẩm]],'Giá gốc'!B:D,3,0)</f>
        <v>6754</v>
      </c>
      <c r="K75" s="6">
        <v>0.25</v>
      </c>
      <c r="L75" s="7">
        <f>ROUND((1-gia_khuyen_mai[[#This Row],[% Giảm giá]]) * gia_khuyen_mai[[#This Row],[Giá gốc]], 0)</f>
        <v>5066</v>
      </c>
      <c r="M75" s="7"/>
      <c r="O75" s="3" t="str">
        <f>IFERROR(VLOOKUP(gia_khuyen_mai[[#This Row],[Mã hàng tặng]],'Giá gốc'!B:C,2,0),"")</f>
        <v/>
      </c>
      <c r="P75" s="4" t="s">
        <v>521</v>
      </c>
      <c r="Q75" s="3" t="str">
        <f>VLOOKUP(gia_khuyen_mai[[#This Row],[Mã sản phẩm]],product[[Mã sản phẩm]:[DS - ĐV]],3,0)</f>
        <v>Food Daesang</v>
      </c>
    </row>
    <row r="76" spans="1:17" ht="21.75" customHeight="1" x14ac:dyDescent="0.45">
      <c r="A76" s="26">
        <v>77</v>
      </c>
      <c r="B76" s="4" t="s">
        <v>517</v>
      </c>
      <c r="C76" s="4" t="s">
        <v>5</v>
      </c>
      <c r="D76" s="4" t="s">
        <v>498</v>
      </c>
      <c r="E76" s="4" t="s">
        <v>518</v>
      </c>
      <c r="F76" s="4" t="s">
        <v>497</v>
      </c>
      <c r="G76" s="3" t="s">
        <v>81</v>
      </c>
      <c r="H76" s="3" t="str">
        <f>VLOOKUP(gia_khuyen_mai[[#This Row],[Barcode]],'Giá gốc'!$A:$B,2,0)</f>
        <v>1021841</v>
      </c>
      <c r="I76" s="3" t="str">
        <f>VLOOKUP(gia_khuyen_mai[[#This Row],[Mã sản phẩm]],'Giá gốc'!$B:$C,2,0)</f>
        <v>Bột chiên xù 100g* 40 EA ( lốc 10  x 4 lốc) (HD)</v>
      </c>
      <c r="J76" s="5">
        <f>VLOOKUP(gia_khuyen_mai[[#This Row],[Mã sản phẩm]],'Giá gốc'!B:D,3,0)</f>
        <v>9878</v>
      </c>
      <c r="K76" s="6">
        <v>0.25</v>
      </c>
      <c r="L76" s="7">
        <f>ROUND((1-gia_khuyen_mai[[#This Row],[% Giảm giá]]) * gia_khuyen_mai[[#This Row],[Giá gốc]], 0)</f>
        <v>7409</v>
      </c>
      <c r="M76" s="7"/>
      <c r="O76" s="3" t="str">
        <f>IFERROR(VLOOKUP(gia_khuyen_mai[[#This Row],[Mã hàng tặng]],'Giá gốc'!B:C,2,0),"")</f>
        <v/>
      </c>
      <c r="P76" s="4" t="s">
        <v>521</v>
      </c>
      <c r="Q76" s="3" t="str">
        <f>VLOOKUP(gia_khuyen_mai[[#This Row],[Mã sản phẩm]],product[[Mã sản phẩm]:[DS - ĐV]],3,0)</f>
        <v>Food Daesang</v>
      </c>
    </row>
    <row r="77" spans="1:17" ht="21.75" customHeight="1" x14ac:dyDescent="0.45">
      <c r="A77" s="26">
        <v>78</v>
      </c>
      <c r="B77" s="4" t="s">
        <v>517</v>
      </c>
      <c r="C77" s="4" t="s">
        <v>5</v>
      </c>
      <c r="D77" s="4" t="s">
        <v>498</v>
      </c>
      <c r="E77" s="4" t="s">
        <v>518</v>
      </c>
      <c r="F77" s="4" t="s">
        <v>497</v>
      </c>
      <c r="G77" s="3" t="s">
        <v>42</v>
      </c>
      <c r="H77" s="3" t="str">
        <f>VLOOKUP(gia_khuyen_mai[[#This Row],[Barcode]],'Giá gốc'!$A:$B,2,0)</f>
        <v>2012967</v>
      </c>
      <c r="I77" s="3" t="str">
        <f>VLOOKUP(gia_khuyen_mai[[#This Row],[Mã sản phẩm]],'Giá gốc'!$B:$C,2,0)</f>
        <v>Rong biển hàn quốc 50gr*40EA</v>
      </c>
      <c r="J77" s="5">
        <f>VLOOKUP(gia_khuyen_mai[[#This Row],[Mã sản phẩm]],'Giá gốc'!B:D,3,0)</f>
        <v>43718</v>
      </c>
      <c r="K77" s="6">
        <v>0.25</v>
      </c>
      <c r="L77" s="7">
        <f>ROUND((1-gia_khuyen_mai[[#This Row],[% Giảm giá]]) * gia_khuyen_mai[[#This Row],[Giá gốc]], 0)</f>
        <v>32789</v>
      </c>
      <c r="M77" s="7"/>
      <c r="O77" s="3" t="str">
        <f>IFERROR(VLOOKUP(gia_khuyen_mai[[#This Row],[Mã hàng tặng]],'Giá gốc'!B:C,2,0),"")</f>
        <v/>
      </c>
      <c r="P77" s="4" t="s">
        <v>520</v>
      </c>
      <c r="Q77" s="3" t="str">
        <f>VLOOKUP(gia_khuyen_mai[[#This Row],[Mã sản phẩm]],product[[Mã sản phẩm]:[DS - ĐV]],3,0)</f>
        <v>Food Daesang</v>
      </c>
    </row>
    <row r="78" spans="1:17" ht="21.75" customHeight="1" x14ac:dyDescent="0.45">
      <c r="A78" s="26">
        <v>79</v>
      </c>
      <c r="B78" s="4" t="s">
        <v>517</v>
      </c>
      <c r="C78" s="4" t="s">
        <v>5</v>
      </c>
      <c r="D78" s="4" t="s">
        <v>498</v>
      </c>
      <c r="E78" s="4" t="s">
        <v>518</v>
      </c>
      <c r="F78" s="4" t="s">
        <v>497</v>
      </c>
      <c r="G78" s="3" t="s">
        <v>187</v>
      </c>
      <c r="H78" s="3" t="str">
        <f>VLOOKUP(gia_khuyen_mai[[#This Row],[Barcode]],'Giá gốc'!$A:$B,2,0)</f>
        <v>2012968</v>
      </c>
      <c r="I78" s="3" t="str">
        <f>VLOOKUP(gia_khuyen_mai[[#This Row],[Mã sản phẩm]],'Giá gốc'!$B:$C,2,0)</f>
        <v>Rong biển hàn quốc 100gr*24EA</v>
      </c>
      <c r="J78" s="5">
        <f>VLOOKUP(gia_khuyen_mai[[#This Row],[Mã sản phẩm]],'Giá gốc'!B:D,3,0)</f>
        <v>85008</v>
      </c>
      <c r="K78" s="6">
        <v>0.25</v>
      </c>
      <c r="L78" s="7">
        <f>ROUND((1-gia_khuyen_mai[[#This Row],[% Giảm giá]]) * gia_khuyen_mai[[#This Row],[Giá gốc]], 0)</f>
        <v>63756</v>
      </c>
      <c r="M78" s="7"/>
      <c r="O78" s="3" t="str">
        <f>IFERROR(VLOOKUP(gia_khuyen_mai[[#This Row],[Mã hàng tặng]],'Giá gốc'!B:C,2,0),"")</f>
        <v/>
      </c>
      <c r="P78" s="4" t="s">
        <v>520</v>
      </c>
      <c r="Q78" s="3" t="str">
        <f>VLOOKUP(gia_khuyen_mai[[#This Row],[Mã sản phẩm]],product[[Mã sản phẩm]:[DS - ĐV]],3,0)</f>
        <v>Food Daesang</v>
      </c>
    </row>
    <row r="79" spans="1:17" ht="21.75" customHeight="1" x14ac:dyDescent="0.45">
      <c r="A79" s="26">
        <v>80</v>
      </c>
      <c r="B79" s="4" t="s">
        <v>517</v>
      </c>
      <c r="C79" s="4" t="s">
        <v>5</v>
      </c>
      <c r="D79" s="4" t="s">
        <v>498</v>
      </c>
      <c r="E79" s="4" t="s">
        <v>518</v>
      </c>
      <c r="F79" s="4" t="s">
        <v>497</v>
      </c>
      <c r="G79" s="3" t="s">
        <v>33</v>
      </c>
      <c r="H79" s="3" t="str">
        <f>VLOOKUP(gia_khuyen_mai[[#This Row],[Barcode]],'Giá gốc'!$A:$B,2,0)</f>
        <v>1021808</v>
      </c>
      <c r="I79" s="3" t="str">
        <f>VLOOKUP(gia_khuyen_mai[[#This Row],[Mã sản phẩm]],'Giá gốc'!$B:$C,2,0)</f>
        <v>Lá Kim cuốn cơm 10g * 64EA (HD)</v>
      </c>
      <c r="J79" s="5">
        <f>VLOOKUP(gia_khuyen_mai[[#This Row],[Mã sản phẩm]],'Giá gốc'!B:D,3,0)</f>
        <v>20064</v>
      </c>
      <c r="K79" s="6">
        <v>0.25</v>
      </c>
      <c r="L79" s="7">
        <f>ROUND((1-gia_khuyen_mai[[#This Row],[% Giảm giá]]) * gia_khuyen_mai[[#This Row],[Giá gốc]], 0)</f>
        <v>15048</v>
      </c>
      <c r="M79" s="7"/>
      <c r="O79" s="3" t="str">
        <f>IFERROR(VLOOKUP(gia_khuyen_mai[[#This Row],[Mã hàng tặng]],'Giá gốc'!B:C,2,0),"")</f>
        <v/>
      </c>
      <c r="P79" s="4" t="s">
        <v>520</v>
      </c>
      <c r="Q79" s="3" t="str">
        <f>VLOOKUP(gia_khuyen_mai[[#This Row],[Mã sản phẩm]],product[[Mã sản phẩm]:[DS - ĐV]],3,0)</f>
        <v>Food Daesang</v>
      </c>
    </row>
    <row r="80" spans="1:17" ht="21.75" customHeight="1" x14ac:dyDescent="0.45">
      <c r="A80" s="26">
        <v>81</v>
      </c>
      <c r="B80" s="4" t="s">
        <v>517</v>
      </c>
      <c r="C80" s="4" t="s">
        <v>5</v>
      </c>
      <c r="D80" s="4" t="s">
        <v>498</v>
      </c>
      <c r="E80" s="4" t="s">
        <v>518</v>
      </c>
      <c r="F80" s="4" t="s">
        <v>497</v>
      </c>
      <c r="G80" s="3" t="s">
        <v>48</v>
      </c>
      <c r="H80" s="3" t="str">
        <f>VLOOKUP(gia_khuyen_mai[[#This Row],[Barcode]],'Giá gốc'!$A:$B,2,0)</f>
        <v>2014434</v>
      </c>
      <c r="I80" s="3" t="str">
        <f>VLOOKUP(gia_khuyen_mai[[#This Row],[Mã sản phẩm]],'Giá gốc'!$B:$C,2,0)</f>
        <v>Rong biển giòn trộn gia vị 50g</v>
      </c>
      <c r="J80" s="5">
        <f>VLOOKUP(gia_khuyen_mai[[#This Row],[Mã sản phẩm]],'Giá gốc'!B:D,3,0)</f>
        <v>48175</v>
      </c>
      <c r="K80" s="6"/>
      <c r="L80" s="7">
        <f>ROUND((1-gia_khuyen_mai[[#This Row],[% Giảm giá]]) * gia_khuyen_mai[[#This Row],[Giá gốc]], 0)</f>
        <v>48175</v>
      </c>
      <c r="M80" s="7" t="s">
        <v>508</v>
      </c>
      <c r="N80" s="3" t="s">
        <v>133</v>
      </c>
      <c r="O80" s="3" t="str">
        <f>IFERROR(VLOOKUP(gia_khuyen_mai[[#This Row],[Mã hàng tặng]],'Giá gốc'!B:C,2,0),"")</f>
        <v/>
      </c>
      <c r="P80" s="4" t="s">
        <v>526</v>
      </c>
      <c r="Q80" s="3" t="str">
        <f>VLOOKUP(gia_khuyen_mai[[#This Row],[Mã sản phẩm]],product[[Mã sản phẩm]:[DS - ĐV]],3,0)</f>
        <v>Food Daesang</v>
      </c>
    </row>
    <row r="81" spans="1:17" ht="21.75" customHeight="1" x14ac:dyDescent="0.45">
      <c r="A81" s="26">
        <v>82</v>
      </c>
      <c r="B81" s="4" t="s">
        <v>517</v>
      </c>
      <c r="C81" s="4" t="s">
        <v>5</v>
      </c>
      <c r="D81" s="4" t="s">
        <v>498</v>
      </c>
      <c r="E81" s="4" t="s">
        <v>518</v>
      </c>
      <c r="F81" s="4" t="s">
        <v>497</v>
      </c>
      <c r="G81" s="3" t="s">
        <v>69</v>
      </c>
      <c r="H81" s="3" t="str">
        <f>VLOOKUP(gia_khuyen_mai[[#This Row],[Barcode]],'Giá gốc'!$A:$B,2,0)</f>
        <v>1025611</v>
      </c>
      <c r="I81" s="3" t="str">
        <f>VLOOKUP(gia_khuyen_mai[[#This Row],[Mã sản phẩm]],'Giá gốc'!$B:$C,2,0)</f>
        <v>Lá kim tẩm gia vị 22g*64EA</v>
      </c>
      <c r="J81" s="5">
        <f>VLOOKUP(gia_khuyen_mai[[#This Row],[Mã sản phẩm]],'Giá gốc'!B:D,3,0)</f>
        <v>24096</v>
      </c>
      <c r="K81" s="6">
        <v>0.25</v>
      </c>
      <c r="L81" s="7">
        <f>ROUND((1-gia_khuyen_mai[[#This Row],[% Giảm giá]]) * gia_khuyen_mai[[#This Row],[Giá gốc]], 0)</f>
        <v>18072</v>
      </c>
      <c r="M81" s="7"/>
      <c r="O81" s="3" t="str">
        <f>IFERROR(VLOOKUP(gia_khuyen_mai[[#This Row],[Mã hàng tặng]],'Giá gốc'!B:C,2,0),"")</f>
        <v/>
      </c>
      <c r="P81" s="4" t="s">
        <v>520</v>
      </c>
      <c r="Q81" s="3" t="str">
        <f>VLOOKUP(gia_khuyen_mai[[#This Row],[Mã sản phẩm]],product[[Mã sản phẩm]:[DS - ĐV]],3,0)</f>
        <v>Food Daesang</v>
      </c>
    </row>
    <row r="82" spans="1:17" ht="21.75" customHeight="1" x14ac:dyDescent="0.45">
      <c r="A82" s="26">
        <v>83</v>
      </c>
      <c r="B82" s="4" t="s">
        <v>517</v>
      </c>
      <c r="C82" s="4" t="s">
        <v>5</v>
      </c>
      <c r="D82" s="4" t="s">
        <v>498</v>
      </c>
      <c r="E82" s="4" t="s">
        <v>514</v>
      </c>
      <c r="F82" s="4" t="s">
        <v>497</v>
      </c>
      <c r="G82" s="3" t="s">
        <v>120</v>
      </c>
      <c r="H82" s="3" t="str">
        <f>VLOOKUP(gia_khuyen_mai[[#This Row],[Barcode]],'Giá gốc'!$A:$B,2,0)</f>
        <v>1105823</v>
      </c>
      <c r="I82" s="3" t="str">
        <f>VLOOKUP(gia_khuyen_mai[[#This Row],[Mã sản phẩm]],'Giá gốc'!$B:$C,2,0)</f>
        <v>Tokpokki Hàn Quốc vị BBQ (hộp) 105g*24EA (HD)</v>
      </c>
      <c r="J82" s="5">
        <f>VLOOKUP(gia_khuyen_mai[[#This Row],[Mã sản phẩm]],'Giá gốc'!B:D,3,0)</f>
        <v>22691</v>
      </c>
      <c r="K82" s="6">
        <v>0.25</v>
      </c>
      <c r="L82" s="7">
        <f>ROUND((1-gia_khuyen_mai[[#This Row],[% Giảm giá]]) * gia_khuyen_mai[[#This Row],[Giá gốc]], 0)</f>
        <v>17018</v>
      </c>
      <c r="M82" s="7"/>
      <c r="O82" s="3" t="str">
        <f>IFERROR(VLOOKUP(gia_khuyen_mai[[#This Row],[Mã hàng tặng]],'Giá gốc'!B:C,2,0),"")</f>
        <v/>
      </c>
      <c r="P82" s="4" t="s">
        <v>520</v>
      </c>
      <c r="Q82" s="3" t="str">
        <f>VLOOKUP(gia_khuyen_mai[[#This Row],[Mã sản phẩm]],product[[Mã sản phẩm]:[DS - ĐV]],3,0)</f>
        <v>Food Daesang</v>
      </c>
    </row>
    <row r="83" spans="1:17" ht="21.75" customHeight="1" x14ac:dyDescent="0.45">
      <c r="A83" s="26">
        <v>84</v>
      </c>
      <c r="B83" s="4" t="s">
        <v>517</v>
      </c>
      <c r="C83" s="4" t="s">
        <v>5</v>
      </c>
      <c r="D83" s="4" t="s">
        <v>498</v>
      </c>
      <c r="E83" s="4" t="s">
        <v>514</v>
      </c>
      <c r="F83" s="4" t="s">
        <v>497</v>
      </c>
      <c r="G83" s="3" t="s">
        <v>262</v>
      </c>
      <c r="H83" s="3" t="str">
        <f>VLOOKUP(gia_khuyen_mai[[#This Row],[Barcode]],'Giá gốc'!$A:$B,2,0)</f>
        <v>1105824</v>
      </c>
      <c r="I83" s="3" t="str">
        <f>VLOOKUP(gia_khuyen_mai[[#This Row],[Mã sản phẩm]],'Giá gốc'!$B:$C,2,0)</f>
        <v>Tokpokki Hàn Quốc vị BBQ (gói) 140g*24EA (HD)</v>
      </c>
      <c r="J83" s="5">
        <f>VLOOKUP(gia_khuyen_mai[[#This Row],[Mã sản phẩm]],'Giá gốc'!B:D,3,0)</f>
        <v>22691</v>
      </c>
      <c r="K83" s="6">
        <v>0.25</v>
      </c>
      <c r="L83" s="7">
        <f>ROUND((1-gia_khuyen_mai[[#This Row],[% Giảm giá]]) * gia_khuyen_mai[[#This Row],[Giá gốc]], 0)</f>
        <v>17018</v>
      </c>
      <c r="M83" s="7"/>
      <c r="O83" s="3" t="str">
        <f>IFERROR(VLOOKUP(gia_khuyen_mai[[#This Row],[Mã hàng tặng]],'Giá gốc'!B:C,2,0),"")</f>
        <v/>
      </c>
      <c r="P83" s="4" t="s">
        <v>520</v>
      </c>
      <c r="Q83" s="3" t="str">
        <f>VLOOKUP(gia_khuyen_mai[[#This Row],[Mã sản phẩm]],product[[Mã sản phẩm]:[DS - ĐV]],3,0)</f>
        <v>Food Daesang</v>
      </c>
    </row>
    <row r="84" spans="1:17" ht="21.75" customHeight="1" x14ac:dyDescent="0.45">
      <c r="A84" s="26">
        <v>85</v>
      </c>
      <c r="B84" s="4" t="s">
        <v>517</v>
      </c>
      <c r="C84" s="4" t="s">
        <v>5</v>
      </c>
      <c r="D84" s="4" t="s">
        <v>498</v>
      </c>
      <c r="E84" s="4" t="s">
        <v>514</v>
      </c>
      <c r="F84" s="4" t="s">
        <v>497</v>
      </c>
      <c r="G84" s="3" t="s">
        <v>36</v>
      </c>
      <c r="H84" s="3" t="str">
        <f>VLOOKUP(gia_khuyen_mai[[#This Row],[Barcode]],'Giá gốc'!$A:$B,2,0)</f>
        <v>1022846</v>
      </c>
      <c r="I84" s="3" t="str">
        <f>VLOOKUP(gia_khuyen_mai[[#This Row],[Mã sản phẩm]],'Giá gốc'!$B:$C,2,0)</f>
        <v>Tokpokki Hàn Quốc tròn vị phô mai - Không cay (hộp) 105g*24EA(HD)</v>
      </c>
      <c r="J84" s="5">
        <f>VLOOKUP(gia_khuyen_mai[[#This Row],[Mã sản phẩm]],'Giá gốc'!B:D,3,0)</f>
        <v>24960</v>
      </c>
      <c r="K84" s="6">
        <v>0.25</v>
      </c>
      <c r="L84" s="7">
        <f>ROUND((1-gia_khuyen_mai[[#This Row],[% Giảm giá]]) * gia_khuyen_mai[[#This Row],[Giá gốc]], 0)</f>
        <v>18720</v>
      </c>
      <c r="M84" s="7"/>
      <c r="O84" s="3" t="str">
        <f>IFERROR(VLOOKUP(gia_khuyen_mai[[#This Row],[Mã hàng tặng]],'Giá gốc'!B:C,2,0),"")</f>
        <v/>
      </c>
      <c r="P84" s="4" t="s">
        <v>520</v>
      </c>
      <c r="Q84" s="3" t="str">
        <f>VLOOKUP(gia_khuyen_mai[[#This Row],[Mã sản phẩm]],product[[Mã sản phẩm]:[DS - ĐV]],3,0)</f>
        <v>Food Daesang</v>
      </c>
    </row>
    <row r="85" spans="1:17" ht="21.75" customHeight="1" x14ac:dyDescent="0.45">
      <c r="A85" s="26">
        <v>86</v>
      </c>
      <c r="B85" s="4" t="s">
        <v>517</v>
      </c>
      <c r="C85" s="4" t="s">
        <v>5</v>
      </c>
      <c r="D85" s="4" t="s">
        <v>498</v>
      </c>
      <c r="E85" s="4" t="s">
        <v>514</v>
      </c>
      <c r="F85" s="4" t="s">
        <v>497</v>
      </c>
      <c r="G85" s="3" t="s">
        <v>72</v>
      </c>
      <c r="H85" s="3" t="str">
        <f>VLOOKUP(gia_khuyen_mai[[#This Row],[Barcode]],'Giá gốc'!$A:$B,2,0)</f>
        <v>1022847</v>
      </c>
      <c r="I85" s="3" t="str">
        <f>VLOOKUP(gia_khuyen_mai[[#This Row],[Mã sản phẩm]],'Giá gốc'!$B:$C,2,0)</f>
        <v>Tokpokki Hàn Quốc tròn vị phô mai - Không cay (gói) 140g*24EA(HD)</v>
      </c>
      <c r="J85" s="5">
        <f>VLOOKUP(gia_khuyen_mai[[#This Row],[Mã sản phẩm]],'Giá gốc'!B:D,3,0)</f>
        <v>24960</v>
      </c>
      <c r="K85" s="6">
        <v>0.25</v>
      </c>
      <c r="L85" s="7">
        <f>ROUND((1-gia_khuyen_mai[[#This Row],[% Giảm giá]]) * gia_khuyen_mai[[#This Row],[Giá gốc]], 0)</f>
        <v>18720</v>
      </c>
      <c r="M85" s="7"/>
      <c r="O85" s="3" t="str">
        <f>IFERROR(VLOOKUP(gia_khuyen_mai[[#This Row],[Mã hàng tặng]],'Giá gốc'!B:C,2,0),"")</f>
        <v/>
      </c>
      <c r="P85" s="4" t="s">
        <v>520</v>
      </c>
      <c r="Q85" s="3" t="str">
        <f>VLOOKUP(gia_khuyen_mai[[#This Row],[Mã sản phẩm]],product[[Mã sản phẩm]:[DS - ĐV]],3,0)</f>
        <v>Food Daesang</v>
      </c>
    </row>
    <row r="86" spans="1:17" ht="21.75" customHeight="1" x14ac:dyDescent="0.45">
      <c r="A86" s="26">
        <v>87</v>
      </c>
      <c r="B86" s="4" t="s">
        <v>517</v>
      </c>
      <c r="C86" s="4" t="s">
        <v>5</v>
      </c>
      <c r="D86" s="4" t="s">
        <v>498</v>
      </c>
      <c r="E86" s="4" t="s">
        <v>514</v>
      </c>
      <c r="F86" s="4" t="s">
        <v>497</v>
      </c>
      <c r="G86" s="3" t="s">
        <v>60</v>
      </c>
      <c r="H86" s="3" t="str">
        <f>VLOOKUP(gia_khuyen_mai[[#This Row],[Barcode]],'Giá gốc'!$A:$B,2,0)</f>
        <v>1021859</v>
      </c>
      <c r="I86" s="3" t="str">
        <f>VLOOKUP(gia_khuyen_mai[[#This Row],[Mã sản phẩm]],'Giá gốc'!$B:$C,2,0)</f>
        <v>Tokpokki Hàn Quốc vị truyền thống (hộp)
105g * 24EA (HD)</v>
      </c>
      <c r="J86" s="5">
        <f>VLOOKUP(gia_khuyen_mai[[#This Row],[Mã sản phẩm]],'Giá gốc'!B:D,3,0)</f>
        <v>24960</v>
      </c>
      <c r="K86" s="6">
        <v>0.25</v>
      </c>
      <c r="L86" s="7">
        <f>ROUND((1-gia_khuyen_mai[[#This Row],[% Giảm giá]]) * gia_khuyen_mai[[#This Row],[Giá gốc]], 0)</f>
        <v>18720</v>
      </c>
      <c r="M86" s="7"/>
      <c r="O86" s="3" t="str">
        <f>IFERROR(VLOOKUP(gia_khuyen_mai[[#This Row],[Mã hàng tặng]],'Giá gốc'!B:C,2,0),"")</f>
        <v/>
      </c>
      <c r="P86" s="4" t="s">
        <v>520</v>
      </c>
      <c r="Q86" s="3" t="str">
        <f>VLOOKUP(gia_khuyen_mai[[#This Row],[Mã sản phẩm]],product[[Mã sản phẩm]:[DS - ĐV]],3,0)</f>
        <v>Food Daesang</v>
      </c>
    </row>
    <row r="87" spans="1:17" ht="21.75" customHeight="1" x14ac:dyDescent="0.45">
      <c r="A87" s="26">
        <v>88</v>
      </c>
      <c r="B87" s="4" t="s">
        <v>517</v>
      </c>
      <c r="C87" s="4" t="s">
        <v>5</v>
      </c>
      <c r="D87" s="4" t="s">
        <v>498</v>
      </c>
      <c r="E87" s="4" t="s">
        <v>514</v>
      </c>
      <c r="F87" s="4" t="s">
        <v>497</v>
      </c>
      <c r="G87" s="3" t="s">
        <v>30</v>
      </c>
      <c r="H87" s="3" t="str">
        <f>VLOOKUP(gia_khuyen_mai[[#This Row],[Barcode]],'Giá gốc'!$A:$B,2,0)</f>
        <v>1021862</v>
      </c>
      <c r="I87" s="3" t="str">
        <f>VLOOKUP(gia_khuyen_mai[[#This Row],[Mã sản phẩm]],'Giá gốc'!$B:$C,2,0)</f>
        <v>Tokpokki Hàn Quốc vị phô mai (hộp)
105g * 24EA (HD</v>
      </c>
      <c r="J87" s="5">
        <f>VLOOKUP(gia_khuyen_mai[[#This Row],[Mã sản phẩm]],'Giá gốc'!B:D,3,0)</f>
        <v>24960</v>
      </c>
      <c r="K87" s="6">
        <v>0.25</v>
      </c>
      <c r="L87" s="7">
        <f>ROUND((1-gia_khuyen_mai[[#This Row],[% Giảm giá]]) * gia_khuyen_mai[[#This Row],[Giá gốc]], 0)</f>
        <v>18720</v>
      </c>
      <c r="M87" s="7"/>
      <c r="O87" s="3" t="str">
        <f>IFERROR(VLOOKUP(gia_khuyen_mai[[#This Row],[Mã hàng tặng]],'Giá gốc'!B:C,2,0),"")</f>
        <v/>
      </c>
      <c r="P87" s="4" t="s">
        <v>520</v>
      </c>
      <c r="Q87" s="3" t="str">
        <f>VLOOKUP(gia_khuyen_mai[[#This Row],[Mã sản phẩm]],product[[Mã sản phẩm]:[DS - ĐV]],3,0)</f>
        <v>Food Daesang</v>
      </c>
    </row>
    <row r="88" spans="1:17" ht="21.75" customHeight="1" x14ac:dyDescent="0.45">
      <c r="A88" s="26">
        <v>89</v>
      </c>
      <c r="B88" s="4" t="s">
        <v>517</v>
      </c>
      <c r="C88" s="4" t="s">
        <v>5</v>
      </c>
      <c r="D88" s="4" t="s">
        <v>498</v>
      </c>
      <c r="E88" s="4" t="s">
        <v>514</v>
      </c>
      <c r="F88" s="4" t="s">
        <v>497</v>
      </c>
      <c r="G88" s="3" t="s">
        <v>57</v>
      </c>
      <c r="H88" s="3" t="str">
        <f>VLOOKUP(gia_khuyen_mai[[#This Row],[Barcode]],'Giá gốc'!$A:$B,2,0)</f>
        <v>1021861</v>
      </c>
      <c r="I88" s="3" t="str">
        <f>VLOOKUP(gia_khuyen_mai[[#This Row],[Mã sản phẩm]],'Giá gốc'!$B:$C,2,0)</f>
        <v>Tokpokki Hàn Quốc vị truyền thống (gói) 140g * 24EA (HD)</v>
      </c>
      <c r="J88" s="5">
        <f>VLOOKUP(gia_khuyen_mai[[#This Row],[Mã sản phẩm]],'Giá gốc'!B:D,3,0)</f>
        <v>24960</v>
      </c>
      <c r="K88" s="6">
        <v>0.25</v>
      </c>
      <c r="L88" s="7">
        <f>ROUND((1-gia_khuyen_mai[[#This Row],[% Giảm giá]]) * gia_khuyen_mai[[#This Row],[Giá gốc]], 0)</f>
        <v>18720</v>
      </c>
      <c r="M88" s="7"/>
      <c r="O88" s="3" t="str">
        <f>IFERROR(VLOOKUP(gia_khuyen_mai[[#This Row],[Mã hàng tặng]],'Giá gốc'!B:C,2,0),"")</f>
        <v/>
      </c>
      <c r="P88" s="4" t="s">
        <v>520</v>
      </c>
      <c r="Q88" s="3" t="str">
        <f>VLOOKUP(gia_khuyen_mai[[#This Row],[Mã sản phẩm]],product[[Mã sản phẩm]:[DS - ĐV]],3,0)</f>
        <v>Food Daesang</v>
      </c>
    </row>
    <row r="89" spans="1:17" ht="21.75" customHeight="1" x14ac:dyDescent="0.45">
      <c r="A89" s="26">
        <v>90</v>
      </c>
      <c r="B89" s="4" t="s">
        <v>517</v>
      </c>
      <c r="C89" s="4" t="s">
        <v>5</v>
      </c>
      <c r="D89" s="4" t="s">
        <v>498</v>
      </c>
      <c r="E89" s="4" t="s">
        <v>514</v>
      </c>
      <c r="F89" s="4" t="s">
        <v>497</v>
      </c>
      <c r="G89" s="3" t="s">
        <v>39</v>
      </c>
      <c r="H89" s="3" t="str">
        <f>VLOOKUP(gia_khuyen_mai[[#This Row],[Barcode]],'Giá gốc'!$A:$B,2,0)</f>
        <v>1021863</v>
      </c>
      <c r="I89" s="3" t="str">
        <f>VLOOKUP(gia_khuyen_mai[[#This Row],[Mã sản phẩm]],'Giá gốc'!$B:$C,2,0)</f>
        <v>Tokpokki Hàn Quốc vị phô mai (gói) 140g * 24EA (HD)</v>
      </c>
      <c r="J89" s="5">
        <f>VLOOKUP(gia_khuyen_mai[[#This Row],[Mã sản phẩm]],'Giá gốc'!B:D,3,0)</f>
        <v>24960</v>
      </c>
      <c r="K89" s="6">
        <v>0.25</v>
      </c>
      <c r="L89" s="7">
        <f>ROUND((1-gia_khuyen_mai[[#This Row],[% Giảm giá]]) * gia_khuyen_mai[[#This Row],[Giá gốc]], 0)</f>
        <v>18720</v>
      </c>
      <c r="M89" s="7"/>
      <c r="O89" s="3" t="str">
        <f>IFERROR(VLOOKUP(gia_khuyen_mai[[#This Row],[Mã hàng tặng]],'Giá gốc'!B:C,2,0),"")</f>
        <v/>
      </c>
      <c r="P89" s="4" t="s">
        <v>520</v>
      </c>
      <c r="Q89" s="3" t="str">
        <f>VLOOKUP(gia_khuyen_mai[[#This Row],[Mã sản phẩm]],product[[Mã sản phẩm]:[DS - ĐV]],3,0)</f>
        <v>Food Daesang</v>
      </c>
    </row>
    <row r="90" spans="1:17" ht="21.75" customHeight="1" x14ac:dyDescent="0.45">
      <c r="A90" s="26">
        <v>91</v>
      </c>
      <c r="B90" s="4" t="s">
        <v>517</v>
      </c>
      <c r="C90" s="4" t="s">
        <v>5</v>
      </c>
      <c r="D90" s="4" t="s">
        <v>498</v>
      </c>
      <c r="E90" s="4" t="s">
        <v>514</v>
      </c>
      <c r="F90" s="4" t="s">
        <v>497</v>
      </c>
      <c r="G90" s="3" t="s">
        <v>147</v>
      </c>
      <c r="H90" s="3" t="str">
        <f>VLOOKUP(gia_khuyen_mai[[#This Row],[Barcode]],'Giá gốc'!$A:$B,2,0)</f>
        <v>1106775</v>
      </c>
      <c r="I90" s="3" t="str">
        <f>VLOOKUP(gia_khuyen_mai[[#This Row],[Mã sản phẩm]],'Giá gốc'!$B:$C,2,0)</f>
        <v xml:space="preserve">Tokpokki Rose Hàn Quốc (hộp) 100g*24EA (HD) </v>
      </c>
      <c r="J90" s="5">
        <f>VLOOKUP(gia_khuyen_mai[[#This Row],[Mã sản phẩm]],'Giá gốc'!B:D,3,0)</f>
        <v>26880</v>
      </c>
      <c r="K90" s="6">
        <v>0.25</v>
      </c>
      <c r="L90" s="7">
        <f>ROUND((1-gia_khuyen_mai[[#This Row],[% Giảm giá]]) * gia_khuyen_mai[[#This Row],[Giá gốc]], 0)</f>
        <v>20160</v>
      </c>
      <c r="M90" s="7"/>
      <c r="O90" s="3" t="str">
        <f>IFERROR(VLOOKUP(gia_khuyen_mai[[#This Row],[Mã hàng tặng]],'Giá gốc'!B:C,2,0),"")</f>
        <v/>
      </c>
      <c r="P90" s="4" t="s">
        <v>520</v>
      </c>
      <c r="Q90" s="3" t="str">
        <f>VLOOKUP(gia_khuyen_mai[[#This Row],[Mã sản phẩm]],product[[Mã sản phẩm]:[DS - ĐV]],3,0)</f>
        <v>Food Daesang</v>
      </c>
    </row>
    <row r="91" spans="1:17" ht="21.75" customHeight="1" x14ac:dyDescent="0.45">
      <c r="A91" s="26">
        <v>92</v>
      </c>
      <c r="B91" s="4" t="s">
        <v>517</v>
      </c>
      <c r="C91" s="4" t="s">
        <v>5</v>
      </c>
      <c r="D91" s="4" t="s">
        <v>498</v>
      </c>
      <c r="E91" s="4" t="s">
        <v>514</v>
      </c>
      <c r="F91" s="4" t="s">
        <v>497</v>
      </c>
      <c r="G91" s="3" t="s">
        <v>355</v>
      </c>
      <c r="H91" s="3" t="str">
        <f>VLOOKUP(gia_khuyen_mai[[#This Row],[Barcode]],'Giá gốc'!$A:$B,2,0)</f>
        <v>1106776</v>
      </c>
      <c r="I91" s="3" t="str">
        <f>VLOOKUP(gia_khuyen_mai[[#This Row],[Mã sản phẩm]],'Giá gốc'!$B:$C,2,0)</f>
        <v xml:space="preserve">Tokpokki Rose Hàn Quốc (gói) 125g*24EA (HD) </v>
      </c>
      <c r="J91" s="5">
        <f>VLOOKUP(gia_khuyen_mai[[#This Row],[Mã sản phẩm]],'Giá gốc'!B:D,3,0)</f>
        <v>26880</v>
      </c>
      <c r="K91" s="6">
        <v>0.25</v>
      </c>
      <c r="L91" s="7">
        <f>ROUND((1-gia_khuyen_mai[[#This Row],[% Giảm giá]]) * gia_khuyen_mai[[#This Row],[Giá gốc]], 0)</f>
        <v>20160</v>
      </c>
      <c r="M91" s="7"/>
      <c r="O91" s="3" t="str">
        <f>IFERROR(VLOOKUP(gia_khuyen_mai[[#This Row],[Mã hàng tặng]],'Giá gốc'!B:C,2,0),"")</f>
        <v/>
      </c>
      <c r="P91" s="4" t="s">
        <v>520</v>
      </c>
      <c r="Q91" s="3" t="str">
        <f>VLOOKUP(gia_khuyen_mai[[#This Row],[Mã sản phẩm]],product[[Mã sản phẩm]:[DS - ĐV]],3,0)</f>
        <v>Food Daesang</v>
      </c>
    </row>
    <row r="92" spans="1:17" ht="21.75" customHeight="1" x14ac:dyDescent="0.45">
      <c r="A92" s="26">
        <v>93</v>
      </c>
      <c r="B92" s="4" t="s">
        <v>517</v>
      </c>
      <c r="C92" s="4" t="s">
        <v>5</v>
      </c>
      <c r="D92" s="4" t="s">
        <v>498</v>
      </c>
      <c r="E92" s="4" t="s">
        <v>514</v>
      </c>
      <c r="F92" s="4" t="s">
        <v>497</v>
      </c>
      <c r="G92" s="3" t="s">
        <v>274</v>
      </c>
      <c r="H92" s="3" t="str">
        <f>VLOOKUP(gia_khuyen_mai[[#This Row],[Barcode]],'Giá gốc'!$A:$B,2,0)</f>
        <v>1105820</v>
      </c>
      <c r="I92" s="3" t="str">
        <f>VLOOKUP(gia_khuyen_mai[[#This Row],[Mã sản phẩm]],'Giá gốc'!$B:$C,2,0)</f>
        <v>Rapokki Hàn Quốc vị Truyền thống (gói) 146g*24EA (HD)</v>
      </c>
      <c r="J92" s="5">
        <f>VLOOKUP(gia_khuyen_mai[[#This Row],[Mã sản phẩm]],'Giá gốc'!B:D,3,0)</f>
        <v>31111</v>
      </c>
      <c r="K92" s="6">
        <v>0.25</v>
      </c>
      <c r="L92" s="7">
        <f>ROUND((1-gia_khuyen_mai[[#This Row],[% Giảm giá]]) * gia_khuyen_mai[[#This Row],[Giá gốc]], 0)</f>
        <v>23333</v>
      </c>
      <c r="M92" s="7"/>
      <c r="O92" s="3" t="str">
        <f>IFERROR(VLOOKUP(gia_khuyen_mai[[#This Row],[Mã hàng tặng]],'Giá gốc'!B:C,2,0),"")</f>
        <v/>
      </c>
      <c r="P92" s="4" t="s">
        <v>520</v>
      </c>
      <c r="Q92" s="3" t="str">
        <f>VLOOKUP(gia_khuyen_mai[[#This Row],[Mã sản phẩm]],product[[Mã sản phẩm]:[DS - ĐV]],3,0)</f>
        <v>Food Daesang</v>
      </c>
    </row>
    <row r="93" spans="1:17" ht="21.75" customHeight="1" x14ac:dyDescent="0.45">
      <c r="A93" s="26">
        <v>94</v>
      </c>
      <c r="B93" s="4" t="s">
        <v>517</v>
      </c>
      <c r="C93" s="4" t="s">
        <v>5</v>
      </c>
      <c r="D93" s="4" t="s">
        <v>498</v>
      </c>
      <c r="E93" s="4" t="s">
        <v>514</v>
      </c>
      <c r="F93" s="4" t="s">
        <v>497</v>
      </c>
      <c r="G93" s="3" t="s">
        <v>253</v>
      </c>
      <c r="H93" s="3" t="str">
        <f>VLOOKUP(gia_khuyen_mai[[#This Row],[Barcode]],'Giá gốc'!$A:$B,2,0)</f>
        <v>1105821</v>
      </c>
      <c r="I93" s="3" t="str">
        <f>VLOOKUP(gia_khuyen_mai[[#This Row],[Mã sản phẩm]],'Giá gốc'!$B:$C,2,0)</f>
        <v>Rapokki Hàn Quốc vị Phô Mai (gói) 146g*24EA (HD)</v>
      </c>
      <c r="J93" s="5">
        <f>VLOOKUP(gia_khuyen_mai[[#This Row],[Mã sản phẩm]],'Giá gốc'!B:D,3,0)</f>
        <v>31111</v>
      </c>
      <c r="K93" s="6">
        <v>0.25</v>
      </c>
      <c r="L93" s="7">
        <f>ROUND((1-gia_khuyen_mai[[#This Row],[% Giảm giá]]) * gia_khuyen_mai[[#This Row],[Giá gốc]], 0)</f>
        <v>23333</v>
      </c>
      <c r="M93" s="7"/>
      <c r="O93" s="3" t="str">
        <f>IFERROR(VLOOKUP(gia_khuyen_mai[[#This Row],[Mã hàng tặng]],'Giá gốc'!B:C,2,0),"")</f>
        <v/>
      </c>
      <c r="P93" s="4" t="s">
        <v>520</v>
      </c>
      <c r="Q93" s="3" t="str">
        <f>VLOOKUP(gia_khuyen_mai[[#This Row],[Mã sản phẩm]],product[[Mã sản phẩm]:[DS - ĐV]],3,0)</f>
        <v>Food Daesang</v>
      </c>
    </row>
    <row r="94" spans="1:17" ht="21.75" customHeight="1" x14ac:dyDescent="0.45">
      <c r="A94" s="26">
        <v>95</v>
      </c>
      <c r="B94" s="4" t="s">
        <v>517</v>
      </c>
      <c r="C94" s="4" t="s">
        <v>5</v>
      </c>
      <c r="D94" s="4" t="s">
        <v>498</v>
      </c>
      <c r="E94" s="4" t="s">
        <v>514</v>
      </c>
      <c r="F94" s="4" t="s">
        <v>497</v>
      </c>
      <c r="G94" s="3" t="s">
        <v>2</v>
      </c>
      <c r="H94" s="3" t="str">
        <f>VLOOKUP(gia_khuyen_mai[[#This Row],[Barcode]],'Giá gốc'!$A:$B,2,0)</f>
        <v>1023739</v>
      </c>
      <c r="I94" s="3" t="str">
        <f>VLOOKUP(gia_khuyen_mai[[#This Row],[Mã sản phẩm]],'Giá gốc'!$B:$C,2,0)</f>
        <v>Lá Kim tẩm dầu Oliu 5g lốc 3 * 36 lốc (HD)</v>
      </c>
      <c r="J94" s="5">
        <f>VLOOKUP(gia_khuyen_mai[[#This Row],[Mã sản phẩm]],'Giá gốc'!B:D,3,0)</f>
        <v>26095</v>
      </c>
      <c r="K94" s="6">
        <v>0.05</v>
      </c>
      <c r="L94" s="7">
        <f>ROUND((1-gia_khuyen_mai[[#This Row],[% Giảm giá]]) * gia_khuyen_mai[[#This Row],[Giá gốc]], 0)</f>
        <v>24790</v>
      </c>
      <c r="M94" s="7" t="s">
        <v>507</v>
      </c>
      <c r="N94" s="3" t="s">
        <v>133</v>
      </c>
      <c r="O94" s="3" t="str">
        <f>IFERROR(VLOOKUP(gia_khuyen_mai[[#This Row],[Mã hàng tặng]],'Giá gốc'!B:C,2,0),"")</f>
        <v/>
      </c>
      <c r="P94" s="4" t="s">
        <v>522</v>
      </c>
      <c r="Q94" s="3" t="str">
        <f>VLOOKUP(gia_khuyen_mai[[#This Row],[Mã sản phẩm]],product[[Mã sản phẩm]:[DS - ĐV]],3,0)</f>
        <v>Food Daesang</v>
      </c>
    </row>
    <row r="95" spans="1:17" ht="21.75" customHeight="1" x14ac:dyDescent="0.45">
      <c r="A95" s="26">
        <v>96</v>
      </c>
      <c r="B95" s="4" t="s">
        <v>517</v>
      </c>
      <c r="C95" s="4" t="s">
        <v>5</v>
      </c>
      <c r="D95" s="4" t="s">
        <v>498</v>
      </c>
      <c r="E95" s="4" t="s">
        <v>514</v>
      </c>
      <c r="F95" s="4" t="s">
        <v>497</v>
      </c>
      <c r="G95" s="3" t="s">
        <v>9</v>
      </c>
      <c r="H95" s="3" t="str">
        <f>VLOOKUP(gia_khuyen_mai[[#This Row],[Barcode]],'Giá gốc'!$A:$B,2,0)</f>
        <v>1024696</v>
      </c>
      <c r="I95" s="3" t="str">
        <f>VLOOKUP(gia_khuyen_mai[[#This Row],[Mã sản phẩm]],'Giá gốc'!$B:$C,2,0)</f>
        <v>Lá Kim Tảo biển cao cấp 5g lốc 3 * 36 lốc (HD)</v>
      </c>
      <c r="J95" s="5">
        <f>VLOOKUP(gia_khuyen_mai[[#This Row],[Mã sản phẩm]],'Giá gốc'!B:D,3,0)</f>
        <v>29645</v>
      </c>
      <c r="K95" s="6">
        <v>0.05</v>
      </c>
      <c r="L95" s="7">
        <f>ROUND((1-gia_khuyen_mai[[#This Row],[% Giảm giá]]) * gia_khuyen_mai[[#This Row],[Giá gốc]], 0)</f>
        <v>28163</v>
      </c>
      <c r="M95" s="7" t="s">
        <v>507</v>
      </c>
      <c r="N95" s="3" t="s">
        <v>133</v>
      </c>
      <c r="O95" s="3" t="str">
        <f>IFERROR(VLOOKUP(gia_khuyen_mai[[#This Row],[Mã hàng tặng]],'Giá gốc'!B:C,2,0),"")</f>
        <v/>
      </c>
      <c r="P95" s="4" t="s">
        <v>522</v>
      </c>
      <c r="Q95" s="3" t="str">
        <f>VLOOKUP(gia_khuyen_mai[[#This Row],[Mã sản phẩm]],product[[Mã sản phẩm]:[DS - ĐV]],3,0)</f>
        <v>Food Daesang</v>
      </c>
    </row>
    <row r="96" spans="1:17" ht="21.75" customHeight="1" x14ac:dyDescent="0.45">
      <c r="A96" s="26">
        <v>97</v>
      </c>
      <c r="B96" s="4" t="s">
        <v>517</v>
      </c>
      <c r="C96" s="4" t="s">
        <v>5</v>
      </c>
      <c r="D96" s="4" t="s">
        <v>498</v>
      </c>
      <c r="E96" s="4" t="s">
        <v>514</v>
      </c>
      <c r="F96" s="4" t="s">
        <v>497</v>
      </c>
      <c r="G96" s="3" t="s">
        <v>6</v>
      </c>
      <c r="H96" s="3" t="str">
        <f>VLOOKUP(gia_khuyen_mai[[#This Row],[Barcode]],'Giá gốc'!$A:$B,2,0)</f>
        <v>1024697</v>
      </c>
      <c r="I96" s="3" t="str">
        <f>VLOOKUP(gia_khuyen_mai[[#This Row],[Mã sản phẩm]],'Giá gốc'!$B:$C,2,0)</f>
        <v>Lá Kim Trẻ em 5g lốc 3 * 36 lốc (HD)</v>
      </c>
      <c r="J96" s="5">
        <f>VLOOKUP(gia_khuyen_mai[[#This Row],[Mã sản phẩm]],'Giá gốc'!B:D,3,0)</f>
        <v>29645</v>
      </c>
      <c r="K96" s="6">
        <v>0.05</v>
      </c>
      <c r="L96" s="7">
        <f>ROUND((1-gia_khuyen_mai[[#This Row],[% Giảm giá]]) * gia_khuyen_mai[[#This Row],[Giá gốc]], 0)</f>
        <v>28163</v>
      </c>
      <c r="M96" s="7" t="s">
        <v>507</v>
      </c>
      <c r="N96" s="3" t="s">
        <v>7</v>
      </c>
      <c r="O96" s="3" t="str">
        <f>IFERROR(VLOOKUP(gia_khuyen_mai[[#This Row],[Mã hàng tặng]],'Giá gốc'!B:C,2,0),"")</f>
        <v>Lá Kim Trẻ em 5g lốc 3 * 36 lốc (HD)</v>
      </c>
      <c r="P96" s="4"/>
      <c r="Q96" s="3" t="str">
        <f>VLOOKUP(gia_khuyen_mai[[#This Row],[Mã sản phẩm]],product[[Mã sản phẩm]:[DS - ĐV]],3,0)</f>
        <v>Food Daesang</v>
      </c>
    </row>
    <row r="97" spans="1:17" ht="21.75" customHeight="1" x14ac:dyDescent="0.45">
      <c r="A97" s="26">
        <v>98</v>
      </c>
      <c r="B97" s="4" t="s">
        <v>517</v>
      </c>
      <c r="C97" s="4" t="s">
        <v>5</v>
      </c>
      <c r="D97" s="4" t="s">
        <v>498</v>
      </c>
      <c r="E97" s="4" t="s">
        <v>514</v>
      </c>
      <c r="F97" s="4" t="s">
        <v>497</v>
      </c>
      <c r="G97" s="3" t="s">
        <v>132</v>
      </c>
      <c r="H97" s="3" t="str">
        <f>VLOOKUP(gia_khuyen_mai[[#This Row],[Barcode]],'Giá gốc'!$A:$B,2,0)</f>
        <v>1025313</v>
      </c>
      <c r="I97" s="3" t="str">
        <f>VLOOKUP(gia_khuyen_mai[[#This Row],[Mã sản phẩm]],'Giá gốc'!$B:$C,2,0)</f>
        <v>Lá Kim tẩm dầu Ô liu 4g lốc 3 * 24 lốc (HD) + 12 lốc KM</v>
      </c>
      <c r="J97" s="5">
        <f>VLOOKUP(gia_khuyen_mai[[#This Row],[Mã sản phẩm]],'Giá gốc'!B:D,3,0)</f>
        <v>22752</v>
      </c>
      <c r="K97" s="6">
        <v>0.05</v>
      </c>
      <c r="L97" s="7">
        <f>ROUND((1-gia_khuyen_mai[[#This Row],[% Giảm giá]]) * gia_khuyen_mai[[#This Row],[Giá gốc]], 0)</f>
        <v>21614</v>
      </c>
      <c r="M97" s="7" t="s">
        <v>507</v>
      </c>
      <c r="N97" s="3" t="s">
        <v>133</v>
      </c>
      <c r="O97" s="3" t="str">
        <f>IFERROR(VLOOKUP(gia_khuyen_mai[[#This Row],[Mã hàng tặng]],'Giá gốc'!B:C,2,0),"")</f>
        <v/>
      </c>
      <c r="P97" s="4" t="s">
        <v>522</v>
      </c>
      <c r="Q97" s="3" t="str">
        <f>VLOOKUP(gia_khuyen_mai[[#This Row],[Mã sản phẩm]],product[[Mã sản phẩm]:[DS - ĐV]],3,0)</f>
        <v>Food Daesang</v>
      </c>
    </row>
    <row r="98" spans="1:17" ht="21.75" customHeight="1" x14ac:dyDescent="0.45">
      <c r="A98" s="26">
        <v>99</v>
      </c>
      <c r="B98" s="4" t="s">
        <v>517</v>
      </c>
      <c r="C98" s="4" t="s">
        <v>5</v>
      </c>
      <c r="D98" s="4" t="s">
        <v>498</v>
      </c>
      <c r="E98" s="4" t="s">
        <v>514</v>
      </c>
      <c r="F98" s="4" t="s">
        <v>497</v>
      </c>
      <c r="G98" s="3" t="s">
        <v>150</v>
      </c>
      <c r="H98" s="3" t="str">
        <f>VLOOKUP(gia_khuyen_mai[[#This Row],[Barcode]],'Giá gốc'!$A:$B,2,0)</f>
        <v>1106388</v>
      </c>
      <c r="I98" s="3" t="str">
        <f>VLOOKUP(gia_khuyen_mai[[#This Row],[Mã sản phẩm]],'Giá gốc'!$B:$C,2,0)</f>
        <v>Lá Kim tẩm dầu Ô Liu 5g lốc 16 (KM 10+6)*8 lốc (HD)</v>
      </c>
      <c r="J98" s="5">
        <f>VLOOKUP(gia_khuyen_mai[[#This Row],[Mã sản phẩm]],'Giá gốc'!B:D,3,0)</f>
        <v>87072</v>
      </c>
      <c r="K98" s="6">
        <v>0.05</v>
      </c>
      <c r="L98" s="7">
        <f>ROUND((1-gia_khuyen_mai[[#This Row],[% Giảm giá]]) * gia_khuyen_mai[[#This Row],[Giá gốc]], 0)</f>
        <v>82718</v>
      </c>
      <c r="M98" s="7"/>
      <c r="O98" s="3" t="str">
        <f>IFERROR(VLOOKUP(gia_khuyen_mai[[#This Row],[Mã hàng tặng]],'Giá gốc'!B:C,2,0),"")</f>
        <v/>
      </c>
      <c r="P98" s="4" t="s">
        <v>524</v>
      </c>
      <c r="Q98" s="3" t="str">
        <f>VLOOKUP(gia_khuyen_mai[[#This Row],[Mã sản phẩm]],product[[Mã sản phẩm]:[DS - ĐV]],3,0)</f>
        <v>Food Daesang</v>
      </c>
    </row>
    <row r="99" spans="1:17" ht="21.75" customHeight="1" x14ac:dyDescent="0.45">
      <c r="A99" s="26">
        <v>100</v>
      </c>
      <c r="B99" s="4" t="s">
        <v>517</v>
      </c>
      <c r="C99" s="4" t="s">
        <v>5</v>
      </c>
      <c r="D99" s="4" t="s">
        <v>498</v>
      </c>
      <c r="E99" s="4" t="s">
        <v>514</v>
      </c>
      <c r="F99" s="4" t="s">
        <v>497</v>
      </c>
      <c r="G99" s="3" t="s">
        <v>15</v>
      </c>
      <c r="H99" s="3" t="str">
        <f>VLOOKUP(gia_khuyen_mai[[#This Row],[Barcode]],'Giá gốc'!$A:$B,2,0)</f>
        <v>1106048</v>
      </c>
      <c r="I99" s="3" t="str">
        <f>VLOOKUP(gia_khuyen_mai[[#This Row],[Mã sản phẩm]],'Giá gốc'!$B:$C,2,0)</f>
        <v>Rong biển giòn trộn gia vị 40g KM lá kim tẩm dầu oliu 4g (30 lốc) HD</v>
      </c>
      <c r="J99" s="5">
        <f>VLOOKUP(gia_khuyen_mai[[#This Row],[Mã sản phẩm]],'Giá gốc'!B:D,3,0)</f>
        <v>27600</v>
      </c>
      <c r="K99" s="6">
        <v>0.05</v>
      </c>
      <c r="L99" s="7">
        <f>ROUND((1-gia_khuyen_mai[[#This Row],[% Giảm giá]]) * gia_khuyen_mai[[#This Row],[Giá gốc]], 0)</f>
        <v>26220</v>
      </c>
      <c r="M99" s="7" t="s">
        <v>508</v>
      </c>
      <c r="O99" s="3" t="str">
        <f>IFERROR(VLOOKUP(gia_khuyen_mai[[#This Row],[Mã hàng tặng]],'Giá gốc'!B:C,2,0),"")</f>
        <v/>
      </c>
      <c r="P99" s="4" t="s">
        <v>525</v>
      </c>
      <c r="Q99" s="3" t="str">
        <f>VLOOKUP(gia_khuyen_mai[[#This Row],[Mã sản phẩm]],product[[Mã sản phẩm]:[DS - ĐV]],3,0)</f>
        <v>Food Daesang</v>
      </c>
    </row>
    <row r="100" spans="1:17" ht="21.75" customHeight="1" x14ac:dyDescent="0.45">
      <c r="A100" s="26">
        <v>101</v>
      </c>
      <c r="B100" s="4" t="s">
        <v>517</v>
      </c>
      <c r="C100" s="4" t="s">
        <v>5</v>
      </c>
      <c r="D100" s="4" t="s">
        <v>498</v>
      </c>
      <c r="E100" s="4" t="s">
        <v>514</v>
      </c>
      <c r="F100" s="4" t="s">
        <v>497</v>
      </c>
      <c r="G100" s="3" t="s">
        <v>18</v>
      </c>
      <c r="H100" s="3" t="str">
        <f>VLOOKUP(gia_khuyen_mai[[#This Row],[Barcode]],'Giá gốc'!$A:$B,2,0)</f>
        <v>1106056</v>
      </c>
      <c r="I100" s="3" t="str">
        <f>VLOOKUP(gia_khuyen_mai[[#This Row],[Mã sản phẩm]],'Giá gốc'!$B:$C,2,0)</f>
        <v>Rong biển giòn trộn hạt óc chó, hạnh nhân 40G KM lá kim tẩm dầu oliu 4G (30 lốc) HD</v>
      </c>
      <c r="J100" s="5">
        <f>VLOOKUP(gia_khuyen_mai[[#This Row],[Mã sản phẩm]],'Giá gốc'!B:D,3,0)</f>
        <v>29568</v>
      </c>
      <c r="K100" s="6">
        <v>0.05</v>
      </c>
      <c r="L100" s="7">
        <f>ROUND((1-gia_khuyen_mai[[#This Row],[% Giảm giá]]) * gia_khuyen_mai[[#This Row],[Giá gốc]], 0)</f>
        <v>28090</v>
      </c>
      <c r="M100" s="7" t="s">
        <v>508</v>
      </c>
      <c r="O100" s="3" t="str">
        <f>IFERROR(VLOOKUP(gia_khuyen_mai[[#This Row],[Mã hàng tặng]],'Giá gốc'!B:C,2,0),"")</f>
        <v/>
      </c>
      <c r="P100" s="4" t="s">
        <v>525</v>
      </c>
      <c r="Q100" s="3" t="str">
        <f>VLOOKUP(gia_khuyen_mai[[#This Row],[Mã sản phẩm]],product[[Mã sản phẩm]:[DS - ĐV]],3,0)</f>
        <v>Food Daesang</v>
      </c>
    </row>
    <row r="101" spans="1:17" ht="21.75" customHeight="1" x14ac:dyDescent="0.45">
      <c r="A101" s="26">
        <v>102</v>
      </c>
      <c r="B101" s="4" t="s">
        <v>517</v>
      </c>
      <c r="C101" s="4" t="s">
        <v>5</v>
      </c>
      <c r="D101" s="4" t="s">
        <v>498</v>
      </c>
      <c r="E101" s="4" t="s">
        <v>514</v>
      </c>
      <c r="F101" s="4" t="s">
        <v>497</v>
      </c>
      <c r="G101" s="3" t="s">
        <v>21</v>
      </c>
      <c r="H101" s="3" t="str">
        <f>VLOOKUP(gia_khuyen_mai[[#This Row],[Barcode]],'Giá gốc'!$A:$B,2,0)</f>
        <v>1106049</v>
      </c>
      <c r="I101" s="3" t="str">
        <f>VLOOKUP(gia_khuyen_mai[[#This Row],[Mã sản phẩm]],'Giá gốc'!$B:$C,2,0)</f>
        <v>Rong biển giòn trộn hải sản 40G KM lá kim tẩm dầu oliu 4G (30 lốc) HD</v>
      </c>
      <c r="J101" s="5">
        <f>VLOOKUP(gia_khuyen_mai[[#This Row],[Mã sản phẩm]],'Giá gốc'!B:D,3,0)</f>
        <v>29568</v>
      </c>
      <c r="K101" s="6">
        <v>0.05</v>
      </c>
      <c r="L101" s="7">
        <f>ROUND((1-gia_khuyen_mai[[#This Row],[% Giảm giá]]) * gia_khuyen_mai[[#This Row],[Giá gốc]], 0)</f>
        <v>28090</v>
      </c>
      <c r="M101" s="7" t="s">
        <v>508</v>
      </c>
      <c r="O101" s="3" t="str">
        <f>IFERROR(VLOOKUP(gia_khuyen_mai[[#This Row],[Mã hàng tặng]],'Giá gốc'!B:C,2,0),"")</f>
        <v/>
      </c>
      <c r="P101" s="4" t="s">
        <v>525</v>
      </c>
      <c r="Q101" s="3" t="str">
        <f>VLOOKUP(gia_khuyen_mai[[#This Row],[Mã sản phẩm]],product[[Mã sản phẩm]:[DS - ĐV]],3,0)</f>
        <v>Food Daesang</v>
      </c>
    </row>
    <row r="102" spans="1:17" ht="21.75" customHeight="1" x14ac:dyDescent="0.45">
      <c r="A102" s="26">
        <v>103</v>
      </c>
      <c r="B102" s="4" t="s">
        <v>517</v>
      </c>
      <c r="C102" s="4" t="s">
        <v>5</v>
      </c>
      <c r="D102" s="4" t="s">
        <v>498</v>
      </c>
      <c r="E102" s="4" t="s">
        <v>514</v>
      </c>
      <c r="F102" s="4" t="s">
        <v>497</v>
      </c>
      <c r="G102" s="3" t="s">
        <v>12</v>
      </c>
      <c r="H102" s="3" t="str">
        <f>VLOOKUP(gia_khuyen_mai[[#This Row],[Barcode]],'Giá gốc'!$A:$B,2,0)</f>
        <v>1106055</v>
      </c>
      <c r="I102" s="3" t="str">
        <f>VLOOKUP(gia_khuyen_mai[[#This Row],[Mã sản phẩm]],'Giá gốc'!$B:$C,2,0)</f>
        <v>Rong biển giòn trộn khô gà 40G KM lá kim tẩm dầu oliu 4G (30 lốc) HD</v>
      </c>
      <c r="J102" s="5">
        <f>VLOOKUP(gia_khuyen_mai[[#This Row],[Mã sản phẩm]],'Giá gốc'!B:D,3,0)</f>
        <v>29568</v>
      </c>
      <c r="K102" s="6">
        <v>0.05</v>
      </c>
      <c r="L102" s="7">
        <f>ROUND((1-gia_khuyen_mai[[#This Row],[% Giảm giá]]) * gia_khuyen_mai[[#This Row],[Giá gốc]], 0)</f>
        <v>28090</v>
      </c>
      <c r="M102" s="7" t="s">
        <v>508</v>
      </c>
      <c r="O102" s="3" t="str">
        <f>IFERROR(VLOOKUP(gia_khuyen_mai[[#This Row],[Mã hàng tặng]],'Giá gốc'!B:C,2,0),"")</f>
        <v/>
      </c>
      <c r="P102" s="4" t="s">
        <v>525</v>
      </c>
      <c r="Q102" s="3" t="str">
        <f>VLOOKUP(gia_khuyen_mai[[#This Row],[Mã sản phẩm]],product[[Mã sản phẩm]:[DS - ĐV]],3,0)</f>
        <v>Food Daesang</v>
      </c>
    </row>
    <row r="103" spans="1:17" ht="21.75" customHeight="1" x14ac:dyDescent="0.45">
      <c r="A103" s="26">
        <v>104</v>
      </c>
      <c r="B103" s="4" t="s">
        <v>517</v>
      </c>
      <c r="C103" s="4" t="s">
        <v>5</v>
      </c>
      <c r="D103" s="4" t="s">
        <v>498</v>
      </c>
      <c r="E103" s="4" t="s">
        <v>514</v>
      </c>
      <c r="F103" s="4" t="s">
        <v>497</v>
      </c>
      <c r="G103" s="3" t="s">
        <v>27</v>
      </c>
      <c r="H103" s="3" t="str">
        <f>VLOOKUP(gia_khuyen_mai[[#This Row],[Barcode]],'Giá gốc'!$A:$B,2,0)</f>
        <v>2015475</v>
      </c>
      <c r="I103" s="3" t="str">
        <f>VLOOKUP(gia_khuyen_mai[[#This Row],[Mã sản phẩm]],'Giá gốc'!$B:$C,2,0)</f>
        <v>Lá Kim tẩm dầu Oliu 4.5g lốc 2 (40 lốc)</v>
      </c>
      <c r="J103" s="5">
        <f>VLOOKUP(gia_khuyen_mai[[#This Row],[Mã sản phẩm]],'Giá gốc'!B:D,3,0)</f>
        <v>19571</v>
      </c>
      <c r="K103" s="6"/>
      <c r="L103" s="7">
        <f>ROUND((1-gia_khuyen_mai[[#This Row],[% Giảm giá]]) * gia_khuyen_mai[[#This Row],[Giá gốc]], 0)</f>
        <v>19571</v>
      </c>
      <c r="M103" s="7" t="s">
        <v>507</v>
      </c>
      <c r="O103" s="3" t="str">
        <f>IFERROR(VLOOKUP(gia_khuyen_mai[[#This Row],[Mã hàng tặng]],'Giá gốc'!B:C,2,0),"")</f>
        <v/>
      </c>
      <c r="P103" s="4" t="s">
        <v>507</v>
      </c>
      <c r="Q103" s="3" t="str">
        <f>VLOOKUP(gia_khuyen_mai[[#This Row],[Mã sản phẩm]],product[[Mã sản phẩm]:[DS - ĐV]],3,0)</f>
        <v>Food Daesang</v>
      </c>
    </row>
    <row r="104" spans="1:17" ht="21.75" customHeight="1" x14ac:dyDescent="0.45">
      <c r="A104" s="26">
        <v>105</v>
      </c>
      <c r="B104" s="4" t="s">
        <v>532</v>
      </c>
      <c r="C104" s="4" t="s">
        <v>5</v>
      </c>
      <c r="D104" s="4" t="s">
        <v>498</v>
      </c>
      <c r="E104" s="4" t="s">
        <v>514</v>
      </c>
      <c r="F104" s="4" t="s">
        <v>505</v>
      </c>
      <c r="G104" s="3" t="s">
        <v>129</v>
      </c>
      <c r="H104" s="3" t="str">
        <f>VLOOKUP(gia_khuyen_mai[[#This Row],[Barcode]],'Giá gốc'!$A:$B,2,0)</f>
        <v>1025718</v>
      </c>
      <c r="I104" s="3" t="str">
        <f>VLOOKUP(gia_khuyen_mai[[#This Row],[Mã sản phẩm]],'Giá gốc'!$B:$C,2,0)</f>
        <v>Sốt lẩu hoàn chỉnh Lẩu Bò 180g*40EA (HD)</v>
      </c>
      <c r="J104" s="5">
        <f>VLOOKUP(gia_khuyen_mai[[#This Row],[Mã sản phẩm]],'Giá gốc'!B:D,3,0)</f>
        <v>22075</v>
      </c>
      <c r="K104" s="6"/>
      <c r="L104" s="7">
        <f>ROUND((1-gia_khuyen_mai[[#This Row],[% Giảm giá]]) * gia_khuyen_mai[[#This Row],[Giá gốc]], 0)</f>
        <v>22075</v>
      </c>
      <c r="M104" s="7" t="s">
        <v>507</v>
      </c>
      <c r="O104" s="3" t="str">
        <f>IFERROR(VLOOKUP(gia_khuyen_mai[[#This Row],[Mã hàng tặng]],'Giá gốc'!B:C,2,0),"")</f>
        <v/>
      </c>
      <c r="P104" s="4" t="s">
        <v>507</v>
      </c>
      <c r="Q104" s="3" t="str">
        <f>VLOOKUP(gia_khuyen_mai[[#This Row],[Mã sản phẩm]],product[[Mã sản phẩm]:[DS - ĐV]],3,0)</f>
        <v>Food Daesang</v>
      </c>
    </row>
    <row r="105" spans="1:17" ht="21.75" customHeight="1" x14ac:dyDescent="0.45">
      <c r="A105" s="26">
        <v>106</v>
      </c>
      <c r="B105" s="4" t="s">
        <v>532</v>
      </c>
      <c r="C105" s="4" t="s">
        <v>5</v>
      </c>
      <c r="D105" s="4" t="s">
        <v>498</v>
      </c>
      <c r="E105" s="4" t="s">
        <v>514</v>
      </c>
      <c r="F105" s="4" t="s">
        <v>505</v>
      </c>
      <c r="G105" s="3" t="s">
        <v>78</v>
      </c>
      <c r="H105" s="3" t="str">
        <f>VLOOKUP(gia_khuyen_mai[[#This Row],[Barcode]],'Giá gốc'!$A:$B,2,0)</f>
        <v>1024339</v>
      </c>
      <c r="I105" s="3" t="str">
        <f>VLOOKUP(gia_khuyen_mai[[#This Row],[Mã sản phẩm]],'Giá gốc'!$B:$C,2,0)</f>
        <v>Sốt lẩu hoàn chỉnh Lẩu Thái 180g*40 EA (HD)</v>
      </c>
      <c r="J105" s="5">
        <f>VLOOKUP(gia_khuyen_mai[[#This Row],[Mã sản phẩm]],'Giá gốc'!B:D,3,0)</f>
        <v>22075</v>
      </c>
      <c r="K105" s="6"/>
      <c r="L105" s="7">
        <f>ROUND((1-gia_khuyen_mai[[#This Row],[% Giảm giá]]) * gia_khuyen_mai[[#This Row],[Giá gốc]], 0)</f>
        <v>22075</v>
      </c>
      <c r="M105" s="7" t="s">
        <v>507</v>
      </c>
      <c r="O105" s="3" t="str">
        <f>IFERROR(VLOOKUP(gia_khuyen_mai[[#This Row],[Mã hàng tặng]],'Giá gốc'!B:C,2,0),"")</f>
        <v/>
      </c>
      <c r="P105" s="4" t="s">
        <v>507</v>
      </c>
      <c r="Q105" s="3" t="str">
        <f>VLOOKUP(gia_khuyen_mai[[#This Row],[Mã sản phẩm]],product[[Mã sản phẩm]:[DS - ĐV]],3,0)</f>
        <v>Food Daesang</v>
      </c>
    </row>
    <row r="106" spans="1:17" ht="21.75" customHeight="1" x14ac:dyDescent="0.45">
      <c r="A106" s="26">
        <v>107</v>
      </c>
      <c r="B106" s="4" t="s">
        <v>532</v>
      </c>
      <c r="C106" s="4" t="s">
        <v>5</v>
      </c>
      <c r="D106" s="4" t="s">
        <v>498</v>
      </c>
      <c r="E106" s="4" t="s">
        <v>514</v>
      </c>
      <c r="F106" s="4" t="s">
        <v>505</v>
      </c>
      <c r="G106" s="3" t="s">
        <v>102</v>
      </c>
      <c r="H106" s="3" t="str">
        <f>VLOOKUP(gia_khuyen_mai[[#This Row],[Barcode]],'Giá gốc'!$A:$B,2,0)</f>
        <v>1024340</v>
      </c>
      <c r="I106" s="3" t="str">
        <f>VLOOKUP(gia_khuyen_mai[[#This Row],[Mã sản phẩm]],'Giá gốc'!$B:$C,2,0)</f>
        <v>Sốt lẩu hoàn chỉnh Lẩu thập cẩm 180g*40EA (HD)</v>
      </c>
      <c r="J106" s="5">
        <f>VLOOKUP(gia_khuyen_mai[[#This Row],[Mã sản phẩm]],'Giá gốc'!B:D,3,0)</f>
        <v>22075</v>
      </c>
      <c r="K106" s="6"/>
      <c r="L106" s="7">
        <f>ROUND((1-gia_khuyen_mai[[#This Row],[% Giảm giá]]) * gia_khuyen_mai[[#This Row],[Giá gốc]], 0)</f>
        <v>22075</v>
      </c>
      <c r="M106" s="7" t="s">
        <v>507</v>
      </c>
      <c r="O106" s="3" t="str">
        <f>IFERROR(VLOOKUP(gia_khuyen_mai[[#This Row],[Mã hàng tặng]],'Giá gốc'!B:C,2,0),"")</f>
        <v/>
      </c>
      <c r="P106" s="4" t="s">
        <v>507</v>
      </c>
      <c r="Q106" s="3" t="str">
        <f>VLOOKUP(gia_khuyen_mai[[#This Row],[Mã sản phẩm]],product[[Mã sản phẩm]:[DS - ĐV]],3,0)</f>
        <v>Food Daesang</v>
      </c>
    </row>
    <row r="107" spans="1:17" ht="21.75" customHeight="1" x14ac:dyDescent="0.45">
      <c r="A107" s="26">
        <v>108</v>
      </c>
      <c r="B107" s="4" t="s">
        <v>532</v>
      </c>
      <c r="C107" s="4" t="s">
        <v>5</v>
      </c>
      <c r="D107" s="4" t="s">
        <v>498</v>
      </c>
      <c r="E107" s="4" t="s">
        <v>514</v>
      </c>
      <c r="F107" s="4" t="s">
        <v>505</v>
      </c>
      <c r="G107" s="3" t="s">
        <v>99</v>
      </c>
      <c r="H107" s="3" t="str">
        <f>VLOOKUP(gia_khuyen_mai[[#This Row],[Barcode]],'Giá gốc'!$A:$B,2,0)</f>
        <v>1025717</v>
      </c>
      <c r="I107" s="3" t="str">
        <f>VLOOKUP(gia_khuyen_mai[[#This Row],[Mã sản phẩm]],'Giá gốc'!$B:$C,2,0)</f>
        <v>Sốt lẩu hoàn chỉnh Lẩu Riêu cua 180g*40EA (HD)</v>
      </c>
      <c r="J107" s="5">
        <f>VLOOKUP(gia_khuyen_mai[[#This Row],[Mã sản phẩm]],'Giá gốc'!B:D,3,0)</f>
        <v>27216</v>
      </c>
      <c r="K107" s="6"/>
      <c r="L107" s="7">
        <f>ROUND((1-gia_khuyen_mai[[#This Row],[% Giảm giá]]) * gia_khuyen_mai[[#This Row],[Giá gốc]], 0)</f>
        <v>27216</v>
      </c>
      <c r="M107" s="7" t="s">
        <v>507</v>
      </c>
      <c r="O107" s="3" t="str">
        <f>IFERROR(VLOOKUP(gia_khuyen_mai[[#This Row],[Mã hàng tặng]],'Giá gốc'!B:C,2,0),"")</f>
        <v/>
      </c>
      <c r="P107" s="4" t="s">
        <v>507</v>
      </c>
      <c r="Q107" s="3" t="str">
        <f>VLOOKUP(gia_khuyen_mai[[#This Row],[Mã sản phẩm]],product[[Mã sản phẩm]:[DS - ĐV]],3,0)</f>
        <v>Food Daesang</v>
      </c>
    </row>
    <row r="108" spans="1:17" ht="21.75" customHeight="1" x14ac:dyDescent="0.45">
      <c r="A108" s="26">
        <v>109</v>
      </c>
      <c r="B108" s="4" t="s">
        <v>532</v>
      </c>
      <c r="C108" s="4" t="s">
        <v>5</v>
      </c>
      <c r="D108" s="4" t="s">
        <v>498</v>
      </c>
      <c r="E108" s="4" t="s">
        <v>514</v>
      </c>
      <c r="F108" s="4" t="s">
        <v>505</v>
      </c>
      <c r="G108" s="3" t="s">
        <v>96</v>
      </c>
      <c r="H108" s="3" t="str">
        <f>VLOOKUP(gia_khuyen_mai[[#This Row],[Barcode]],'Giá gốc'!$A:$B,2,0)</f>
        <v>1024639</v>
      </c>
      <c r="I108" s="3" t="str">
        <f>VLOOKUP(gia_khuyen_mai[[#This Row],[Mã sản phẩm]],'Giá gốc'!$B:$C,2,0)</f>
        <v>Sốt chấm thịt nướng Hàn Quốc 250g*20EA (HD)</v>
      </c>
      <c r="J108" s="5">
        <f>VLOOKUP(gia_khuyen_mai[[#This Row],[Mã sản phẩm]],'Giá gốc'!B:D,3,0)</f>
        <v>28325</v>
      </c>
      <c r="K108" s="6">
        <v>0.25</v>
      </c>
      <c r="L108" s="7">
        <f>ROUND((1-gia_khuyen_mai[[#This Row],[% Giảm giá]]) * gia_khuyen_mai[[#This Row],[Giá gốc]], 0)</f>
        <v>21244</v>
      </c>
      <c r="M108" s="7"/>
      <c r="O108" s="3" t="str">
        <f>IFERROR(VLOOKUP(gia_khuyen_mai[[#This Row],[Mã hàng tặng]],'Giá gốc'!B:C,2,0),"")</f>
        <v/>
      </c>
      <c r="P108" s="4" t="s">
        <v>520</v>
      </c>
      <c r="Q108" s="3" t="str">
        <f>VLOOKUP(gia_khuyen_mai[[#This Row],[Mã sản phẩm]],product[[Mã sản phẩm]:[DS - ĐV]],3,0)</f>
        <v>Food Daesang</v>
      </c>
    </row>
    <row r="109" spans="1:17" ht="21.75" customHeight="1" x14ac:dyDescent="0.45">
      <c r="A109" s="26">
        <v>110</v>
      </c>
      <c r="B109" s="4" t="s">
        <v>532</v>
      </c>
      <c r="C109" s="4" t="s">
        <v>5</v>
      </c>
      <c r="D109" s="4" t="s">
        <v>498</v>
      </c>
      <c r="E109" s="4" t="s">
        <v>514</v>
      </c>
      <c r="F109" s="4" t="s">
        <v>505</v>
      </c>
      <c r="G109" s="3" t="s">
        <v>63</v>
      </c>
      <c r="H109" s="3" t="str">
        <f>VLOOKUP(gia_khuyen_mai[[#This Row],[Barcode]],'Giá gốc'!$A:$B,2,0)</f>
        <v>2014681</v>
      </c>
      <c r="I109" s="3" t="str">
        <f>VLOOKUP(gia_khuyen_mai[[#This Row],[Mã sản phẩm]],'Giá gốc'!$B:$C,2,0)</f>
        <v>Lá kim cuốn cơm 10g*64 EA</v>
      </c>
      <c r="J109" s="5">
        <f>VLOOKUP(gia_khuyen_mai[[#This Row],[Mã sản phẩm]],'Giá gốc'!B:D,3,0)</f>
        <v>24096</v>
      </c>
      <c r="K109" s="6"/>
      <c r="L109" s="7">
        <f>ROUND((1-gia_khuyen_mai[[#This Row],[% Giảm giá]]) * gia_khuyen_mai[[#This Row],[Giá gốc]], 0)</f>
        <v>24096</v>
      </c>
      <c r="M109" s="7"/>
      <c r="O109" s="3" t="str">
        <f>IFERROR(VLOOKUP(gia_khuyen_mai[[#This Row],[Mã hàng tặng]],'Giá gốc'!B:C,2,0),"")</f>
        <v/>
      </c>
      <c r="P109" s="4" t="s">
        <v>520</v>
      </c>
      <c r="Q109" s="3" t="str">
        <f>VLOOKUP(gia_khuyen_mai[[#This Row],[Mã sản phẩm]],product[[Mã sản phẩm]:[DS - ĐV]],3,0)</f>
        <v>Food Daesang</v>
      </c>
    </row>
    <row r="110" spans="1:17" ht="21.75" customHeight="1" x14ac:dyDescent="0.45">
      <c r="A110" s="26">
        <v>111</v>
      </c>
      <c r="B110" s="4" t="s">
        <v>532</v>
      </c>
      <c r="C110" s="4" t="s">
        <v>5</v>
      </c>
      <c r="D110" s="4" t="s">
        <v>498</v>
      </c>
      <c r="E110" s="4" t="s">
        <v>514</v>
      </c>
      <c r="F110" s="4" t="s">
        <v>505</v>
      </c>
      <c r="G110" s="3" t="s">
        <v>48</v>
      </c>
      <c r="H110" s="3" t="str">
        <f>VLOOKUP(gia_khuyen_mai[[#This Row],[Barcode]],'Giá gốc'!$A:$B,2,0)</f>
        <v>2014434</v>
      </c>
      <c r="I110" s="3" t="str">
        <f>VLOOKUP(gia_khuyen_mai[[#This Row],[Mã sản phẩm]],'Giá gốc'!$B:$C,2,0)</f>
        <v>Rong biển giòn trộn gia vị 50g</v>
      </c>
      <c r="J110" s="5">
        <f>VLOOKUP(gia_khuyen_mai[[#This Row],[Mã sản phẩm]],'Giá gốc'!B:D,3,0)</f>
        <v>48175</v>
      </c>
      <c r="K110" s="6"/>
      <c r="L110" s="7">
        <f>ROUND((1-gia_khuyen_mai[[#This Row],[% Giảm giá]]) * gia_khuyen_mai[[#This Row],[Giá gốc]], 0)</f>
        <v>48175</v>
      </c>
      <c r="M110" s="7" t="s">
        <v>508</v>
      </c>
      <c r="N110" s="3" t="s">
        <v>133</v>
      </c>
      <c r="O110" s="3" t="str">
        <f>IFERROR(VLOOKUP(gia_khuyen_mai[[#This Row],[Mã hàng tặng]],'Giá gốc'!B:C,2,0),"")</f>
        <v/>
      </c>
      <c r="P110" s="4" t="s">
        <v>526</v>
      </c>
      <c r="Q110" s="3" t="str">
        <f>VLOOKUP(gia_khuyen_mai[[#This Row],[Mã sản phẩm]],product[[Mã sản phẩm]:[DS - ĐV]],3,0)</f>
        <v>Food Daesang</v>
      </c>
    </row>
    <row r="111" spans="1:17" ht="21.75" customHeight="1" x14ac:dyDescent="0.45">
      <c r="A111" s="26">
        <v>112</v>
      </c>
      <c r="B111" s="4" t="s">
        <v>532</v>
      </c>
      <c r="C111" s="4" t="s">
        <v>5</v>
      </c>
      <c r="D111" s="4" t="s">
        <v>498</v>
      </c>
      <c r="E111" s="4" t="s">
        <v>514</v>
      </c>
      <c r="F111" s="4" t="s">
        <v>505</v>
      </c>
      <c r="G111" s="3" t="s">
        <v>153</v>
      </c>
      <c r="H111" s="3" t="str">
        <f>VLOOKUP(gia_khuyen_mai[[#This Row],[Barcode]],'Giá gốc'!$A:$B,2,0)</f>
        <v>1107442</v>
      </c>
      <c r="I111" s="3" t="str">
        <f>VLOOKUP(gia_khuyen_mai[[#This Row],[Mã sản phẩm]],'Giá gốc'!$B:$C,2,0)</f>
        <v>Rong biển Hàn Quốc 40g * 40 EA (HD)</v>
      </c>
      <c r="J111" s="5">
        <f>VLOOKUP(gia_khuyen_mai[[#This Row],[Mã sản phẩm]],'Giá gốc'!B:D,3,0)</f>
        <v>32832</v>
      </c>
      <c r="K111" s="6">
        <v>0.25</v>
      </c>
      <c r="L111" s="7">
        <f>ROUND((1-gia_khuyen_mai[[#This Row],[% Giảm giá]]) * gia_khuyen_mai[[#This Row],[Giá gốc]], 0)</f>
        <v>24624</v>
      </c>
      <c r="M111" s="7"/>
      <c r="O111" s="3" t="str">
        <f>IFERROR(VLOOKUP(gia_khuyen_mai[[#This Row],[Mã hàng tặng]],'Giá gốc'!B:C,2,0),"")</f>
        <v/>
      </c>
      <c r="P111" s="4" t="s">
        <v>520</v>
      </c>
      <c r="Q111" s="3" t="str">
        <f>VLOOKUP(gia_khuyen_mai[[#This Row],[Mã sản phẩm]],product[[Mã sản phẩm]:[DS - ĐV]],3,0)</f>
        <v>Food Daesang</v>
      </c>
    </row>
    <row r="112" spans="1:17" ht="21.75" customHeight="1" x14ac:dyDescent="0.45">
      <c r="A112" s="26">
        <v>113</v>
      </c>
      <c r="B112" s="4" t="s">
        <v>532</v>
      </c>
      <c r="C112" s="4" t="s">
        <v>5</v>
      </c>
      <c r="D112" s="4" t="s">
        <v>498</v>
      </c>
      <c r="E112" s="4" t="s">
        <v>514</v>
      </c>
      <c r="F112" s="4" t="s">
        <v>505</v>
      </c>
      <c r="G112" s="3" t="s">
        <v>358</v>
      </c>
      <c r="H112" s="3" t="str">
        <f>VLOOKUP(gia_khuyen_mai[[#This Row],[Barcode]],'Giá gốc'!$A:$B,2,0)</f>
        <v>1107443</v>
      </c>
      <c r="I112" s="3" t="str">
        <f>VLOOKUP(gia_khuyen_mai[[#This Row],[Mã sản phẩm]],'Giá gốc'!$B:$C,2,0)</f>
        <v>Rong biển Hàn Quốc 80g * 24 EA (HD)</v>
      </c>
      <c r="J112" s="5">
        <f>VLOOKUP(gia_khuyen_mai[[#This Row],[Mã sản phẩm]],'Giá gốc'!B:D,3,0)</f>
        <v>62208</v>
      </c>
      <c r="K112" s="6">
        <v>0.25</v>
      </c>
      <c r="L112" s="7">
        <f>ROUND((1-gia_khuyen_mai[[#This Row],[% Giảm giá]]) * gia_khuyen_mai[[#This Row],[Giá gốc]], 0)</f>
        <v>46656</v>
      </c>
      <c r="M112" s="7"/>
      <c r="O112" s="3" t="str">
        <f>IFERROR(VLOOKUP(gia_khuyen_mai[[#This Row],[Mã hàng tặng]],'Giá gốc'!B:C,2,0),"")</f>
        <v/>
      </c>
      <c r="P112" s="4" t="s">
        <v>520</v>
      </c>
      <c r="Q112" s="3" t="str">
        <f>VLOOKUP(gia_khuyen_mai[[#This Row],[Mã sản phẩm]],product[[Mã sản phẩm]:[DS - ĐV]],3,0)</f>
        <v>Food Daesang</v>
      </c>
    </row>
    <row r="113" spans="1:17" ht="21.75" customHeight="1" x14ac:dyDescent="0.45">
      <c r="A113" s="26">
        <v>114</v>
      </c>
      <c r="B113" s="4" t="s">
        <v>532</v>
      </c>
      <c r="C113" s="4" t="s">
        <v>5</v>
      </c>
      <c r="D113" s="4" t="s">
        <v>498</v>
      </c>
      <c r="E113" s="4" t="s">
        <v>504</v>
      </c>
      <c r="F113" s="4" t="s">
        <v>505</v>
      </c>
      <c r="G113" s="4" t="s">
        <v>108</v>
      </c>
      <c r="H113" s="3" t="str">
        <f>VLOOKUP(gia_khuyen_mai[[#This Row],[Barcode]],'Giá gốc'!$A:$B,2,0)</f>
        <v>1023674</v>
      </c>
      <c r="I113" s="3" t="str">
        <f>VLOOKUP(gia_khuyen_mai[[#This Row],[Mã sản phẩm]],'Giá gốc'!$B:$C,2,0)</f>
        <v>Sốt ướp thịt Hàn Quốc vị cay 80g*60EA (HD)</v>
      </c>
      <c r="J113" s="5">
        <f>VLOOKUP(gia_khuyen_mai[[#This Row],[Mã sản phẩm]],'Giá gốc'!B:D,3,0)</f>
        <v>9475</v>
      </c>
      <c r="K113" s="6"/>
      <c r="L113" s="7">
        <f>ROUND((1-gia_khuyen_mai[[#This Row],[% Giảm giá]]) * gia_khuyen_mai[[#This Row],[Giá gốc]], 0)</f>
        <v>9475</v>
      </c>
      <c r="M113" s="7" t="s">
        <v>507</v>
      </c>
      <c r="N113" s="3" t="s">
        <v>109</v>
      </c>
      <c r="O113" s="3" t="str">
        <f>IFERROR(VLOOKUP(gia_khuyen_mai[[#This Row],[Mã hàng tặng]],'Giá gốc'!B:C,2,0),"")</f>
        <v>Sốt ướp thịt Hàn Quốc vị cay 80g*60EA (HD)</v>
      </c>
      <c r="P113" s="4" t="s">
        <v>507</v>
      </c>
      <c r="Q113" s="3" t="str">
        <f>VLOOKUP(gia_khuyen_mai[[#This Row],[Mã sản phẩm]],product[[Mã sản phẩm]:[DS - ĐV]],3,0)</f>
        <v>Food Daesang</v>
      </c>
    </row>
    <row r="114" spans="1:17" ht="21.75" customHeight="1" x14ac:dyDescent="0.45">
      <c r="A114" s="26">
        <v>115</v>
      </c>
      <c r="B114" s="4" t="s">
        <v>532</v>
      </c>
      <c r="C114" s="4" t="s">
        <v>5</v>
      </c>
      <c r="D114" s="4" t="s">
        <v>498</v>
      </c>
      <c r="E114" s="4" t="s">
        <v>504</v>
      </c>
      <c r="F114" s="4" t="s">
        <v>505</v>
      </c>
      <c r="G114" s="3" t="s">
        <v>93</v>
      </c>
      <c r="H114" s="3" t="str">
        <f>VLOOKUP(gia_khuyen_mai[[#This Row],[Barcode]],'Giá gốc'!$A:$B,2,0)</f>
        <v>1023673</v>
      </c>
      <c r="I114" s="3" t="str">
        <f>VLOOKUP(gia_khuyen_mai[[#This Row],[Mã sản phẩm]],'Giá gốc'!$B:$C,2,0)</f>
        <v>Sốt ướp thịt Hàn Quốc vị truyền thống 80g*60EA (HD)</v>
      </c>
      <c r="J114" s="5">
        <f>VLOOKUP(gia_khuyen_mai[[#This Row],[Mã sản phẩm]],'Giá gốc'!B:D,3,0)</f>
        <v>9475</v>
      </c>
      <c r="K114" s="6"/>
      <c r="L114" s="7">
        <f>ROUND((1-gia_khuyen_mai[[#This Row],[% Giảm giá]]) * gia_khuyen_mai[[#This Row],[Giá gốc]], 0)</f>
        <v>9475</v>
      </c>
      <c r="M114" s="7" t="s">
        <v>507</v>
      </c>
      <c r="N114" s="3" t="s">
        <v>94</v>
      </c>
      <c r="O114" s="3" t="str">
        <f>IFERROR(VLOOKUP(gia_khuyen_mai[[#This Row],[Mã hàng tặng]],'Giá gốc'!B:C,2,0),"")</f>
        <v>Sốt ướp thịt Hàn Quốc vị truyền thống 80g*60EA (HD)</v>
      </c>
      <c r="P114" s="4" t="s">
        <v>507</v>
      </c>
      <c r="Q114" s="3" t="str">
        <f>VLOOKUP(gia_khuyen_mai[[#This Row],[Mã sản phẩm]],product[[Mã sản phẩm]:[DS - ĐV]],3,0)</f>
        <v>Food Daesang</v>
      </c>
    </row>
    <row r="115" spans="1:17" ht="21.75" customHeight="1" x14ac:dyDescent="0.45">
      <c r="A115" s="26">
        <v>116</v>
      </c>
      <c r="B115" s="4" t="s">
        <v>532</v>
      </c>
      <c r="C115" s="4" t="s">
        <v>5</v>
      </c>
      <c r="D115" s="4" t="s">
        <v>498</v>
      </c>
      <c r="E115" s="4" t="s">
        <v>504</v>
      </c>
      <c r="F115" s="4" t="s">
        <v>505</v>
      </c>
      <c r="G115" s="3" t="s">
        <v>168</v>
      </c>
      <c r="H115" s="3" t="str">
        <f>VLOOKUP(gia_khuyen_mai[[#This Row],[Barcode]],'Giá gốc'!$A:$B,2,0)</f>
        <v>2040967</v>
      </c>
      <c r="I115" s="3" t="str">
        <f>VLOOKUP(gia_khuyen_mai[[#This Row],[Mã sản phẩm]],'Giá gốc'!$B:$C,2,0)</f>
        <v>Snack Rong biển cuộn nướng vị truyền thống 6g*90EA</v>
      </c>
      <c r="J115" s="5">
        <f>VLOOKUP(gia_khuyen_mai[[#This Row],[Mã sản phẩm]],'Giá gốc'!B:D,3,0)</f>
        <v>11345</v>
      </c>
      <c r="K115" s="6">
        <v>0.25</v>
      </c>
      <c r="L115" s="7">
        <f>ROUND((1-gia_khuyen_mai[[#This Row],[% Giảm giá]]) * gia_khuyen_mai[[#This Row],[Giá gốc]], 0)</f>
        <v>8509</v>
      </c>
      <c r="M115" s="7"/>
      <c r="O115" s="3" t="str">
        <f>IFERROR(VLOOKUP(gia_khuyen_mai[[#This Row],[Mã hàng tặng]],'Giá gốc'!B:C,2,0),"")</f>
        <v/>
      </c>
      <c r="P115" s="4" t="s">
        <v>520</v>
      </c>
      <c r="Q115" s="3" t="str">
        <f>VLOOKUP(gia_khuyen_mai[[#This Row],[Mã sản phẩm]],product[[Mã sản phẩm]:[DS - ĐV]],3,0)</f>
        <v>Food Daesang</v>
      </c>
    </row>
    <row r="116" spans="1:17" ht="21.75" customHeight="1" x14ac:dyDescent="0.45">
      <c r="A116" s="26">
        <v>117</v>
      </c>
      <c r="B116" s="4" t="s">
        <v>532</v>
      </c>
      <c r="C116" s="4" t="s">
        <v>5</v>
      </c>
      <c r="D116" s="4" t="s">
        <v>498</v>
      </c>
      <c r="E116" s="4" t="s">
        <v>504</v>
      </c>
      <c r="F116" s="4" t="s">
        <v>505</v>
      </c>
      <c r="G116" s="3" t="s">
        <v>165</v>
      </c>
      <c r="H116" s="3" t="str">
        <f>VLOOKUP(gia_khuyen_mai[[#This Row],[Barcode]],'Giá gốc'!$A:$B,2,0)</f>
        <v>2040993</v>
      </c>
      <c r="I116" s="3" t="str">
        <f>VLOOKUP(gia_khuyen_mai[[#This Row],[Mã sản phẩm]],'Giá gốc'!$B:$C,2,0)</f>
        <v>Snack Rong biển cuộn nướng vị Pho mai 6g*90EA</v>
      </c>
      <c r="J116" s="5">
        <f>VLOOKUP(gia_khuyen_mai[[#This Row],[Mã sản phẩm]],'Giá gốc'!B:D,3,0)</f>
        <v>11345</v>
      </c>
      <c r="K116" s="6">
        <v>0.25</v>
      </c>
      <c r="L116" s="7">
        <f>ROUND((1-gia_khuyen_mai[[#This Row],[% Giảm giá]]) * gia_khuyen_mai[[#This Row],[Giá gốc]], 0)</f>
        <v>8509</v>
      </c>
      <c r="M116" s="7"/>
      <c r="O116" s="3" t="str">
        <f>IFERROR(VLOOKUP(gia_khuyen_mai[[#This Row],[Mã hàng tặng]],'Giá gốc'!B:C,2,0),"")</f>
        <v/>
      </c>
      <c r="P116" s="4" t="s">
        <v>520</v>
      </c>
      <c r="Q116" s="3" t="str">
        <f>VLOOKUP(gia_khuyen_mai[[#This Row],[Mã sản phẩm]],product[[Mã sản phẩm]:[DS - ĐV]],3,0)</f>
        <v>Food Daesang</v>
      </c>
    </row>
    <row r="117" spans="1:17" ht="21.75" customHeight="1" x14ac:dyDescent="0.45">
      <c r="A117" s="26">
        <v>118</v>
      </c>
      <c r="B117" s="4" t="s">
        <v>532</v>
      </c>
      <c r="C117" s="4" t="s">
        <v>5</v>
      </c>
      <c r="D117" s="4" t="s">
        <v>498</v>
      </c>
      <c r="E117" s="4" t="s">
        <v>504</v>
      </c>
      <c r="F117" s="4" t="s">
        <v>505</v>
      </c>
      <c r="G117" s="3" t="s">
        <v>162</v>
      </c>
      <c r="H117" s="3" t="str">
        <f>VLOOKUP(gia_khuyen_mai[[#This Row],[Barcode]],'Giá gốc'!$A:$B,2,0)</f>
        <v>2041001</v>
      </c>
      <c r="I117" s="3" t="str">
        <f>VLOOKUP(gia_khuyen_mai[[#This Row],[Mã sản phẩm]],'Giá gốc'!$B:$C,2,0)</f>
        <v>Snack Rong biển cuộn nướng vị mực 6g*90EA</v>
      </c>
      <c r="J117" s="5">
        <f>VLOOKUP(gia_khuyen_mai[[#This Row],[Mã sản phẩm]],'Giá gốc'!B:D,3,0)</f>
        <v>11345</v>
      </c>
      <c r="K117" s="6">
        <v>0.25</v>
      </c>
      <c r="L117" s="7">
        <f>ROUND((1-gia_khuyen_mai[[#This Row],[% Giảm giá]]) * gia_khuyen_mai[[#This Row],[Giá gốc]], 0)</f>
        <v>8509</v>
      </c>
      <c r="M117" s="7"/>
      <c r="O117" s="3" t="str">
        <f>IFERROR(VLOOKUP(gia_khuyen_mai[[#This Row],[Mã hàng tặng]],'Giá gốc'!B:C,2,0),"")</f>
        <v/>
      </c>
      <c r="P117" s="4" t="s">
        <v>520</v>
      </c>
      <c r="Q117" s="3" t="str">
        <f>VLOOKUP(gia_khuyen_mai[[#This Row],[Mã sản phẩm]],product[[Mã sản phẩm]:[DS - ĐV]],3,0)</f>
        <v>Food Daesang</v>
      </c>
    </row>
    <row r="118" spans="1:17" ht="21.75" customHeight="1" x14ac:dyDescent="0.45">
      <c r="A118" s="26">
        <v>119</v>
      </c>
      <c r="B118" s="4" t="s">
        <v>532</v>
      </c>
      <c r="C118" s="4" t="s">
        <v>5</v>
      </c>
      <c r="D118" s="4" t="s">
        <v>498</v>
      </c>
      <c r="E118" s="4" t="s">
        <v>504</v>
      </c>
      <c r="F118" s="4" t="s">
        <v>505</v>
      </c>
      <c r="G118" s="3" t="s">
        <v>66</v>
      </c>
      <c r="H118" s="3" t="str">
        <f>VLOOKUP(gia_khuyen_mai[[#This Row],[Barcode]],'Giá gốc'!$A:$B,2,0)</f>
        <v>1100008</v>
      </c>
      <c r="I118" s="3" t="str">
        <f>VLOOKUP(gia_khuyen_mai[[#This Row],[Mã sản phẩm]],'Giá gốc'!$B:$C,2,0)</f>
        <v>Mì chính (L) 454g*40EA</v>
      </c>
      <c r="J118" s="5">
        <f>VLOOKUP(gia_khuyen_mai[[#This Row],[Mã sản phẩm]],'Giá gốc'!B:D,3,0)</f>
        <v>29236</v>
      </c>
      <c r="K118" s="6">
        <v>0.15</v>
      </c>
      <c r="L118" s="7">
        <f>ROUND((1-gia_khuyen_mai[[#This Row],[% Giảm giá]]) * gia_khuyen_mai[[#This Row],[Giá gốc]], 0)</f>
        <v>24851</v>
      </c>
      <c r="M118" s="7"/>
      <c r="O118" s="3" t="str">
        <f>IFERROR(VLOOKUP(gia_khuyen_mai[[#This Row],[Mã hàng tặng]],'Giá gốc'!B:C,2,0),"")</f>
        <v/>
      </c>
      <c r="P118" s="4" t="s">
        <v>521</v>
      </c>
      <c r="Q118" s="3" t="str">
        <f>VLOOKUP(gia_khuyen_mai[[#This Row],[Mã sản phẩm]],product[[Mã sản phẩm]:[DS - ĐV]],3,0)</f>
        <v>Food Daesang</v>
      </c>
    </row>
    <row r="119" spans="1:17" ht="21.75" customHeight="1" x14ac:dyDescent="0.45">
      <c r="A119" s="26">
        <v>120</v>
      </c>
      <c r="B119" s="4" t="s">
        <v>532</v>
      </c>
      <c r="C119" s="4" t="s">
        <v>5</v>
      </c>
      <c r="D119" s="4" t="s">
        <v>498</v>
      </c>
      <c r="E119" s="4" t="s">
        <v>504</v>
      </c>
      <c r="F119" s="4" t="s">
        <v>505</v>
      </c>
      <c r="G119" s="3" t="s">
        <v>117</v>
      </c>
      <c r="H119" s="3" t="str">
        <f>VLOOKUP(gia_khuyen_mai[[#This Row],[Barcode]],'Giá gốc'!$A:$B,2,0)</f>
        <v>1021966</v>
      </c>
      <c r="I119" s="3" t="str">
        <f>VLOOKUP(gia_khuyen_mai[[#This Row],[Mã sản phẩm]],'Giá gốc'!$B:$C,2,0)</f>
        <v>Bột chiên giòn 100g x 96EA (lốc 6 x 16 lốc) (HD)</v>
      </c>
      <c r="J119" s="5">
        <f>VLOOKUP(gia_khuyen_mai[[#This Row],[Mã sản phẩm]],'Giá gốc'!B:D,3,0)</f>
        <v>5846</v>
      </c>
      <c r="K119" s="6">
        <v>0.15</v>
      </c>
      <c r="L119" s="7">
        <f>ROUND((1-gia_khuyen_mai[[#This Row],[% Giảm giá]]) * gia_khuyen_mai[[#This Row],[Giá gốc]], 0)</f>
        <v>4969</v>
      </c>
      <c r="M119" s="7"/>
      <c r="O119" s="3" t="str">
        <f>IFERROR(VLOOKUP(gia_khuyen_mai[[#This Row],[Mã hàng tặng]],'Giá gốc'!B:C,2,0),"")</f>
        <v/>
      </c>
      <c r="P119" s="4" t="s">
        <v>521</v>
      </c>
      <c r="Q119" s="3" t="str">
        <f>VLOOKUP(gia_khuyen_mai[[#This Row],[Mã sản phẩm]],product[[Mã sản phẩm]:[DS - ĐV]],3,0)</f>
        <v>Food Daesang</v>
      </c>
    </row>
    <row r="120" spans="1:17" ht="21.75" customHeight="1" x14ac:dyDescent="0.45">
      <c r="A120" s="26">
        <v>121</v>
      </c>
      <c r="B120" s="4" t="s">
        <v>532</v>
      </c>
      <c r="C120" s="4" t="s">
        <v>5</v>
      </c>
      <c r="D120" s="4" t="s">
        <v>498</v>
      </c>
      <c r="E120" s="4" t="s">
        <v>504</v>
      </c>
      <c r="F120" s="4" t="s">
        <v>505</v>
      </c>
      <c r="G120" s="3" t="s">
        <v>123</v>
      </c>
      <c r="H120" s="3" t="str">
        <f>VLOOKUP(gia_khuyen_mai[[#This Row],[Barcode]],'Giá gốc'!$A:$B,2,0)</f>
        <v>1021864</v>
      </c>
      <c r="I120" s="3" t="str">
        <f>VLOOKUP(gia_khuyen_mai[[#This Row],[Mã sản phẩm]],'Giá gốc'!$B:$C,2,0)</f>
        <v>Bột chiên gà giòn 70g*100EA (Lốc 10 x 10 lốc) (HD)</v>
      </c>
      <c r="J120" s="5">
        <f>VLOOKUP(gia_khuyen_mai[[#This Row],[Mã sản phẩm]],'Giá gốc'!B:D,3,0)</f>
        <v>8870</v>
      </c>
      <c r="K120" s="6">
        <v>0.15</v>
      </c>
      <c r="L120" s="7">
        <f>ROUND((1-gia_khuyen_mai[[#This Row],[% Giảm giá]]) * gia_khuyen_mai[[#This Row],[Giá gốc]], 0)</f>
        <v>7540</v>
      </c>
      <c r="M120" s="7"/>
      <c r="O120" s="3" t="str">
        <f>IFERROR(VLOOKUP(gia_khuyen_mai[[#This Row],[Mã hàng tặng]],'Giá gốc'!B:C,2,0),"")</f>
        <v/>
      </c>
      <c r="P120" s="4" t="s">
        <v>521</v>
      </c>
      <c r="Q120" s="3" t="str">
        <f>VLOOKUP(gia_khuyen_mai[[#This Row],[Mã sản phẩm]],product[[Mã sản phẩm]:[DS - ĐV]],3,0)</f>
        <v>Food Daesang</v>
      </c>
    </row>
    <row r="121" spans="1:17" ht="21.75" customHeight="1" x14ac:dyDescent="0.45">
      <c r="A121" s="26">
        <v>122</v>
      </c>
      <c r="B121" s="4" t="s">
        <v>532</v>
      </c>
      <c r="C121" s="4" t="s">
        <v>5</v>
      </c>
      <c r="D121" s="4" t="s">
        <v>498</v>
      </c>
      <c r="E121" s="4" t="s">
        <v>512</v>
      </c>
      <c r="F121" s="4" t="s">
        <v>505</v>
      </c>
      <c r="G121" s="3" t="s">
        <v>120</v>
      </c>
      <c r="H121" s="3" t="str">
        <f>VLOOKUP(gia_khuyen_mai[[#This Row],[Barcode]],'Giá gốc'!$A:$B,2,0)</f>
        <v>1105823</v>
      </c>
      <c r="I121" s="3" t="str">
        <f>VLOOKUP(gia_khuyen_mai[[#This Row],[Mã sản phẩm]],'Giá gốc'!$B:$C,2,0)</f>
        <v>Tokpokki Hàn Quốc vị BBQ (hộp) 105g*24EA (HD)</v>
      </c>
      <c r="J121" s="5">
        <f>VLOOKUP(gia_khuyen_mai[[#This Row],[Mã sản phẩm]],'Giá gốc'!B:D,3,0)</f>
        <v>22691</v>
      </c>
      <c r="K121" s="6">
        <v>0.25</v>
      </c>
      <c r="L121" s="7">
        <f>ROUND((1-gia_khuyen_mai[[#This Row],[% Giảm giá]]) * gia_khuyen_mai[[#This Row],[Giá gốc]], 0)</f>
        <v>17018</v>
      </c>
      <c r="M121" s="7"/>
      <c r="O121" s="3" t="str">
        <f>IFERROR(VLOOKUP(gia_khuyen_mai[[#This Row],[Mã hàng tặng]],'Giá gốc'!B:C,2,0),"")</f>
        <v/>
      </c>
      <c r="P121" s="4" t="s">
        <v>520</v>
      </c>
      <c r="Q121" s="3" t="str">
        <f>VLOOKUP(gia_khuyen_mai[[#This Row],[Mã sản phẩm]],product[[Mã sản phẩm]:[DS - ĐV]],3,0)</f>
        <v>Food Daesang</v>
      </c>
    </row>
    <row r="122" spans="1:17" ht="21.75" customHeight="1" x14ac:dyDescent="0.45">
      <c r="A122" s="26">
        <v>123</v>
      </c>
      <c r="B122" s="4" t="s">
        <v>532</v>
      </c>
      <c r="C122" s="4" t="s">
        <v>5</v>
      </c>
      <c r="D122" s="4" t="s">
        <v>498</v>
      </c>
      <c r="E122" s="4" t="s">
        <v>512</v>
      </c>
      <c r="F122" s="4" t="s">
        <v>505</v>
      </c>
      <c r="G122" s="3" t="s">
        <v>262</v>
      </c>
      <c r="H122" s="3" t="str">
        <f>VLOOKUP(gia_khuyen_mai[[#This Row],[Barcode]],'Giá gốc'!$A:$B,2,0)</f>
        <v>1105824</v>
      </c>
      <c r="I122" s="3" t="str">
        <f>VLOOKUP(gia_khuyen_mai[[#This Row],[Mã sản phẩm]],'Giá gốc'!$B:$C,2,0)</f>
        <v>Tokpokki Hàn Quốc vị BBQ (gói) 140g*24EA (HD)</v>
      </c>
      <c r="J122" s="5">
        <f>VLOOKUP(gia_khuyen_mai[[#This Row],[Mã sản phẩm]],'Giá gốc'!B:D,3,0)</f>
        <v>22691</v>
      </c>
      <c r="K122" s="6">
        <v>0.25</v>
      </c>
      <c r="L122" s="7">
        <f>ROUND((1-gia_khuyen_mai[[#This Row],[% Giảm giá]]) * gia_khuyen_mai[[#This Row],[Giá gốc]], 0)</f>
        <v>17018</v>
      </c>
      <c r="M122" s="7"/>
      <c r="O122" s="3" t="str">
        <f>IFERROR(VLOOKUP(gia_khuyen_mai[[#This Row],[Mã hàng tặng]],'Giá gốc'!B:C,2,0),"")</f>
        <v/>
      </c>
      <c r="P122" s="4" t="s">
        <v>520</v>
      </c>
      <c r="Q122" s="3" t="str">
        <f>VLOOKUP(gia_khuyen_mai[[#This Row],[Mã sản phẩm]],product[[Mã sản phẩm]:[DS - ĐV]],3,0)</f>
        <v>Food Daesang</v>
      </c>
    </row>
    <row r="123" spans="1:17" ht="21.75" customHeight="1" x14ac:dyDescent="0.45">
      <c r="A123" s="26">
        <v>124</v>
      </c>
      <c r="B123" s="4" t="s">
        <v>532</v>
      </c>
      <c r="C123" s="4" t="s">
        <v>5</v>
      </c>
      <c r="D123" s="4" t="s">
        <v>498</v>
      </c>
      <c r="E123" s="4" t="s">
        <v>512</v>
      </c>
      <c r="F123" s="4" t="s">
        <v>505</v>
      </c>
      <c r="G123" s="3" t="s">
        <v>36</v>
      </c>
      <c r="H123" s="3" t="str">
        <f>VLOOKUP(gia_khuyen_mai[[#This Row],[Barcode]],'Giá gốc'!$A:$B,2,0)</f>
        <v>1022846</v>
      </c>
      <c r="I123" s="3" t="str">
        <f>VLOOKUP(gia_khuyen_mai[[#This Row],[Mã sản phẩm]],'Giá gốc'!$B:$C,2,0)</f>
        <v>Tokpokki Hàn Quốc tròn vị phô mai - Không cay (hộp) 105g*24EA(HD)</v>
      </c>
      <c r="J123" s="5">
        <f>VLOOKUP(gia_khuyen_mai[[#This Row],[Mã sản phẩm]],'Giá gốc'!B:D,3,0)</f>
        <v>24960</v>
      </c>
      <c r="K123" s="6">
        <v>0.25</v>
      </c>
      <c r="L123" s="7">
        <f>ROUND((1-gia_khuyen_mai[[#This Row],[% Giảm giá]]) * gia_khuyen_mai[[#This Row],[Giá gốc]], 0)</f>
        <v>18720</v>
      </c>
      <c r="M123" s="7"/>
      <c r="O123" s="3" t="str">
        <f>IFERROR(VLOOKUP(gia_khuyen_mai[[#This Row],[Mã hàng tặng]],'Giá gốc'!B:C,2,0),"")</f>
        <v/>
      </c>
      <c r="P123" s="4" t="s">
        <v>520</v>
      </c>
      <c r="Q123" s="3" t="str">
        <f>VLOOKUP(gia_khuyen_mai[[#This Row],[Mã sản phẩm]],product[[Mã sản phẩm]:[DS - ĐV]],3,0)</f>
        <v>Food Daesang</v>
      </c>
    </row>
    <row r="124" spans="1:17" ht="21.75" customHeight="1" x14ac:dyDescent="0.45">
      <c r="A124" s="26">
        <v>125</v>
      </c>
      <c r="B124" s="4" t="s">
        <v>532</v>
      </c>
      <c r="C124" s="4" t="s">
        <v>5</v>
      </c>
      <c r="D124" s="4" t="s">
        <v>498</v>
      </c>
      <c r="E124" s="4" t="s">
        <v>512</v>
      </c>
      <c r="F124" s="4" t="s">
        <v>505</v>
      </c>
      <c r="G124" s="3" t="s">
        <v>72</v>
      </c>
      <c r="H124" s="3" t="str">
        <f>VLOOKUP(gia_khuyen_mai[[#This Row],[Barcode]],'Giá gốc'!$A:$B,2,0)</f>
        <v>1022847</v>
      </c>
      <c r="I124" s="3" t="str">
        <f>VLOOKUP(gia_khuyen_mai[[#This Row],[Mã sản phẩm]],'Giá gốc'!$B:$C,2,0)</f>
        <v>Tokpokki Hàn Quốc tròn vị phô mai - Không cay (gói) 140g*24EA(HD)</v>
      </c>
      <c r="J124" s="5">
        <f>VLOOKUP(gia_khuyen_mai[[#This Row],[Mã sản phẩm]],'Giá gốc'!B:D,3,0)</f>
        <v>24960</v>
      </c>
      <c r="K124" s="6">
        <v>0.25</v>
      </c>
      <c r="L124" s="7">
        <f>ROUND((1-gia_khuyen_mai[[#This Row],[% Giảm giá]]) * gia_khuyen_mai[[#This Row],[Giá gốc]], 0)</f>
        <v>18720</v>
      </c>
      <c r="M124" s="7"/>
      <c r="O124" s="3" t="str">
        <f>IFERROR(VLOOKUP(gia_khuyen_mai[[#This Row],[Mã hàng tặng]],'Giá gốc'!B:C,2,0),"")</f>
        <v/>
      </c>
      <c r="P124" s="4" t="s">
        <v>520</v>
      </c>
      <c r="Q124" s="3" t="str">
        <f>VLOOKUP(gia_khuyen_mai[[#This Row],[Mã sản phẩm]],product[[Mã sản phẩm]:[DS - ĐV]],3,0)</f>
        <v>Food Daesang</v>
      </c>
    </row>
    <row r="125" spans="1:17" ht="21.75" customHeight="1" x14ac:dyDescent="0.45">
      <c r="A125" s="26">
        <v>126</v>
      </c>
      <c r="B125" s="4" t="s">
        <v>532</v>
      </c>
      <c r="C125" s="4" t="s">
        <v>5</v>
      </c>
      <c r="D125" s="4" t="s">
        <v>498</v>
      </c>
      <c r="E125" s="4" t="s">
        <v>512</v>
      </c>
      <c r="F125" s="4" t="s">
        <v>505</v>
      </c>
      <c r="G125" s="3" t="s">
        <v>60</v>
      </c>
      <c r="H125" s="3" t="str">
        <f>VLOOKUP(gia_khuyen_mai[[#This Row],[Barcode]],'Giá gốc'!$A:$B,2,0)</f>
        <v>1021859</v>
      </c>
      <c r="I125" s="3" t="str">
        <f>VLOOKUP(gia_khuyen_mai[[#This Row],[Mã sản phẩm]],'Giá gốc'!$B:$C,2,0)</f>
        <v>Tokpokki Hàn Quốc vị truyền thống (hộp)
105g * 24EA (HD)</v>
      </c>
      <c r="J125" s="5">
        <f>VLOOKUP(gia_khuyen_mai[[#This Row],[Mã sản phẩm]],'Giá gốc'!B:D,3,0)</f>
        <v>24960</v>
      </c>
      <c r="K125" s="6">
        <v>0.25</v>
      </c>
      <c r="L125" s="7">
        <f>ROUND((1-gia_khuyen_mai[[#This Row],[% Giảm giá]]) * gia_khuyen_mai[[#This Row],[Giá gốc]], 0)</f>
        <v>18720</v>
      </c>
      <c r="M125" s="7"/>
      <c r="O125" s="3" t="str">
        <f>IFERROR(VLOOKUP(gia_khuyen_mai[[#This Row],[Mã hàng tặng]],'Giá gốc'!B:C,2,0),"")</f>
        <v/>
      </c>
      <c r="P125" s="4" t="s">
        <v>520</v>
      </c>
      <c r="Q125" s="3" t="str">
        <f>VLOOKUP(gia_khuyen_mai[[#This Row],[Mã sản phẩm]],product[[Mã sản phẩm]:[DS - ĐV]],3,0)</f>
        <v>Food Daesang</v>
      </c>
    </row>
    <row r="126" spans="1:17" ht="21.75" customHeight="1" x14ac:dyDescent="0.45">
      <c r="A126" s="26">
        <v>127</v>
      </c>
      <c r="B126" s="4" t="s">
        <v>532</v>
      </c>
      <c r="C126" s="4" t="s">
        <v>5</v>
      </c>
      <c r="D126" s="4" t="s">
        <v>498</v>
      </c>
      <c r="E126" s="4" t="s">
        <v>512</v>
      </c>
      <c r="F126" s="4" t="s">
        <v>505</v>
      </c>
      <c r="G126" s="3" t="s">
        <v>30</v>
      </c>
      <c r="H126" s="3" t="str">
        <f>VLOOKUP(gia_khuyen_mai[[#This Row],[Barcode]],'Giá gốc'!$A:$B,2,0)</f>
        <v>1021862</v>
      </c>
      <c r="I126" s="3" t="str">
        <f>VLOOKUP(gia_khuyen_mai[[#This Row],[Mã sản phẩm]],'Giá gốc'!$B:$C,2,0)</f>
        <v>Tokpokki Hàn Quốc vị phô mai (hộp)
105g * 24EA (HD</v>
      </c>
      <c r="J126" s="5">
        <f>VLOOKUP(gia_khuyen_mai[[#This Row],[Mã sản phẩm]],'Giá gốc'!B:D,3,0)</f>
        <v>24960</v>
      </c>
      <c r="K126" s="6">
        <v>0.25</v>
      </c>
      <c r="L126" s="7">
        <f>ROUND((1-gia_khuyen_mai[[#This Row],[% Giảm giá]]) * gia_khuyen_mai[[#This Row],[Giá gốc]], 0)</f>
        <v>18720</v>
      </c>
      <c r="M126" s="7"/>
      <c r="O126" s="3" t="str">
        <f>IFERROR(VLOOKUP(gia_khuyen_mai[[#This Row],[Mã hàng tặng]],'Giá gốc'!B:C,2,0),"")</f>
        <v/>
      </c>
      <c r="P126" s="4" t="s">
        <v>520</v>
      </c>
      <c r="Q126" s="3" t="str">
        <f>VLOOKUP(gia_khuyen_mai[[#This Row],[Mã sản phẩm]],product[[Mã sản phẩm]:[DS - ĐV]],3,0)</f>
        <v>Food Daesang</v>
      </c>
    </row>
    <row r="127" spans="1:17" ht="21.75" customHeight="1" x14ac:dyDescent="0.45">
      <c r="A127" s="26">
        <v>128</v>
      </c>
      <c r="B127" s="4" t="s">
        <v>532</v>
      </c>
      <c r="C127" s="4" t="s">
        <v>5</v>
      </c>
      <c r="D127" s="4" t="s">
        <v>498</v>
      </c>
      <c r="E127" s="4" t="s">
        <v>512</v>
      </c>
      <c r="F127" s="4" t="s">
        <v>505</v>
      </c>
      <c r="G127" s="3" t="s">
        <v>57</v>
      </c>
      <c r="H127" s="3" t="str">
        <f>VLOOKUP(gia_khuyen_mai[[#This Row],[Barcode]],'Giá gốc'!$A:$B,2,0)</f>
        <v>1021861</v>
      </c>
      <c r="I127" s="3" t="str">
        <f>VLOOKUP(gia_khuyen_mai[[#This Row],[Mã sản phẩm]],'Giá gốc'!$B:$C,2,0)</f>
        <v>Tokpokki Hàn Quốc vị truyền thống (gói) 140g * 24EA (HD)</v>
      </c>
      <c r="J127" s="5">
        <f>VLOOKUP(gia_khuyen_mai[[#This Row],[Mã sản phẩm]],'Giá gốc'!B:D,3,0)</f>
        <v>24960</v>
      </c>
      <c r="K127" s="6">
        <v>0.25</v>
      </c>
      <c r="L127" s="7">
        <f>ROUND((1-gia_khuyen_mai[[#This Row],[% Giảm giá]]) * gia_khuyen_mai[[#This Row],[Giá gốc]], 0)</f>
        <v>18720</v>
      </c>
      <c r="M127" s="7"/>
      <c r="O127" s="3" t="str">
        <f>IFERROR(VLOOKUP(gia_khuyen_mai[[#This Row],[Mã hàng tặng]],'Giá gốc'!B:C,2,0),"")</f>
        <v/>
      </c>
      <c r="P127" s="4" t="s">
        <v>520</v>
      </c>
      <c r="Q127" s="3" t="str">
        <f>VLOOKUP(gia_khuyen_mai[[#This Row],[Mã sản phẩm]],product[[Mã sản phẩm]:[DS - ĐV]],3,0)</f>
        <v>Food Daesang</v>
      </c>
    </row>
    <row r="128" spans="1:17" ht="21.75" customHeight="1" x14ac:dyDescent="0.45">
      <c r="A128" s="26">
        <v>129</v>
      </c>
      <c r="B128" s="4" t="s">
        <v>532</v>
      </c>
      <c r="C128" s="4" t="s">
        <v>5</v>
      </c>
      <c r="D128" s="4" t="s">
        <v>498</v>
      </c>
      <c r="E128" s="4" t="s">
        <v>512</v>
      </c>
      <c r="F128" s="4" t="s">
        <v>505</v>
      </c>
      <c r="G128" s="3" t="s">
        <v>39</v>
      </c>
      <c r="H128" s="3" t="str">
        <f>VLOOKUP(gia_khuyen_mai[[#This Row],[Barcode]],'Giá gốc'!$A:$B,2,0)</f>
        <v>1021863</v>
      </c>
      <c r="I128" s="3" t="str">
        <f>VLOOKUP(gia_khuyen_mai[[#This Row],[Mã sản phẩm]],'Giá gốc'!$B:$C,2,0)</f>
        <v>Tokpokki Hàn Quốc vị phô mai (gói) 140g * 24EA (HD)</v>
      </c>
      <c r="J128" s="5">
        <f>VLOOKUP(gia_khuyen_mai[[#This Row],[Mã sản phẩm]],'Giá gốc'!B:D,3,0)</f>
        <v>24960</v>
      </c>
      <c r="K128" s="6">
        <v>0.25</v>
      </c>
      <c r="L128" s="7">
        <f>ROUND((1-gia_khuyen_mai[[#This Row],[% Giảm giá]]) * gia_khuyen_mai[[#This Row],[Giá gốc]], 0)</f>
        <v>18720</v>
      </c>
      <c r="M128" s="7"/>
      <c r="O128" s="3" t="str">
        <f>IFERROR(VLOOKUP(gia_khuyen_mai[[#This Row],[Mã hàng tặng]],'Giá gốc'!B:C,2,0),"")</f>
        <v/>
      </c>
      <c r="P128" s="4" t="s">
        <v>520</v>
      </c>
      <c r="Q128" s="3" t="str">
        <f>VLOOKUP(gia_khuyen_mai[[#This Row],[Mã sản phẩm]],product[[Mã sản phẩm]:[DS - ĐV]],3,0)</f>
        <v>Food Daesang</v>
      </c>
    </row>
    <row r="129" spans="1:17" ht="21.75" customHeight="1" x14ac:dyDescent="0.45">
      <c r="A129" s="26">
        <v>130</v>
      </c>
      <c r="B129" s="4" t="s">
        <v>532</v>
      </c>
      <c r="C129" s="4" t="s">
        <v>5</v>
      </c>
      <c r="D129" s="4" t="s">
        <v>498</v>
      </c>
      <c r="E129" s="4" t="s">
        <v>512</v>
      </c>
      <c r="F129" s="4" t="s">
        <v>505</v>
      </c>
      <c r="G129" s="3" t="s">
        <v>147</v>
      </c>
      <c r="H129" s="3" t="str">
        <f>VLOOKUP(gia_khuyen_mai[[#This Row],[Barcode]],'Giá gốc'!$A:$B,2,0)</f>
        <v>1106775</v>
      </c>
      <c r="I129" s="3" t="str">
        <f>VLOOKUP(gia_khuyen_mai[[#This Row],[Mã sản phẩm]],'Giá gốc'!$B:$C,2,0)</f>
        <v xml:space="preserve">Tokpokki Rose Hàn Quốc (hộp) 100g*24EA (HD) </v>
      </c>
      <c r="J129" s="5">
        <f>VLOOKUP(gia_khuyen_mai[[#This Row],[Mã sản phẩm]],'Giá gốc'!B:D,3,0)</f>
        <v>26880</v>
      </c>
      <c r="K129" s="6">
        <v>0.25</v>
      </c>
      <c r="L129" s="7">
        <f>ROUND((1-gia_khuyen_mai[[#This Row],[% Giảm giá]]) * gia_khuyen_mai[[#This Row],[Giá gốc]], 0)</f>
        <v>20160</v>
      </c>
      <c r="M129" s="7"/>
      <c r="O129" s="3" t="str">
        <f>IFERROR(VLOOKUP(gia_khuyen_mai[[#This Row],[Mã hàng tặng]],'Giá gốc'!B:C,2,0),"")</f>
        <v/>
      </c>
      <c r="P129" s="4" t="s">
        <v>520</v>
      </c>
      <c r="Q129" s="3" t="str">
        <f>VLOOKUP(gia_khuyen_mai[[#This Row],[Mã sản phẩm]],product[[Mã sản phẩm]:[DS - ĐV]],3,0)</f>
        <v>Food Daesang</v>
      </c>
    </row>
    <row r="130" spans="1:17" ht="21.75" customHeight="1" x14ac:dyDescent="0.45">
      <c r="A130" s="26">
        <v>131</v>
      </c>
      <c r="B130" s="4" t="s">
        <v>532</v>
      </c>
      <c r="C130" s="4" t="s">
        <v>5</v>
      </c>
      <c r="D130" s="4" t="s">
        <v>498</v>
      </c>
      <c r="E130" s="4" t="s">
        <v>512</v>
      </c>
      <c r="F130" s="4" t="s">
        <v>505</v>
      </c>
      <c r="G130" s="3" t="s">
        <v>355</v>
      </c>
      <c r="H130" s="3" t="str">
        <f>VLOOKUP(gia_khuyen_mai[[#This Row],[Barcode]],'Giá gốc'!$A:$B,2,0)</f>
        <v>1106776</v>
      </c>
      <c r="I130" s="3" t="str">
        <f>VLOOKUP(gia_khuyen_mai[[#This Row],[Mã sản phẩm]],'Giá gốc'!$B:$C,2,0)</f>
        <v xml:space="preserve">Tokpokki Rose Hàn Quốc (gói) 125g*24EA (HD) </v>
      </c>
      <c r="J130" s="5">
        <f>VLOOKUP(gia_khuyen_mai[[#This Row],[Mã sản phẩm]],'Giá gốc'!B:D,3,0)</f>
        <v>26880</v>
      </c>
      <c r="K130" s="6">
        <v>0.25</v>
      </c>
      <c r="L130" s="7">
        <f>ROUND((1-gia_khuyen_mai[[#This Row],[% Giảm giá]]) * gia_khuyen_mai[[#This Row],[Giá gốc]], 0)</f>
        <v>20160</v>
      </c>
      <c r="M130" s="7"/>
      <c r="O130" s="3" t="str">
        <f>IFERROR(VLOOKUP(gia_khuyen_mai[[#This Row],[Mã hàng tặng]],'Giá gốc'!B:C,2,0),"")</f>
        <v/>
      </c>
      <c r="P130" s="4" t="s">
        <v>520</v>
      </c>
      <c r="Q130" s="3" t="str">
        <f>VLOOKUP(gia_khuyen_mai[[#This Row],[Mã sản phẩm]],product[[Mã sản phẩm]:[DS - ĐV]],3,0)</f>
        <v>Food Daesang</v>
      </c>
    </row>
    <row r="131" spans="1:17" ht="21.75" customHeight="1" x14ac:dyDescent="0.45">
      <c r="A131" s="26">
        <v>132</v>
      </c>
      <c r="B131" s="4" t="s">
        <v>532</v>
      </c>
      <c r="C131" s="4" t="s">
        <v>5</v>
      </c>
      <c r="D131" s="4" t="s">
        <v>498</v>
      </c>
      <c r="E131" s="4" t="s">
        <v>512</v>
      </c>
      <c r="F131" s="4" t="s">
        <v>505</v>
      </c>
      <c r="G131" s="3" t="s">
        <v>274</v>
      </c>
      <c r="H131" s="3" t="str">
        <f>VLOOKUP(gia_khuyen_mai[[#This Row],[Barcode]],'Giá gốc'!$A:$B,2,0)</f>
        <v>1105820</v>
      </c>
      <c r="I131" s="3" t="str">
        <f>VLOOKUP(gia_khuyen_mai[[#This Row],[Mã sản phẩm]],'Giá gốc'!$B:$C,2,0)</f>
        <v>Rapokki Hàn Quốc vị Truyền thống (gói) 146g*24EA (HD)</v>
      </c>
      <c r="J131" s="5">
        <f>VLOOKUP(gia_khuyen_mai[[#This Row],[Mã sản phẩm]],'Giá gốc'!B:D,3,0)</f>
        <v>31111</v>
      </c>
      <c r="K131" s="6">
        <v>0.25</v>
      </c>
      <c r="L131" s="7">
        <f>ROUND((1-gia_khuyen_mai[[#This Row],[% Giảm giá]]) * gia_khuyen_mai[[#This Row],[Giá gốc]], 0)</f>
        <v>23333</v>
      </c>
      <c r="M131" s="7"/>
      <c r="O131" s="3" t="str">
        <f>IFERROR(VLOOKUP(gia_khuyen_mai[[#This Row],[Mã hàng tặng]],'Giá gốc'!B:C,2,0),"")</f>
        <v/>
      </c>
      <c r="P131" s="4" t="s">
        <v>520</v>
      </c>
      <c r="Q131" s="3" t="str">
        <f>VLOOKUP(gia_khuyen_mai[[#This Row],[Mã sản phẩm]],product[[Mã sản phẩm]:[DS - ĐV]],3,0)</f>
        <v>Food Daesang</v>
      </c>
    </row>
    <row r="132" spans="1:17" ht="21.75" customHeight="1" x14ac:dyDescent="0.45">
      <c r="A132" s="26">
        <v>133</v>
      </c>
      <c r="B132" s="4" t="s">
        <v>532</v>
      </c>
      <c r="C132" s="4" t="s">
        <v>5</v>
      </c>
      <c r="D132" s="4" t="s">
        <v>498</v>
      </c>
      <c r="E132" s="4" t="s">
        <v>512</v>
      </c>
      <c r="F132" s="4" t="s">
        <v>505</v>
      </c>
      <c r="G132" s="3" t="s">
        <v>253</v>
      </c>
      <c r="H132" s="3" t="str">
        <f>VLOOKUP(gia_khuyen_mai[[#This Row],[Barcode]],'Giá gốc'!$A:$B,2,0)</f>
        <v>1105821</v>
      </c>
      <c r="I132" s="3" t="str">
        <f>VLOOKUP(gia_khuyen_mai[[#This Row],[Mã sản phẩm]],'Giá gốc'!$B:$C,2,0)</f>
        <v>Rapokki Hàn Quốc vị Phô Mai (gói) 146g*24EA (HD)</v>
      </c>
      <c r="J132" s="5">
        <f>VLOOKUP(gia_khuyen_mai[[#This Row],[Mã sản phẩm]],'Giá gốc'!B:D,3,0)</f>
        <v>31111</v>
      </c>
      <c r="K132" s="6">
        <v>0.25</v>
      </c>
      <c r="L132" s="7">
        <f>ROUND((1-gia_khuyen_mai[[#This Row],[% Giảm giá]]) * gia_khuyen_mai[[#This Row],[Giá gốc]], 0)</f>
        <v>23333</v>
      </c>
      <c r="M132" s="7"/>
      <c r="O132" s="3" t="str">
        <f>IFERROR(VLOOKUP(gia_khuyen_mai[[#This Row],[Mã hàng tặng]],'Giá gốc'!B:C,2,0),"")</f>
        <v/>
      </c>
      <c r="P132" s="4" t="s">
        <v>520</v>
      </c>
      <c r="Q132" s="3" t="str">
        <f>VLOOKUP(gia_khuyen_mai[[#This Row],[Mã sản phẩm]],product[[Mã sản phẩm]:[DS - ĐV]],3,0)</f>
        <v>Food Daesang</v>
      </c>
    </row>
    <row r="133" spans="1:17" ht="21.75" customHeight="1" x14ac:dyDescent="0.45">
      <c r="A133" s="26">
        <v>134</v>
      </c>
      <c r="B133" s="4" t="s">
        <v>532</v>
      </c>
      <c r="C133" s="4" t="s">
        <v>5</v>
      </c>
      <c r="D133" s="4" t="s">
        <v>498</v>
      </c>
      <c r="E133" s="4" t="s">
        <v>512</v>
      </c>
      <c r="F133" s="4" t="s">
        <v>505</v>
      </c>
      <c r="G133" s="3" t="s">
        <v>2</v>
      </c>
      <c r="H133" s="3" t="str">
        <f>VLOOKUP(gia_khuyen_mai[[#This Row],[Barcode]],'Giá gốc'!$A:$B,2,0)</f>
        <v>1023739</v>
      </c>
      <c r="I133" s="3" t="str">
        <f>VLOOKUP(gia_khuyen_mai[[#This Row],[Mã sản phẩm]],'Giá gốc'!$B:$C,2,0)</f>
        <v>Lá Kim tẩm dầu Oliu 5g lốc 3 * 36 lốc (HD)</v>
      </c>
      <c r="J133" s="5">
        <f>VLOOKUP(gia_khuyen_mai[[#This Row],[Mã sản phẩm]],'Giá gốc'!B:D,3,0)</f>
        <v>26095</v>
      </c>
      <c r="K133" s="6">
        <v>0.05</v>
      </c>
      <c r="L133" s="7">
        <f>ROUND((1-gia_khuyen_mai[[#This Row],[% Giảm giá]]) * gia_khuyen_mai[[#This Row],[Giá gốc]], 0)</f>
        <v>24790</v>
      </c>
      <c r="M133" s="7" t="s">
        <v>507</v>
      </c>
      <c r="N133" s="3" t="s">
        <v>3</v>
      </c>
      <c r="O133" s="3" t="str">
        <f>IFERROR(VLOOKUP(gia_khuyen_mai[[#This Row],[Mã hàng tặng]],'Giá gốc'!B:C,2,0),"")</f>
        <v>Lá Kim tẩm dầu Oliu 5g lốc 3 * 36 lốc (HD)</v>
      </c>
      <c r="P133" s="4" t="s">
        <v>522</v>
      </c>
      <c r="Q133" s="3" t="str">
        <f>VLOOKUP(gia_khuyen_mai[[#This Row],[Mã sản phẩm]],product[[Mã sản phẩm]:[DS - ĐV]],3,0)</f>
        <v>Food Daesang</v>
      </c>
    </row>
    <row r="134" spans="1:17" ht="21.75" customHeight="1" x14ac:dyDescent="0.45">
      <c r="A134" s="26">
        <v>135</v>
      </c>
      <c r="B134" s="4" t="s">
        <v>532</v>
      </c>
      <c r="C134" s="4" t="s">
        <v>5</v>
      </c>
      <c r="D134" s="4" t="s">
        <v>498</v>
      </c>
      <c r="E134" s="4" t="s">
        <v>512</v>
      </c>
      <c r="F134" s="4" t="s">
        <v>505</v>
      </c>
      <c r="G134" s="3" t="s">
        <v>9</v>
      </c>
      <c r="H134" s="3" t="str">
        <f>VLOOKUP(gia_khuyen_mai[[#This Row],[Barcode]],'Giá gốc'!$A:$B,2,0)</f>
        <v>1024696</v>
      </c>
      <c r="I134" s="3" t="str">
        <f>VLOOKUP(gia_khuyen_mai[[#This Row],[Mã sản phẩm]],'Giá gốc'!$B:$C,2,0)</f>
        <v>Lá Kim Tảo biển cao cấp 5g lốc 3 * 36 lốc (HD)</v>
      </c>
      <c r="J134" s="5">
        <f>VLOOKUP(gia_khuyen_mai[[#This Row],[Mã sản phẩm]],'Giá gốc'!B:D,3,0)</f>
        <v>29645</v>
      </c>
      <c r="K134" s="6">
        <v>0.05</v>
      </c>
      <c r="L134" s="7">
        <f>ROUND((1-gia_khuyen_mai[[#This Row],[% Giảm giá]]) * gia_khuyen_mai[[#This Row],[Giá gốc]], 0)</f>
        <v>28163</v>
      </c>
      <c r="M134" s="7" t="s">
        <v>507</v>
      </c>
      <c r="N134" s="3" t="s">
        <v>10</v>
      </c>
      <c r="O134" s="3" t="str">
        <f>IFERROR(VLOOKUP(gia_khuyen_mai[[#This Row],[Mã hàng tặng]],'Giá gốc'!B:C,2,0),"")</f>
        <v>Lá Kim Tảo biển cao cấp 5g lốc 3 * 36 lốc (HD)</v>
      </c>
      <c r="P134" s="4" t="s">
        <v>522</v>
      </c>
      <c r="Q134" s="3" t="str">
        <f>VLOOKUP(gia_khuyen_mai[[#This Row],[Mã sản phẩm]],product[[Mã sản phẩm]:[DS - ĐV]],3,0)</f>
        <v>Food Daesang</v>
      </c>
    </row>
    <row r="135" spans="1:17" ht="21.75" customHeight="1" x14ac:dyDescent="0.45">
      <c r="A135" s="26">
        <v>136</v>
      </c>
      <c r="B135" s="4" t="s">
        <v>532</v>
      </c>
      <c r="C135" s="4" t="s">
        <v>5</v>
      </c>
      <c r="D135" s="4" t="s">
        <v>498</v>
      </c>
      <c r="E135" s="4" t="s">
        <v>512</v>
      </c>
      <c r="F135" s="4" t="s">
        <v>505</v>
      </c>
      <c r="G135" s="3" t="s">
        <v>6</v>
      </c>
      <c r="H135" s="3" t="str">
        <f>VLOOKUP(gia_khuyen_mai[[#This Row],[Barcode]],'Giá gốc'!$A:$B,2,0)</f>
        <v>1024697</v>
      </c>
      <c r="I135" s="3" t="str">
        <f>VLOOKUP(gia_khuyen_mai[[#This Row],[Mã sản phẩm]],'Giá gốc'!$B:$C,2,0)</f>
        <v>Lá Kim Trẻ em 5g lốc 3 * 36 lốc (HD)</v>
      </c>
      <c r="J135" s="5">
        <f>VLOOKUP(gia_khuyen_mai[[#This Row],[Mã sản phẩm]],'Giá gốc'!B:D,3,0)</f>
        <v>29645</v>
      </c>
      <c r="K135" s="6">
        <v>0.05</v>
      </c>
      <c r="L135" s="7">
        <f>ROUND((1-gia_khuyen_mai[[#This Row],[% Giảm giá]]) * gia_khuyen_mai[[#This Row],[Giá gốc]], 0)</f>
        <v>28163</v>
      </c>
      <c r="M135" s="7" t="s">
        <v>507</v>
      </c>
      <c r="N135" s="3" t="s">
        <v>7</v>
      </c>
      <c r="O135" s="3" t="str">
        <f>IFERROR(VLOOKUP(gia_khuyen_mai[[#This Row],[Mã hàng tặng]],'Giá gốc'!B:C,2,0),"")</f>
        <v>Lá Kim Trẻ em 5g lốc 3 * 36 lốc (HD)</v>
      </c>
      <c r="P135" s="4"/>
      <c r="Q135" s="3" t="str">
        <f>VLOOKUP(gia_khuyen_mai[[#This Row],[Mã sản phẩm]],product[[Mã sản phẩm]:[DS - ĐV]],3,0)</f>
        <v>Food Daesang</v>
      </c>
    </row>
    <row r="136" spans="1:17" ht="21.75" customHeight="1" x14ac:dyDescent="0.45">
      <c r="A136" s="26">
        <v>137</v>
      </c>
      <c r="B136" s="4" t="s">
        <v>532</v>
      </c>
      <c r="C136" s="4" t="s">
        <v>5</v>
      </c>
      <c r="D136" s="4" t="s">
        <v>498</v>
      </c>
      <c r="E136" s="4" t="s">
        <v>512</v>
      </c>
      <c r="F136" s="4" t="s">
        <v>505</v>
      </c>
      <c r="G136" s="3" t="s">
        <v>132</v>
      </c>
      <c r="H136" s="3" t="str">
        <f>VLOOKUP(gia_khuyen_mai[[#This Row],[Barcode]],'Giá gốc'!$A:$B,2,0)</f>
        <v>1025313</v>
      </c>
      <c r="I136" s="3" t="str">
        <f>VLOOKUP(gia_khuyen_mai[[#This Row],[Mã sản phẩm]],'Giá gốc'!$B:$C,2,0)</f>
        <v>Lá Kim tẩm dầu Ô liu 4g lốc 3 * 24 lốc (HD) + 12 lốc KM</v>
      </c>
      <c r="J136" s="5">
        <f>VLOOKUP(gia_khuyen_mai[[#This Row],[Mã sản phẩm]],'Giá gốc'!B:D,3,0)</f>
        <v>22752</v>
      </c>
      <c r="K136" s="6">
        <v>0.05</v>
      </c>
      <c r="L136" s="7">
        <f>ROUND((1-gia_khuyen_mai[[#This Row],[% Giảm giá]]) * gia_khuyen_mai[[#This Row],[Giá gốc]], 0)</f>
        <v>21614</v>
      </c>
      <c r="M136" s="7" t="s">
        <v>507</v>
      </c>
      <c r="N136" s="3" t="s">
        <v>528</v>
      </c>
      <c r="O136" s="3" t="str">
        <f>IFERROR(VLOOKUP(gia_khuyen_mai[[#This Row],[Mã hàng tặng]],'Giá gốc'!B:C,2,0),"")</f>
        <v>Lá Kim tẩm dầu Ô liu 4g lốc 3 * 24 lốc (HD) + 12 lốc KM</v>
      </c>
      <c r="P136" s="4" t="s">
        <v>522</v>
      </c>
      <c r="Q136" s="3" t="str">
        <f>VLOOKUP(gia_khuyen_mai[[#This Row],[Mã sản phẩm]],product[[Mã sản phẩm]:[DS - ĐV]],3,0)</f>
        <v>Food Daesang</v>
      </c>
    </row>
    <row r="137" spans="1:17" ht="21.75" customHeight="1" x14ac:dyDescent="0.45">
      <c r="A137" s="26">
        <v>138</v>
      </c>
      <c r="B137" s="4" t="s">
        <v>532</v>
      </c>
      <c r="C137" s="4" t="s">
        <v>5</v>
      </c>
      <c r="D137" s="4" t="s">
        <v>498</v>
      </c>
      <c r="E137" s="4" t="s">
        <v>512</v>
      </c>
      <c r="F137" s="4" t="s">
        <v>505</v>
      </c>
      <c r="G137" s="3" t="s">
        <v>156</v>
      </c>
      <c r="H137" s="3" t="str">
        <f>VLOOKUP(gia_khuyen_mai[[#This Row],[Barcode]],'Giá gốc'!$A:$B,2,0)</f>
        <v>1106389</v>
      </c>
      <c r="I137" s="3" t="str">
        <f>VLOOKUP(gia_khuyen_mai[[#This Row],[Mã sản phẩm]],'Giá gốc'!$B:$C,2,0)</f>
        <v>Lá Kim tẩm dầu Ô Liu 5g lốc 9 (KM 6+3)*12 lốc (HD)</v>
      </c>
      <c r="J137" s="5">
        <f>VLOOKUP(gia_khuyen_mai[[#This Row],[Mã sản phẩm]],'Giá gốc'!B:D,3,0)</f>
        <v>52224</v>
      </c>
      <c r="K137" s="6">
        <v>0.05</v>
      </c>
      <c r="L137" s="7">
        <f>ROUND((1-gia_khuyen_mai[[#This Row],[% Giảm giá]]) * gia_khuyen_mai[[#This Row],[Giá gốc]], 0)</f>
        <v>49613</v>
      </c>
      <c r="M137" s="7"/>
      <c r="O137" s="3" t="str">
        <f>IFERROR(VLOOKUP(gia_khuyen_mai[[#This Row],[Mã hàng tặng]],'Giá gốc'!B:C,2,0),"")</f>
        <v/>
      </c>
      <c r="P137" s="4" t="s">
        <v>524</v>
      </c>
      <c r="Q137" s="3" t="str">
        <f>VLOOKUP(gia_khuyen_mai[[#This Row],[Mã sản phẩm]],product[[Mã sản phẩm]:[DS - ĐV]],3,0)</f>
        <v>Food Daesang</v>
      </c>
    </row>
    <row r="138" spans="1:17" ht="21.75" customHeight="1" x14ac:dyDescent="0.45">
      <c r="A138" s="26">
        <v>139</v>
      </c>
      <c r="B138" s="4" t="s">
        <v>532</v>
      </c>
      <c r="C138" s="4" t="s">
        <v>5</v>
      </c>
      <c r="D138" s="4" t="s">
        <v>498</v>
      </c>
      <c r="E138" s="4" t="s">
        <v>512</v>
      </c>
      <c r="F138" s="4" t="s">
        <v>505</v>
      </c>
      <c r="G138" s="3" t="s">
        <v>150</v>
      </c>
      <c r="H138" s="3" t="str">
        <f>VLOOKUP(gia_khuyen_mai[[#This Row],[Barcode]],'Giá gốc'!$A:$B,2,0)</f>
        <v>1106388</v>
      </c>
      <c r="I138" s="3" t="str">
        <f>VLOOKUP(gia_khuyen_mai[[#This Row],[Mã sản phẩm]],'Giá gốc'!$B:$C,2,0)</f>
        <v>Lá Kim tẩm dầu Ô Liu 5g lốc 16 (KM 10+6)*8 lốc (HD)</v>
      </c>
      <c r="J138" s="5">
        <f>VLOOKUP(gia_khuyen_mai[[#This Row],[Mã sản phẩm]],'Giá gốc'!B:D,3,0)</f>
        <v>87072</v>
      </c>
      <c r="K138" s="6">
        <v>0.05</v>
      </c>
      <c r="L138" s="7">
        <f>ROUND((1-gia_khuyen_mai[[#This Row],[% Giảm giá]]) * gia_khuyen_mai[[#This Row],[Giá gốc]], 0)</f>
        <v>82718</v>
      </c>
      <c r="M138" s="7"/>
      <c r="O138" s="3" t="str">
        <f>IFERROR(VLOOKUP(gia_khuyen_mai[[#This Row],[Mã hàng tặng]],'Giá gốc'!B:C,2,0),"")</f>
        <v/>
      </c>
      <c r="P138" s="4" t="s">
        <v>524</v>
      </c>
      <c r="Q138" s="3" t="str">
        <f>VLOOKUP(gia_khuyen_mai[[#This Row],[Mã sản phẩm]],product[[Mã sản phẩm]:[DS - ĐV]],3,0)</f>
        <v>Food Daesang</v>
      </c>
    </row>
    <row r="139" spans="1:17" ht="21.75" customHeight="1" x14ac:dyDescent="0.45">
      <c r="A139" s="26">
        <v>140</v>
      </c>
      <c r="B139" s="4" t="s">
        <v>532</v>
      </c>
      <c r="C139" s="4" t="s">
        <v>5</v>
      </c>
      <c r="D139" s="4" t="s">
        <v>498</v>
      </c>
      <c r="E139" s="4" t="s">
        <v>512</v>
      </c>
      <c r="F139" s="4" t="s">
        <v>505</v>
      </c>
      <c r="G139" s="3" t="s">
        <v>15</v>
      </c>
      <c r="H139" s="3" t="str">
        <f>VLOOKUP(gia_khuyen_mai[[#This Row],[Barcode]],'Giá gốc'!$A:$B,2,0)</f>
        <v>1106048</v>
      </c>
      <c r="I139" s="3" t="str">
        <f>VLOOKUP(gia_khuyen_mai[[#This Row],[Mã sản phẩm]],'Giá gốc'!$B:$C,2,0)</f>
        <v>Rong biển giòn trộn gia vị 40g KM lá kim tẩm dầu oliu 4g (30 lốc) HD</v>
      </c>
      <c r="J139" s="5">
        <f>VLOOKUP(gia_khuyen_mai[[#This Row],[Mã sản phẩm]],'Giá gốc'!B:D,3,0)</f>
        <v>27600</v>
      </c>
      <c r="K139" s="6">
        <v>0.05</v>
      </c>
      <c r="L139" s="7">
        <f>ROUND((1-gia_khuyen_mai[[#This Row],[% Giảm giá]]) * gia_khuyen_mai[[#This Row],[Giá gốc]], 0)</f>
        <v>26220</v>
      </c>
      <c r="M139" s="7" t="s">
        <v>508</v>
      </c>
      <c r="O139" s="3" t="str">
        <f>IFERROR(VLOOKUP(gia_khuyen_mai[[#This Row],[Mã hàng tặng]],'Giá gốc'!B:C,2,0),"")</f>
        <v/>
      </c>
      <c r="P139" s="4" t="s">
        <v>525</v>
      </c>
      <c r="Q139" s="3" t="str">
        <f>VLOOKUP(gia_khuyen_mai[[#This Row],[Mã sản phẩm]],product[[Mã sản phẩm]:[DS - ĐV]],3,0)</f>
        <v>Food Daesang</v>
      </c>
    </row>
    <row r="140" spans="1:17" ht="21.75" customHeight="1" x14ac:dyDescent="0.45">
      <c r="A140" s="26">
        <v>141</v>
      </c>
      <c r="B140" s="4" t="s">
        <v>532</v>
      </c>
      <c r="C140" s="4" t="s">
        <v>5</v>
      </c>
      <c r="D140" s="4" t="s">
        <v>498</v>
      </c>
      <c r="E140" s="4" t="s">
        <v>512</v>
      </c>
      <c r="F140" s="4" t="s">
        <v>505</v>
      </c>
      <c r="G140" s="3" t="s">
        <v>18</v>
      </c>
      <c r="H140" s="3" t="str">
        <f>VLOOKUP(gia_khuyen_mai[[#This Row],[Barcode]],'Giá gốc'!$A:$B,2,0)</f>
        <v>1106056</v>
      </c>
      <c r="I140" s="3" t="str">
        <f>VLOOKUP(gia_khuyen_mai[[#This Row],[Mã sản phẩm]],'Giá gốc'!$B:$C,2,0)</f>
        <v>Rong biển giòn trộn hạt óc chó, hạnh nhân 40G KM lá kim tẩm dầu oliu 4G (30 lốc) HD</v>
      </c>
      <c r="J140" s="5">
        <f>VLOOKUP(gia_khuyen_mai[[#This Row],[Mã sản phẩm]],'Giá gốc'!B:D,3,0)</f>
        <v>29568</v>
      </c>
      <c r="K140" s="6">
        <v>0.05</v>
      </c>
      <c r="L140" s="7">
        <f>ROUND((1-gia_khuyen_mai[[#This Row],[% Giảm giá]]) * gia_khuyen_mai[[#This Row],[Giá gốc]], 0)</f>
        <v>28090</v>
      </c>
      <c r="M140" s="7" t="s">
        <v>508</v>
      </c>
      <c r="O140" s="3" t="str">
        <f>IFERROR(VLOOKUP(gia_khuyen_mai[[#This Row],[Mã hàng tặng]],'Giá gốc'!B:C,2,0),"")</f>
        <v/>
      </c>
      <c r="P140" s="4" t="s">
        <v>525</v>
      </c>
      <c r="Q140" s="3" t="str">
        <f>VLOOKUP(gia_khuyen_mai[[#This Row],[Mã sản phẩm]],product[[Mã sản phẩm]:[DS - ĐV]],3,0)</f>
        <v>Food Daesang</v>
      </c>
    </row>
    <row r="141" spans="1:17" ht="21.75" customHeight="1" x14ac:dyDescent="0.45">
      <c r="A141" s="26">
        <v>142</v>
      </c>
      <c r="B141" s="4" t="s">
        <v>532</v>
      </c>
      <c r="C141" s="4" t="s">
        <v>5</v>
      </c>
      <c r="D141" s="4" t="s">
        <v>498</v>
      </c>
      <c r="E141" s="4" t="s">
        <v>512</v>
      </c>
      <c r="F141" s="4" t="s">
        <v>505</v>
      </c>
      <c r="G141" s="3" t="s">
        <v>21</v>
      </c>
      <c r="H141" s="3" t="str">
        <f>VLOOKUP(gia_khuyen_mai[[#This Row],[Barcode]],'Giá gốc'!$A:$B,2,0)</f>
        <v>1106049</v>
      </c>
      <c r="I141" s="3" t="str">
        <f>VLOOKUP(gia_khuyen_mai[[#This Row],[Mã sản phẩm]],'Giá gốc'!$B:$C,2,0)</f>
        <v>Rong biển giòn trộn hải sản 40G KM lá kim tẩm dầu oliu 4G (30 lốc) HD</v>
      </c>
      <c r="J141" s="5">
        <f>VLOOKUP(gia_khuyen_mai[[#This Row],[Mã sản phẩm]],'Giá gốc'!B:D,3,0)</f>
        <v>29568</v>
      </c>
      <c r="K141" s="6">
        <v>0.05</v>
      </c>
      <c r="L141" s="7">
        <f>ROUND((1-gia_khuyen_mai[[#This Row],[% Giảm giá]]) * gia_khuyen_mai[[#This Row],[Giá gốc]], 0)</f>
        <v>28090</v>
      </c>
      <c r="M141" s="7" t="s">
        <v>508</v>
      </c>
      <c r="O141" s="3" t="str">
        <f>IFERROR(VLOOKUP(gia_khuyen_mai[[#This Row],[Mã hàng tặng]],'Giá gốc'!B:C,2,0),"")</f>
        <v/>
      </c>
      <c r="P141" s="4" t="s">
        <v>525</v>
      </c>
      <c r="Q141" s="3" t="str">
        <f>VLOOKUP(gia_khuyen_mai[[#This Row],[Mã sản phẩm]],product[[Mã sản phẩm]:[DS - ĐV]],3,0)</f>
        <v>Food Daesang</v>
      </c>
    </row>
    <row r="142" spans="1:17" ht="21.75" customHeight="1" x14ac:dyDescent="0.45">
      <c r="A142" s="26">
        <v>143</v>
      </c>
      <c r="B142" s="4" t="s">
        <v>532</v>
      </c>
      <c r="C142" s="4" t="s">
        <v>5</v>
      </c>
      <c r="D142" s="4" t="s">
        <v>498</v>
      </c>
      <c r="E142" s="4" t="s">
        <v>512</v>
      </c>
      <c r="F142" s="4" t="s">
        <v>505</v>
      </c>
      <c r="G142" s="3" t="s">
        <v>12</v>
      </c>
      <c r="H142" s="3" t="str">
        <f>VLOOKUP(gia_khuyen_mai[[#This Row],[Barcode]],'Giá gốc'!$A:$B,2,0)</f>
        <v>1106055</v>
      </c>
      <c r="I142" s="3" t="str">
        <f>VLOOKUP(gia_khuyen_mai[[#This Row],[Mã sản phẩm]],'Giá gốc'!$B:$C,2,0)</f>
        <v>Rong biển giòn trộn khô gà 40G KM lá kim tẩm dầu oliu 4G (30 lốc) HD</v>
      </c>
      <c r="J142" s="5">
        <f>VLOOKUP(gia_khuyen_mai[[#This Row],[Mã sản phẩm]],'Giá gốc'!B:D,3,0)</f>
        <v>29568</v>
      </c>
      <c r="K142" s="6">
        <v>0.05</v>
      </c>
      <c r="L142" s="7">
        <f>ROUND((1-gia_khuyen_mai[[#This Row],[% Giảm giá]]) * gia_khuyen_mai[[#This Row],[Giá gốc]], 0)</f>
        <v>28090</v>
      </c>
      <c r="M142" s="7" t="s">
        <v>508</v>
      </c>
      <c r="O142" s="3" t="str">
        <f>IFERROR(VLOOKUP(gia_khuyen_mai[[#This Row],[Mã hàng tặng]],'Giá gốc'!B:C,2,0),"")</f>
        <v/>
      </c>
      <c r="P142" s="4" t="s">
        <v>525</v>
      </c>
      <c r="Q142" s="3" t="str">
        <f>VLOOKUP(gia_khuyen_mai[[#This Row],[Mã sản phẩm]],product[[Mã sản phẩm]:[DS - ĐV]],3,0)</f>
        <v>Food Daesang</v>
      </c>
    </row>
    <row r="143" spans="1:17" ht="21.75" customHeight="1" x14ac:dyDescent="0.45">
      <c r="A143" s="26">
        <v>144</v>
      </c>
      <c r="B143" s="4" t="s">
        <v>532</v>
      </c>
      <c r="C143" s="4" t="s">
        <v>5</v>
      </c>
      <c r="D143" s="4" t="s">
        <v>498</v>
      </c>
      <c r="E143" s="4" t="s">
        <v>512</v>
      </c>
      <c r="F143" s="4" t="s">
        <v>505</v>
      </c>
      <c r="G143" s="3" t="s">
        <v>159</v>
      </c>
      <c r="H143" s="3" t="str">
        <f>VLOOKUP(gia_khuyen_mai[[#This Row],[Barcode]],'Giá gốc'!$A:$B,2,0)</f>
        <v>1107393</v>
      </c>
      <c r="I143" s="3" t="str">
        <f>VLOOKUP(gia_khuyen_mai[[#This Row],[Mã sản phẩm]],'Giá gốc'!$B:$C,2,0)</f>
        <v xml:space="preserve">Rong biển giòn trộn cá hồi 30g * 30EA (HD) </v>
      </c>
      <c r="J143" s="5">
        <f>VLOOKUP(gia_khuyen_mai[[#This Row],[Mã sản phẩm]],'Giá gốc'!B:D,3,0)</f>
        <v>29568</v>
      </c>
      <c r="K143" s="6"/>
      <c r="L143" s="7">
        <f>ROUND((1-gia_khuyen_mai[[#This Row],[% Giảm giá]]) * gia_khuyen_mai[[#This Row],[Giá gốc]], 0)</f>
        <v>29568</v>
      </c>
      <c r="M143" s="7" t="s">
        <v>508</v>
      </c>
      <c r="N143" s="3" t="s">
        <v>133</v>
      </c>
      <c r="O143" s="3" t="str">
        <f>IFERROR(VLOOKUP(gia_khuyen_mai[[#This Row],[Mã hàng tặng]],'Giá gốc'!B:C,2,0),"")</f>
        <v/>
      </c>
      <c r="P143" s="4" t="s">
        <v>526</v>
      </c>
      <c r="Q143" s="3" t="str">
        <f>VLOOKUP(gia_khuyen_mai[[#This Row],[Mã sản phẩm]],product[[Mã sản phẩm]:[DS - ĐV]],3,0)</f>
        <v>Food Daesang</v>
      </c>
    </row>
    <row r="144" spans="1:17" ht="21.75" customHeight="1" x14ac:dyDescent="0.45">
      <c r="A144" s="26">
        <v>145</v>
      </c>
      <c r="B144" s="4" t="s">
        <v>532</v>
      </c>
      <c r="C144" s="4" t="s">
        <v>5</v>
      </c>
      <c r="D144" s="4" t="s">
        <v>498</v>
      </c>
      <c r="E144" s="4" t="s">
        <v>512</v>
      </c>
      <c r="F144" s="4" t="s">
        <v>505</v>
      </c>
      <c r="G144" s="3" t="s">
        <v>180</v>
      </c>
      <c r="H144" s="3" t="str">
        <f>VLOOKUP(gia_khuyen_mai[[#This Row],[Barcode]],'Giá gốc'!$A:$B,2,0)</f>
        <v>1107394</v>
      </c>
      <c r="I144" s="3" t="str">
        <f>VLOOKUP(gia_khuyen_mai[[#This Row],[Mã sản phẩm]],'Giá gốc'!$B:$C,2,0)</f>
        <v xml:space="preserve">Rong biển giòn trộn rau &amp; hạt 30g *30 EA (HD) </v>
      </c>
      <c r="J144" s="5">
        <f>VLOOKUP(gia_khuyen_mai[[#This Row],[Mã sản phẩm]],'Giá gốc'!B:D,3,0)</f>
        <v>29568</v>
      </c>
      <c r="K144" s="6"/>
      <c r="L144" s="7">
        <f>ROUND((1-gia_khuyen_mai[[#This Row],[% Giảm giá]]) * gia_khuyen_mai[[#This Row],[Giá gốc]], 0)</f>
        <v>29568</v>
      </c>
      <c r="M144" s="7" t="s">
        <v>508</v>
      </c>
      <c r="N144" s="3" t="s">
        <v>133</v>
      </c>
      <c r="O144" s="3" t="str">
        <f>IFERROR(VLOOKUP(gia_khuyen_mai[[#This Row],[Mã hàng tặng]],'Giá gốc'!B:C,2,0),"")</f>
        <v/>
      </c>
      <c r="P144" s="4" t="s">
        <v>526</v>
      </c>
      <c r="Q144" s="3" t="str">
        <f>VLOOKUP(gia_khuyen_mai[[#This Row],[Mã sản phẩm]],product[[Mã sản phẩm]:[DS - ĐV]],3,0)</f>
        <v>Food Daesang</v>
      </c>
    </row>
    <row r="145" spans="1:17" ht="21.75" customHeight="1" x14ac:dyDescent="0.45">
      <c r="A145" s="26">
        <v>146</v>
      </c>
      <c r="B145" s="4" t="s">
        <v>532</v>
      </c>
      <c r="C145" s="4" t="s">
        <v>5</v>
      </c>
      <c r="D145" s="4" t="s">
        <v>498</v>
      </c>
      <c r="E145" s="4" t="s">
        <v>512</v>
      </c>
      <c r="F145" s="4" t="s">
        <v>505</v>
      </c>
      <c r="G145" s="3" t="s">
        <v>27</v>
      </c>
      <c r="H145" s="3" t="str">
        <f>VLOOKUP(gia_khuyen_mai[[#This Row],[Barcode]],'Giá gốc'!$A:$B,2,0)</f>
        <v>2015475</v>
      </c>
      <c r="I145" s="3" t="str">
        <f>VLOOKUP(gia_khuyen_mai[[#This Row],[Mã sản phẩm]],'Giá gốc'!$B:$C,2,0)</f>
        <v>Lá Kim tẩm dầu Oliu 4.5g lốc 2 (40 lốc)</v>
      </c>
      <c r="J145" s="5">
        <f>VLOOKUP(gia_khuyen_mai[[#This Row],[Mã sản phẩm]],'Giá gốc'!B:D,3,0)</f>
        <v>19571</v>
      </c>
      <c r="K145" s="6"/>
      <c r="L145" s="7">
        <f>ROUND((1-gia_khuyen_mai[[#This Row],[% Giảm giá]]) * gia_khuyen_mai[[#This Row],[Giá gốc]], 0)</f>
        <v>19571</v>
      </c>
      <c r="M145" s="7" t="s">
        <v>507</v>
      </c>
      <c r="N145" s="3" t="s">
        <v>28</v>
      </c>
      <c r="O145" s="3" t="str">
        <f>IFERROR(VLOOKUP(gia_khuyen_mai[[#This Row],[Mã hàng tặng]],'Giá gốc'!B:C,2,0),"")</f>
        <v>Lá Kim tẩm dầu Oliu 4.5g lốc 2 (40 lốc)</v>
      </c>
      <c r="P145" s="4" t="s">
        <v>507</v>
      </c>
      <c r="Q145" s="3" t="str">
        <f>VLOOKUP(gia_khuyen_mai[[#This Row],[Mã sản phẩm]],product[[Mã sản phẩm]:[DS - ĐV]],3,0)</f>
        <v>Food Daesang</v>
      </c>
    </row>
    <row r="146" spans="1:17" s="30" customFormat="1" ht="18" x14ac:dyDescent="0.45">
      <c r="A146" s="34">
        <v>146</v>
      </c>
      <c r="B146" s="24" t="s">
        <v>11454</v>
      </c>
      <c r="C146" s="24" t="s">
        <v>502</v>
      </c>
      <c r="D146" s="24" t="s">
        <v>498</v>
      </c>
      <c r="E146" s="24" t="s">
        <v>11453</v>
      </c>
      <c r="F146" s="24" t="s">
        <v>11455</v>
      </c>
      <c r="G146" s="24" t="s">
        <v>373</v>
      </c>
      <c r="H146" s="30" t="str">
        <f>VLOOKUP(gia_khuyen_mai[[#This Row],[Barcode]],'Giá gốc'!$A:$B,2,0)</f>
        <v>2145686</v>
      </c>
      <c r="I146" s="30" t="str">
        <f>VLOOKUP(gia_khuyen_mai[[#This Row],[Mã sản phẩm]],'Giá gốc'!$B:$C,2,0)</f>
        <v>Xúc xích hong khói 450g</v>
      </c>
      <c r="J146" s="35">
        <f>VLOOKUP(gia_khuyen_mai[[#This Row],[Mã sản phẩm]],'Giá gốc'!B:D,3,0)</f>
        <v>75330</v>
      </c>
      <c r="K146" s="36"/>
      <c r="L146" s="33">
        <f>ROUND((1-gia_khuyen_mai[[#This Row],[% Giảm giá]]) * gia_khuyen_mai[[#This Row],[Giá gốc]], 0)</f>
        <v>75330</v>
      </c>
      <c r="M146" s="33" t="s">
        <v>508</v>
      </c>
      <c r="N146" s="30" t="s">
        <v>410</v>
      </c>
      <c r="O146" s="30" t="str">
        <f>IFERROR(VLOOKUP(gia_khuyen_mai[[#This Row],[Mã hàng tặng]],'Giá gốc'!B:C,2,0),"")</f>
        <v>Xúc xích Hotdog 200g</v>
      </c>
      <c r="P146" s="24"/>
      <c r="Q146" s="30" t="str">
        <f>VLOOKUP(gia_khuyen_mai[[#This Row],[Mã sản phẩm]],product[[Mã sản phẩm]:[DS - ĐV]],3,0)</f>
        <v>Food Đức Việt</v>
      </c>
    </row>
    <row r="147" spans="1:17" ht="21.75" customHeight="1" x14ac:dyDescent="0.45">
      <c r="A147" s="26">
        <v>147</v>
      </c>
      <c r="B147" s="24" t="s">
        <v>11454</v>
      </c>
      <c r="C147" s="24" t="s">
        <v>502</v>
      </c>
      <c r="D147" s="24" t="s">
        <v>498</v>
      </c>
      <c r="E147" s="24" t="s">
        <v>11453</v>
      </c>
      <c r="F147" s="24" t="s">
        <v>11455</v>
      </c>
      <c r="G147" s="4" t="s">
        <v>476</v>
      </c>
      <c r="H147" s="3" t="str">
        <f>VLOOKUP(gia_khuyen_mai[[#This Row],[Barcode]],'Giá gốc'!$A:$B,2,0)</f>
        <v>2150337</v>
      </c>
      <c r="I147" s="3" t="str">
        <f>VLOOKUP(gia_khuyen_mai[[#This Row],[Mã sản phẩm]],'Giá gốc'!$B:$C,2,0)</f>
        <v>O'food Chả giò da xốp nhân thịt 300g</v>
      </c>
      <c r="J147" s="5">
        <f>VLOOKUP(gia_khuyen_mai[[#This Row],[Mã sản phẩm]],'Giá gốc'!B:D,3,0)</f>
        <v>31524</v>
      </c>
      <c r="K147" s="6">
        <v>0.3</v>
      </c>
      <c r="L147" s="7">
        <f>ROUND((1-gia_khuyen_mai[[#This Row],[% Giảm giá]]) * gia_khuyen_mai[[#This Row],[Giá gốc]], 0)</f>
        <v>22067</v>
      </c>
      <c r="M147" s="7"/>
      <c r="O147" s="3" t="str">
        <f>IFERROR(VLOOKUP(gia_khuyen_mai[[#This Row],[Mã hàng tặng]],'Giá gốc'!B:C,2,0),"")</f>
        <v/>
      </c>
      <c r="Q147" s="3" t="str">
        <f>VLOOKUP(gia_khuyen_mai[[#This Row],[Mã sản phẩm]],product[[Mã sản phẩm]:[DS - ĐV]],3,0)</f>
        <v>Food Đức Việt</v>
      </c>
    </row>
    <row r="148" spans="1:17" ht="21.75" customHeight="1" x14ac:dyDescent="0.45">
      <c r="A148" s="26">
        <v>148</v>
      </c>
      <c r="B148" s="24" t="s">
        <v>11454</v>
      </c>
      <c r="C148" s="24" t="s">
        <v>502</v>
      </c>
      <c r="D148" s="24" t="s">
        <v>498</v>
      </c>
      <c r="E148" s="24" t="s">
        <v>11453</v>
      </c>
      <c r="F148" s="24" t="s">
        <v>12566</v>
      </c>
      <c r="G148" s="4" t="s">
        <v>427</v>
      </c>
      <c r="H148" s="3" t="str">
        <f>VLOOKUP(gia_khuyen_mai[[#This Row],[Barcode]],'Giá gốc'!$A:$B,2,0)</f>
        <v>2145743</v>
      </c>
      <c r="I148" s="3" t="str">
        <f>VLOOKUP(gia_khuyen_mai[[#This Row],[Mã sản phẩm]],'Giá gốc'!$B:$C,2,0)</f>
        <v>Xúc xích sụn nướng Bulgogi 450g</v>
      </c>
      <c r="J148" s="5">
        <f>VLOOKUP(gia_khuyen_mai[[#This Row],[Mã sản phẩm]],'Giá gốc'!B:D,3,0)</f>
        <v>70956</v>
      </c>
      <c r="K148" s="6">
        <v>0.3</v>
      </c>
      <c r="L148" s="7">
        <f>ROUND((1-gia_khuyen_mai[[#This Row],[% Giảm giá]]) * gia_khuyen_mai[[#This Row],[Giá gốc]], 0)</f>
        <v>49669</v>
      </c>
      <c r="M148" s="7"/>
      <c r="O148" s="3" t="str">
        <f>IFERROR(VLOOKUP(gia_khuyen_mai[[#This Row],[Mã hàng tặng]],'Giá gốc'!B:C,2,0),"")</f>
        <v/>
      </c>
      <c r="Q148" s="3" t="str">
        <f>VLOOKUP(gia_khuyen_mai[[#This Row],[Mã sản phẩm]],product[[Mã sản phẩm]:[DS - ĐV]],3,0)</f>
        <v>Food Đức Việt</v>
      </c>
    </row>
    <row r="149" spans="1:17" ht="21.75" customHeight="1" x14ac:dyDescent="0.45">
      <c r="A149" s="26">
        <v>149</v>
      </c>
      <c r="B149" s="24" t="s">
        <v>11454</v>
      </c>
      <c r="C149" s="24" t="s">
        <v>502</v>
      </c>
      <c r="D149" s="24" t="s">
        <v>498</v>
      </c>
      <c r="E149" s="24" t="s">
        <v>11453</v>
      </c>
      <c r="F149" s="24" t="s">
        <v>11455</v>
      </c>
      <c r="G149" s="4" t="s">
        <v>397</v>
      </c>
      <c r="H149" s="3" t="str">
        <f>VLOOKUP(gia_khuyen_mai[[#This Row],[Barcode]],'Giá gốc'!$A:$B,2,0)</f>
        <v>2145726</v>
      </c>
      <c r="I149" s="3" t="str">
        <f>VLOOKUP(gia_khuyen_mai[[#This Row],[Mã sản phẩm]],'Giá gốc'!$B:$C,2,0)</f>
        <v>Xúc xích phô mai Cheesy 250g</v>
      </c>
      <c r="J149" s="5">
        <f>VLOOKUP(gia_khuyen_mai[[#This Row],[Mã sản phẩm]],'Giá gốc'!B:D,3,0)</f>
        <v>46980</v>
      </c>
      <c r="K149" s="6">
        <v>0.3</v>
      </c>
      <c r="L149" s="7">
        <f>ROUND((1-gia_khuyen_mai[[#This Row],[% Giảm giá]]) * gia_khuyen_mai[[#This Row],[Giá gốc]], 0)</f>
        <v>32886</v>
      </c>
      <c r="M149" s="7"/>
      <c r="O149" s="3" t="str">
        <f>IFERROR(VLOOKUP(gia_khuyen_mai[[#This Row],[Mã hàng tặng]],'Giá gốc'!B:C,2,0),"")</f>
        <v/>
      </c>
      <c r="Q149" s="3" t="str">
        <f>VLOOKUP(gia_khuyen_mai[[#This Row],[Mã sản phẩm]],product[[Mã sản phẩm]:[DS - ĐV]],3,0)</f>
        <v>Food Đức Việt</v>
      </c>
    </row>
    <row r="150" spans="1:17" ht="21.75" customHeight="1" x14ac:dyDescent="0.45">
      <c r="A150" s="26">
        <v>150</v>
      </c>
      <c r="B150" s="24" t="s">
        <v>11454</v>
      </c>
      <c r="C150" s="24" t="s">
        <v>502</v>
      </c>
      <c r="D150" s="24" t="s">
        <v>498</v>
      </c>
      <c r="E150" s="24" t="s">
        <v>11453</v>
      </c>
      <c r="F150" s="24" t="s">
        <v>11455</v>
      </c>
      <c r="G150" s="4" t="s">
        <v>464</v>
      </c>
      <c r="H150" s="3" t="str">
        <f>VLOOKUP(gia_khuyen_mai[[#This Row],[Barcode]],'Giá gốc'!$A:$B,2,0)</f>
        <v>2145622</v>
      </c>
      <c r="I150" s="3" t="str">
        <f>VLOOKUP(gia_khuyen_mai[[#This Row],[Mã sản phẩm]],'Giá gốc'!$B:$C,2,0)</f>
        <v>Kim chi 450</v>
      </c>
      <c r="J150" s="5">
        <f>VLOOKUP(gia_khuyen_mai[[#This Row],[Mã sản phẩm]],'Giá gốc'!B:D,3,0)</f>
        <v>33750</v>
      </c>
      <c r="K150" s="6">
        <v>0.3</v>
      </c>
      <c r="L150" s="7">
        <f>ROUND((1-gia_khuyen_mai[[#This Row],[% Giảm giá]]) * gia_khuyen_mai[[#This Row],[Giá gốc]], 0)</f>
        <v>23625</v>
      </c>
      <c r="M150" s="7"/>
      <c r="O150" s="3" t="str">
        <f>IFERROR(VLOOKUP(gia_khuyen_mai[[#This Row],[Mã hàng tặng]],'Giá gốc'!B:C,2,0),"")</f>
        <v/>
      </c>
      <c r="Q150" s="3" t="str">
        <f>VLOOKUP(gia_khuyen_mai[[#This Row],[Mã sản phẩm]],product[[Mã sản phẩm]:[DS - ĐV]],3,0)</f>
        <v>Food Đức Việt</v>
      </c>
    </row>
    <row r="151" spans="1:17" ht="21.75" customHeight="1" x14ac:dyDescent="0.45">
      <c r="A151" s="26">
        <v>151</v>
      </c>
      <c r="B151" s="24" t="s">
        <v>11454</v>
      </c>
      <c r="C151" s="24" t="s">
        <v>502</v>
      </c>
      <c r="D151" s="24" t="s">
        <v>498</v>
      </c>
      <c r="E151" s="24" t="s">
        <v>11453</v>
      </c>
      <c r="F151" s="24" t="s">
        <v>11455</v>
      </c>
      <c r="G151" s="4" t="s">
        <v>418</v>
      </c>
      <c r="H151" s="3" t="str">
        <f>VLOOKUP(gia_khuyen_mai[[#This Row],[Barcode]],'Giá gốc'!$A:$B,2,0)</f>
        <v>2145783</v>
      </c>
      <c r="I151" s="3" t="str">
        <f>VLOOKUP(gia_khuyen_mai[[#This Row],[Mã sản phẩm]],'Giá gốc'!$B:$C,2,0)</f>
        <v>Xúc xích Romas ( 50g) 500g</v>
      </c>
      <c r="J151" s="5">
        <f>VLOOKUP(gia_khuyen_mai[[#This Row],[Mã sản phẩm]],'Giá gốc'!B:D,3,0)</f>
        <v>49500</v>
      </c>
      <c r="K151" s="6">
        <v>0.25</v>
      </c>
      <c r="L151" s="7">
        <f>ROUND((1-gia_khuyen_mai[[#This Row],[% Giảm giá]]) * gia_khuyen_mai[[#This Row],[Giá gốc]], 0)</f>
        <v>37125</v>
      </c>
      <c r="M151" s="7"/>
      <c r="O151" s="3" t="str">
        <f>IFERROR(VLOOKUP(gia_khuyen_mai[[#This Row],[Mã hàng tặng]],'Giá gốc'!B:C,2,0),"")</f>
        <v/>
      </c>
      <c r="Q151" s="3" t="str">
        <f>VLOOKUP(gia_khuyen_mai[[#This Row],[Mã sản phẩm]],product[[Mã sản phẩm]:[DS - ĐV]],3,0)</f>
        <v>Food Đức Việt</v>
      </c>
    </row>
    <row r="152" spans="1:17" ht="21.75" customHeight="1" x14ac:dyDescent="0.45">
      <c r="A152" s="26">
        <v>152</v>
      </c>
      <c r="B152" s="24" t="s">
        <v>11454</v>
      </c>
      <c r="C152" s="24" t="s">
        <v>502</v>
      </c>
      <c r="D152" s="24" t="s">
        <v>498</v>
      </c>
      <c r="E152" s="24" t="s">
        <v>11453</v>
      </c>
      <c r="F152" s="24" t="s">
        <v>11455</v>
      </c>
      <c r="G152" s="4" t="s">
        <v>424</v>
      </c>
      <c r="H152" s="3" t="str">
        <f>VLOOKUP(gia_khuyen_mai[[#This Row],[Barcode]],'Giá gốc'!$A:$B,2,0)</f>
        <v>2145774</v>
      </c>
      <c r="I152" s="3" t="str">
        <f>VLOOKUP(gia_khuyen_mai[[#This Row],[Mã sản phẩm]],'Giá gốc'!$B:$C,2,0)</f>
        <v>Xúc xích Pari (50g) 500g</v>
      </c>
      <c r="J152" s="5">
        <f>VLOOKUP(gia_khuyen_mai[[#This Row],[Mã sản phẩm]],'Giá gốc'!B:D,3,0)</f>
        <v>51150</v>
      </c>
      <c r="K152" s="6">
        <v>0.22</v>
      </c>
      <c r="L152" s="7">
        <f>ROUND((1-gia_khuyen_mai[[#This Row],[% Giảm giá]]) * gia_khuyen_mai[[#This Row],[Giá gốc]], 0)</f>
        <v>39897</v>
      </c>
      <c r="M152" s="7"/>
      <c r="O152" s="3" t="str">
        <f>IFERROR(VLOOKUP(gia_khuyen_mai[[#This Row],[Mã hàng tặng]],'Giá gốc'!B:C,2,0),"")</f>
        <v/>
      </c>
      <c r="Q152" s="3" t="str">
        <f>VLOOKUP(gia_khuyen_mai[[#This Row],[Mã sản phẩm]],product[[Mã sản phẩm]:[DS - ĐV]],3,0)</f>
        <v>Food Đức Việt</v>
      </c>
    </row>
    <row r="153" spans="1:17" ht="21.75" customHeight="1" x14ac:dyDescent="0.45">
      <c r="A153" s="26">
        <v>153</v>
      </c>
      <c r="B153" s="4" t="s">
        <v>12531</v>
      </c>
      <c r="C153" s="4" t="s">
        <v>5</v>
      </c>
      <c r="D153" s="4" t="s">
        <v>498</v>
      </c>
      <c r="E153" s="24" t="s">
        <v>11453</v>
      </c>
      <c r="F153" s="4" t="s">
        <v>12532</v>
      </c>
      <c r="G153" s="3" t="s">
        <v>382</v>
      </c>
      <c r="H153" s="3" t="str">
        <f>VLOOKUP(gia_khuyen_mai[[#This Row],[Barcode]],'Giá gốc'!$A:$B,2,0)</f>
        <v>2145691</v>
      </c>
      <c r="I153" s="3" t="str">
        <f>VLOOKUP(gia_khuyen_mai[[#This Row],[Mã sản phẩm]],'Giá gốc'!$B:$C,2,0)</f>
        <v>Xúc xích viên hong khói 450g * 1EA</v>
      </c>
      <c r="J153" s="5">
        <f>VLOOKUP(gia_khuyen_mai[[#This Row],[Mã sản phẩm]],'Giá gốc'!B:D,3,0)</f>
        <v>80190</v>
      </c>
      <c r="K153" s="6"/>
      <c r="L153" s="7">
        <f>ROUND((1-gia_khuyen_mai[[#This Row],[% Giảm giá]]) * gia_khuyen_mai[[#This Row],[Giá gốc]], 0)</f>
        <v>80190</v>
      </c>
      <c r="M153" s="7" t="s">
        <v>508</v>
      </c>
      <c r="N153" s="4" t="s">
        <v>401</v>
      </c>
      <c r="O153" s="3" t="str">
        <f>IFERROR(VLOOKUP(gia_khuyen_mai[[#This Row],[Mã hàng tặng]],'Giá gốc'!B:C,2,0),"")</f>
        <v>Xúc xích phô mai Cheesy 70g * 30EA</v>
      </c>
      <c r="Q153" s="3" t="str">
        <f>VLOOKUP(gia_khuyen_mai[[#This Row],[Mã sản phẩm]],product[[Mã sản phẩm]:[DS - ĐV]],3,0)</f>
        <v>Food Đức Việt</v>
      </c>
    </row>
    <row r="154" spans="1:17" ht="21.75" customHeight="1" x14ac:dyDescent="0.45">
      <c r="A154" s="26">
        <v>153.60606060606099</v>
      </c>
      <c r="B154" s="4" t="s">
        <v>12539</v>
      </c>
      <c r="C154" s="4" t="s">
        <v>502</v>
      </c>
      <c r="D154" s="4" t="s">
        <v>498</v>
      </c>
      <c r="E154" s="4" t="s">
        <v>12537</v>
      </c>
      <c r="F154" s="4" t="s">
        <v>12662</v>
      </c>
      <c r="G154" s="4" t="s">
        <v>394</v>
      </c>
      <c r="H154" s="3" t="str">
        <f>VLOOKUP(gia_khuyen_mai[[#This Row],[Barcode]],'Giá gốc'!$A:$B,2,0)</f>
        <v>2145744</v>
      </c>
      <c r="I154" s="3" t="str">
        <f>VLOOKUP(gia_khuyen_mai[[#This Row],[Mã sản phẩm]],'Giá gốc'!$B:$C,2,0)</f>
        <v>Xúc xích bắp phô mai 250g</v>
      </c>
      <c r="J154" s="5">
        <f>VLOOKUP(gia_khuyen_mai[[#This Row],[Mã sản phẩm]],'Giá gốc'!B:D,3,0)</f>
        <v>46980</v>
      </c>
      <c r="K154" s="6">
        <v>0.3</v>
      </c>
      <c r="L154" s="7">
        <f>ROUND((1-gia_khuyen_mai[[#This Row],[% Giảm giá]]) * gia_khuyen_mai[[#This Row],[Giá gốc]], 0)</f>
        <v>32886</v>
      </c>
      <c r="M154" s="7"/>
      <c r="O154" s="3" t="str">
        <f>IFERROR(VLOOKUP(gia_khuyen_mai[[#This Row],[Mã hàng tặng]],'Giá gốc'!B:C,2,0),"")</f>
        <v/>
      </c>
      <c r="Q154" s="3" t="str">
        <f>VLOOKUP(gia_khuyen_mai[[#This Row],[Mã sản phẩm]],product[[Mã sản phẩm]:[DS - ĐV]],3,0)</f>
        <v>Food Đức Việt</v>
      </c>
    </row>
    <row r="155" spans="1:17" ht="21.75" customHeight="1" x14ac:dyDescent="0.45">
      <c r="A155" s="26">
        <v>154.49417249417201</v>
      </c>
      <c r="B155" s="4" t="s">
        <v>12539</v>
      </c>
      <c r="C155" s="4" t="s">
        <v>502</v>
      </c>
      <c r="D155" s="4" t="s">
        <v>498</v>
      </c>
      <c r="E155" s="4" t="s">
        <v>12537</v>
      </c>
      <c r="F155" s="4" t="s">
        <v>12538</v>
      </c>
      <c r="G155" s="4" t="s">
        <v>470</v>
      </c>
      <c r="H155" s="3" t="str">
        <f>VLOOKUP(gia_khuyen_mai[[#This Row],[Barcode]],'Giá gốc'!$A:$B,2,0)</f>
        <v>2146839</v>
      </c>
      <c r="I155" s="3" t="str">
        <f>VLOOKUP(gia_khuyen_mai[[#This Row],[Mã sản phẩm]],'Giá gốc'!$B:$C,2,0)</f>
        <v>Seoul's Hotdog Chiên xù 250g (M)</v>
      </c>
      <c r="J155" s="5">
        <f>VLOOKUP(gia_khuyen_mai[[#This Row],[Mã sản phẩm]],'Giá gốc'!B:D,3,0)</f>
        <v>39150</v>
      </c>
      <c r="K155" s="6">
        <v>0.22</v>
      </c>
      <c r="L155" s="7">
        <f>ROUND((1-gia_khuyen_mai[[#This Row],[% Giảm giá]]) * gia_khuyen_mai[[#This Row],[Giá gốc]], 0)</f>
        <v>30537</v>
      </c>
      <c r="M155" s="7"/>
      <c r="O155" s="3" t="str">
        <f>IFERROR(VLOOKUP(gia_khuyen_mai[[#This Row],[Mã hàng tặng]],'Giá gốc'!B:C,2,0),"")</f>
        <v/>
      </c>
      <c r="Q155" s="3" t="str">
        <f>VLOOKUP(gia_khuyen_mai[[#This Row],[Mã sản phẩm]],product[[Mã sản phẩm]:[DS - ĐV]],3,0)</f>
        <v>Food Đức Việt</v>
      </c>
    </row>
    <row r="156" spans="1:17" ht="21.75" customHeight="1" x14ac:dyDescent="0.45">
      <c r="A156" s="26">
        <v>155.38228438228401</v>
      </c>
      <c r="B156" s="4" t="s">
        <v>12539</v>
      </c>
      <c r="C156" s="4" t="s">
        <v>502</v>
      </c>
      <c r="D156" s="4" t="s">
        <v>498</v>
      </c>
      <c r="E156" s="4" t="s">
        <v>12537</v>
      </c>
      <c r="F156" s="4" t="s">
        <v>12662</v>
      </c>
      <c r="G156" s="4" t="s">
        <v>445</v>
      </c>
      <c r="H156" s="3" t="str">
        <f>VLOOKUP(gia_khuyen_mai[[#This Row],[Barcode]],'Giá gốc'!$A:$B,2,0)</f>
        <v>2145745</v>
      </c>
      <c r="I156" s="3" t="str">
        <f>VLOOKUP(gia_khuyen_mai[[#This Row],[Mã sản phẩm]],'Giá gốc'!$B:$C,2,0)</f>
        <v>Jăm bông hấp 200g</v>
      </c>
      <c r="J156" s="5">
        <f>VLOOKUP(gia_khuyen_mai[[#This Row],[Mã sản phẩm]],'Giá gốc'!B:D,3,0)</f>
        <v>33000</v>
      </c>
      <c r="K156" s="6">
        <v>0.15</v>
      </c>
      <c r="L156" s="7">
        <f>ROUND((1-gia_khuyen_mai[[#This Row],[% Giảm giá]]) * gia_khuyen_mai[[#This Row],[Giá gốc]], 0)</f>
        <v>28050</v>
      </c>
      <c r="M156" s="7"/>
      <c r="O156" s="3" t="str">
        <f>IFERROR(VLOOKUP(gia_khuyen_mai[[#This Row],[Mã hàng tặng]],'Giá gốc'!B:C,2,0),"")</f>
        <v/>
      </c>
      <c r="Q156" s="3" t="str">
        <f>VLOOKUP(gia_khuyen_mai[[#This Row],[Mã sản phẩm]],product[[Mã sản phẩm]:[DS - ĐV]],3,0)</f>
        <v>Food Đức Việt</v>
      </c>
    </row>
    <row r="157" spans="1:17" ht="21.75" customHeight="1" x14ac:dyDescent="0.45">
      <c r="A157" s="26">
        <v>156.27039627039599</v>
      </c>
      <c r="B157" s="4" t="s">
        <v>12539</v>
      </c>
      <c r="C157" s="4" t="s">
        <v>502</v>
      </c>
      <c r="D157" s="4" t="s">
        <v>498</v>
      </c>
      <c r="E157" s="4" t="s">
        <v>12537</v>
      </c>
      <c r="F157" s="4" t="s">
        <v>12538</v>
      </c>
      <c r="G157" s="4" t="s">
        <v>409</v>
      </c>
      <c r="H157" s="3" t="str">
        <f>VLOOKUP(gia_khuyen_mai[[#This Row],[Barcode]],'Giá gốc'!$A:$B,2,0)</f>
        <v>2145765</v>
      </c>
      <c r="I157" s="3" t="str">
        <f>VLOOKUP(gia_khuyen_mai[[#This Row],[Mã sản phẩm]],'Giá gốc'!$B:$C,2,0)</f>
        <v>Xúc xích Hotdog 200g</v>
      </c>
      <c r="J157" s="5">
        <f>VLOOKUP(gia_khuyen_mai[[#This Row],[Mã sản phẩm]],'Giá gốc'!B:D,3,0)</f>
        <v>19116</v>
      </c>
      <c r="K157" s="6">
        <v>0.2</v>
      </c>
      <c r="L157" s="7">
        <f>ROUND((1-gia_khuyen_mai[[#This Row],[% Giảm giá]]) * gia_khuyen_mai[[#This Row],[Giá gốc]], 0)</f>
        <v>15293</v>
      </c>
      <c r="M157" s="7"/>
      <c r="O157" s="3" t="str">
        <f>IFERROR(VLOOKUP(gia_khuyen_mai[[#This Row],[Mã hàng tặng]],'Giá gốc'!B:C,2,0),"")</f>
        <v/>
      </c>
      <c r="Q157" s="3" t="str">
        <f>VLOOKUP(gia_khuyen_mai[[#This Row],[Mã sản phẩm]],product[[Mã sản phẩm]:[DS - ĐV]],3,0)</f>
        <v>Food Đức Việt</v>
      </c>
    </row>
    <row r="158" spans="1:17" ht="21.75" customHeight="1" x14ac:dyDescent="0.45">
      <c r="A158" s="34">
        <v>157.158508158508</v>
      </c>
      <c r="B158" s="4" t="s">
        <v>12539</v>
      </c>
      <c r="C158" s="4" t="s">
        <v>502</v>
      </c>
      <c r="D158" s="4" t="s">
        <v>498</v>
      </c>
      <c r="E158" s="4" t="s">
        <v>12537</v>
      </c>
      <c r="F158" s="4" t="s">
        <v>12538</v>
      </c>
      <c r="G158" s="4" t="s">
        <v>376</v>
      </c>
      <c r="H158" s="3" t="str">
        <f>VLOOKUP(gia_khuyen_mai[[#This Row],[Barcode]],'Giá gốc'!$A:$B,2,0)</f>
        <v>2145690</v>
      </c>
      <c r="I158" s="3" t="str">
        <f>VLOOKUP(gia_khuyen_mai[[#This Row],[Mã sản phẩm]],'Giá gốc'!$B:$C,2,0)</f>
        <v>Xúc xích vườn bia 200g * 1EA</v>
      </c>
      <c r="J158" s="5">
        <f>VLOOKUP(gia_khuyen_mai[[#This Row],[Mã sản phẩm]],'Giá gốc'!B:D,3,0)</f>
        <v>35424</v>
      </c>
      <c r="K158" s="6">
        <v>0.2</v>
      </c>
      <c r="L158" s="7">
        <f>ROUND((1-gia_khuyen_mai[[#This Row],[% Giảm giá]]) * gia_khuyen_mai[[#This Row],[Giá gốc]], 0)</f>
        <v>28339</v>
      </c>
      <c r="M158" s="7"/>
      <c r="O158" s="3" t="str">
        <f>IFERROR(VLOOKUP(gia_khuyen_mai[[#This Row],[Mã hàng tặng]],'Giá gốc'!B:C,2,0),"")</f>
        <v/>
      </c>
      <c r="Q158" s="3" t="str">
        <f>VLOOKUP(gia_khuyen_mai[[#This Row],[Mã sản phẩm]],product[[Mã sản phẩm]:[DS - ĐV]],3,0)</f>
        <v>Food Đức Việt</v>
      </c>
    </row>
    <row r="159" spans="1:17" ht="21.75" customHeight="1" x14ac:dyDescent="0.45">
      <c r="A159" s="26">
        <v>158.04662004662001</v>
      </c>
      <c r="B159" s="4" t="s">
        <v>12539</v>
      </c>
      <c r="C159" s="4" t="s">
        <v>502</v>
      </c>
      <c r="D159" s="4" t="s">
        <v>498</v>
      </c>
      <c r="E159" s="4" t="s">
        <v>12537</v>
      </c>
      <c r="F159" s="4" t="s">
        <v>12538</v>
      </c>
      <c r="G159" s="4" t="s">
        <v>403</v>
      </c>
      <c r="H159" s="3" t="str">
        <f>VLOOKUP(gia_khuyen_mai[[#This Row],[Barcode]],'Giá gốc'!$A:$B,2,0)</f>
        <v>2145762</v>
      </c>
      <c r="I159" s="3" t="str">
        <f>VLOOKUP(gia_khuyen_mai[[#This Row],[Mã sản phẩm]],'Giá gốc'!$B:$C,2,0)</f>
        <v>Xúc xích Cocktail 200g</v>
      </c>
      <c r="J159" s="5">
        <f>VLOOKUP(gia_khuyen_mai[[#This Row],[Mã sản phẩm]],'Giá gốc'!B:D,3,0)</f>
        <v>20088</v>
      </c>
      <c r="K159" s="6">
        <v>0.2</v>
      </c>
      <c r="L159" s="7">
        <f>ROUND((1-gia_khuyen_mai[[#This Row],[% Giảm giá]]) * gia_khuyen_mai[[#This Row],[Giá gốc]], 0)</f>
        <v>16070</v>
      </c>
      <c r="M159" s="7"/>
      <c r="O159" s="3" t="str">
        <f>IFERROR(VLOOKUP(gia_khuyen_mai[[#This Row],[Mã hàng tặng]],'Giá gốc'!B:C,2,0),"")</f>
        <v/>
      </c>
      <c r="Q159" s="3" t="str">
        <f>VLOOKUP(gia_khuyen_mai[[#This Row],[Mã sản phẩm]],product[[Mã sản phẩm]:[DS - ĐV]],3,0)</f>
        <v>Food Đức Việt</v>
      </c>
    </row>
    <row r="160" spans="1:17" ht="21.75" customHeight="1" x14ac:dyDescent="0.45">
      <c r="A160" s="26">
        <v>158.93473193473201</v>
      </c>
      <c r="B160" s="4" t="s">
        <v>12539</v>
      </c>
      <c r="C160" s="4" t="s">
        <v>502</v>
      </c>
      <c r="D160" s="4" t="s">
        <v>498</v>
      </c>
      <c r="E160" s="4" t="s">
        <v>12537</v>
      </c>
      <c r="F160" s="4" t="s">
        <v>12662</v>
      </c>
      <c r="G160" s="4" t="s">
        <v>479</v>
      </c>
      <c r="H160" s="3" t="str">
        <f>VLOOKUP(gia_khuyen_mai[[#This Row],[Barcode]],'Giá gốc'!$A:$B,2,0)</f>
        <v>2150338</v>
      </c>
      <c r="I160" s="3" t="str">
        <f>VLOOKUP(gia_khuyen_mai[[#This Row],[Mã sản phẩm]],'Giá gốc'!$B:$C,2,0)</f>
        <v>O'food Chả giò da xốp hải sản 300g</v>
      </c>
      <c r="J160" s="5">
        <f>VLOOKUP(gia_khuyen_mai[[#This Row],[Mã sản phẩm]],'Giá gốc'!B:D,3,0)</f>
        <v>31524</v>
      </c>
      <c r="K160" s="6">
        <v>0.3</v>
      </c>
      <c r="L160" s="7">
        <f>ROUND((1-gia_khuyen_mai[[#This Row],[% Giảm giá]]) * gia_khuyen_mai[[#This Row],[Giá gốc]], 0)</f>
        <v>22067</v>
      </c>
      <c r="M160" s="7"/>
      <c r="O160" s="3" t="str">
        <f>IFERROR(VLOOKUP(gia_khuyen_mai[[#This Row],[Mã hàng tặng]],'Giá gốc'!B:C,2,0),"")</f>
        <v/>
      </c>
      <c r="Q160" s="3" t="str">
        <f>VLOOKUP(gia_khuyen_mai[[#This Row],[Mã sản phẩm]],product[[Mã sản phẩm]:[DS - ĐV]],3,0)</f>
        <v>Food Đức Việt</v>
      </c>
    </row>
    <row r="161" spans="1:17" ht="21.75" customHeight="1" x14ac:dyDescent="0.45">
      <c r="A161" s="26">
        <v>159.82284382284399</v>
      </c>
      <c r="B161" s="4" t="s">
        <v>12539</v>
      </c>
      <c r="C161" s="4" t="s">
        <v>502</v>
      </c>
      <c r="D161" s="4" t="s">
        <v>498</v>
      </c>
      <c r="E161" s="4" t="s">
        <v>12537</v>
      </c>
      <c r="F161" s="4" t="s">
        <v>12538</v>
      </c>
      <c r="G161" s="4" t="s">
        <v>382</v>
      </c>
      <c r="H161" s="3" t="str">
        <f>VLOOKUP(gia_khuyen_mai[[#This Row],[Barcode]],'Giá gốc'!$A:$B,2,0)</f>
        <v>2145691</v>
      </c>
      <c r="I161" s="3" t="str">
        <f>VLOOKUP(gia_khuyen_mai[[#This Row],[Mã sản phẩm]],'Giá gốc'!$B:$C,2,0)</f>
        <v>Xúc xích viên hong khói 450g * 1EA</v>
      </c>
      <c r="J161" s="5">
        <f>VLOOKUP(gia_khuyen_mai[[#This Row],[Mã sản phẩm]],'Giá gốc'!B:D,3,0)</f>
        <v>80190</v>
      </c>
      <c r="K161" s="6"/>
      <c r="L161" s="7">
        <f>ROUND((1-gia_khuyen_mai[[#This Row],[% Giảm giá]]) * gia_khuyen_mai[[#This Row],[Giá gốc]], 0)</f>
        <v>80190</v>
      </c>
      <c r="M161" s="7" t="s">
        <v>508</v>
      </c>
      <c r="N161" s="3" t="s">
        <v>410</v>
      </c>
      <c r="O161" s="3" t="str">
        <f>IFERROR(VLOOKUP(gia_khuyen_mai[[#This Row],[Mã hàng tặng]],'Giá gốc'!B:C,2,0),"")</f>
        <v>Xúc xích Hotdog 200g</v>
      </c>
      <c r="Q161" s="3" t="str">
        <f>VLOOKUP(gia_khuyen_mai[[#This Row],[Mã sản phẩm]],product[[Mã sản phẩm]:[DS - ĐV]],3,0)</f>
        <v>Food Đức Việt</v>
      </c>
    </row>
    <row r="162" spans="1:17" ht="21.75" customHeight="1" x14ac:dyDescent="0.45">
      <c r="A162" s="26">
        <v>160.648277648278</v>
      </c>
      <c r="B162" s="4" t="s">
        <v>12564</v>
      </c>
      <c r="C162" s="4" t="s">
        <v>502</v>
      </c>
      <c r="D162" s="4" t="s">
        <v>498</v>
      </c>
      <c r="E162" s="4" t="s">
        <v>11455</v>
      </c>
      <c r="F162" s="4" t="s">
        <v>12565</v>
      </c>
      <c r="G162" s="4" t="s">
        <v>379</v>
      </c>
      <c r="H162" s="3" t="str">
        <f>VLOOKUP(gia_khuyen_mai[[#This Row],[Barcode]],'Giá gốc'!$A:$B,2,0)</f>
        <v>2145689</v>
      </c>
      <c r="I162" s="3" t="str">
        <f>VLOOKUP(gia_khuyen_mai[[#This Row],[Mã sản phẩm]],'Giá gốc'!$B:$C,2,0)</f>
        <v>Xúc xích vườn bia 450g * 1EA</v>
      </c>
      <c r="J162" s="5">
        <f>VLOOKUP(gia_khuyen_mai[[#This Row],[Mã sản phẩm]],'Giá gốc'!B:D,3,0)</f>
        <v>80190</v>
      </c>
      <c r="K162" s="6"/>
      <c r="L162" s="7">
        <f>ROUND((1-gia_khuyen_mai[[#This Row],[% Giảm giá]]) * gia_khuyen_mai[[#This Row],[Giá gốc]], 0)</f>
        <v>80190</v>
      </c>
      <c r="M162" s="7" t="s">
        <v>508</v>
      </c>
      <c r="N162" s="3" t="s">
        <v>410</v>
      </c>
      <c r="O162" s="3" t="str">
        <f>IFERROR(VLOOKUP(gia_khuyen_mai[[#This Row],[Mã hàng tặng]],'Giá gốc'!B:C,2,0),"")</f>
        <v>Xúc xích Hotdog 200g</v>
      </c>
      <c r="Q162" s="3" t="str">
        <f>VLOOKUP(gia_khuyen_mai[[#This Row],[Mã sản phẩm]],product[[Mã sản phẩm]:[DS - ĐV]],3,0)</f>
        <v>Food Đức Việt</v>
      </c>
    </row>
    <row r="163" spans="1:17" ht="21.75" customHeight="1" x14ac:dyDescent="0.45">
      <c r="A163" s="26">
        <v>161.51758611758601</v>
      </c>
      <c r="B163" s="4" t="s">
        <v>12564</v>
      </c>
      <c r="C163" s="4" t="s">
        <v>502</v>
      </c>
      <c r="D163" s="4" t="s">
        <v>498</v>
      </c>
      <c r="E163" s="4" t="s">
        <v>11455</v>
      </c>
      <c r="F163" s="4" t="s">
        <v>12565</v>
      </c>
      <c r="G163" s="4" t="s">
        <v>427</v>
      </c>
      <c r="H163" s="3" t="str">
        <f>VLOOKUP(gia_khuyen_mai[[#This Row],[Barcode]],'Giá gốc'!$A:$B,2,0)</f>
        <v>2145743</v>
      </c>
      <c r="I163" s="3" t="str">
        <f>VLOOKUP(gia_khuyen_mai[[#This Row],[Mã sản phẩm]],'Giá gốc'!$B:$C,2,0)</f>
        <v>Xúc xích sụn nướng Bulgogi 450g</v>
      </c>
      <c r="J163" s="5">
        <f>VLOOKUP(gia_khuyen_mai[[#This Row],[Mã sản phẩm]],'Giá gốc'!B:D,3,0)</f>
        <v>70956</v>
      </c>
      <c r="K163" s="6">
        <v>0.3</v>
      </c>
      <c r="L163" s="7">
        <f>ROUND((1-gia_khuyen_mai[[#This Row],[% Giảm giá]]) * gia_khuyen_mai[[#This Row],[Giá gốc]], 0)</f>
        <v>49669</v>
      </c>
      <c r="M163" s="7"/>
      <c r="O163" s="3" t="str">
        <f>IFERROR(VLOOKUP(gia_khuyen_mai[[#This Row],[Mã hàng tặng]],'Giá gốc'!B:C,2,0),"")</f>
        <v/>
      </c>
      <c r="Q163" s="3" t="str">
        <f>VLOOKUP(gia_khuyen_mai[[#This Row],[Mã sản phẩm]],product[[Mã sản phẩm]:[DS - ĐV]],3,0)</f>
        <v>Food Đức Việt</v>
      </c>
    </row>
    <row r="164" spans="1:17" ht="21.75" customHeight="1" x14ac:dyDescent="0.45">
      <c r="A164" s="26">
        <v>162.38689458689501</v>
      </c>
      <c r="B164" s="4" t="s">
        <v>12564</v>
      </c>
      <c r="C164" s="4" t="s">
        <v>502</v>
      </c>
      <c r="D164" s="4" t="s">
        <v>498</v>
      </c>
      <c r="E164" s="4" t="s">
        <v>11455</v>
      </c>
      <c r="F164" s="4" t="s">
        <v>12565</v>
      </c>
      <c r="G164" s="3" t="s">
        <v>370</v>
      </c>
      <c r="H164" s="3" t="str">
        <f>VLOOKUP(gia_khuyen_mai[[#This Row],[Barcode]],'Giá gốc'!$A:$B,2,0)</f>
        <v>2145688</v>
      </c>
      <c r="I164" s="3" t="str">
        <f>VLOOKUP(gia_khuyen_mai[[#This Row],[Mã sản phẩm]],'Giá gốc'!$B:$C,2,0)</f>
        <v>Xúc xích hong khói 200g * 1EA</v>
      </c>
      <c r="J164" s="5">
        <f>VLOOKUP(gia_khuyen_mai[[#This Row],[Mã sản phẩm]],'Giá gốc'!B:D,3,0)</f>
        <v>33000</v>
      </c>
      <c r="K164" s="6">
        <v>0.2</v>
      </c>
      <c r="L164" s="7">
        <f>ROUND((1-gia_khuyen_mai[[#This Row],[% Giảm giá]]) * gia_khuyen_mai[[#This Row],[Giá gốc]], 0)</f>
        <v>26400</v>
      </c>
      <c r="M164" s="7"/>
      <c r="O164" s="3" t="str">
        <f>IFERROR(VLOOKUP(gia_khuyen_mai[[#This Row],[Mã hàng tặng]],'Giá gốc'!B:C,2,0),"")</f>
        <v/>
      </c>
      <c r="Q164" s="3" t="str">
        <f>VLOOKUP(gia_khuyen_mai[[#This Row],[Mã sản phẩm]],product[[Mã sản phẩm]:[DS - ĐV]],3,0)</f>
        <v>Food Đức Việt</v>
      </c>
    </row>
    <row r="165" spans="1:17" ht="21.75" customHeight="1" x14ac:dyDescent="0.45">
      <c r="A165" s="26">
        <v>163.25620305620299</v>
      </c>
      <c r="B165" s="4" t="s">
        <v>12564</v>
      </c>
      <c r="C165" s="4" t="s">
        <v>502</v>
      </c>
      <c r="D165" s="4" t="s">
        <v>498</v>
      </c>
      <c r="E165" s="4" t="s">
        <v>11455</v>
      </c>
      <c r="F165" s="4" t="s">
        <v>12565</v>
      </c>
      <c r="G165" s="3" t="s">
        <v>452</v>
      </c>
      <c r="H165" s="3" t="str">
        <f>VLOOKUP(gia_khuyen_mai[[#This Row],[Barcode]],'Giá gốc'!$A:$B,2,0)</f>
        <v>2145648</v>
      </c>
      <c r="I165" s="3" t="str">
        <f>VLOOKUP(gia_khuyen_mai[[#This Row],[Mã sản phẩm]],'Giá gốc'!$B:$C,2,0)</f>
        <v>Đức Việt Handy - xúc xích ăn liền vị heo 105g * 20EA</v>
      </c>
      <c r="J165" s="5">
        <f>VLOOKUP(gia_khuyen_mai[[#This Row],[Mã sản phẩm]],'Giá gốc'!B:D,3,0)</f>
        <v>8845</v>
      </c>
      <c r="K165" s="6">
        <v>0.22</v>
      </c>
      <c r="L165" s="7">
        <f>ROUND((1-gia_khuyen_mai[[#This Row],[% Giảm giá]]) * gia_khuyen_mai[[#This Row],[Giá gốc]], 0)</f>
        <v>6899</v>
      </c>
      <c r="M165" s="7"/>
      <c r="O165" s="3" t="str">
        <f>IFERROR(VLOOKUP(gia_khuyen_mai[[#This Row],[Mã hàng tặng]],'Giá gốc'!B:C,2,0),"")</f>
        <v/>
      </c>
      <c r="Q165" s="3" t="str">
        <f>VLOOKUP(gia_khuyen_mai[[#This Row],[Mã sản phẩm]],product[[Mã sản phẩm]:[DS - ĐV]],3,0)</f>
        <v>Food Đức Việt</v>
      </c>
    </row>
    <row r="166" spans="1:17" ht="21.75" customHeight="1" x14ac:dyDescent="0.45">
      <c r="A166" s="26">
        <v>164.125511525512</v>
      </c>
      <c r="B166" s="4" t="s">
        <v>12564</v>
      </c>
      <c r="C166" s="4" t="s">
        <v>502</v>
      </c>
      <c r="D166" s="4" t="s">
        <v>498</v>
      </c>
      <c r="E166" s="4" t="s">
        <v>11455</v>
      </c>
      <c r="F166" s="4" t="s">
        <v>12565</v>
      </c>
      <c r="G166" s="3" t="s">
        <v>455</v>
      </c>
      <c r="H166" s="3" t="str">
        <f>VLOOKUP(gia_khuyen_mai[[#This Row],[Barcode]],'Giá gốc'!$A:$B,2,0)</f>
        <v>2145657</v>
      </c>
      <c r="I166" s="3" t="str">
        <f>VLOOKUP(gia_khuyen_mai[[#This Row],[Mã sản phẩm]],'Giá gốc'!$B:$C,2,0)</f>
        <v>Đức Việt Handy - xúc xích ăn liền vị bò 105g * 20EA</v>
      </c>
      <c r="J166" s="5">
        <f>VLOOKUP(gia_khuyen_mai[[#This Row],[Mã sản phẩm]],'Giá gốc'!B:D,3,0)</f>
        <v>8845</v>
      </c>
      <c r="K166" s="6">
        <v>0.22</v>
      </c>
      <c r="L166" s="7">
        <f>ROUND((1-gia_khuyen_mai[[#This Row],[% Giảm giá]]) * gia_khuyen_mai[[#This Row],[Giá gốc]], 0)</f>
        <v>6899</v>
      </c>
      <c r="M166" s="7"/>
      <c r="O166" s="3" t="str">
        <f>IFERROR(VLOOKUP(gia_khuyen_mai[[#This Row],[Mã hàng tặng]],'Giá gốc'!B:C,2,0),"")</f>
        <v/>
      </c>
      <c r="Q166" s="3" t="str">
        <f>VLOOKUP(gia_khuyen_mai[[#This Row],[Mã sản phẩm]],product[[Mã sản phẩm]:[DS - ĐV]],3,0)</f>
        <v>Food Đức Việt</v>
      </c>
    </row>
    <row r="167" spans="1:17" ht="21.75" customHeight="1" x14ac:dyDescent="0.45">
      <c r="A167" s="34">
        <v>164.99481999482001</v>
      </c>
      <c r="B167" s="4" t="s">
        <v>12564</v>
      </c>
      <c r="C167" s="4" t="s">
        <v>502</v>
      </c>
      <c r="D167" s="4" t="s">
        <v>498</v>
      </c>
      <c r="E167" s="4" t="s">
        <v>11455</v>
      </c>
      <c r="F167" s="4" t="s">
        <v>12565</v>
      </c>
      <c r="G167" s="3" t="s">
        <v>442</v>
      </c>
      <c r="H167" s="3" t="str">
        <f>VLOOKUP(gia_khuyen_mai[[#This Row],[Barcode]],'Giá gốc'!$A:$B,2,0)</f>
        <v>2145735</v>
      </c>
      <c r="I167" s="3" t="str">
        <f>VLOOKUP(gia_khuyen_mai[[#This Row],[Mã sản phẩm]],'Giá gốc'!$B:$C,2,0)</f>
        <v>Xúc xích tỏi 200g</v>
      </c>
      <c r="J167" s="5">
        <f>VLOOKUP(gia_khuyen_mai[[#This Row],[Mã sản phẩm]],'Giá gốc'!B:D,3,0)</f>
        <v>33000</v>
      </c>
      <c r="K167" s="6">
        <v>0.15</v>
      </c>
      <c r="L167" s="7">
        <f>ROUND((1-gia_khuyen_mai[[#This Row],[% Giảm giá]]) * gia_khuyen_mai[[#This Row],[Giá gốc]], 0)</f>
        <v>28050</v>
      </c>
      <c r="M167" s="7"/>
      <c r="O167" s="3" t="str">
        <f>IFERROR(VLOOKUP(gia_khuyen_mai[[#This Row],[Mã hàng tặng]],'Giá gốc'!B:C,2,0),"")</f>
        <v/>
      </c>
      <c r="Q167" s="3" t="str">
        <f>VLOOKUP(gia_khuyen_mai[[#This Row],[Mã sản phẩm]],product[[Mã sản phẩm]:[DS - ĐV]],3,0)</f>
        <v>Food Đức Việt</v>
      </c>
    </row>
    <row r="168" spans="1:17" ht="21.75" customHeight="1" x14ac:dyDescent="0.45">
      <c r="A168" s="26">
        <v>165.86412846412901</v>
      </c>
      <c r="B168" s="4" t="s">
        <v>12564</v>
      </c>
      <c r="C168" s="4" t="s">
        <v>502</v>
      </c>
      <c r="D168" s="4" t="s">
        <v>498</v>
      </c>
      <c r="E168" s="4" t="s">
        <v>11455</v>
      </c>
      <c r="F168" s="4" t="s">
        <v>12565</v>
      </c>
      <c r="G168" s="3" t="s">
        <v>448</v>
      </c>
      <c r="H168" s="3" t="str">
        <f>VLOOKUP(gia_khuyen_mai[[#This Row],[Barcode]],'Giá gốc'!$A:$B,2,0)</f>
        <v>2145695</v>
      </c>
      <c r="I168" s="3" t="str">
        <f>VLOOKUP(gia_khuyen_mai[[#This Row],[Mã sản phẩm]],'Giá gốc'!$B:$C,2,0)</f>
        <v>Seoul's Hotdog 350g</v>
      </c>
      <c r="J168" s="5">
        <f>VLOOKUP(gia_khuyen_mai[[#This Row],[Mã sản phẩm]],'Giá gốc'!B:D,3,0)</f>
        <v>48384</v>
      </c>
      <c r="K168" s="6">
        <v>0.25</v>
      </c>
      <c r="L168" s="7">
        <f>ROUND((1-gia_khuyen_mai[[#This Row],[% Giảm giá]]) * gia_khuyen_mai[[#This Row],[Giá gốc]], 0)</f>
        <v>36288</v>
      </c>
      <c r="M168" s="7"/>
      <c r="O168" s="3" t="str">
        <f>IFERROR(VLOOKUP(gia_khuyen_mai[[#This Row],[Mã hàng tặng]],'Giá gốc'!B:C,2,0),"")</f>
        <v/>
      </c>
      <c r="Q168" s="3" t="str">
        <f>VLOOKUP(gia_khuyen_mai[[#This Row],[Mã sản phẩm]],product[[Mã sản phẩm]:[DS - ĐV]],3,0)</f>
        <v>Food Đức Việt</v>
      </c>
    </row>
    <row r="169" spans="1:17" ht="21.75" customHeight="1" x14ac:dyDescent="0.45">
      <c r="A169" s="26">
        <v>166.73343693343699</v>
      </c>
      <c r="B169" s="4" t="s">
        <v>12564</v>
      </c>
      <c r="C169" s="4" t="s">
        <v>502</v>
      </c>
      <c r="D169" s="4" t="s">
        <v>498</v>
      </c>
      <c r="E169" s="4" t="s">
        <v>11455</v>
      </c>
      <c r="F169" s="4" t="s">
        <v>12565</v>
      </c>
      <c r="G169" s="3" t="s">
        <v>451</v>
      </c>
      <c r="H169" s="3" t="str">
        <f>VLOOKUP(gia_khuyen_mai[[#This Row],[Barcode]],'Giá gốc'!$A:$B,2,0)</f>
        <v>2145697</v>
      </c>
      <c r="I169" s="3" t="str">
        <f>VLOOKUP(gia_khuyen_mai[[#This Row],[Mã sản phẩm]],'Giá gốc'!$B:$C,2,0)</f>
        <v>Seoul nhân phô mai 250g</v>
      </c>
      <c r="J169" s="5">
        <f>VLOOKUP(gia_khuyen_mai[[#This Row],[Mã sản phẩm]],'Giá gốc'!B:D,3,0)</f>
        <v>39960</v>
      </c>
      <c r="K169" s="6">
        <v>0.25</v>
      </c>
      <c r="L169" s="7">
        <f>ROUND((1-gia_khuyen_mai[[#This Row],[% Giảm giá]]) * gia_khuyen_mai[[#This Row],[Giá gốc]], 0)</f>
        <v>29970</v>
      </c>
      <c r="M169" s="7"/>
      <c r="O169" s="3" t="str">
        <f>IFERROR(VLOOKUP(gia_khuyen_mai[[#This Row],[Mã hàng tặng]],'Giá gốc'!B:C,2,0),"")</f>
        <v/>
      </c>
      <c r="Q169" s="3" t="str">
        <f>VLOOKUP(gia_khuyen_mai[[#This Row],[Mã sản phẩm]],product[[Mã sản phẩm]:[DS - ĐV]],3,0)</f>
        <v>Food Đức Việt</v>
      </c>
    </row>
    <row r="170" spans="1:17" ht="21.75" customHeight="1" x14ac:dyDescent="0.45">
      <c r="A170" s="26">
        <v>167.602745402746</v>
      </c>
      <c r="B170" s="4" t="s">
        <v>12564</v>
      </c>
      <c r="C170" s="4" t="s">
        <v>502</v>
      </c>
      <c r="D170" s="4" t="s">
        <v>498</v>
      </c>
      <c r="E170" s="4" t="s">
        <v>11455</v>
      </c>
      <c r="F170" s="4" t="s">
        <v>12565</v>
      </c>
      <c r="G170" s="3" t="s">
        <v>400</v>
      </c>
      <c r="H170" s="3" t="str">
        <f>VLOOKUP(gia_khuyen_mai[[#This Row],[Barcode]],'Giá gốc'!$A:$B,2,0)</f>
        <v>2145740</v>
      </c>
      <c r="I170" s="3" t="str">
        <f>VLOOKUP(gia_khuyen_mai[[#This Row],[Mã sản phẩm]],'Giá gốc'!$B:$C,2,0)</f>
        <v>Xúc xích phô mai Cheesy 70g * 30EA</v>
      </c>
      <c r="J170" s="5">
        <f>VLOOKUP(gia_khuyen_mai[[#This Row],[Mã sản phẩm]],'Giá gốc'!B:D,3,0)</f>
        <v>16254</v>
      </c>
      <c r="K170" s="6">
        <v>0.2</v>
      </c>
      <c r="L170" s="7">
        <f>ROUND((1-gia_khuyen_mai[[#This Row],[% Giảm giá]]) * gia_khuyen_mai[[#This Row],[Giá gốc]], 0)</f>
        <v>13003</v>
      </c>
      <c r="M170" s="7"/>
      <c r="O170" s="3" t="str">
        <f>IFERROR(VLOOKUP(gia_khuyen_mai[[#This Row],[Mã hàng tặng]],'Giá gốc'!B:C,2,0),"")</f>
        <v/>
      </c>
      <c r="Q170" s="3" t="str">
        <f>VLOOKUP(gia_khuyen_mai[[#This Row],[Mã sản phẩm]],product[[Mã sản phẩm]:[DS - ĐV]],3,0)</f>
        <v>Food Đức Việt</v>
      </c>
    </row>
    <row r="171" spans="1:17" ht="21.75" customHeight="1" x14ac:dyDescent="0.45">
      <c r="A171" s="26">
        <v>168.472053872054</v>
      </c>
      <c r="B171" s="4" t="s">
        <v>12564</v>
      </c>
      <c r="C171" s="4" t="s">
        <v>502</v>
      </c>
      <c r="D171" s="4" t="s">
        <v>498</v>
      </c>
      <c r="E171" s="4" t="s">
        <v>11455</v>
      </c>
      <c r="F171" s="4" t="s">
        <v>12565</v>
      </c>
      <c r="G171" s="3" t="s">
        <v>421</v>
      </c>
      <c r="H171" s="3" t="str">
        <f>VLOOKUP(gia_khuyen_mai[[#This Row],[Barcode]],'Giá gốc'!$A:$B,2,0)</f>
        <v>2145791</v>
      </c>
      <c r="I171" s="3" t="str">
        <f>VLOOKUP(gia_khuyen_mai[[#This Row],[Mã sản phẩm]],'Giá gốc'!$B:$C,2,0)</f>
        <v>Xúc xích Romas 70g * 30EA</v>
      </c>
      <c r="J171" s="5">
        <f>VLOOKUP(gia_khuyen_mai[[#This Row],[Mã sản phẩm]],'Giá gốc'!B:D,3,0)</f>
        <v>12474</v>
      </c>
      <c r="K171" s="6">
        <v>0.2</v>
      </c>
      <c r="L171" s="7">
        <f>ROUND((1-gia_khuyen_mai[[#This Row],[% Giảm giá]]) * gia_khuyen_mai[[#This Row],[Giá gốc]], 0)</f>
        <v>9979</v>
      </c>
      <c r="M171" s="7"/>
      <c r="O171" s="3" t="str">
        <f>IFERROR(VLOOKUP(gia_khuyen_mai[[#This Row],[Mã hàng tặng]],'Giá gốc'!B:C,2,0),"")</f>
        <v/>
      </c>
      <c r="Q171" s="3" t="str">
        <f>VLOOKUP(gia_khuyen_mai[[#This Row],[Mã sản phẩm]],product[[Mã sản phẩm]:[DS - ĐV]],3,0)</f>
        <v>Food Đức Việt</v>
      </c>
    </row>
    <row r="172" spans="1:17" ht="21.75" customHeight="1" x14ac:dyDescent="0.45">
      <c r="A172" s="26">
        <v>169.34136234136199</v>
      </c>
      <c r="B172" s="4" t="s">
        <v>12564</v>
      </c>
      <c r="C172" s="4" t="s">
        <v>502</v>
      </c>
      <c r="D172" s="4" t="s">
        <v>498</v>
      </c>
      <c r="E172" s="4" t="s">
        <v>11455</v>
      </c>
      <c r="F172" s="4" t="s">
        <v>12565</v>
      </c>
      <c r="G172" s="3" t="s">
        <v>415</v>
      </c>
      <c r="H172" s="3" t="str">
        <f>VLOOKUP(gia_khuyen_mai[[#This Row],[Barcode]],'Giá gốc'!$A:$B,2,0)</f>
        <v>2145767</v>
      </c>
      <c r="I172" s="3" t="str">
        <f>VLOOKUP(gia_khuyen_mai[[#This Row],[Mã sản phẩm]],'Giá gốc'!$B:$C,2,0)</f>
        <v>Xúc xích Mỹ 500g</v>
      </c>
      <c r="J172" s="5">
        <f>VLOOKUP(gia_khuyen_mai[[#This Row],[Mã sản phẩm]],'Giá gốc'!B:D,3,0)</f>
        <v>52920</v>
      </c>
      <c r="K172" s="6">
        <v>0.22</v>
      </c>
      <c r="L172" s="7">
        <f>ROUND((1-gia_khuyen_mai[[#This Row],[% Giảm giá]]) * gia_khuyen_mai[[#This Row],[Giá gốc]], 0)</f>
        <v>41278</v>
      </c>
      <c r="M172" s="7"/>
      <c r="O172" s="3" t="str">
        <f>IFERROR(VLOOKUP(gia_khuyen_mai[[#This Row],[Mã hàng tặng]],'Giá gốc'!B:C,2,0),"")</f>
        <v/>
      </c>
      <c r="Q172" s="3" t="str">
        <f>VLOOKUP(gia_khuyen_mai[[#This Row],[Mã sản phẩm]],product[[Mã sản phẩm]:[DS - ĐV]],3,0)</f>
        <v>Food Đức Việt</v>
      </c>
    </row>
    <row r="173" spans="1:17" ht="21.75" customHeight="1" x14ac:dyDescent="0.55000000000000004">
      <c r="A173" s="26">
        <v>170.21067081066801</v>
      </c>
      <c r="B173" s="4" t="s">
        <v>12660</v>
      </c>
      <c r="C173" s="4" t="s">
        <v>502</v>
      </c>
      <c r="D173" s="4" t="s">
        <v>498</v>
      </c>
      <c r="E173" s="4" t="s">
        <v>12538</v>
      </c>
      <c r="F173" s="4" t="s">
        <v>12661</v>
      </c>
      <c r="G173" s="8" t="s">
        <v>433</v>
      </c>
      <c r="H173" s="3" t="str">
        <f>VLOOKUP(gia_khuyen_mai[[#This Row],[Barcode]],'Giá gốc'!$A:$B,2,0)</f>
        <v>2146417</v>
      </c>
      <c r="I173" s="3" t="str">
        <f>VLOOKUP(gia_khuyen_mai[[#This Row],[Mã sản phẩm]],'Giá gốc'!$B:$C,2,0)</f>
        <v>Chân giò hong khói rút xương 300g</v>
      </c>
      <c r="J173" s="5">
        <f>VLOOKUP(gia_khuyen_mai[[#This Row],[Mã sản phẩm]],'Giá gốc'!B:D,3,0)</f>
        <v>64476</v>
      </c>
      <c r="K173" s="6">
        <v>0.2</v>
      </c>
      <c r="L173" s="7">
        <f>ROUND((1-gia_khuyen_mai[[#This Row],[% Giảm giá]]) * gia_khuyen_mai[[#This Row],[Giá gốc]], 0)</f>
        <v>51581</v>
      </c>
      <c r="M173" s="7"/>
      <c r="O173" s="3" t="str">
        <f>IFERROR(VLOOKUP(gia_khuyen_mai[[#This Row],[Mã hàng tặng]],'Giá gốc'!B:C,2,0),"")</f>
        <v/>
      </c>
      <c r="Q173" s="3" t="str">
        <f>VLOOKUP(gia_khuyen_mai[[#This Row],[Mã sản phẩm]],product[[Mã sản phẩm]:[DS - ĐV]],3,0)</f>
        <v>Food Đức Việt</v>
      </c>
    </row>
    <row r="174" spans="1:17" ht="21.75" customHeight="1" x14ac:dyDescent="0.45">
      <c r="A174" s="34">
        <v>171.07997927997599</v>
      </c>
      <c r="B174" s="4" t="s">
        <v>12660</v>
      </c>
      <c r="C174" s="4" t="s">
        <v>502</v>
      </c>
      <c r="D174" s="4" t="s">
        <v>498</v>
      </c>
      <c r="E174" s="4" t="s">
        <v>12538</v>
      </c>
      <c r="F174" s="4" t="s">
        <v>12661</v>
      </c>
      <c r="G174" s="3" t="s">
        <v>445</v>
      </c>
      <c r="H174" s="3" t="str">
        <f>VLOOKUP(gia_khuyen_mai[[#This Row],[Barcode]],'Giá gốc'!$A:$B,2,0)</f>
        <v>2145745</v>
      </c>
      <c r="I174" s="3" t="str">
        <f>VLOOKUP(gia_khuyen_mai[[#This Row],[Mã sản phẩm]],'Giá gốc'!$B:$C,2,0)</f>
        <v>Jăm bông hấp 200g</v>
      </c>
      <c r="J174" s="5">
        <f>VLOOKUP(gia_khuyen_mai[[#This Row],[Mã sản phẩm]],'Giá gốc'!B:D,3,0)</f>
        <v>33000</v>
      </c>
      <c r="K174" s="6">
        <v>0.15</v>
      </c>
      <c r="L174" s="7">
        <f>ROUND((1-gia_khuyen_mai[[#This Row],[% Giảm giá]]) * gia_khuyen_mai[[#This Row],[Giá gốc]], 0)</f>
        <v>28050</v>
      </c>
      <c r="M174" s="7"/>
      <c r="O174" s="3" t="str">
        <f>IFERROR(VLOOKUP(gia_khuyen_mai[[#This Row],[Mã hàng tặng]],'Giá gốc'!B:C,2,0),"")</f>
        <v/>
      </c>
      <c r="Q174" s="3" t="str">
        <f>VLOOKUP(gia_khuyen_mai[[#This Row],[Mã sản phẩm]],product[[Mã sản phẩm]:[DS - ĐV]],3,0)</f>
        <v>Food Đức Việt</v>
      </c>
    </row>
    <row r="175" spans="1:17" ht="21.75" customHeight="1" x14ac:dyDescent="0.55000000000000004">
      <c r="A175" s="26">
        <v>171.949287749284</v>
      </c>
      <c r="B175" s="4" t="s">
        <v>12660</v>
      </c>
      <c r="C175" s="4" t="s">
        <v>502</v>
      </c>
      <c r="D175" s="4" t="s">
        <v>498</v>
      </c>
      <c r="E175" s="4" t="s">
        <v>12538</v>
      </c>
      <c r="F175" s="4" t="s">
        <v>12661</v>
      </c>
      <c r="G175" s="8" t="s">
        <v>373</v>
      </c>
      <c r="H175" s="3" t="str">
        <f>VLOOKUP(gia_khuyen_mai[[#This Row],[Barcode]],'Giá gốc'!$A:$B,2,0)</f>
        <v>2145686</v>
      </c>
      <c r="I175" s="3" t="str">
        <f>VLOOKUP(gia_khuyen_mai[[#This Row],[Mã sản phẩm]],'Giá gốc'!$B:$C,2,0)</f>
        <v>Xúc xích hong khói 450g</v>
      </c>
      <c r="J175" s="5">
        <f>VLOOKUP(gia_khuyen_mai[[#This Row],[Mã sản phẩm]],'Giá gốc'!B:D,3,0)</f>
        <v>75330</v>
      </c>
      <c r="K175" s="6">
        <v>0.25</v>
      </c>
      <c r="L175" s="7">
        <f>ROUND((1-gia_khuyen_mai[[#This Row],[% Giảm giá]]) * gia_khuyen_mai[[#This Row],[Giá gốc]], 0)</f>
        <v>56498</v>
      </c>
      <c r="M175" s="7"/>
      <c r="O175" s="3" t="str">
        <f>IFERROR(VLOOKUP(gia_khuyen_mai[[#This Row],[Mã hàng tặng]],'Giá gốc'!B:C,2,0),"")</f>
        <v/>
      </c>
      <c r="Q175" s="3" t="str">
        <f>VLOOKUP(gia_khuyen_mai[[#This Row],[Mã sản phẩm]],product[[Mã sản phẩm]:[DS - ĐV]],3,0)</f>
        <v>Food Đức Việt</v>
      </c>
    </row>
    <row r="176" spans="1:17" ht="21.75" customHeight="1" x14ac:dyDescent="0.55000000000000004">
      <c r="A176" s="26">
        <v>172.81859621859201</v>
      </c>
      <c r="B176" s="4" t="s">
        <v>12660</v>
      </c>
      <c r="C176" s="4" t="s">
        <v>502</v>
      </c>
      <c r="D176" s="4" t="s">
        <v>498</v>
      </c>
      <c r="E176" s="4" t="s">
        <v>12538</v>
      </c>
      <c r="F176" s="4" t="s">
        <v>12661</v>
      </c>
      <c r="G176" s="8" t="s">
        <v>397</v>
      </c>
      <c r="H176" s="3" t="str">
        <f>VLOOKUP(gia_khuyen_mai[[#This Row],[Barcode]],'Giá gốc'!$A:$B,2,0)</f>
        <v>2145726</v>
      </c>
      <c r="I176" s="3" t="str">
        <f>VLOOKUP(gia_khuyen_mai[[#This Row],[Mã sản phẩm]],'Giá gốc'!$B:$C,2,0)</f>
        <v>Xúc xích phô mai Cheesy 250g</v>
      </c>
      <c r="J176" s="5">
        <f>VLOOKUP(gia_khuyen_mai[[#This Row],[Mã sản phẩm]],'Giá gốc'!B:D,3,0)</f>
        <v>46980</v>
      </c>
      <c r="K176" s="6">
        <v>0.3</v>
      </c>
      <c r="L176" s="7">
        <f>ROUND((1-gia_khuyen_mai[[#This Row],[% Giảm giá]]) * gia_khuyen_mai[[#This Row],[Giá gốc]], 0)</f>
        <v>32886</v>
      </c>
      <c r="M176" s="7"/>
      <c r="O176" s="3" t="str">
        <f>IFERROR(VLOOKUP(gia_khuyen_mai[[#This Row],[Mã hàng tặng]],'Giá gốc'!B:C,2,0),"")</f>
        <v/>
      </c>
      <c r="Q176" s="3" t="str">
        <f>VLOOKUP(gia_khuyen_mai[[#This Row],[Mã sản phẩm]],product[[Mã sản phẩm]:[DS - ĐV]],3,0)</f>
        <v>Food Đức Việt</v>
      </c>
    </row>
    <row r="177" spans="1:17" ht="21.75" customHeight="1" x14ac:dyDescent="0.45">
      <c r="A177" s="26">
        <v>173.68790468789999</v>
      </c>
      <c r="B177" s="4" t="s">
        <v>12660</v>
      </c>
      <c r="C177" s="4" t="s">
        <v>502</v>
      </c>
      <c r="D177" s="4" t="s">
        <v>498</v>
      </c>
      <c r="E177" s="4" t="s">
        <v>12538</v>
      </c>
      <c r="F177" s="4" t="s">
        <v>12661</v>
      </c>
      <c r="G177" s="3" t="s">
        <v>418</v>
      </c>
      <c r="H177" s="3" t="str">
        <f>VLOOKUP(gia_khuyen_mai[[#This Row],[Barcode]],'Giá gốc'!$A:$B,2,0)</f>
        <v>2145783</v>
      </c>
      <c r="I177" s="3" t="str">
        <f>VLOOKUP(gia_khuyen_mai[[#This Row],[Mã sản phẩm]],'Giá gốc'!$B:$C,2,0)</f>
        <v>Xúc xích Romas ( 50g) 500g</v>
      </c>
      <c r="J177" s="5">
        <f>VLOOKUP(gia_khuyen_mai[[#This Row],[Mã sản phẩm]],'Giá gốc'!B:D,3,0)</f>
        <v>49500</v>
      </c>
      <c r="K177" s="6">
        <v>0.25</v>
      </c>
      <c r="L177" s="7">
        <f>ROUND((1-gia_khuyen_mai[[#This Row],[% Giảm giá]]) * gia_khuyen_mai[[#This Row],[Giá gốc]], 0)</f>
        <v>37125</v>
      </c>
      <c r="M177" s="7"/>
      <c r="O177" s="3" t="str">
        <f>IFERROR(VLOOKUP(gia_khuyen_mai[[#This Row],[Mã hàng tặng]],'Giá gốc'!B:C,2,0),"")</f>
        <v/>
      </c>
      <c r="Q177" s="3" t="str">
        <f>VLOOKUP(gia_khuyen_mai[[#This Row],[Mã sản phẩm]],product[[Mã sản phẩm]:[DS - ĐV]],3,0)</f>
        <v>Food Đức Việt</v>
      </c>
    </row>
    <row r="178" spans="1:17" ht="21.75" customHeight="1" x14ac:dyDescent="0.45">
      <c r="A178" s="26">
        <v>174.557213157208</v>
      </c>
      <c r="B178" s="4" t="s">
        <v>12660</v>
      </c>
      <c r="C178" s="4" t="s">
        <v>502</v>
      </c>
      <c r="D178" s="4" t="s">
        <v>498</v>
      </c>
      <c r="E178" s="4" t="s">
        <v>12538</v>
      </c>
      <c r="F178" s="4" t="s">
        <v>12661</v>
      </c>
      <c r="G178" s="3" t="s">
        <v>394</v>
      </c>
      <c r="H178" s="3" t="str">
        <f>VLOOKUP(gia_khuyen_mai[[#This Row],[Barcode]],'Giá gốc'!$A:$B,2,0)</f>
        <v>2145744</v>
      </c>
      <c r="I178" s="3" t="str">
        <f>VLOOKUP(gia_khuyen_mai[[#This Row],[Mã sản phẩm]],'Giá gốc'!$B:$C,2,0)</f>
        <v>Xúc xích bắp phô mai 250g</v>
      </c>
      <c r="J178" s="5">
        <f>VLOOKUP(gia_khuyen_mai[[#This Row],[Mã sản phẩm]],'Giá gốc'!B:D,3,0)</f>
        <v>46980</v>
      </c>
      <c r="K178" s="6">
        <v>0.3</v>
      </c>
      <c r="L178" s="7">
        <f>ROUND((1-gia_khuyen_mai[[#This Row],[% Giảm giá]]) * gia_khuyen_mai[[#This Row],[Giá gốc]], 0)</f>
        <v>32886</v>
      </c>
      <c r="M178" s="7"/>
      <c r="O178" s="3" t="str">
        <f>IFERROR(VLOOKUP(gia_khuyen_mai[[#This Row],[Mã hàng tặng]],'Giá gốc'!B:C,2,0),"")</f>
        <v/>
      </c>
      <c r="Q178" s="3" t="str">
        <f>VLOOKUP(gia_khuyen_mai[[#This Row],[Mã sản phẩm]],product[[Mã sản phẩm]:[DS - ĐV]],3,0)</f>
        <v>Food Đức Việt</v>
      </c>
    </row>
    <row r="179" spans="1:17" ht="21.75" customHeight="1" x14ac:dyDescent="0.45">
      <c r="A179" s="26">
        <v>175.42652162651601</v>
      </c>
      <c r="B179" s="4" t="s">
        <v>12660</v>
      </c>
      <c r="C179" s="4" t="s">
        <v>502</v>
      </c>
      <c r="D179" s="4" t="s">
        <v>498</v>
      </c>
      <c r="E179" s="4" t="s">
        <v>12538</v>
      </c>
      <c r="F179" s="4" t="s">
        <v>12661</v>
      </c>
      <c r="G179" s="3"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6">
        <v>0.35</v>
      </c>
      <c r="L179" s="7">
        <f>ROUND((1-gia_khuyen_mai[[#This Row],[% Giảm giá]]) * gia_khuyen_mai[[#This Row],[Giá gốc]], 0)</f>
        <v>20491</v>
      </c>
      <c r="M179" s="7"/>
      <c r="O179" s="3" t="str">
        <f>IFERROR(VLOOKUP(gia_khuyen_mai[[#This Row],[Mã hàng tặng]],'Giá gốc'!B:C,2,0),"")</f>
        <v/>
      </c>
      <c r="Q179" s="3" t="str">
        <f>VLOOKUP(gia_khuyen_mai[[#This Row],[Mã sản phẩm]],product[[Mã sản phẩm]:[DS - ĐV]],3,0)</f>
        <v>Food Đức Việt</v>
      </c>
    </row>
    <row r="180" spans="1:17" ht="21.75" customHeight="1" x14ac:dyDescent="0.45">
      <c r="A180" s="26">
        <v>176.29583009582399</v>
      </c>
      <c r="B180" s="4" t="s">
        <v>12660</v>
      </c>
      <c r="C180" s="4" t="s">
        <v>502</v>
      </c>
      <c r="D180" s="4" t="s">
        <v>498</v>
      </c>
      <c r="E180" s="4" t="s">
        <v>12538</v>
      </c>
      <c r="F180" s="4" t="s">
        <v>12661</v>
      </c>
      <c r="G180" s="3"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6">
        <v>0.35</v>
      </c>
      <c r="L180" s="7">
        <f>ROUND((1-gia_khuyen_mai[[#This Row],[% Giảm giá]]) * gia_khuyen_mai[[#This Row],[Giá gốc]], 0)</f>
        <v>20491</v>
      </c>
      <c r="M180" s="7"/>
      <c r="O180" s="3" t="str">
        <f>IFERROR(VLOOKUP(gia_khuyen_mai[[#This Row],[Mã hàng tặng]],'Giá gốc'!B:C,2,0),"")</f>
        <v/>
      </c>
      <c r="Q180" s="3" t="str">
        <f>VLOOKUP(gia_khuyen_mai[[#This Row],[Mã sản phẩm]],product[[Mã sản phẩm]:[DS - ĐV]],3,0)</f>
        <v>Food Đức Việt</v>
      </c>
    </row>
    <row r="181" spans="1:17" ht="21.75" customHeight="1" x14ac:dyDescent="0.45">
      <c r="A181" s="34">
        <v>177.165138565132</v>
      </c>
      <c r="B181" s="4" t="s">
        <v>12660</v>
      </c>
      <c r="C181" s="4" t="s">
        <v>502</v>
      </c>
      <c r="D181" s="4" t="s">
        <v>498</v>
      </c>
      <c r="E181" s="4" t="s">
        <v>12538</v>
      </c>
      <c r="F181" s="4" t="s">
        <v>12661</v>
      </c>
      <c r="G181" s="3" t="s">
        <v>458</v>
      </c>
      <c r="H181" s="3" t="str">
        <f>VLOOKUP(gia_khuyen_mai[[#This Row],[Barcode]],'Giá gốc'!$A:$B,2,0)</f>
        <v>2145680</v>
      </c>
      <c r="I181" s="3" t="str">
        <f>VLOOKUP(gia_khuyen_mai[[#This Row],[Mã sản phẩm]],'Giá gốc'!$B:$C,2,0)</f>
        <v>O'food Xúc xích Lắc Phô mai vị truyền thống 56g * 24EA</v>
      </c>
      <c r="J181" s="5">
        <f>VLOOKUP(gia_khuyen_mai[[#This Row],[Mã sản phẩm]],'Giá gốc'!B:D,3,0)</f>
        <v>8837</v>
      </c>
      <c r="K181" s="6">
        <v>0.2</v>
      </c>
      <c r="L181" s="7">
        <f>ROUND((1-gia_khuyen_mai[[#This Row],[% Giảm giá]]) * gia_khuyen_mai[[#This Row],[Giá gốc]], 0)</f>
        <v>7070</v>
      </c>
      <c r="M181" s="7"/>
      <c r="O181" s="3" t="str">
        <f>IFERROR(VLOOKUP(gia_khuyen_mai[[#This Row],[Mã hàng tặng]],'Giá gốc'!B:C,2,0),"")</f>
        <v/>
      </c>
      <c r="Q181" s="3" t="str">
        <f>VLOOKUP(gia_khuyen_mai[[#This Row],[Mã sản phẩm]],product[[Mã sản phẩm]:[DS - ĐV]],3,0)</f>
        <v>Food Đức Việt</v>
      </c>
    </row>
    <row r="182" spans="1:17" ht="21.75" customHeight="1" x14ac:dyDescent="0.45">
      <c r="A182" s="26">
        <v>178.03444703444001</v>
      </c>
      <c r="B182" s="4" t="s">
        <v>12660</v>
      </c>
      <c r="C182" s="4" t="s">
        <v>502</v>
      </c>
      <c r="D182" s="4" t="s">
        <v>498</v>
      </c>
      <c r="E182" s="4" t="s">
        <v>12538</v>
      </c>
      <c r="F182" s="4" t="s">
        <v>12661</v>
      </c>
      <c r="G182" s="3" t="s">
        <v>461</v>
      </c>
      <c r="H182" s="3" t="str">
        <f>VLOOKUP(gia_khuyen_mai[[#This Row],[Barcode]],'Giá gốc'!$A:$B,2,0)</f>
        <v>2145681</v>
      </c>
      <c r="I182" s="3" t="str">
        <f>VLOOKUP(gia_khuyen_mai[[#This Row],[Mã sản phẩm]],'Giá gốc'!$B:$C,2,0)</f>
        <v>O'food Xúc xích Lắc Phô mai vị dâu tây 56g * 24EA</v>
      </c>
      <c r="J182" s="5">
        <f>VLOOKUP(gia_khuyen_mai[[#This Row],[Mã sản phẩm]],'Giá gốc'!B:D,3,0)</f>
        <v>8837</v>
      </c>
      <c r="K182" s="6">
        <v>0.2</v>
      </c>
      <c r="L182" s="7">
        <f>ROUND((1-gia_khuyen_mai[[#This Row],[% Giảm giá]]) * gia_khuyen_mai[[#This Row],[Giá gốc]], 0)</f>
        <v>7070</v>
      </c>
      <c r="M182" s="7"/>
      <c r="O182" s="3" t="str">
        <f>IFERROR(VLOOKUP(gia_khuyen_mai[[#This Row],[Mã hàng tặng]],'Giá gốc'!B:C,2,0),"")</f>
        <v/>
      </c>
      <c r="Q182" s="3" t="str">
        <f>VLOOKUP(gia_khuyen_mai[[#This Row],[Mã sản phẩm]],product[[Mã sản phẩm]:[DS - ĐV]],3,0)</f>
        <v>Food Đức Việt</v>
      </c>
    </row>
    <row r="183" spans="1:17" ht="21.75" customHeight="1" x14ac:dyDescent="0.45">
      <c r="A183" s="34">
        <v>178.90375550374799</v>
      </c>
      <c r="B183" s="4" t="s">
        <v>12677</v>
      </c>
      <c r="C183" s="4" t="s">
        <v>502</v>
      </c>
      <c r="D183" s="4" t="s">
        <v>498</v>
      </c>
      <c r="E183" s="4" t="s">
        <v>12678</v>
      </c>
      <c r="F183" s="4" t="s">
        <v>12679</v>
      </c>
      <c r="G183" s="3" t="s">
        <v>382</v>
      </c>
      <c r="H183" s="3" t="str">
        <f>VLOOKUP(gia_khuyen_mai[[#This Row],[Barcode]],'Giá gốc'!$A:$B,2,0)</f>
        <v>2145691</v>
      </c>
      <c r="I183" s="3" t="str">
        <f>VLOOKUP(gia_khuyen_mai[[#This Row],[Mã sản phẩm]],'Giá gốc'!$B:$C,2,0)</f>
        <v>Xúc xích viên hong khói 450g * 1EA</v>
      </c>
      <c r="J183" s="5">
        <f>VLOOKUP(gia_khuyen_mai[[#This Row],[Mã sản phẩm]],'Giá gốc'!B:D,3,0)</f>
        <v>80190</v>
      </c>
      <c r="K183" s="6">
        <v>0.25</v>
      </c>
      <c r="L183" s="7">
        <f>ROUND((1-gia_khuyen_mai[[#This Row],[% Giảm giá]]) * gia_khuyen_mai[[#This Row],[Giá gốc]], 0)</f>
        <v>60143</v>
      </c>
      <c r="M183" s="7"/>
      <c r="O183" s="3" t="str">
        <f>IFERROR(VLOOKUP(gia_khuyen_mai[[#This Row],[Mã hàng tặng]],'Giá gốc'!B:C,2,0),"")</f>
        <v/>
      </c>
      <c r="Q183" s="3" t="str">
        <f>VLOOKUP(gia_khuyen_mai[[#This Row],[Mã sản phẩm]],product[[Mã sản phẩm]:[DS - ĐV]],3,0)</f>
        <v>Food Đức Việt</v>
      </c>
    </row>
    <row r="184" spans="1:17" ht="21.75" customHeight="1" x14ac:dyDescent="0.45">
      <c r="A184" s="26">
        <v>179.773063973056</v>
      </c>
      <c r="B184" s="4" t="s">
        <v>12677</v>
      </c>
      <c r="C184" s="4" t="s">
        <v>502</v>
      </c>
      <c r="D184" s="4" t="s">
        <v>498</v>
      </c>
      <c r="E184" s="4" t="s">
        <v>12678</v>
      </c>
      <c r="F184" s="4" t="s">
        <v>12679</v>
      </c>
      <c r="G184" s="3" t="s">
        <v>473</v>
      </c>
      <c r="H184" s="3" t="str">
        <f>VLOOKUP(gia_khuyen_mai[[#This Row],[Barcode]],'Giá gốc'!$A:$B,2,0)</f>
        <v>2145679</v>
      </c>
      <c r="I184" s="3" t="str">
        <f>VLOOKUP(gia_khuyen_mai[[#This Row],[Mã sản phẩm]],'Giá gốc'!$B:$C,2,0)</f>
        <v>Đức Việt Handy- Xúc xích thịt heo muối hồng Himalaya 175g * 20EA</v>
      </c>
      <c r="J184" s="5">
        <f>VLOOKUP(gia_khuyen_mai[[#This Row],[Mã sản phẩm]],'Giá gốc'!B:D,3,0)</f>
        <v>17400</v>
      </c>
      <c r="K184" s="6">
        <v>0.25</v>
      </c>
      <c r="L184" s="7">
        <f>ROUND((1-gia_khuyen_mai[[#This Row],[% Giảm giá]]) * gia_khuyen_mai[[#This Row],[Giá gốc]], 0)</f>
        <v>13050</v>
      </c>
      <c r="M184" s="7"/>
      <c r="O184" s="3" t="str">
        <f>IFERROR(VLOOKUP(gia_khuyen_mai[[#This Row],[Mã hàng tặng]],'Giá gốc'!B:C,2,0),"")</f>
        <v/>
      </c>
      <c r="Q184" s="3" t="str">
        <f>VLOOKUP(gia_khuyen_mai[[#This Row],[Mã sản phẩm]],product[[Mã sản phẩm]:[DS - ĐV]],3,0)</f>
        <v>Food Đức Việt</v>
      </c>
    </row>
    <row r="185" spans="1:17" ht="21.75" customHeight="1" x14ac:dyDescent="0.45">
      <c r="A185" s="34">
        <v>180.64237244236401</v>
      </c>
      <c r="B185" s="4" t="s">
        <v>12677</v>
      </c>
      <c r="C185" s="4" t="s">
        <v>502</v>
      </c>
      <c r="D185" s="4" t="s">
        <v>498</v>
      </c>
      <c r="E185" s="4" t="s">
        <v>12678</v>
      </c>
      <c r="F185" s="4" t="s">
        <v>12679</v>
      </c>
      <c r="G185" s="3" t="s">
        <v>376</v>
      </c>
      <c r="H185" s="3" t="str">
        <f>VLOOKUP(gia_khuyen_mai[[#This Row],[Barcode]],'Giá gốc'!$A:$B,2,0)</f>
        <v>2145690</v>
      </c>
      <c r="I185" s="3" t="str">
        <f>VLOOKUP(gia_khuyen_mai[[#This Row],[Mã sản phẩm]],'Giá gốc'!$B:$C,2,0)</f>
        <v>Xúc xích vườn bia 200g * 1EA</v>
      </c>
      <c r="J185" s="5">
        <f>VLOOKUP(gia_khuyen_mai[[#This Row],[Mã sản phẩm]],'Giá gốc'!B:D,3,0)</f>
        <v>35424</v>
      </c>
      <c r="K185" s="6">
        <v>0.2</v>
      </c>
      <c r="L185" s="7">
        <f>ROUND((1-gia_khuyen_mai[[#This Row],[% Giảm giá]]) * gia_khuyen_mai[[#This Row],[Giá gốc]], 0)</f>
        <v>28339</v>
      </c>
      <c r="M185" s="7"/>
      <c r="O185" s="3" t="str">
        <f>IFERROR(VLOOKUP(gia_khuyen_mai[[#This Row],[Mã hàng tặng]],'Giá gốc'!B:C,2,0),"")</f>
        <v/>
      </c>
      <c r="Q185" s="3" t="str">
        <f>VLOOKUP(gia_khuyen_mai[[#This Row],[Mã sản phẩm]],product[[Mã sản phẩm]:[DS - ĐV]],3,0)</f>
        <v>Food Đức Việt</v>
      </c>
    </row>
    <row r="186" spans="1:17" ht="21.75" customHeight="1" x14ac:dyDescent="0.45">
      <c r="A186" s="26">
        <v>181.51168091167199</v>
      </c>
      <c r="B186" s="4" t="s">
        <v>12677</v>
      </c>
      <c r="C186" s="4" t="s">
        <v>502</v>
      </c>
      <c r="D186" s="4" t="s">
        <v>498</v>
      </c>
      <c r="E186" s="4" t="s">
        <v>12678</v>
      </c>
      <c r="F186" s="4" t="s">
        <v>12679</v>
      </c>
      <c r="G186" s="3" t="s">
        <v>436</v>
      </c>
      <c r="H186" s="3" t="str">
        <f>VLOOKUP(gia_khuyen_mai[[#This Row],[Barcode]],'Giá gốc'!$A:$B,2,0)</f>
        <v>2145737</v>
      </c>
      <c r="I186" s="3" t="str">
        <f>VLOOKUP(gia_khuyen_mai[[#This Row],[Mã sản phẩm]],'Giá gốc'!$B:$C,2,0)</f>
        <v>Thăn heo hong khói 200g</v>
      </c>
      <c r="J186" s="5">
        <f>VLOOKUP(gia_khuyen_mai[[#This Row],[Mã sản phẩm]],'Giá gốc'!B:D,3,0)</f>
        <v>36960</v>
      </c>
      <c r="K186" s="6">
        <v>0.15</v>
      </c>
      <c r="L186" s="7">
        <f>ROUND((1-gia_khuyen_mai[[#This Row],[% Giảm giá]]) * gia_khuyen_mai[[#This Row],[Giá gốc]], 0)</f>
        <v>31416</v>
      </c>
      <c r="M186" s="7"/>
      <c r="O186" s="3" t="str">
        <f>IFERROR(VLOOKUP(gia_khuyen_mai[[#This Row],[Mã hàng tặng]],'Giá gốc'!B:C,2,0),"")</f>
        <v/>
      </c>
      <c r="Q186" s="3" t="str">
        <f>VLOOKUP(gia_khuyen_mai[[#This Row],[Mã sản phẩm]],product[[Mã sản phẩm]:[DS - ĐV]],3,0)</f>
        <v>Food Đức Việt</v>
      </c>
    </row>
    <row r="187" spans="1:17" ht="21.75" customHeight="1" x14ac:dyDescent="0.45">
      <c r="A187" s="34">
        <v>182.38098938098</v>
      </c>
      <c r="B187" s="4" t="s">
        <v>12677</v>
      </c>
      <c r="C187" s="4" t="s">
        <v>502</v>
      </c>
      <c r="D187" s="4" t="s">
        <v>498</v>
      </c>
      <c r="E187" s="4" t="s">
        <v>12678</v>
      </c>
      <c r="F187" s="4" t="s">
        <v>12679</v>
      </c>
      <c r="G187" s="3" t="s">
        <v>470</v>
      </c>
      <c r="H187" s="3" t="str">
        <f>VLOOKUP(gia_khuyen_mai[[#This Row],[Barcode]],'Giá gốc'!$A:$B,2,0)</f>
        <v>2146839</v>
      </c>
      <c r="I187" s="3" t="str">
        <f>VLOOKUP(gia_khuyen_mai[[#This Row],[Mã sản phẩm]],'Giá gốc'!$B:$C,2,0)</f>
        <v>Seoul's Hotdog Chiên xù 250g (M)</v>
      </c>
      <c r="J187" s="5">
        <f>VLOOKUP(gia_khuyen_mai[[#This Row],[Mã sản phẩm]],'Giá gốc'!B:D,3,0)</f>
        <v>39150</v>
      </c>
      <c r="K187" s="6">
        <v>0.25</v>
      </c>
      <c r="L187" s="7">
        <f>ROUND((1-gia_khuyen_mai[[#This Row],[% Giảm giá]]) * gia_khuyen_mai[[#This Row],[Giá gốc]], 0)</f>
        <v>29363</v>
      </c>
      <c r="M187" s="7"/>
      <c r="O187" s="3" t="str">
        <f>IFERROR(VLOOKUP(gia_khuyen_mai[[#This Row],[Mã hàng tặng]],'Giá gốc'!B:C,2,0),"")</f>
        <v/>
      </c>
      <c r="Q187" s="3" t="str">
        <f>VLOOKUP(gia_khuyen_mai[[#This Row],[Mã sản phẩm]],product[[Mã sản phẩm]:[DS - ĐV]],3,0)</f>
        <v>Food Đức Việt</v>
      </c>
    </row>
    <row r="188" spans="1:17" ht="21.75" customHeight="1" x14ac:dyDescent="0.45">
      <c r="A188" s="26">
        <v>183.25029785028801</v>
      </c>
      <c r="B188" s="4" t="s">
        <v>12677</v>
      </c>
      <c r="C188" s="4" t="s">
        <v>502</v>
      </c>
      <c r="D188" s="4" t="s">
        <v>498</v>
      </c>
      <c r="E188" s="4" t="s">
        <v>12678</v>
      </c>
      <c r="F188" s="4" t="s">
        <v>12679</v>
      </c>
      <c r="G188" s="3" t="s">
        <v>424</v>
      </c>
      <c r="H188" s="3" t="str">
        <f>VLOOKUP(gia_khuyen_mai[[#This Row],[Barcode]],'Giá gốc'!$A:$B,2,0)</f>
        <v>2145774</v>
      </c>
      <c r="I188" s="3" t="str">
        <f>VLOOKUP(gia_khuyen_mai[[#This Row],[Mã sản phẩm]],'Giá gốc'!$B:$C,2,0)</f>
        <v>Xúc xích Pari (50g) 500g</v>
      </c>
      <c r="J188" s="5">
        <f>VLOOKUP(gia_khuyen_mai[[#This Row],[Mã sản phẩm]],'Giá gốc'!B:D,3,0)</f>
        <v>51150</v>
      </c>
      <c r="K188" s="6">
        <v>0.22</v>
      </c>
      <c r="L188" s="7">
        <f>ROUND((1-gia_khuyen_mai[[#This Row],[% Giảm giá]]) * gia_khuyen_mai[[#This Row],[Giá gốc]], 0)</f>
        <v>39897</v>
      </c>
      <c r="M188" s="7"/>
      <c r="O188" s="3" t="str">
        <f>IFERROR(VLOOKUP(gia_khuyen_mai[[#This Row],[Mã hàng tặng]],'Giá gốc'!B:C,2,0),"")</f>
        <v/>
      </c>
      <c r="Q188" s="3" t="str">
        <f>VLOOKUP(gia_khuyen_mai[[#This Row],[Mã sản phẩm]],product[[Mã sản phẩm]:[DS - ĐV]],3,0)</f>
        <v>Food Đức Việt</v>
      </c>
    </row>
    <row r="189" spans="1:17" ht="21.75" customHeight="1" x14ac:dyDescent="0.45">
      <c r="A189" s="34">
        <v>184.11960631959599</v>
      </c>
      <c r="B189" s="4" t="s">
        <v>12677</v>
      </c>
      <c r="C189" s="4" t="s">
        <v>502</v>
      </c>
      <c r="D189" s="4" t="s">
        <v>498</v>
      </c>
      <c r="E189" s="4" t="s">
        <v>12678</v>
      </c>
      <c r="F189" s="4" t="s">
        <v>12679</v>
      </c>
      <c r="G189" s="3" t="s">
        <v>464</v>
      </c>
      <c r="H189" s="3" t="str">
        <f>VLOOKUP(gia_khuyen_mai[[#This Row],[Barcode]],'Giá gốc'!$A:$B,2,0)</f>
        <v>2145622</v>
      </c>
      <c r="I189" s="3" t="str">
        <f>VLOOKUP(gia_khuyen_mai[[#This Row],[Mã sản phẩm]],'Giá gốc'!$B:$C,2,0)</f>
        <v>Kim chi 450</v>
      </c>
      <c r="J189" s="5">
        <f>VLOOKUP(gia_khuyen_mai[[#This Row],[Mã sản phẩm]],'Giá gốc'!B:D,3,0)</f>
        <v>33750</v>
      </c>
      <c r="K189" s="6">
        <v>0.35</v>
      </c>
      <c r="L189" s="7">
        <f>ROUND((1-gia_khuyen_mai[[#This Row],[% Giảm giá]]) * gia_khuyen_mai[[#This Row],[Giá gốc]], 0)</f>
        <v>21938</v>
      </c>
      <c r="M189" s="7"/>
      <c r="O189" s="3" t="str">
        <f>IFERROR(VLOOKUP(gia_khuyen_mai[[#This Row],[Mã hàng tặng]],'Giá gốc'!B:C,2,0),"")</f>
        <v/>
      </c>
      <c r="Q189" s="3" t="str">
        <f>VLOOKUP(gia_khuyen_mai[[#This Row],[Mã sản phẩm]],product[[Mã sản phẩm]:[DS - ĐV]],3,0)</f>
        <v>Food Đức Việt</v>
      </c>
    </row>
    <row r="190" spans="1:17" ht="21.75" customHeight="1" x14ac:dyDescent="0.45">
      <c r="A190" s="26">
        <v>184.988914788904</v>
      </c>
      <c r="B190" s="4" t="s">
        <v>12677</v>
      </c>
      <c r="C190" s="4" t="s">
        <v>502</v>
      </c>
      <c r="D190" s="4" t="s">
        <v>498</v>
      </c>
      <c r="E190" s="4" t="s">
        <v>12680</v>
      </c>
      <c r="F190" s="4" t="s">
        <v>12679</v>
      </c>
      <c r="G190" s="4" t="s">
        <v>427</v>
      </c>
      <c r="H190" s="3" t="str">
        <f>VLOOKUP(gia_khuyen_mai[[#This Row],[Barcode]],'Giá gốc'!$A:$B,2,0)</f>
        <v>2145743</v>
      </c>
      <c r="I190" s="3" t="str">
        <f>VLOOKUP(gia_khuyen_mai[[#This Row],[Mã sản phẩm]],'Giá gốc'!$B:$C,2,0)</f>
        <v>Xúc xích sụn nướng Bulgogi 450g</v>
      </c>
      <c r="J190" s="5">
        <f>VLOOKUP(gia_khuyen_mai[[#This Row],[Mã sản phẩm]],'Giá gốc'!B:D,3,0)</f>
        <v>70956</v>
      </c>
      <c r="K190" s="6">
        <v>0.3</v>
      </c>
      <c r="L190" s="7">
        <f>ROUND((1-gia_khuyen_mai[[#This Row],[% Giảm giá]]) * gia_khuyen_mai[[#This Row],[Giá gốc]], 0)</f>
        <v>49669</v>
      </c>
      <c r="M190" s="7"/>
      <c r="O190" s="3" t="str">
        <f>IFERROR(VLOOKUP(gia_khuyen_mai[[#This Row],[Mã hàng tặng]],'Giá gốc'!B:C,2,0),"")</f>
        <v/>
      </c>
      <c r="Q190" s="3" t="str">
        <f>VLOOKUP(gia_khuyen_mai[[#This Row],[Mã sản phẩm]],product[[Mã sản phẩm]:[DS - ĐV]],3,0)</f>
        <v>Food Đức Việt</v>
      </c>
    </row>
    <row r="191" spans="1:17" ht="21.75" customHeight="1" x14ac:dyDescent="0.55000000000000004">
      <c r="A191" s="34">
        <v>185.85822325821201</v>
      </c>
      <c r="B191" s="4" t="s">
        <v>12677</v>
      </c>
      <c r="C191" s="4" t="s">
        <v>502</v>
      </c>
      <c r="D191" s="4" t="s">
        <v>498</v>
      </c>
      <c r="E191" s="4" t="s">
        <v>12680</v>
      </c>
      <c r="F191" s="4" t="s">
        <v>12679</v>
      </c>
      <c r="G191" s="8" t="s">
        <v>448</v>
      </c>
      <c r="H191" s="3" t="str">
        <f>VLOOKUP(gia_khuyen_mai[[#This Row],[Barcode]],'Giá gốc'!$A:$B,2,0)</f>
        <v>2145695</v>
      </c>
      <c r="I191" s="3" t="str">
        <f>VLOOKUP(gia_khuyen_mai[[#This Row],[Mã sản phẩm]],'Giá gốc'!$B:$C,2,0)</f>
        <v>Seoul's Hotdog 350g</v>
      </c>
      <c r="J191" s="5">
        <f>VLOOKUP(gia_khuyen_mai[[#This Row],[Mã sản phẩm]],'Giá gốc'!B:D,3,0)</f>
        <v>48384</v>
      </c>
      <c r="K191" s="6">
        <v>0.25</v>
      </c>
      <c r="L191" s="7">
        <f>ROUND((1-gia_khuyen_mai[[#This Row],[% Giảm giá]]) * gia_khuyen_mai[[#This Row],[Giá gốc]], 0)</f>
        <v>36288</v>
      </c>
      <c r="M191" s="7"/>
      <c r="O191" s="3" t="str">
        <f>IFERROR(VLOOKUP(gia_khuyen_mai[[#This Row],[Mã hàng tặng]],'Giá gốc'!B:C,2,0),"")</f>
        <v/>
      </c>
      <c r="Q191" s="3" t="str">
        <f>VLOOKUP(gia_khuyen_mai[[#This Row],[Mã sản phẩm]],product[[Mã sản phẩm]:[DS - ĐV]],3,0)</f>
        <v>Food Đức Việt</v>
      </c>
    </row>
    <row r="192" spans="1:17" ht="21.75" customHeight="1" x14ac:dyDescent="0.55000000000000004">
      <c r="A192" s="26">
        <v>186.72753172751999</v>
      </c>
      <c r="B192" s="4" t="s">
        <v>12695</v>
      </c>
      <c r="C192" s="4" t="s">
        <v>183</v>
      </c>
      <c r="D192" s="4" t="s">
        <v>498</v>
      </c>
      <c r="E192" s="4" t="s">
        <v>12696</v>
      </c>
      <c r="F192" s="4" t="s">
        <v>12679</v>
      </c>
      <c r="G192" s="21" t="s">
        <v>11299</v>
      </c>
      <c r="H192" s="3" t="str">
        <f>VLOOKUP(gia_khuyen_mai[[#This Row],[Barcode]],'Giá gốc'!$A:$B,2,0)</f>
        <v>2145625</v>
      </c>
      <c r="I192" s="3" t="str">
        <f>VLOOKUP(gia_khuyen_mai[[#This Row],[Mã sản phẩm]],'Giá gốc'!$B:$C,2,0)</f>
        <v>Jongga Kim chi cải thảo cắt lát 1kg</v>
      </c>
      <c r="J192" s="5">
        <f>VLOOKUP(gia_khuyen_mai[[#This Row],[Mã sản phẩm]],'Giá gốc'!B:D,3,0)</f>
        <v>70000</v>
      </c>
      <c r="K192" s="6">
        <v>0.33</v>
      </c>
      <c r="L192" s="7">
        <f>ROUND((1-gia_khuyen_mai[[#This Row],[% Giảm giá]]) * gia_khuyen_mai[[#This Row],[Giá gốc]], 0)</f>
        <v>46900</v>
      </c>
      <c r="M192" s="7"/>
      <c r="O192" s="3" t="str">
        <f>IFERROR(VLOOKUP(gia_khuyen_mai[[#This Row],[Mã hàng tặng]],'Giá gốc'!B:C,2,0),"")</f>
        <v/>
      </c>
      <c r="Q192" s="3" t="str">
        <f>VLOOKUP(gia_khuyen_mai[[#This Row],[Mã sản phẩm]],product[[Mã sản phẩm]:[DS - ĐV]],3,0)</f>
        <v>Food Đức Việt</v>
      </c>
    </row>
    <row r="193" spans="1:17" ht="21.75" customHeight="1" x14ac:dyDescent="0.45">
      <c r="A193" s="34">
        <v>187.596840196828</v>
      </c>
      <c r="B193" s="4" t="s">
        <v>12695</v>
      </c>
      <c r="C193" s="4" t="s">
        <v>183</v>
      </c>
      <c r="D193" s="4" t="s">
        <v>498</v>
      </c>
      <c r="E193" s="4" t="s">
        <v>12696</v>
      </c>
      <c r="F193" s="4" t="s">
        <v>12679</v>
      </c>
      <c r="G193" s="3" t="s">
        <v>12681</v>
      </c>
      <c r="H193" s="3" t="str">
        <f>VLOOKUP(gia_khuyen_mai[[#This Row],[Barcode]],'Giá gốc'!$A:$B,2,0)</f>
        <v>2151032</v>
      </c>
      <c r="I193" s="3" t="str">
        <f>VLOOKUP(gia_khuyen_mai[[#This Row],[Mã sản phẩm]],'Giá gốc'!$B:$C,2,0)</f>
        <v>Jongga Kim chi Củ cải 450g</v>
      </c>
      <c r="J193" s="5">
        <f>VLOOKUP(gia_khuyen_mai[[#This Row],[Mã sản phẩm]],'Giá gốc'!B:D,3,0)</f>
        <v>42000</v>
      </c>
      <c r="K193" s="6"/>
      <c r="L193" s="7">
        <f>ROUND((1-gia_khuyen_mai[[#This Row],[% Giảm giá]]) * gia_khuyen_mai[[#This Row],[Giá gốc]], 0)</f>
        <v>42000</v>
      </c>
      <c r="M193" s="7" t="s">
        <v>508</v>
      </c>
      <c r="N193" s="3" t="str">
        <f>VLOOKUP(gia_khuyen_mai[[#This Row],[Barcode]],'Giá gốc'!$A:$B,2,0)</f>
        <v>2151032</v>
      </c>
      <c r="O193" s="3" t="str">
        <f>IFERROR(VLOOKUP(gia_khuyen_mai[[#This Row],[Mã hàng tặng]],'Giá gốc'!B:C,2,0),"")</f>
        <v>Jongga Kim chi Củ cải 450g</v>
      </c>
      <c r="Q193" s="3" t="str">
        <f>VLOOKUP(gia_khuyen_mai[[#This Row],[Mã sản phẩm]],product[[Mã sản phẩm]:[DS - ĐV]],3,0)</f>
        <v>Food Đức Việt</v>
      </c>
    </row>
    <row r="194" spans="1:17" ht="21.75" customHeight="1" x14ac:dyDescent="0.45">
      <c r="A194" s="26">
        <v>188.46614866613601</v>
      </c>
      <c r="B194" s="4" t="s">
        <v>12695</v>
      </c>
      <c r="C194" s="4" t="s">
        <v>183</v>
      </c>
      <c r="D194" s="4" t="s">
        <v>498</v>
      </c>
      <c r="E194" s="4" t="s">
        <v>12696</v>
      </c>
      <c r="F194" s="4" t="s">
        <v>12679</v>
      </c>
      <c r="G194" s="3" t="s">
        <v>12682</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6">
        <v>0.33</v>
      </c>
      <c r="L194" s="7">
        <f>ROUND((1-gia_khuyen_mai[[#This Row],[% Giảm giá]]) * gia_khuyen_mai[[#This Row],[Giá gốc]], 0)</f>
        <v>11055</v>
      </c>
      <c r="M194" s="7"/>
      <c r="O194" s="3" t="str">
        <f>IFERROR(VLOOKUP(gia_khuyen_mai[[#This Row],[Mã hàng tặng]],'Giá gốc'!B:C,2,0),"")</f>
        <v/>
      </c>
      <c r="Q194" s="3" t="str">
        <f>VLOOKUP(gia_khuyen_mai[[#This Row],[Mã sản phẩm]],product[[Mã sản phẩm]:[DS - ĐV]],3,0)</f>
        <v>Food Đức Việt</v>
      </c>
    </row>
    <row r="195" spans="1:17" ht="21.75" customHeight="1" x14ac:dyDescent="0.45">
      <c r="A195" s="34">
        <v>189.33545713544399</v>
      </c>
      <c r="B195" s="4" t="s">
        <v>12695</v>
      </c>
      <c r="C195" s="4" t="s">
        <v>183</v>
      </c>
      <c r="D195" s="4" t="s">
        <v>498</v>
      </c>
      <c r="E195" s="4" t="s">
        <v>12696</v>
      </c>
      <c r="F195" s="4" t="s">
        <v>12679</v>
      </c>
      <c r="G195" s="3" t="s">
        <v>12683</v>
      </c>
      <c r="H195" s="3" t="str">
        <f>VLOOKUP(gia_khuyen_mai[[#This Row],[Barcode]],'Giá gốc'!$A:$B,2,0)</f>
        <v>2151765</v>
      </c>
      <c r="I195" s="3" t="str">
        <f>VLOOKUP(gia_khuyen_mai[[#This Row],[Mã sản phẩm]],'Giá gốc'!$B:$C,2,0)</f>
        <v>Ức gà hong khói 100g</v>
      </c>
      <c r="J195" s="5">
        <f>VLOOKUP(gia_khuyen_mai[[#This Row],[Mã sản phẩm]],'Giá gốc'!B:D,3,0)</f>
        <v>26000</v>
      </c>
      <c r="K195" s="6">
        <v>0.25</v>
      </c>
      <c r="L195" s="7">
        <f>ROUND((1-gia_khuyen_mai[[#This Row],[% Giảm giá]]) * gia_khuyen_mai[[#This Row],[Giá gốc]], 0)</f>
        <v>19500</v>
      </c>
      <c r="M195" s="7"/>
      <c r="O195" s="3" t="str">
        <f>IFERROR(VLOOKUP(gia_khuyen_mai[[#This Row],[Mã hàng tặng]],'Giá gốc'!B:C,2,0),"")</f>
        <v/>
      </c>
      <c r="Q195" s="3" t="str">
        <f>VLOOKUP(gia_khuyen_mai[[#This Row],[Mã sản phẩm]],product[[Mã sản phẩm]:[DS - ĐV]],3,0)</f>
        <v>Food Đức Việt</v>
      </c>
    </row>
    <row r="196" spans="1:17" ht="21.75" customHeight="1" x14ac:dyDescent="0.45">
      <c r="A196" s="26">
        <v>190.204765604752</v>
      </c>
      <c r="B196" s="4" t="s">
        <v>12695</v>
      </c>
      <c r="C196" s="4" t="s">
        <v>183</v>
      </c>
      <c r="D196" s="4" t="s">
        <v>498</v>
      </c>
      <c r="E196" s="4" t="s">
        <v>12696</v>
      </c>
      <c r="F196" s="4" t="s">
        <v>12679</v>
      </c>
      <c r="G196" s="4" t="s">
        <v>12684</v>
      </c>
      <c r="H196" s="3" t="str">
        <f>VLOOKUP(gia_khuyen_mai[[#This Row],[Barcode]],'Giá gốc'!$A:$B,2,0)</f>
        <v>2145747</v>
      </c>
      <c r="I196" s="3" t="str">
        <f>VLOOKUP(gia_khuyen_mai[[#This Row],[Mã sản phẩm]],'Giá gốc'!$B:$C,2,0)</f>
        <v>Xúc xích thịt heo Bragenwurst 400g</v>
      </c>
      <c r="J196" s="5">
        <f>VLOOKUP(gia_khuyen_mai[[#This Row],[Mã sản phẩm]],'Giá gốc'!B:D,3,0)</f>
        <v>82080</v>
      </c>
      <c r="K196" s="6">
        <v>0.3</v>
      </c>
      <c r="L196" s="7">
        <f>ROUND((1-gia_khuyen_mai[[#This Row],[% Giảm giá]]) * gia_khuyen_mai[[#This Row],[Giá gốc]], 0)</f>
        <v>57456</v>
      </c>
      <c r="M196" s="7"/>
      <c r="O196" s="3" t="str">
        <f>IFERROR(VLOOKUP(gia_khuyen_mai[[#This Row],[Mã hàng tặng]],'Giá gốc'!B:C,2,0),"")</f>
        <v/>
      </c>
      <c r="Q196" s="3" t="str">
        <f>VLOOKUP(gia_khuyen_mai[[#This Row],[Mã sản phẩm]],product[[Mã sản phẩm]:[DS - ĐV]],3,0)</f>
        <v>Food Đức Việt</v>
      </c>
    </row>
    <row r="197" spans="1:17" ht="21.75" customHeight="1" x14ac:dyDescent="0.45">
      <c r="A197" s="34">
        <v>191.07407407406001</v>
      </c>
      <c r="B197" s="4" t="s">
        <v>12695</v>
      </c>
      <c r="C197" s="4" t="s">
        <v>183</v>
      </c>
      <c r="D197" s="4" t="s">
        <v>498</v>
      </c>
      <c r="E197" s="4" t="s">
        <v>12696</v>
      </c>
      <c r="F197" s="4" t="s">
        <v>12679</v>
      </c>
      <c r="G197" s="3" t="s">
        <v>12685</v>
      </c>
      <c r="H197" s="3" t="str">
        <f>VLOOKUP(gia_khuyen_mai[[#This Row],[Barcode]],'Giá gốc'!$A:$B,2,0)</f>
        <v>2145682</v>
      </c>
      <c r="I197" s="3" t="str">
        <f>VLOOKUP(gia_khuyen_mai[[#This Row],[Mã sản phẩm]],'Giá gốc'!$B:$C,2,0)</f>
        <v>O'Food - Xúc xích xốt Spaghetti 64g</v>
      </c>
      <c r="J197" s="5">
        <f>VLOOKUP(gia_khuyen_mai[[#This Row],[Mã sản phẩm]],'Giá gốc'!B:D,3,0)</f>
        <v>8837</v>
      </c>
      <c r="K197" s="6"/>
      <c r="L197" s="7">
        <f>ROUND((1-gia_khuyen_mai[[#This Row],[% Giảm giá]]) * gia_khuyen_mai[[#This Row],[Giá gốc]], 0)</f>
        <v>8837</v>
      </c>
      <c r="M197" s="7" t="s">
        <v>508</v>
      </c>
      <c r="N197" s="3" t="str">
        <f>VLOOKUP(gia_khuyen_mai[[#This Row],[Barcode]],'Giá gốc'!$A:$B,2,0)</f>
        <v>2145682</v>
      </c>
      <c r="O197" s="3" t="str">
        <f>IFERROR(VLOOKUP(gia_khuyen_mai[[#This Row],[Mã hàng tặng]],'Giá gốc'!B:C,2,0),"")</f>
        <v>O'Food - Xúc xích xốt Spaghetti 64g</v>
      </c>
      <c r="Q197" s="3" t="str">
        <f>VLOOKUP(gia_khuyen_mai[[#This Row],[Mã sản phẩm]],product[[Mã sản phẩm]:[DS - ĐV]],3,0)</f>
        <v>Food Đức Việt</v>
      </c>
    </row>
    <row r="198" spans="1:17" ht="21.75" customHeight="1" x14ac:dyDescent="0.45">
      <c r="A198" s="26">
        <v>191.94338254336799</v>
      </c>
      <c r="B198" s="4" t="s">
        <v>12695</v>
      </c>
      <c r="C198" s="4" t="s">
        <v>183</v>
      </c>
      <c r="D198" s="4" t="s">
        <v>498</v>
      </c>
      <c r="E198" s="4" t="s">
        <v>12696</v>
      </c>
      <c r="F198" s="4" t="s">
        <v>12679</v>
      </c>
      <c r="G198" s="3" t="s">
        <v>12686</v>
      </c>
      <c r="H198" s="3" t="str">
        <f>VLOOKUP(gia_khuyen_mai[[#This Row],[Barcode]],'Giá gốc'!$A:$B,2,0)</f>
        <v>2145684</v>
      </c>
      <c r="I198" s="3" t="str">
        <f>VLOOKUP(gia_khuyen_mai[[#This Row],[Mã sản phẩm]],'Giá gốc'!$B:$C,2,0)</f>
        <v>O'Food - Xúc xích xốt Tokpokki vị phô mai Hàn Quốc 64g</v>
      </c>
      <c r="J198" s="5">
        <f>VLOOKUP(gia_khuyen_mai[[#This Row],[Mã sản phẩm]],'Giá gốc'!B:D,3,0)</f>
        <v>8837</v>
      </c>
      <c r="K198" s="6"/>
      <c r="L198" s="7">
        <f>ROUND((1-gia_khuyen_mai[[#This Row],[% Giảm giá]]) * gia_khuyen_mai[[#This Row],[Giá gốc]], 0)</f>
        <v>8837</v>
      </c>
      <c r="M198" s="7" t="s">
        <v>508</v>
      </c>
      <c r="N198" s="3" t="str">
        <f>VLOOKUP(gia_khuyen_mai[[#This Row],[Barcode]],'Giá gốc'!$A:$B,2,0)</f>
        <v>2145684</v>
      </c>
      <c r="O198" s="3" t="str">
        <f>IFERROR(VLOOKUP(gia_khuyen_mai[[#This Row],[Mã hàng tặng]],'Giá gốc'!B:C,2,0),"")</f>
        <v>O'Food - Xúc xích xốt Tokpokki vị phô mai Hàn Quốc 64g</v>
      </c>
      <c r="Q198" s="3" t="str">
        <f>VLOOKUP(gia_khuyen_mai[[#This Row],[Mã sản phẩm]],product[[Mã sản phẩm]:[DS - ĐV]],3,0)</f>
        <v>Food Đức Việt</v>
      </c>
    </row>
    <row r="199" spans="1:17" ht="21.75" customHeight="1" x14ac:dyDescent="0.45">
      <c r="A199" s="26">
        <v>193</v>
      </c>
      <c r="B199" s="4" t="s">
        <v>12695</v>
      </c>
      <c r="C199" s="4" t="s">
        <v>183</v>
      </c>
      <c r="D199" s="4" t="s">
        <v>498</v>
      </c>
      <c r="E199" s="4" t="s">
        <v>12696</v>
      </c>
      <c r="F199" s="4" t="s">
        <v>12679</v>
      </c>
      <c r="G199" s="4" t="s">
        <v>12697</v>
      </c>
      <c r="H199" s="3" t="str">
        <f>VLOOKUP(gia_khuyen_mai[[#This Row],[Barcode]],'Giá gốc'!$A:$B,2,0)</f>
        <v>2149794</v>
      </c>
      <c r="I199" s="3" t="str">
        <f>VLOOKUP(gia_khuyen_mai[[#This Row],[Mã sản phẩm]],'Giá gốc'!$B:$C,2,0)</f>
        <v>Xúc xích Romas Light 500g</v>
      </c>
      <c r="J199" s="5">
        <f>VLOOKUP(gia_khuyen_mai[[#This Row],[Mã sản phẩm]],'Giá gốc'!B:D,3,0)</f>
        <v>44000</v>
      </c>
      <c r="K199" s="6"/>
      <c r="L199" s="7">
        <f>ROUND((1-gia_khuyen_mai[[#This Row],[% Giảm giá]]) * gia_khuyen_mai[[#This Row],[Giá gốc]], 0)</f>
        <v>44000</v>
      </c>
      <c r="M199" s="7" t="s">
        <v>508</v>
      </c>
      <c r="N199" s="4" t="s">
        <v>401</v>
      </c>
      <c r="O199" s="3" t="str">
        <f>IFERROR(VLOOKUP(gia_khuyen_mai[[#This Row],[Mã hàng tặng]],'Giá gốc'!B:C,2,0),"")</f>
        <v>Xúc xích phô mai Cheesy 70g * 30EA</v>
      </c>
      <c r="Q199" s="3" t="e">
        <f>VLOOKUP(gia_khuyen_mai[[#This Row],[Mã sản phẩm]],product[[Mã sản phẩm]:[DS - ĐV]],3,0)</f>
        <v>#N/A</v>
      </c>
    </row>
    <row r="200" spans="1:17" ht="21.75" customHeight="1" x14ac:dyDescent="0.45">
      <c r="A200" s="26">
        <v>194.05661745663201</v>
      </c>
      <c r="B200" s="4" t="s">
        <v>12695</v>
      </c>
      <c r="C200" s="4" t="s">
        <v>5</v>
      </c>
      <c r="D200" s="4" t="s">
        <v>498</v>
      </c>
      <c r="E200" s="4" t="s">
        <v>12851</v>
      </c>
      <c r="F200" s="4" t="s">
        <v>12852</v>
      </c>
      <c r="G200" s="3" t="s">
        <v>12681</v>
      </c>
      <c r="H200" s="3" t="str">
        <f>VLOOKUP(gia_khuyen_mai[[#This Row],[Barcode]],'Giá gốc'!$A:$B,2,0)</f>
        <v>2151032</v>
      </c>
      <c r="I200" s="3" t="str">
        <f>VLOOKUP(gia_khuyen_mai[[#This Row],[Mã sản phẩm]],'Giá gốc'!$B:$C,2,0)</f>
        <v>Jongga Kim chi Củ cải 450g</v>
      </c>
      <c r="J200" s="5">
        <f>VLOOKUP(gia_khuyen_mai[[#This Row],[Mã sản phẩm]],'Giá gốc'!B:D,3,0)</f>
        <v>42000</v>
      </c>
      <c r="K200" s="6"/>
      <c r="L200" s="7">
        <f>ROUND((1-gia_khuyen_mai[[#This Row],[% Giảm giá]]) * gia_khuyen_mai[[#This Row],[Giá gốc]], 0)</f>
        <v>42000</v>
      </c>
      <c r="M200" s="7" t="s">
        <v>508</v>
      </c>
      <c r="N200" s="3" t="str">
        <f>VLOOKUP(gia_khuyen_mai[[#This Row],[Barcode]],'Giá gốc'!$A:$B,2,0)</f>
        <v>2151032</v>
      </c>
      <c r="O200" s="3" t="str">
        <f>IFERROR(VLOOKUP(gia_khuyen_mai[[#This Row],[Mã hàng tặng]],'Giá gốc'!B:C,2,0),"")</f>
        <v>Jongga Kim chi Củ cải 450g</v>
      </c>
      <c r="Q200" s="3" t="str">
        <f>VLOOKUP(gia_khuyen_mai[[#This Row],[Mã sản phẩm]],product[[Mã sản phẩm]:[DS - ĐV]],3,0)</f>
        <v>Food Đức Việt</v>
      </c>
    </row>
    <row r="201" spans="1:17" ht="21.75" customHeight="1" x14ac:dyDescent="0.45">
      <c r="A201" s="26">
        <v>195.11323491326399</v>
      </c>
      <c r="B201" s="4" t="s">
        <v>12695</v>
      </c>
      <c r="C201" s="4" t="s">
        <v>5</v>
      </c>
      <c r="D201" s="4" t="s">
        <v>498</v>
      </c>
      <c r="E201" s="4" t="s">
        <v>12850</v>
      </c>
      <c r="F201" s="4" t="s">
        <v>12855</v>
      </c>
      <c r="G201" s="3" t="s">
        <v>12682</v>
      </c>
      <c r="H201" s="3" t="str">
        <f>VLOOKUP(gia_khuyen_mai[[#This Row],[Barcode]],'Giá gốc'!$A:$B,2,0)</f>
        <v>2151140</v>
      </c>
      <c r="I201" s="3" t="str">
        <f>VLOOKUP(gia_khuyen_mai[[#This Row],[Mã sản phẩm]],'Giá gốc'!$B:$C,2,0)</f>
        <v>Jongga Kim chi Củ cải 150g</v>
      </c>
      <c r="J201" s="5">
        <f>VLOOKUP(gia_khuyen_mai[[#This Row],[Mã sản phẩm]],'Giá gốc'!B:D,3,0)</f>
        <v>16500</v>
      </c>
      <c r="K201" s="6">
        <v>0.33</v>
      </c>
      <c r="L201" s="7">
        <f>ROUND((1-gia_khuyen_mai[[#This Row],[% Giảm giá]]) * gia_khuyen_mai[[#This Row],[Giá gốc]], 0)</f>
        <v>11055</v>
      </c>
      <c r="M201" s="7"/>
      <c r="O201" s="3" t="str">
        <f>IFERROR(VLOOKUP(gia_khuyen_mai[[#This Row],[Mã hàng tặng]],'Giá gốc'!B:C,2,0),"")</f>
        <v/>
      </c>
      <c r="Q201" s="3" t="str">
        <f>VLOOKUP(gia_khuyen_mai[[#This Row],[Mã sản phẩm]],product[[Mã sản phẩm]:[DS - ĐV]],3,0)</f>
        <v>Food Đức Việt</v>
      </c>
    </row>
    <row r="202" spans="1:17" ht="21.75" customHeight="1" x14ac:dyDescent="0.45">
      <c r="A202" s="26">
        <v>196.16985236989601</v>
      </c>
      <c r="B202" s="4" t="s">
        <v>12695</v>
      </c>
      <c r="C202" s="4" t="s">
        <v>5</v>
      </c>
      <c r="D202" s="4" t="s">
        <v>498</v>
      </c>
      <c r="E202" s="4" t="s">
        <v>12940</v>
      </c>
      <c r="F202" s="4" t="s">
        <v>12855</v>
      </c>
      <c r="G202" s="3" t="s">
        <v>12683</v>
      </c>
      <c r="H202" s="3" t="str">
        <f>VLOOKUP(gia_khuyen_mai[[#This Row],[Barcode]],'Giá gốc'!$A:$B,2,0)</f>
        <v>2151765</v>
      </c>
      <c r="I202" s="3" t="str">
        <f>VLOOKUP(gia_khuyen_mai[[#This Row],[Mã sản phẩm]],'Giá gốc'!$B:$C,2,0)</f>
        <v>Ức gà hong khói 100g</v>
      </c>
      <c r="J202" s="5">
        <f>VLOOKUP(gia_khuyen_mai[[#This Row],[Mã sản phẩm]],'Giá gốc'!B:D,3,0)</f>
        <v>26000</v>
      </c>
      <c r="K202" s="6">
        <v>0.25</v>
      </c>
      <c r="L202" s="7">
        <f>ROUND((1-gia_khuyen_mai[[#This Row],[% Giảm giá]]) * gia_khuyen_mai[[#This Row],[Giá gốc]], 0)</f>
        <v>19500</v>
      </c>
      <c r="M202" s="7"/>
      <c r="O202" s="3" t="str">
        <f>IFERROR(VLOOKUP(gia_khuyen_mai[[#This Row],[Mã hàng tặng]],'Giá gốc'!B:C,2,0),"")</f>
        <v/>
      </c>
      <c r="Q202" s="3" t="str">
        <f>VLOOKUP(gia_khuyen_mai[[#This Row],[Mã sản phẩm]],product[[Mã sản phẩm]:[DS - ĐV]],3,0)</f>
        <v>Food Đức Việt</v>
      </c>
    </row>
    <row r="203" spans="1:17" ht="21.75" customHeight="1" x14ac:dyDescent="0.45">
      <c r="A203" s="26">
        <v>197.22646982652799</v>
      </c>
      <c r="B203" s="4" t="s">
        <v>12695</v>
      </c>
      <c r="C203" s="4" t="s">
        <v>5</v>
      </c>
      <c r="D203" s="4" t="s">
        <v>498</v>
      </c>
      <c r="E203" s="4" t="s">
        <v>12940</v>
      </c>
      <c r="F203" s="4" t="s">
        <v>12855</v>
      </c>
      <c r="G203" s="4" t="s">
        <v>12684</v>
      </c>
      <c r="H203" s="3" t="str">
        <f>VLOOKUP(gia_khuyen_mai[[#This Row],[Barcode]],'Giá gốc'!$A:$B,2,0)</f>
        <v>2145747</v>
      </c>
      <c r="I203" s="3" t="str">
        <f>VLOOKUP(gia_khuyen_mai[[#This Row],[Mã sản phẩm]],'Giá gốc'!$B:$C,2,0)</f>
        <v>Xúc xích thịt heo Bragenwurst 400g</v>
      </c>
      <c r="J203" s="5">
        <f>VLOOKUP(gia_khuyen_mai[[#This Row],[Mã sản phẩm]],'Giá gốc'!B:D,3,0)</f>
        <v>82080</v>
      </c>
      <c r="K203" s="6">
        <v>0.3</v>
      </c>
      <c r="L203" s="7">
        <f>ROUND((1-gia_khuyen_mai[[#This Row],[% Giảm giá]]) * gia_khuyen_mai[[#This Row],[Giá gốc]], 0)</f>
        <v>57456</v>
      </c>
      <c r="M203" s="7"/>
      <c r="O203" s="3" t="str">
        <f>IFERROR(VLOOKUP(gia_khuyen_mai[[#This Row],[Mã hàng tặng]],'Giá gốc'!B:C,2,0),"")</f>
        <v/>
      </c>
      <c r="Q203" s="3" t="str">
        <f>VLOOKUP(gia_khuyen_mai[[#This Row],[Mã sản phẩm]],product[[Mã sản phẩm]:[DS - ĐV]],3,0)</f>
        <v>Food Đức Việt</v>
      </c>
    </row>
    <row r="204" spans="1:17" ht="21.75" customHeight="1" x14ac:dyDescent="0.45">
      <c r="A204" s="26">
        <v>198.28308728316</v>
      </c>
      <c r="B204" s="4" t="s">
        <v>12695</v>
      </c>
      <c r="C204" s="4" t="s">
        <v>5</v>
      </c>
      <c r="D204" s="4" t="s">
        <v>498</v>
      </c>
      <c r="E204" s="4" t="s">
        <v>12850</v>
      </c>
      <c r="F204" s="4" t="s">
        <v>12855</v>
      </c>
      <c r="G204" s="3" t="s">
        <v>12685</v>
      </c>
      <c r="H204" s="3" t="str">
        <f>VLOOKUP(gia_khuyen_mai[[#This Row],[Barcode]],'Giá gốc'!$A:$B,2,0)</f>
        <v>2145682</v>
      </c>
      <c r="I204" s="3" t="str">
        <f>VLOOKUP(gia_khuyen_mai[[#This Row],[Mã sản phẩm]],'Giá gốc'!$B:$C,2,0)</f>
        <v>O'Food - Xúc xích xốt Spaghetti 64g</v>
      </c>
      <c r="J204" s="5">
        <f>VLOOKUP(gia_khuyen_mai[[#This Row],[Mã sản phẩm]],'Giá gốc'!B:D,3,0)</f>
        <v>8837</v>
      </c>
      <c r="K204" s="6"/>
      <c r="L204" s="7">
        <f>ROUND((1-gia_khuyen_mai[[#This Row],[% Giảm giá]]) * gia_khuyen_mai[[#This Row],[Giá gốc]], 0)</f>
        <v>8837</v>
      </c>
      <c r="M204" s="7" t="s">
        <v>508</v>
      </c>
      <c r="N204" s="3" t="str">
        <f>VLOOKUP(gia_khuyen_mai[[#This Row],[Barcode]],'Giá gốc'!$A:$B,2,0)</f>
        <v>2145682</v>
      </c>
      <c r="O204" s="3" t="str">
        <f>IFERROR(VLOOKUP(gia_khuyen_mai[[#This Row],[Mã hàng tặng]],'Giá gốc'!B:C,2,0),"")</f>
        <v>O'Food - Xúc xích xốt Spaghetti 64g</v>
      </c>
      <c r="Q204" s="3" t="str">
        <f>VLOOKUP(gia_khuyen_mai[[#This Row],[Mã sản phẩm]],product[[Mã sản phẩm]:[DS - ĐV]],3,0)</f>
        <v>Food Đức Việt</v>
      </c>
    </row>
    <row r="205" spans="1:17" ht="21.75" customHeight="1" x14ac:dyDescent="0.45">
      <c r="A205" s="26">
        <v>199.33970473979201</v>
      </c>
      <c r="B205" s="4" t="s">
        <v>12695</v>
      </c>
      <c r="C205" s="4" t="s">
        <v>5</v>
      </c>
      <c r="D205" s="4" t="s">
        <v>498</v>
      </c>
      <c r="E205" s="4" t="s">
        <v>12850</v>
      </c>
      <c r="F205" s="4" t="s">
        <v>12855</v>
      </c>
      <c r="G205" s="3" t="s">
        <v>12686</v>
      </c>
      <c r="H205" s="3" t="str">
        <f>VLOOKUP(gia_khuyen_mai[[#This Row],[Barcode]],'Giá gốc'!$A:$B,2,0)</f>
        <v>2145684</v>
      </c>
      <c r="I205" s="3" t="str">
        <f>VLOOKUP(gia_khuyen_mai[[#This Row],[Mã sản phẩm]],'Giá gốc'!$B:$C,2,0)</f>
        <v>O'Food - Xúc xích xốt Tokpokki vị phô mai Hàn Quốc 64g</v>
      </c>
      <c r="J205" s="5">
        <f>VLOOKUP(gia_khuyen_mai[[#This Row],[Mã sản phẩm]],'Giá gốc'!B:D,3,0)</f>
        <v>8837</v>
      </c>
      <c r="K205" s="6"/>
      <c r="L205" s="7">
        <f>ROUND((1-gia_khuyen_mai[[#This Row],[% Giảm giá]]) * gia_khuyen_mai[[#This Row],[Giá gốc]], 0)</f>
        <v>8837</v>
      </c>
      <c r="M205" s="7" t="s">
        <v>508</v>
      </c>
      <c r="N205" s="3" t="str">
        <f>VLOOKUP(gia_khuyen_mai[[#This Row],[Barcode]],'Giá gốc'!$A:$B,2,0)</f>
        <v>2145684</v>
      </c>
      <c r="O205" s="3" t="str">
        <f>IFERROR(VLOOKUP(gia_khuyen_mai[[#This Row],[Mã hàng tặng]],'Giá gốc'!B:C,2,0),"")</f>
        <v>O'Food - Xúc xích xốt Tokpokki vị phô mai Hàn Quốc 64g</v>
      </c>
      <c r="Q205" s="3" t="str">
        <f>VLOOKUP(gia_khuyen_mai[[#This Row],[Mã sản phẩm]],product[[Mã sản phẩm]:[DS - ĐV]],3,0)</f>
        <v>Food Đức Việt</v>
      </c>
    </row>
    <row r="206" spans="1:17" ht="21.75" customHeight="1" x14ac:dyDescent="0.45">
      <c r="A206" s="26">
        <v>200.39632219642399</v>
      </c>
      <c r="B206" s="4" t="s">
        <v>12854</v>
      </c>
      <c r="C206" s="4" t="s">
        <v>502</v>
      </c>
      <c r="D206" s="4" t="s">
        <v>498</v>
      </c>
      <c r="E206" s="4" t="s">
        <v>12853</v>
      </c>
      <c r="F206" s="4" t="s">
        <v>12850</v>
      </c>
      <c r="G206" s="3" t="s">
        <v>379</v>
      </c>
      <c r="H206" s="3" t="str">
        <f>VLOOKUP(gia_khuyen_mai[[#This Row],[Barcode]],'Giá gốc'!$A:$B,2,0)</f>
        <v>2145689</v>
      </c>
      <c r="I206" s="3" t="str">
        <f>VLOOKUP(gia_khuyen_mai[[#This Row],[Mã sản phẩm]],'Giá gốc'!$B:$C,2,0)</f>
        <v>Xúc xích vườn bia 450g * 1EA</v>
      </c>
      <c r="J206" s="5">
        <f>VLOOKUP(gia_khuyen_mai[[#This Row],[Mã sản phẩm]],'Giá gốc'!B:D,3,0)</f>
        <v>80190</v>
      </c>
      <c r="K206" s="6">
        <v>0.22</v>
      </c>
      <c r="L206" s="7">
        <f>ROUND((1-gia_khuyen_mai[[#This Row],[% Giảm giá]]) * gia_khuyen_mai[[#This Row],[Giá gốc]], 0)</f>
        <v>62548</v>
      </c>
      <c r="M206" s="7"/>
      <c r="O206" s="3" t="str">
        <f>IFERROR(VLOOKUP(gia_khuyen_mai[[#This Row],[Mã hàng tặng]],'Giá gốc'!B:C,2,0),"")</f>
        <v/>
      </c>
      <c r="Q206" s="3" t="str">
        <f>VLOOKUP(gia_khuyen_mai[[#This Row],[Mã sản phẩm]],product[[Mã sản phẩm]:[DS - ĐV]],3,0)</f>
        <v>Food Đức Việt</v>
      </c>
    </row>
    <row r="207" spans="1:17" ht="21.75" customHeight="1" x14ac:dyDescent="0.45">
      <c r="A207" s="26">
        <v>201.45293965305601</v>
      </c>
      <c r="B207" s="4" t="s">
        <v>12854</v>
      </c>
      <c r="C207" s="4" t="s">
        <v>502</v>
      </c>
      <c r="D207" s="4" t="s">
        <v>498</v>
      </c>
      <c r="E207" s="4" t="s">
        <v>12853</v>
      </c>
      <c r="F207" s="4" t="s">
        <v>12850</v>
      </c>
      <c r="G207" s="3" t="s">
        <v>385</v>
      </c>
      <c r="H207" s="3" t="str">
        <f>VLOOKUP(gia_khuyen_mai[[#This Row],[Barcode]],'Giá gốc'!$A:$B,2,0)</f>
        <v>2145714</v>
      </c>
      <c r="I207" s="3" t="str">
        <f>VLOOKUP(gia_khuyen_mai[[#This Row],[Mã sản phẩm]],'Giá gốc'!$B:$C,2,0)</f>
        <v>Xúc xích viên hong khói 200g</v>
      </c>
      <c r="J207" s="5">
        <f>VLOOKUP(gia_khuyen_mai[[#This Row],[Mã sản phẩm]],'Giá gốc'!B:D,3,0)</f>
        <v>36080</v>
      </c>
      <c r="K207" s="6">
        <v>0.2</v>
      </c>
      <c r="L207" s="7">
        <f>ROUND((1-gia_khuyen_mai[[#This Row],[% Giảm giá]]) * gia_khuyen_mai[[#This Row],[Giá gốc]], 0)</f>
        <v>28864</v>
      </c>
      <c r="M207" s="7"/>
      <c r="O207" s="3" t="str">
        <f>IFERROR(VLOOKUP(gia_khuyen_mai[[#This Row],[Mã hàng tặng]],'Giá gốc'!B:C,2,0),"")</f>
        <v/>
      </c>
      <c r="Q207" s="3" t="str">
        <f>VLOOKUP(gia_khuyen_mai[[#This Row],[Mã sản phẩm]],product[[Mã sản phẩm]:[DS - ĐV]],3,0)</f>
        <v>Food Đức Việt</v>
      </c>
    </row>
    <row r="208" spans="1:17" ht="21.75" customHeight="1" x14ac:dyDescent="0.45">
      <c r="A208" s="26">
        <v>202.50955710968799</v>
      </c>
      <c r="B208" s="4" t="s">
        <v>12854</v>
      </c>
      <c r="C208" s="4" t="s">
        <v>502</v>
      </c>
      <c r="D208" s="4" t="s">
        <v>498</v>
      </c>
      <c r="E208" s="4" t="s">
        <v>12853</v>
      </c>
      <c r="F208" s="4" t="s">
        <v>12850</v>
      </c>
      <c r="G208" s="3" t="s">
        <v>409</v>
      </c>
      <c r="H208" s="3" t="str">
        <f>VLOOKUP(gia_khuyen_mai[[#This Row],[Barcode]],'Giá gốc'!$A:$B,2,0)</f>
        <v>2145765</v>
      </c>
      <c r="I208" s="3" t="str">
        <f>VLOOKUP(gia_khuyen_mai[[#This Row],[Mã sản phẩm]],'Giá gốc'!$B:$C,2,0)</f>
        <v>Xúc xích Hotdog 200g</v>
      </c>
      <c r="J208" s="5">
        <f>VLOOKUP(gia_khuyen_mai[[#This Row],[Mã sản phẩm]],'Giá gốc'!B:D,3,0)</f>
        <v>19116</v>
      </c>
      <c r="K208" s="6">
        <v>0.2</v>
      </c>
      <c r="L208" s="7">
        <f>ROUND((1-gia_khuyen_mai[[#This Row],[% Giảm giá]]) * gia_khuyen_mai[[#This Row],[Giá gốc]], 0)</f>
        <v>15293</v>
      </c>
      <c r="M208" s="7"/>
      <c r="O208" s="3" t="str">
        <f>IFERROR(VLOOKUP(gia_khuyen_mai[[#This Row],[Mã hàng tặng]],'Giá gốc'!B:C,2,0),"")</f>
        <v/>
      </c>
      <c r="Q208" s="3" t="str">
        <f>VLOOKUP(gia_khuyen_mai[[#This Row],[Mã sản phẩm]],product[[Mã sản phẩm]:[DS - ĐV]],3,0)</f>
        <v>Food Đức Việt</v>
      </c>
    </row>
    <row r="209" spans="1:17" ht="21.75" customHeight="1" x14ac:dyDescent="0.45">
      <c r="A209" s="26">
        <v>203.56617456632</v>
      </c>
      <c r="B209" s="4" t="s">
        <v>12854</v>
      </c>
      <c r="C209" s="4" t="s">
        <v>502</v>
      </c>
      <c r="D209" s="4" t="s">
        <v>498</v>
      </c>
      <c r="E209" s="4" t="s">
        <v>12853</v>
      </c>
      <c r="F209" s="4" t="s">
        <v>12850</v>
      </c>
      <c r="G209" s="3" t="s">
        <v>403</v>
      </c>
      <c r="H209" s="3" t="str">
        <f>VLOOKUP(gia_khuyen_mai[[#This Row],[Barcode]],'Giá gốc'!$A:$B,2,0)</f>
        <v>2145762</v>
      </c>
      <c r="I209" s="3" t="str">
        <f>VLOOKUP(gia_khuyen_mai[[#This Row],[Mã sản phẩm]],'Giá gốc'!$B:$C,2,0)</f>
        <v>Xúc xích Cocktail 200g</v>
      </c>
      <c r="J209" s="5">
        <f>VLOOKUP(gia_khuyen_mai[[#This Row],[Mã sản phẩm]],'Giá gốc'!B:D,3,0)</f>
        <v>20088</v>
      </c>
      <c r="K209" s="6">
        <v>0.2</v>
      </c>
      <c r="L209" s="7">
        <f>ROUND((1-gia_khuyen_mai[[#This Row],[% Giảm giá]]) * gia_khuyen_mai[[#This Row],[Giá gốc]], 0)</f>
        <v>16070</v>
      </c>
      <c r="M209" s="7"/>
      <c r="O209" s="3" t="str">
        <f>IFERROR(VLOOKUP(gia_khuyen_mai[[#This Row],[Mã hàng tặng]],'Giá gốc'!B:C,2,0),"")</f>
        <v/>
      </c>
      <c r="Q209" s="3" t="str">
        <f>VLOOKUP(gia_khuyen_mai[[#This Row],[Mã sản phẩm]],product[[Mã sản phẩm]:[DS - ĐV]],3,0)</f>
        <v>Food Đức Việt</v>
      </c>
    </row>
    <row r="210" spans="1:17" ht="21.75" customHeight="1" x14ac:dyDescent="0.45">
      <c r="A210" s="26">
        <v>204.62279202295201</v>
      </c>
      <c r="B210" s="4" t="s">
        <v>12854</v>
      </c>
      <c r="C210" s="4" t="s">
        <v>502</v>
      </c>
      <c r="D210" s="4" t="s">
        <v>498</v>
      </c>
      <c r="E210" s="4" t="s">
        <v>12853</v>
      </c>
      <c r="F210" s="4" t="s">
        <v>12850</v>
      </c>
      <c r="G210" s="3" t="s">
        <v>482</v>
      </c>
      <c r="H210" s="3" t="str">
        <f>VLOOKUP(gia_khuyen_mai[[#This Row],[Barcode]],'Giá gốc'!$A:$B,2,0)</f>
        <v>2150771</v>
      </c>
      <c r="I210" s="3" t="str">
        <f>VLOOKUP(gia_khuyen_mai[[#This Row],[Mã sản phẩm]],'Giá gốc'!$B:$C,2,0)</f>
        <v>Lạp xưởng tươi (62g) 500g</v>
      </c>
      <c r="J210" s="5">
        <f>VLOOKUP(gia_khuyen_mai[[#This Row],[Mã sản phẩm]],'Giá gốc'!B:D,3,0)</f>
        <v>100000</v>
      </c>
      <c r="K210" s="6">
        <v>0.2</v>
      </c>
      <c r="L210" s="7">
        <f>ROUND((1-gia_khuyen_mai[[#This Row],[% Giảm giá]]) * gia_khuyen_mai[[#This Row],[Giá gốc]], 0)</f>
        <v>80000</v>
      </c>
      <c r="M210" s="7"/>
      <c r="O210" s="3" t="str">
        <f>IFERROR(VLOOKUP(gia_khuyen_mai[[#This Row],[Mã hàng tặng]],'Giá gốc'!B:C,2,0),"")</f>
        <v/>
      </c>
      <c r="Q210" s="3" t="str">
        <f>VLOOKUP(gia_khuyen_mai[[#This Row],[Mã sản phẩm]],product[[Mã sản phẩm]:[DS - ĐV]],3,0)</f>
        <v>Food Đức Việt</v>
      </c>
    </row>
    <row r="211" spans="1:17" ht="21.75" customHeight="1" x14ac:dyDescent="0.45">
      <c r="A211" s="26">
        <v>205.679409479584</v>
      </c>
      <c r="B211" s="4" t="s">
        <v>12854</v>
      </c>
      <c r="C211" s="4" t="s">
        <v>502</v>
      </c>
      <c r="D211" s="4" t="s">
        <v>498</v>
      </c>
      <c r="E211" s="4" t="s">
        <v>12853</v>
      </c>
      <c r="F211" s="4" t="s">
        <v>12850</v>
      </c>
      <c r="G211" s="3" t="s">
        <v>415</v>
      </c>
      <c r="H211" s="3" t="str">
        <f>VLOOKUP(gia_khuyen_mai[[#This Row],[Barcode]],'Giá gốc'!$A:$B,2,0)</f>
        <v>2145767</v>
      </c>
      <c r="I211" s="3" t="str">
        <f>VLOOKUP(gia_khuyen_mai[[#This Row],[Mã sản phẩm]],'Giá gốc'!$B:$C,2,0)</f>
        <v>Xúc xích Mỹ 500g</v>
      </c>
      <c r="J211" s="5">
        <f>VLOOKUP(gia_khuyen_mai[[#This Row],[Mã sản phẩm]],'Giá gốc'!B:D,3,0)</f>
        <v>52920</v>
      </c>
      <c r="K211" s="6">
        <v>0.2</v>
      </c>
      <c r="L211" s="7">
        <f>ROUND((1-gia_khuyen_mai[[#This Row],[% Giảm giá]]) * gia_khuyen_mai[[#This Row],[Giá gốc]], 0)</f>
        <v>42336</v>
      </c>
      <c r="M211" s="7"/>
      <c r="O211" s="3" t="str">
        <f>IFERROR(VLOOKUP(gia_khuyen_mai[[#This Row],[Mã hàng tặng]],'Giá gốc'!B:C,2,0),"")</f>
        <v/>
      </c>
      <c r="Q211" s="3" t="str">
        <f>VLOOKUP(gia_khuyen_mai[[#This Row],[Mã sản phẩm]],product[[Mã sản phẩm]:[DS - ĐV]],3,0)</f>
        <v>Food Đức Việt</v>
      </c>
    </row>
    <row r="212" spans="1:17" ht="21.75" customHeight="1" x14ac:dyDescent="0.45">
      <c r="A212" s="26">
        <v>206.73602693621601</v>
      </c>
      <c r="B212" s="4" t="s">
        <v>12854</v>
      </c>
      <c r="C212" s="4" t="s">
        <v>502</v>
      </c>
      <c r="D212" s="4" t="s">
        <v>498</v>
      </c>
      <c r="E212" s="4" t="s">
        <v>12853</v>
      </c>
      <c r="F212" s="4" t="s">
        <v>12850</v>
      </c>
      <c r="G212" s="3" t="s">
        <v>451</v>
      </c>
      <c r="H212" s="3" t="str">
        <f>VLOOKUP(gia_khuyen_mai[[#This Row],[Barcode]],'Giá gốc'!$A:$B,2,0)</f>
        <v>2145697</v>
      </c>
      <c r="I212" s="3" t="str">
        <f>VLOOKUP(gia_khuyen_mai[[#This Row],[Mã sản phẩm]],'Giá gốc'!$B:$C,2,0)</f>
        <v>Seoul nhân phô mai 250g</v>
      </c>
      <c r="J212" s="5">
        <f>VLOOKUP(gia_khuyen_mai[[#This Row],[Mã sản phẩm]],'Giá gốc'!B:D,3,0)</f>
        <v>39960</v>
      </c>
      <c r="K212" s="6">
        <v>0.22</v>
      </c>
      <c r="L212" s="7">
        <f>ROUND((1-gia_khuyen_mai[[#This Row],[% Giảm giá]]) * gia_khuyen_mai[[#This Row],[Giá gốc]], 0)</f>
        <v>31169</v>
      </c>
      <c r="M212" s="7"/>
      <c r="O212" s="3" t="str">
        <f>IFERROR(VLOOKUP(gia_khuyen_mai[[#This Row],[Mã hàng tặng]],'Giá gốc'!B:C,2,0),"")</f>
        <v/>
      </c>
      <c r="Q212" s="3" t="str">
        <f>VLOOKUP(gia_khuyen_mai[[#This Row],[Mã sản phẩm]],product[[Mã sản phẩm]:[DS - ĐV]],3,0)</f>
        <v>Food Đức Việt</v>
      </c>
    </row>
    <row r="213" spans="1:17" ht="21.75" customHeight="1" x14ac:dyDescent="0.45">
      <c r="A213" s="26">
        <v>207.79264439284799</v>
      </c>
      <c r="B213" s="4" t="s">
        <v>12854</v>
      </c>
      <c r="C213" s="4" t="s">
        <v>502</v>
      </c>
      <c r="D213" s="4" t="s">
        <v>498</v>
      </c>
      <c r="E213" s="4" t="s">
        <v>12853</v>
      </c>
      <c r="F213" s="4" t="s">
        <v>12850</v>
      </c>
      <c r="G213" s="3" t="s">
        <v>452</v>
      </c>
      <c r="H213" s="3" t="str">
        <f>VLOOKUP(gia_khuyen_mai[[#This Row],[Barcode]],'Giá gốc'!$A:$B,2,0)</f>
        <v>2145648</v>
      </c>
      <c r="I213" s="3" t="str">
        <f>VLOOKUP(gia_khuyen_mai[[#This Row],[Mã sản phẩm]],'Giá gốc'!$B:$C,2,0)</f>
        <v>Đức Việt Handy - xúc xích ăn liền vị heo 105g * 20EA</v>
      </c>
      <c r="J213" s="5">
        <f>VLOOKUP(gia_khuyen_mai[[#This Row],[Mã sản phẩm]],'Giá gốc'!B:D,3,0)</f>
        <v>8845</v>
      </c>
      <c r="K213" s="6">
        <v>0.2</v>
      </c>
      <c r="L213" s="7">
        <f>ROUND((1-gia_khuyen_mai[[#This Row],[% Giảm giá]]) * gia_khuyen_mai[[#This Row],[Giá gốc]], 0)</f>
        <v>7076</v>
      </c>
      <c r="M213" s="7"/>
      <c r="O213" s="3" t="str">
        <f>IFERROR(VLOOKUP(gia_khuyen_mai[[#This Row],[Mã hàng tặng]],'Giá gốc'!B:C,2,0),"")</f>
        <v/>
      </c>
      <c r="Q213" s="3" t="str">
        <f>VLOOKUP(gia_khuyen_mai[[#This Row],[Mã sản phẩm]],product[[Mã sản phẩm]:[DS - ĐV]],3,0)</f>
        <v>Food Đức Việt</v>
      </c>
    </row>
    <row r="214" spans="1:17" ht="21.75" customHeight="1" x14ac:dyDescent="0.45">
      <c r="A214" s="26">
        <v>208.84926184948</v>
      </c>
      <c r="B214" s="4" t="s">
        <v>12854</v>
      </c>
      <c r="C214" s="4" t="s">
        <v>502</v>
      </c>
      <c r="D214" s="4" t="s">
        <v>498</v>
      </c>
      <c r="E214" s="4" t="s">
        <v>12853</v>
      </c>
      <c r="F214" s="4" t="s">
        <v>12850</v>
      </c>
      <c r="G214" s="3" t="s">
        <v>455</v>
      </c>
      <c r="H214" s="3" t="str">
        <f>VLOOKUP(gia_khuyen_mai[[#This Row],[Barcode]],'Giá gốc'!$A:$B,2,0)</f>
        <v>2145657</v>
      </c>
      <c r="I214" s="3" t="str">
        <f>VLOOKUP(gia_khuyen_mai[[#This Row],[Mã sản phẩm]],'Giá gốc'!$B:$C,2,0)</f>
        <v>Đức Việt Handy - xúc xích ăn liền vị bò 105g * 20EA</v>
      </c>
      <c r="J214" s="5">
        <f>VLOOKUP(gia_khuyen_mai[[#This Row],[Mã sản phẩm]],'Giá gốc'!B:D,3,0)</f>
        <v>8845</v>
      </c>
      <c r="K214" s="6">
        <v>0.2</v>
      </c>
      <c r="L214" s="7">
        <f>ROUND((1-gia_khuyen_mai[[#This Row],[% Giảm giá]]) * gia_khuyen_mai[[#This Row],[Giá gốc]], 0)</f>
        <v>7076</v>
      </c>
      <c r="M214" s="7"/>
      <c r="O214" s="3" t="str">
        <f>IFERROR(VLOOKUP(gia_khuyen_mai[[#This Row],[Mã hàng tặng]],'Giá gốc'!B:C,2,0),"")</f>
        <v/>
      </c>
      <c r="Q214" s="3" t="str">
        <f>VLOOKUP(gia_khuyen_mai[[#This Row],[Mã sản phẩm]],product[[Mã sản phẩm]:[DS - ĐV]],3,0)</f>
        <v>Food Đức Việt</v>
      </c>
    </row>
    <row r="215" spans="1:17" ht="21.75" customHeight="1" x14ac:dyDescent="0.45">
      <c r="A215" s="26">
        <v>209.90587930611201</v>
      </c>
      <c r="B215" s="4" t="s">
        <v>12854</v>
      </c>
      <c r="C215" s="4" t="s">
        <v>502</v>
      </c>
      <c r="D215" s="4" t="s">
        <v>498</v>
      </c>
      <c r="E215" s="4" t="s">
        <v>12853</v>
      </c>
      <c r="F215" s="4" t="s">
        <v>12850</v>
      </c>
      <c r="G215" s="3" t="s">
        <v>467</v>
      </c>
      <c r="H215" s="3" t="str">
        <f>VLOOKUP(gia_khuyen_mai[[#This Row],[Barcode]],'Giá gốc'!$A:$B,2,0)</f>
        <v>2148987</v>
      </c>
      <c r="I215" s="3" t="str">
        <f>VLOOKUP(gia_khuyen_mai[[#This Row],[Mã sản phẩm]],'Giá gốc'!$B:$C,2,0)</f>
        <v>Kimchi cải thảo cắt lát 150g * 30EA</v>
      </c>
      <c r="J215" s="5">
        <f>VLOOKUP(gia_khuyen_mai[[#This Row],[Mã sản phẩm]],'Giá gốc'!B:D,3,0)</f>
        <v>13500</v>
      </c>
      <c r="K215" s="6">
        <v>0.2</v>
      </c>
      <c r="L215" s="7">
        <f>ROUND((1-gia_khuyen_mai[[#This Row],[% Giảm giá]]) * gia_khuyen_mai[[#This Row],[Giá gốc]], 0)</f>
        <v>10800</v>
      </c>
      <c r="M215" s="7"/>
      <c r="O215" s="3" t="str">
        <f>IFERROR(VLOOKUP(gia_khuyen_mai[[#This Row],[Mã hàng tặng]],'Giá gốc'!B:C,2,0),"")</f>
        <v/>
      </c>
      <c r="Q215" s="3" t="str">
        <f>VLOOKUP(gia_khuyen_mai[[#This Row],[Mã sản phẩm]],product[[Mã sản phẩm]:[DS - ĐV]],3,0)</f>
        <v>Food Đức Việt</v>
      </c>
    </row>
    <row r="216" spans="1:17" ht="21.75" customHeight="1" x14ac:dyDescent="0.45">
      <c r="A216" s="26">
        <v>210.962496762744</v>
      </c>
      <c r="B216" s="4" t="s">
        <v>12938</v>
      </c>
      <c r="C216" s="4" t="s">
        <v>502</v>
      </c>
      <c r="D216" s="4" t="s">
        <v>498</v>
      </c>
      <c r="E216" s="4" t="s">
        <v>12851</v>
      </c>
      <c r="F216" s="4" t="s">
        <v>12852</v>
      </c>
      <c r="G216" s="3" t="s">
        <v>373</v>
      </c>
      <c r="H216" s="3" t="str">
        <f>VLOOKUP(gia_khuyen_mai[[#This Row],[Barcode]],'Giá gốc'!$A:$B,2,0)</f>
        <v>2145686</v>
      </c>
      <c r="I216" s="3" t="str">
        <f>VLOOKUP(gia_khuyen_mai[[#This Row],[Mã sản phẩm]],'Giá gốc'!$B:$C,2,0)</f>
        <v>Xúc xích hong khói 450g</v>
      </c>
      <c r="J216" s="5">
        <f>VLOOKUP(gia_khuyen_mai[[#This Row],[Mã sản phẩm]],'Giá gốc'!B:D,3,0)</f>
        <v>75330</v>
      </c>
      <c r="K216" s="6">
        <v>0.22</v>
      </c>
      <c r="L216" s="7">
        <f>ROUND((1-gia_khuyen_mai[[#This Row],[% Giảm giá]]) * gia_khuyen_mai[[#This Row],[Giá gốc]], 0)</f>
        <v>58757</v>
      </c>
      <c r="M216" s="7"/>
      <c r="O216" s="3" t="str">
        <f>IFERROR(VLOOKUP(gia_khuyen_mai[[#This Row],[Mã hàng tặng]],'Giá gốc'!B:C,2,0),"")</f>
        <v/>
      </c>
      <c r="Q216" s="3" t="str">
        <f>VLOOKUP(gia_khuyen_mai[[#This Row],[Mã sản phẩm]],product[[Mã sản phẩm]:[DS - ĐV]],3,0)</f>
        <v>Food Đức Việt</v>
      </c>
    </row>
    <row r="217" spans="1:17" ht="21.75" customHeight="1" x14ac:dyDescent="0.55000000000000004">
      <c r="A217" s="26">
        <v>212.01911421937601</v>
      </c>
      <c r="B217" s="4" t="s">
        <v>12938</v>
      </c>
      <c r="C217" s="4" t="s">
        <v>502</v>
      </c>
      <c r="D217" s="4" t="s">
        <v>498</v>
      </c>
      <c r="E217" s="4" t="s">
        <v>12851</v>
      </c>
      <c r="F217" s="4" t="s">
        <v>12852</v>
      </c>
      <c r="G217" s="8" t="s">
        <v>397</v>
      </c>
      <c r="H217" s="3" t="str">
        <f>VLOOKUP(gia_khuyen_mai[[#This Row],[Barcode]],'Giá gốc'!$A:$B,2,0)</f>
        <v>2145726</v>
      </c>
      <c r="I217" s="3" t="str">
        <f>VLOOKUP(gia_khuyen_mai[[#This Row],[Mã sản phẩm]],'Giá gốc'!$B:$C,2,0)</f>
        <v>Xúc xích phô mai Cheesy 250g</v>
      </c>
      <c r="J217" s="5">
        <f>VLOOKUP(gia_khuyen_mai[[#This Row],[Mã sản phẩm]],'Giá gốc'!B:D,3,0)</f>
        <v>46980</v>
      </c>
      <c r="K217" s="6">
        <v>0.25</v>
      </c>
      <c r="L217" s="7">
        <f>ROUND((1-gia_khuyen_mai[[#This Row],[% Giảm giá]]) * gia_khuyen_mai[[#This Row],[Giá gốc]], 0)</f>
        <v>35235</v>
      </c>
      <c r="M217" s="7"/>
      <c r="O217" s="3" t="str">
        <f>IFERROR(VLOOKUP(gia_khuyen_mai[[#This Row],[Mã hàng tặng]],'Giá gốc'!B:C,2,0),"")</f>
        <v/>
      </c>
      <c r="Q217" s="3" t="str">
        <f>VLOOKUP(gia_khuyen_mai[[#This Row],[Mã sản phẩm]],product[[Mã sản phẩm]:[DS - ĐV]],3,0)</f>
        <v>Food Đức Việt</v>
      </c>
    </row>
    <row r="218" spans="1:17" ht="21.75" customHeight="1" x14ac:dyDescent="0.55000000000000004">
      <c r="A218" s="26">
        <v>213.07573167600799</v>
      </c>
      <c r="B218" s="4" t="s">
        <v>12938</v>
      </c>
      <c r="C218" s="4" t="s">
        <v>502</v>
      </c>
      <c r="D218" s="4" t="s">
        <v>498</v>
      </c>
      <c r="E218" s="4" t="s">
        <v>12851</v>
      </c>
      <c r="F218" s="4" t="s">
        <v>12852</v>
      </c>
      <c r="G218" s="8" t="s">
        <v>418</v>
      </c>
      <c r="H218" s="3" t="str">
        <f>VLOOKUP(gia_khuyen_mai[[#This Row],[Barcode]],'Giá gốc'!$A:$B,2,0)</f>
        <v>2145783</v>
      </c>
      <c r="I218" s="3" t="str">
        <f>VLOOKUP(gia_khuyen_mai[[#This Row],[Mã sản phẩm]],'Giá gốc'!$B:$C,2,0)</f>
        <v>Xúc xích Romas ( 50g) 500g</v>
      </c>
      <c r="J218" s="5">
        <f>VLOOKUP(gia_khuyen_mai[[#This Row],[Mã sản phẩm]],'Giá gốc'!B:D,3,0)</f>
        <v>49500</v>
      </c>
      <c r="K218" s="6">
        <v>0.22</v>
      </c>
      <c r="L218" s="7">
        <f>ROUND((1-gia_khuyen_mai[[#This Row],[% Giảm giá]]) * gia_khuyen_mai[[#This Row],[Giá gốc]], 0)</f>
        <v>38610</v>
      </c>
      <c r="M218" s="7"/>
      <c r="O218" s="3" t="str">
        <f>IFERROR(VLOOKUP(gia_khuyen_mai[[#This Row],[Mã hàng tặng]],'Giá gốc'!B:C,2,0),"")</f>
        <v/>
      </c>
      <c r="Q218" s="3" t="str">
        <f>VLOOKUP(gia_khuyen_mai[[#This Row],[Mã sản phẩm]],product[[Mã sản phẩm]:[DS - ĐV]],3,0)</f>
        <v>Food Đức Việt</v>
      </c>
    </row>
    <row r="219" spans="1:17" ht="21.75" customHeight="1" x14ac:dyDescent="0.55000000000000004">
      <c r="A219" s="26">
        <v>214.13234913264</v>
      </c>
      <c r="B219" s="4" t="s">
        <v>12938</v>
      </c>
      <c r="C219" s="4" t="s">
        <v>502</v>
      </c>
      <c r="D219" s="4" t="s">
        <v>498</v>
      </c>
      <c r="E219" s="4" t="s">
        <v>12851</v>
      </c>
      <c r="F219" s="4" t="s">
        <v>12852</v>
      </c>
      <c r="G219" s="8" t="s">
        <v>406</v>
      </c>
      <c r="H219" s="3" t="str">
        <f>VLOOKUP(gia_khuyen_mai[[#This Row],[Barcode]],'Giá gốc'!$A:$B,2,0)</f>
        <v>2145764</v>
      </c>
      <c r="I219" s="3" t="str">
        <f>VLOOKUP(gia_khuyen_mai[[#This Row],[Mã sản phẩm]],'Giá gốc'!$B:$C,2,0)</f>
        <v>Xúc xích Cocktail 500g</v>
      </c>
      <c r="J219" s="5">
        <f>VLOOKUP(gia_khuyen_mai[[#This Row],[Mã sản phẩm]],'Giá gốc'!B:D,3,0)</f>
        <v>50220</v>
      </c>
      <c r="K219" s="6">
        <v>0.2</v>
      </c>
      <c r="L219" s="7">
        <f>ROUND((1-gia_khuyen_mai[[#This Row],[% Giảm giá]]) * gia_khuyen_mai[[#This Row],[Giá gốc]], 0)</f>
        <v>40176</v>
      </c>
      <c r="M219" s="7"/>
      <c r="O219" s="3" t="str">
        <f>IFERROR(VLOOKUP(gia_khuyen_mai[[#This Row],[Mã hàng tặng]],'Giá gốc'!B:C,2,0),"")</f>
        <v/>
      </c>
      <c r="Q219" s="3" t="str">
        <f>VLOOKUP(gia_khuyen_mai[[#This Row],[Mã sản phẩm]],product[[Mã sản phẩm]:[DS - ĐV]],3,0)</f>
        <v>Food Đức Việt</v>
      </c>
    </row>
    <row r="220" spans="1:17" ht="21.75" customHeight="1" x14ac:dyDescent="0.55000000000000004">
      <c r="A220" s="26">
        <v>215.18896658927201</v>
      </c>
      <c r="B220" s="4" t="s">
        <v>12938</v>
      </c>
      <c r="C220" s="4" t="s">
        <v>502</v>
      </c>
      <c r="D220" s="4" t="s">
        <v>498</v>
      </c>
      <c r="E220" s="4" t="s">
        <v>12851</v>
      </c>
      <c r="F220" s="4" t="s">
        <v>12852</v>
      </c>
      <c r="G220" s="8" t="s">
        <v>458</v>
      </c>
      <c r="H220" s="3" t="str">
        <f>VLOOKUP(gia_khuyen_mai[[#This Row],[Barcode]],'Giá gốc'!$A:$B,2,0)</f>
        <v>2145680</v>
      </c>
      <c r="I220" s="3" t="str">
        <f>VLOOKUP(gia_khuyen_mai[[#This Row],[Mã sản phẩm]],'Giá gốc'!$B:$C,2,0)</f>
        <v>O'food Xúc xích Lắc Phô mai vị truyền thống 56g * 24EA</v>
      </c>
      <c r="J220" s="5">
        <f>VLOOKUP(gia_khuyen_mai[[#This Row],[Mã sản phẩm]],'Giá gốc'!B:D,3,0)</f>
        <v>8837</v>
      </c>
      <c r="K220" s="6">
        <v>0.2</v>
      </c>
      <c r="L220" s="7">
        <v>7069</v>
      </c>
      <c r="M220" s="7"/>
      <c r="O220" s="3" t="str">
        <f>IFERROR(VLOOKUP(gia_khuyen_mai[[#This Row],[Mã hàng tặng]],'Giá gốc'!B:C,2,0),"")</f>
        <v/>
      </c>
      <c r="Q220" s="3" t="str">
        <f>VLOOKUP(gia_khuyen_mai[[#This Row],[Mã sản phẩm]],product[[Mã sản phẩm]:[DS - ĐV]],3,0)</f>
        <v>Food Đức Việt</v>
      </c>
    </row>
    <row r="221" spans="1:17" ht="21.75" customHeight="1" x14ac:dyDescent="0.55000000000000004">
      <c r="A221" s="26">
        <v>216.245584045904</v>
      </c>
      <c r="B221" s="4" t="s">
        <v>12938</v>
      </c>
      <c r="C221" s="4" t="s">
        <v>502</v>
      </c>
      <c r="D221" s="4" t="s">
        <v>498</v>
      </c>
      <c r="E221" s="4" t="s">
        <v>12851</v>
      </c>
      <c r="F221" s="4" t="s">
        <v>12852</v>
      </c>
      <c r="G221" s="8" t="s">
        <v>461</v>
      </c>
      <c r="H221" s="3" t="str">
        <f>VLOOKUP(gia_khuyen_mai[[#This Row],[Barcode]],'Giá gốc'!$A:$B,2,0)</f>
        <v>2145681</v>
      </c>
      <c r="I221" s="3" t="str">
        <f>VLOOKUP(gia_khuyen_mai[[#This Row],[Mã sản phẩm]],'Giá gốc'!$B:$C,2,0)</f>
        <v>O'food Xúc xích Lắc Phô mai vị dâu tây 56g * 24EA</v>
      </c>
      <c r="J221" s="5">
        <f>VLOOKUP(gia_khuyen_mai[[#This Row],[Mã sản phẩm]],'Giá gốc'!B:D,3,0)</f>
        <v>8837</v>
      </c>
      <c r="K221" s="6">
        <v>0.2</v>
      </c>
      <c r="L221" s="7">
        <v>7069</v>
      </c>
      <c r="M221" s="7"/>
      <c r="O221" s="3" t="str">
        <f>IFERROR(VLOOKUP(gia_khuyen_mai[[#This Row],[Mã hàng tặng]],'Giá gốc'!B:C,2,0),"")</f>
        <v/>
      </c>
      <c r="Q221" s="3" t="str">
        <f>VLOOKUP(gia_khuyen_mai[[#This Row],[Mã sản phẩm]],product[[Mã sản phẩm]:[DS - ĐV]],3,0)</f>
        <v>Food Đức Việt</v>
      </c>
    </row>
    <row r="222" spans="1:17" ht="21.75" customHeight="1" x14ac:dyDescent="0.55000000000000004">
      <c r="A222" s="26">
        <v>217.30220150253601</v>
      </c>
      <c r="B222" s="4" t="s">
        <v>12938</v>
      </c>
      <c r="C222" s="4" t="s">
        <v>502</v>
      </c>
      <c r="D222" s="4" t="s">
        <v>498</v>
      </c>
      <c r="E222" s="4" t="s">
        <v>12851</v>
      </c>
      <c r="F222" s="4" t="s">
        <v>12852</v>
      </c>
      <c r="G222" s="8" t="s">
        <v>479</v>
      </c>
      <c r="H222" s="3" t="str">
        <f>VLOOKUP(gia_khuyen_mai[[#This Row],[Barcode]],'Giá gốc'!$A:$B,2,0)</f>
        <v>2150338</v>
      </c>
      <c r="I222" s="3" t="str">
        <f>VLOOKUP(gia_khuyen_mai[[#This Row],[Mã sản phẩm]],'Giá gốc'!$B:$C,2,0)</f>
        <v>O'food Chả giò da xốp hải sản 300g</v>
      </c>
      <c r="J222" s="5">
        <f>VLOOKUP(gia_khuyen_mai[[#This Row],[Mã sản phẩm]],'Giá gốc'!B:D,3,0)</f>
        <v>31524</v>
      </c>
      <c r="K222" s="6">
        <v>0.3</v>
      </c>
      <c r="L222" s="7">
        <f>ROUND((1-gia_khuyen_mai[[#This Row],[% Giảm giá]]) * gia_khuyen_mai[[#This Row],[Giá gốc]], 0)</f>
        <v>22067</v>
      </c>
      <c r="M222" s="7"/>
      <c r="O222" s="3" t="str">
        <f>IFERROR(VLOOKUP(gia_khuyen_mai[[#This Row],[Mã hàng tặng]],'Giá gốc'!B:C,2,0),"")</f>
        <v/>
      </c>
      <c r="Q222" s="3" t="str">
        <f>VLOOKUP(gia_khuyen_mai[[#This Row],[Mã sản phẩm]],product[[Mã sản phẩm]:[DS - ĐV]],3,0)</f>
        <v>Food Đức Việt</v>
      </c>
    </row>
    <row r="223" spans="1:17" ht="21.75" customHeight="1" x14ac:dyDescent="0.55000000000000004">
      <c r="A223" s="26">
        <v>218.35881895916799</v>
      </c>
      <c r="B223" s="4" t="s">
        <v>12938</v>
      </c>
      <c r="C223" s="4" t="s">
        <v>502</v>
      </c>
      <c r="D223" s="4" t="s">
        <v>498</v>
      </c>
      <c r="E223" s="4" t="s">
        <v>12851</v>
      </c>
      <c r="F223" s="4" t="s">
        <v>12852</v>
      </c>
      <c r="G223" s="8" t="s">
        <v>464</v>
      </c>
      <c r="H223" s="3" t="str">
        <f>VLOOKUP(gia_khuyen_mai[[#This Row],[Barcode]],'Giá gốc'!$A:$B,2,0)</f>
        <v>2145622</v>
      </c>
      <c r="I223" s="3" t="str">
        <f>VLOOKUP(gia_khuyen_mai[[#This Row],[Mã sản phẩm]],'Giá gốc'!$B:$C,2,0)</f>
        <v>Kim chi 450</v>
      </c>
      <c r="J223" s="5">
        <f>VLOOKUP(gia_khuyen_mai[[#This Row],[Mã sản phẩm]],'Giá gốc'!B:D,3,0)</f>
        <v>33750</v>
      </c>
      <c r="K223" s="6">
        <v>0.3</v>
      </c>
      <c r="L223" s="7">
        <f>ROUND((1-gia_khuyen_mai[[#This Row],[% Giảm giá]]) * gia_khuyen_mai[[#This Row],[Giá gốc]], 0)</f>
        <v>23625</v>
      </c>
      <c r="M223" s="7"/>
      <c r="O223" s="3" t="str">
        <f>IFERROR(VLOOKUP(gia_khuyen_mai[[#This Row],[Mã hàng tặng]],'Giá gốc'!B:C,2,0),"")</f>
        <v/>
      </c>
      <c r="Q223" s="3" t="str">
        <f>VLOOKUP(gia_khuyen_mai[[#This Row],[Mã sản phẩm]],product[[Mã sản phẩm]:[DS - ĐV]],3,0)</f>
        <v>Food Đức Việt</v>
      </c>
    </row>
    <row r="224" spans="1:17" ht="21.75" customHeight="1" x14ac:dyDescent="0.45">
      <c r="A224" s="26"/>
      <c r="B224" s="4"/>
      <c r="C224" s="4"/>
      <c r="D224" s="4"/>
      <c r="E224" s="4"/>
      <c r="F224" s="4"/>
      <c r="J224" s="5"/>
      <c r="K224" s="6"/>
      <c r="L224" s="7"/>
      <c r="M224" s="7"/>
    </row>
    <row r="225" spans="1:13" ht="21.75" customHeight="1" x14ac:dyDescent="0.45">
      <c r="A225" s="26"/>
      <c r="B225" s="4"/>
      <c r="C225" s="4"/>
      <c r="D225" s="4"/>
      <c r="E225" s="4"/>
      <c r="F225" s="4"/>
      <c r="J225" s="5"/>
      <c r="K225" s="6"/>
      <c r="L225" s="7"/>
      <c r="M225" s="7"/>
    </row>
    <row r="226" spans="1:13" ht="21.75" customHeight="1" x14ac:dyDescent="0.45">
      <c r="A226" s="26"/>
      <c r="B226" s="4"/>
      <c r="C226" s="4"/>
      <c r="D226" s="4"/>
      <c r="E226" s="4"/>
      <c r="F226" s="4"/>
      <c r="J226" s="5"/>
      <c r="K226" s="6"/>
      <c r="L226" s="7"/>
      <c r="M226" s="7"/>
    </row>
    <row r="227" spans="1:13" ht="21.75" customHeight="1" x14ac:dyDescent="0.45">
      <c r="A227" s="26"/>
      <c r="B227" s="4"/>
      <c r="C227" s="4"/>
      <c r="D227" s="4"/>
      <c r="E227" s="4"/>
      <c r="F227" s="4"/>
      <c r="J227" s="5"/>
      <c r="K227" s="6"/>
      <c r="L227" s="7"/>
      <c r="M227" s="7"/>
    </row>
    <row r="228" spans="1:13" ht="21.75" customHeight="1" x14ac:dyDescent="0.45">
      <c r="A228" s="26"/>
      <c r="B228" s="4"/>
      <c r="C228" s="4"/>
      <c r="D228" s="4"/>
      <c r="E228" s="4"/>
      <c r="F228" s="4"/>
      <c r="J228" s="5"/>
      <c r="K228" s="6"/>
      <c r="L228" s="7"/>
      <c r="M228" s="7"/>
    </row>
  </sheetData>
  <phoneticPr fontId="5" type="noConversion"/>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390C9ED7-468C-42F9-B08D-42418E5D0B72}">
          <x14:formula1>
            <xm:f>'Data Validation'!$A$2:$A$5</xm:f>
          </x14:formula1>
          <xm:sqref>D33:D61 D146:D152 D2:D31</xm:sqref>
        </x14:dataValidation>
        <x14:dataValidation type="list" allowBlank="1" showInputMessage="1" showErrorMessage="1" xr:uid="{C01B93F3-65D8-4994-9BED-BAA9D072DA55}">
          <x14:formula1>
            <xm:f>'Data Validation'!$C$2:$C$4</xm:f>
          </x14:formula1>
          <xm:sqref>C2:C228</xm:sqref>
        </x14:dataValidation>
        <x14:dataValidation type="list" allowBlank="1" showInputMessage="1" showErrorMessage="1" xr:uid="{70682026-A2D1-4D89-B7D7-4AB945F4B9A2}">
          <x14:formula1>
            <xm:f>'Data Validation'!$E$2:$E$3</xm:f>
          </x14:formula1>
          <xm:sqref>M2:M228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765"/>
  <sheetViews>
    <sheetView topLeftCell="C1" zoomScale="70" zoomScaleNormal="70" workbookViewId="0">
      <selection activeCell="D42" sqref="D42"/>
    </sheetView>
  </sheetViews>
  <sheetFormatPr defaultColWidth="21" defaultRowHeight="14.25" x14ac:dyDescent="0.45"/>
  <cols>
    <col min="3" max="3" width="46" customWidth="1"/>
    <col min="4" max="4" width="60.73046875" customWidth="1"/>
  </cols>
  <sheetData>
    <row r="1" spans="1:9" x14ac:dyDescent="0.45">
      <c r="A1" s="13" t="s">
        <v>534</v>
      </c>
      <c r="B1" s="14" t="s">
        <v>1</v>
      </c>
      <c r="C1" s="14" t="s">
        <v>535</v>
      </c>
      <c r="D1" s="14" t="s">
        <v>536</v>
      </c>
      <c r="E1" s="14" t="s">
        <v>537</v>
      </c>
      <c r="F1" s="14" t="s">
        <v>539</v>
      </c>
      <c r="G1" s="14" t="s">
        <v>538</v>
      </c>
      <c r="H1" s="18" t="s">
        <v>9569</v>
      </c>
      <c r="I1" s="18" t="s">
        <v>11293</v>
      </c>
    </row>
    <row r="2" spans="1:9" x14ac:dyDescent="0.45">
      <c r="A2" s="12" t="s">
        <v>7405</v>
      </c>
      <c r="B2" s="10" t="s">
        <v>5</v>
      </c>
      <c r="C2" s="11" t="s">
        <v>2287</v>
      </c>
      <c r="D2" s="11" t="s">
        <v>2288</v>
      </c>
      <c r="E2" s="10" t="s">
        <v>11422</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45">
      <c r="A3" s="15" t="s">
        <v>8251</v>
      </c>
      <c r="B3" s="16" t="s">
        <v>5</v>
      </c>
      <c r="C3" s="17" t="s">
        <v>541</v>
      </c>
      <c r="D3" s="17" t="s">
        <v>542</v>
      </c>
      <c r="E3" s="16" t="s">
        <v>11414</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45">
      <c r="A4" s="15" t="s">
        <v>5381</v>
      </c>
      <c r="B4" s="16" t="s">
        <v>5</v>
      </c>
      <c r="C4" s="17" t="s">
        <v>546</v>
      </c>
      <c r="D4" s="17" t="s">
        <v>547</v>
      </c>
      <c r="E4" s="16" t="s">
        <v>11414</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45">
      <c r="A5" s="15" t="s">
        <v>7429</v>
      </c>
      <c r="B5" s="16" t="s">
        <v>5</v>
      </c>
      <c r="C5" s="17" t="s">
        <v>549</v>
      </c>
      <c r="D5" s="17" t="s">
        <v>550</v>
      </c>
      <c r="E5" s="16" t="s">
        <v>11414</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45">
      <c r="A6" s="15" t="s">
        <v>7942</v>
      </c>
      <c r="B6" s="16" t="s">
        <v>5</v>
      </c>
      <c r="C6" s="17" t="s">
        <v>553</v>
      </c>
      <c r="D6" s="17" t="s">
        <v>554</v>
      </c>
      <c r="E6" s="16" t="s">
        <v>11414</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45">
      <c r="A7" s="15" t="s">
        <v>7687</v>
      </c>
      <c r="B7" s="16" t="s">
        <v>5</v>
      </c>
      <c r="C7" s="17" t="s">
        <v>557</v>
      </c>
      <c r="D7" s="17" t="s">
        <v>558</v>
      </c>
      <c r="E7" s="16" t="s">
        <v>11414</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45">
      <c r="A8" s="15" t="s">
        <v>8122</v>
      </c>
      <c r="B8" s="16" t="s">
        <v>5</v>
      </c>
      <c r="C8" s="17" t="s">
        <v>560</v>
      </c>
      <c r="D8" s="17" t="s">
        <v>561</v>
      </c>
      <c r="E8" s="16" t="s">
        <v>11414</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45">
      <c r="A9" s="15" t="s">
        <v>8329</v>
      </c>
      <c r="B9" s="16" t="s">
        <v>5</v>
      </c>
      <c r="C9" s="17" t="s">
        <v>563</v>
      </c>
      <c r="D9" s="17" t="s">
        <v>564</v>
      </c>
      <c r="E9" s="16" t="s">
        <v>11414</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45">
      <c r="A10" s="15" t="s">
        <v>8398</v>
      </c>
      <c r="B10" s="16" t="s">
        <v>5</v>
      </c>
      <c r="C10" s="17" t="s">
        <v>566</v>
      </c>
      <c r="D10" s="17" t="s">
        <v>567</v>
      </c>
      <c r="E10" s="16" t="s">
        <v>11414</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45">
      <c r="A11" s="15" t="s">
        <v>8704</v>
      </c>
      <c r="B11" s="16" t="s">
        <v>5</v>
      </c>
      <c r="C11" s="17" t="s">
        <v>569</v>
      </c>
      <c r="D11" s="17" t="s">
        <v>570</v>
      </c>
      <c r="E11" s="16" t="s">
        <v>11414</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45">
      <c r="A12" s="15" t="s">
        <v>6320</v>
      </c>
      <c r="B12" s="16" t="s">
        <v>5</v>
      </c>
      <c r="C12" s="17" t="s">
        <v>572</v>
      </c>
      <c r="D12" s="17" t="s">
        <v>573</v>
      </c>
      <c r="E12" s="16" t="s">
        <v>11414</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45">
      <c r="A13" s="15" t="s">
        <v>6430</v>
      </c>
      <c r="B13" s="16" t="s">
        <v>5</v>
      </c>
      <c r="C13" s="17" t="s">
        <v>575</v>
      </c>
      <c r="D13" s="17" t="s">
        <v>576</v>
      </c>
      <c r="E13" s="16" t="s">
        <v>11414</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45">
      <c r="A14" s="15" t="s">
        <v>6661</v>
      </c>
      <c r="B14" s="16" t="s">
        <v>5</v>
      </c>
      <c r="C14" s="17" t="s">
        <v>578</v>
      </c>
      <c r="D14" s="17" t="s">
        <v>579</v>
      </c>
      <c r="E14" s="16" t="s">
        <v>11414</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45">
      <c r="A15" s="15" t="s">
        <v>6991</v>
      </c>
      <c r="B15" s="16" t="s">
        <v>5</v>
      </c>
      <c r="C15" s="17" t="s">
        <v>581</v>
      </c>
      <c r="D15" s="17" t="s">
        <v>582</v>
      </c>
      <c r="E15" s="16" t="s">
        <v>11414</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45">
      <c r="A16" s="15" t="s">
        <v>7117</v>
      </c>
      <c r="B16" s="16" t="s">
        <v>5</v>
      </c>
      <c r="C16" s="17" t="s">
        <v>584</v>
      </c>
      <c r="D16" s="17" t="s">
        <v>585</v>
      </c>
      <c r="E16" s="16" t="s">
        <v>11414</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45">
      <c r="A17" s="15" t="s">
        <v>8233</v>
      </c>
      <c r="B17" s="16" t="s">
        <v>5</v>
      </c>
      <c r="C17" s="17" t="s">
        <v>587</v>
      </c>
      <c r="D17" s="17" t="s">
        <v>588</v>
      </c>
      <c r="E17" s="16" t="s">
        <v>11414</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45">
      <c r="A18" s="15" t="s">
        <v>5768</v>
      </c>
      <c r="B18" s="16" t="s">
        <v>5</v>
      </c>
      <c r="C18" s="17" t="s">
        <v>590</v>
      </c>
      <c r="D18" s="17" t="s">
        <v>591</v>
      </c>
      <c r="E18" s="16" t="s">
        <v>11414</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45">
      <c r="A19" s="15" t="s">
        <v>5891</v>
      </c>
      <c r="B19" s="16" t="s">
        <v>5</v>
      </c>
      <c r="C19" s="17" t="s">
        <v>593</v>
      </c>
      <c r="D19" s="17" t="s">
        <v>594</v>
      </c>
      <c r="E19" s="16" t="s">
        <v>11414</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45">
      <c r="A20" s="15" t="s">
        <v>5948</v>
      </c>
      <c r="B20" s="16" t="s">
        <v>5</v>
      </c>
      <c r="C20" s="17" t="s">
        <v>596</v>
      </c>
      <c r="D20" s="17" t="s">
        <v>597</v>
      </c>
      <c r="E20" s="16" t="s">
        <v>11414</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45">
      <c r="A21" s="15" t="s">
        <v>6182</v>
      </c>
      <c r="B21" s="16" t="s">
        <v>5</v>
      </c>
      <c r="C21" s="17" t="s">
        <v>599</v>
      </c>
      <c r="D21" s="17" t="s">
        <v>600</v>
      </c>
      <c r="E21" s="16" t="s">
        <v>11414</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45">
      <c r="A22" s="15" t="s">
        <v>7690</v>
      </c>
      <c r="B22" s="16" t="s">
        <v>5</v>
      </c>
      <c r="C22" s="17" t="s">
        <v>602</v>
      </c>
      <c r="D22" s="17" t="s">
        <v>603</v>
      </c>
      <c r="E22" s="16" t="s">
        <v>11414</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45">
      <c r="A23" s="15" t="s">
        <v>8680</v>
      </c>
      <c r="B23" s="16" t="s">
        <v>5</v>
      </c>
      <c r="C23" s="17" t="s">
        <v>605</v>
      </c>
      <c r="D23" s="17" t="s">
        <v>606</v>
      </c>
      <c r="E23" s="16" t="s">
        <v>11414</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45">
      <c r="A24" s="15" t="s">
        <v>8881</v>
      </c>
      <c r="B24" s="16" t="s">
        <v>5</v>
      </c>
      <c r="C24" s="17" t="s">
        <v>608</v>
      </c>
      <c r="D24" s="17" t="s">
        <v>609</v>
      </c>
      <c r="E24" s="16" t="s">
        <v>11414</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45">
      <c r="A25" s="15" t="s">
        <v>4574</v>
      </c>
      <c r="B25" s="16" t="s">
        <v>5</v>
      </c>
      <c r="C25" s="17" t="s">
        <v>611</v>
      </c>
      <c r="D25" s="17" t="s">
        <v>612</v>
      </c>
      <c r="E25" s="16" t="s">
        <v>11414</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45">
      <c r="A26" s="15" t="s">
        <v>4655</v>
      </c>
      <c r="B26" s="16" t="s">
        <v>5</v>
      </c>
      <c r="C26" s="17" t="s">
        <v>614</v>
      </c>
      <c r="D26" s="17" t="s">
        <v>615</v>
      </c>
      <c r="E26" s="16" t="s">
        <v>11414</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45">
      <c r="A27" s="15" t="s">
        <v>4775</v>
      </c>
      <c r="B27" s="16" t="s">
        <v>5</v>
      </c>
      <c r="C27" s="17" t="s">
        <v>617</v>
      </c>
      <c r="D27" s="17" t="s">
        <v>618</v>
      </c>
      <c r="E27" s="16" t="s">
        <v>11414</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45">
      <c r="A28" s="15" t="s">
        <v>4790</v>
      </c>
      <c r="B28" s="16" t="s">
        <v>5</v>
      </c>
      <c r="C28" s="17" t="s">
        <v>620</v>
      </c>
      <c r="D28" s="17" t="s">
        <v>621</v>
      </c>
      <c r="E28" s="16" t="s">
        <v>11414</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45">
      <c r="A29" s="15" t="s">
        <v>4883</v>
      </c>
      <c r="B29" s="16" t="s">
        <v>5</v>
      </c>
      <c r="C29" s="17" t="s">
        <v>623</v>
      </c>
      <c r="D29" s="17" t="s">
        <v>624</v>
      </c>
      <c r="E29" s="16" t="s">
        <v>11414</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45">
      <c r="A30" s="15" t="s">
        <v>4907</v>
      </c>
      <c r="B30" s="16" t="s">
        <v>5</v>
      </c>
      <c r="C30" s="17" t="s">
        <v>626</v>
      </c>
      <c r="D30" s="17" t="s">
        <v>627</v>
      </c>
      <c r="E30" s="16" t="s">
        <v>11414</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45">
      <c r="A31" s="15" t="s">
        <v>4946</v>
      </c>
      <c r="B31" s="16" t="s">
        <v>5</v>
      </c>
      <c r="C31" s="17" t="s">
        <v>629</v>
      </c>
      <c r="D31" s="17" t="s">
        <v>630</v>
      </c>
      <c r="E31" s="16" t="s">
        <v>11414</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45">
      <c r="A32" s="15" t="s">
        <v>5063</v>
      </c>
      <c r="B32" s="16" t="s">
        <v>5</v>
      </c>
      <c r="C32" s="17" t="s">
        <v>632</v>
      </c>
      <c r="D32" s="17" t="s">
        <v>633</v>
      </c>
      <c r="E32" s="16" t="s">
        <v>11414</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45">
      <c r="A33" s="15" t="s">
        <v>5081</v>
      </c>
      <c r="B33" s="16" t="s">
        <v>5</v>
      </c>
      <c r="C33" s="17" t="s">
        <v>635</v>
      </c>
      <c r="D33" s="17" t="s">
        <v>636</v>
      </c>
      <c r="E33" s="16" t="s">
        <v>11414</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45">
      <c r="A34" s="15" t="s">
        <v>5099</v>
      </c>
      <c r="B34" s="16" t="s">
        <v>5</v>
      </c>
      <c r="C34" s="17" t="s">
        <v>638</v>
      </c>
      <c r="D34" s="17" t="s">
        <v>639</v>
      </c>
      <c r="E34" s="16" t="s">
        <v>11414</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45">
      <c r="A35" s="15" t="s">
        <v>5228</v>
      </c>
      <c r="B35" s="16" t="s">
        <v>5</v>
      </c>
      <c r="C35" s="17" t="s">
        <v>641</v>
      </c>
      <c r="D35" s="17" t="s">
        <v>642</v>
      </c>
      <c r="E35" s="16" t="s">
        <v>11414</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45">
      <c r="A36" s="15" t="s">
        <v>5231</v>
      </c>
      <c r="B36" s="16" t="s">
        <v>5</v>
      </c>
      <c r="C36" s="17" t="s">
        <v>644</v>
      </c>
      <c r="D36" s="17" t="s">
        <v>645</v>
      </c>
      <c r="E36" s="16" t="s">
        <v>11414</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45">
      <c r="A37" s="15" t="s">
        <v>11300</v>
      </c>
      <c r="B37" s="16" t="s">
        <v>5</v>
      </c>
      <c r="C37" s="17" t="s">
        <v>647</v>
      </c>
      <c r="D37" s="17" t="s">
        <v>648</v>
      </c>
      <c r="E37" s="16" t="s">
        <v>11414</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45">
      <c r="A38" s="15" t="s">
        <v>5537</v>
      </c>
      <c r="B38" s="16" t="s">
        <v>5</v>
      </c>
      <c r="C38" s="17" t="s">
        <v>650</v>
      </c>
      <c r="D38" s="17" t="s">
        <v>651</v>
      </c>
      <c r="E38" s="16" t="s">
        <v>11414</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45">
      <c r="A39" s="15" t="s">
        <v>5648</v>
      </c>
      <c r="B39" s="16" t="s">
        <v>5</v>
      </c>
      <c r="C39" s="17" t="s">
        <v>653</v>
      </c>
      <c r="D39" s="17" t="s">
        <v>654</v>
      </c>
      <c r="E39" s="16" t="s">
        <v>11414</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45">
      <c r="A40" s="15" t="s">
        <v>6176</v>
      </c>
      <c r="B40" s="16" t="s">
        <v>5</v>
      </c>
      <c r="C40" s="17" t="s">
        <v>656</v>
      </c>
      <c r="D40" s="17" t="s">
        <v>657</v>
      </c>
      <c r="E40" s="16" t="s">
        <v>11414</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45">
      <c r="A41" s="15" t="s">
        <v>6337</v>
      </c>
      <c r="B41" s="16" t="s">
        <v>5</v>
      </c>
      <c r="C41" s="17" t="s">
        <v>659</v>
      </c>
      <c r="D41" s="17" t="s">
        <v>660</v>
      </c>
      <c r="E41" s="16" t="s">
        <v>11414</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45">
      <c r="A42" s="15" t="s">
        <v>6340</v>
      </c>
      <c r="B42" s="16" t="s">
        <v>5</v>
      </c>
      <c r="C42" s="17" t="s">
        <v>662</v>
      </c>
      <c r="D42" s="17" t="s">
        <v>663</v>
      </c>
      <c r="E42" s="16" t="s">
        <v>11414</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45">
      <c r="A43" s="15" t="s">
        <v>6979</v>
      </c>
      <c r="B43" s="16" t="s">
        <v>5</v>
      </c>
      <c r="C43" s="17" t="s">
        <v>665</v>
      </c>
      <c r="D43" s="17" t="s">
        <v>666</v>
      </c>
      <c r="E43" s="16" t="s">
        <v>11414</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45">
      <c r="A44" s="15" t="s">
        <v>7084</v>
      </c>
      <c r="B44" s="16" t="s">
        <v>5</v>
      </c>
      <c r="C44" s="17" t="s">
        <v>668</v>
      </c>
      <c r="D44" s="17" t="s">
        <v>669</v>
      </c>
      <c r="E44" s="16" t="s">
        <v>11414</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45">
      <c r="A45" s="15" t="s">
        <v>7453</v>
      </c>
      <c r="B45" s="16" t="s">
        <v>5</v>
      </c>
      <c r="C45" s="17" t="s">
        <v>671</v>
      </c>
      <c r="D45" s="17" t="s">
        <v>672</v>
      </c>
      <c r="E45" s="16" t="s">
        <v>11414</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45">
      <c r="A46" s="15" t="s">
        <v>7570</v>
      </c>
      <c r="B46" s="16" t="s">
        <v>5</v>
      </c>
      <c r="C46" s="17" t="s">
        <v>673</v>
      </c>
      <c r="D46" s="17" t="s">
        <v>674</v>
      </c>
      <c r="E46" s="16" t="s">
        <v>11414</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45">
      <c r="A47" s="15" t="s">
        <v>8068</v>
      </c>
      <c r="B47" s="16" t="s">
        <v>5</v>
      </c>
      <c r="C47" s="17" t="s">
        <v>678</v>
      </c>
      <c r="D47" s="17" t="s">
        <v>679</v>
      </c>
      <c r="E47" s="16" t="s">
        <v>11414</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45">
      <c r="A48" s="15" t="s">
        <v>8377</v>
      </c>
      <c r="B48" s="16" t="s">
        <v>5</v>
      </c>
      <c r="C48" s="17" t="s">
        <v>681</v>
      </c>
      <c r="D48" s="17" t="s">
        <v>682</v>
      </c>
      <c r="E48" s="16" t="s">
        <v>11414</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45">
      <c r="A49" s="15" t="s">
        <v>8662</v>
      </c>
      <c r="B49" s="16" t="s">
        <v>5</v>
      </c>
      <c r="C49" s="17" t="s">
        <v>684</v>
      </c>
      <c r="D49" s="17" t="s">
        <v>685</v>
      </c>
      <c r="E49" s="16" t="s">
        <v>11414</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45">
      <c r="A50" s="15" t="s">
        <v>8677</v>
      </c>
      <c r="B50" s="16" t="s">
        <v>5</v>
      </c>
      <c r="C50" s="17" t="s">
        <v>687</v>
      </c>
      <c r="D50" s="17" t="s">
        <v>688</v>
      </c>
      <c r="E50" s="16" t="s">
        <v>11414</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45">
      <c r="A51" s="15" t="s">
        <v>8893</v>
      </c>
      <c r="B51" s="16" t="s">
        <v>5</v>
      </c>
      <c r="C51" s="17" t="s">
        <v>690</v>
      </c>
      <c r="D51" s="17" t="s">
        <v>691</v>
      </c>
      <c r="E51" s="16" t="s">
        <v>11414</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45">
      <c r="A52" s="15" t="s">
        <v>4628</v>
      </c>
      <c r="B52" s="16" t="s">
        <v>5</v>
      </c>
      <c r="C52" s="17" t="s">
        <v>693</v>
      </c>
      <c r="D52" s="17" t="s">
        <v>694</v>
      </c>
      <c r="E52" s="16" t="s">
        <v>11414</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45">
      <c r="A53" s="15" t="s">
        <v>4691</v>
      </c>
      <c r="B53" s="16" t="s">
        <v>5</v>
      </c>
      <c r="C53" s="17" t="s">
        <v>696</v>
      </c>
      <c r="D53" s="17" t="s">
        <v>697</v>
      </c>
      <c r="E53" s="16" t="s">
        <v>11414</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45">
      <c r="A54" s="15" t="s">
        <v>5132</v>
      </c>
      <c r="B54" s="16" t="s">
        <v>5</v>
      </c>
      <c r="C54" s="17" t="s">
        <v>699</v>
      </c>
      <c r="D54" s="17" t="s">
        <v>700</v>
      </c>
      <c r="E54" s="16" t="s">
        <v>11414</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45">
      <c r="A55" s="15" t="s">
        <v>5216</v>
      </c>
      <c r="B55" s="16" t="s">
        <v>5</v>
      </c>
      <c r="C55" s="17" t="s">
        <v>702</v>
      </c>
      <c r="D55" s="17" t="s">
        <v>703</v>
      </c>
      <c r="E55" s="16" t="s">
        <v>11414</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45">
      <c r="A56" s="15" t="s">
        <v>5354</v>
      </c>
      <c r="B56" s="16" t="s">
        <v>5</v>
      </c>
      <c r="C56" s="17" t="s">
        <v>705</v>
      </c>
      <c r="D56" s="17" t="s">
        <v>706</v>
      </c>
      <c r="E56" s="16" t="s">
        <v>11414</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45">
      <c r="A57" s="15" t="s">
        <v>6868</v>
      </c>
      <c r="B57" s="16" t="s">
        <v>5</v>
      </c>
      <c r="C57" s="17" t="s">
        <v>708</v>
      </c>
      <c r="D57" s="17" t="s">
        <v>709</v>
      </c>
      <c r="E57" s="16" t="s">
        <v>11414</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45">
      <c r="A58" s="15" t="s">
        <v>7033</v>
      </c>
      <c r="B58" s="16" t="s">
        <v>5</v>
      </c>
      <c r="C58" s="17" t="s">
        <v>711</v>
      </c>
      <c r="D58" s="17" t="s">
        <v>712</v>
      </c>
      <c r="E58" s="16" t="s">
        <v>11414</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45">
      <c r="A59" s="15" t="s">
        <v>8839</v>
      </c>
      <c r="B59" s="16" t="s">
        <v>5</v>
      </c>
      <c r="C59" s="17" t="s">
        <v>714</v>
      </c>
      <c r="D59" s="17" t="s">
        <v>715</v>
      </c>
      <c r="E59" s="16" t="s">
        <v>11414</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45">
      <c r="A60" s="15" t="s">
        <v>8623</v>
      </c>
      <c r="B60" s="16" t="s">
        <v>5</v>
      </c>
      <c r="C60" s="17" t="s">
        <v>717</v>
      </c>
      <c r="D60" s="17" t="s">
        <v>718</v>
      </c>
      <c r="E60" s="16" t="s">
        <v>11414</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45">
      <c r="A61" s="15" t="s">
        <v>8764</v>
      </c>
      <c r="B61" s="16" t="s">
        <v>5</v>
      </c>
      <c r="C61" s="17" t="s">
        <v>720</v>
      </c>
      <c r="D61" s="17" t="s">
        <v>721</v>
      </c>
      <c r="E61" s="16" t="s">
        <v>11414</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45">
      <c r="A62" s="15" t="s">
        <v>9007</v>
      </c>
      <c r="B62" s="16" t="s">
        <v>5</v>
      </c>
      <c r="C62" s="17" t="s">
        <v>723</v>
      </c>
      <c r="D62" s="17" t="s">
        <v>724</v>
      </c>
      <c r="E62" s="16" t="s">
        <v>11414</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45">
      <c r="A63" s="15" t="s">
        <v>8947</v>
      </c>
      <c r="B63" s="16" t="s">
        <v>5</v>
      </c>
      <c r="C63" s="17" t="s">
        <v>726</v>
      </c>
      <c r="D63" s="17" t="s">
        <v>727</v>
      </c>
      <c r="E63" s="16" t="s">
        <v>11414</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45">
      <c r="A64" s="15" t="s">
        <v>8974</v>
      </c>
      <c r="B64" s="16" t="s">
        <v>5</v>
      </c>
      <c r="C64" s="17" t="s">
        <v>729</v>
      </c>
      <c r="D64" s="17" t="s">
        <v>730</v>
      </c>
      <c r="E64" s="16" t="s">
        <v>11414</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45">
      <c r="A65" s="15" t="s">
        <v>8887</v>
      </c>
      <c r="B65" s="16" t="s">
        <v>5</v>
      </c>
      <c r="C65" s="17" t="s">
        <v>732</v>
      </c>
      <c r="D65" s="17" t="s">
        <v>733</v>
      </c>
      <c r="E65" s="16" t="s">
        <v>11414</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45">
      <c r="A66" s="15" t="s">
        <v>8923</v>
      </c>
      <c r="B66" s="16" t="s">
        <v>5</v>
      </c>
      <c r="C66" s="17" t="s">
        <v>735</v>
      </c>
      <c r="D66" s="17" t="s">
        <v>736</v>
      </c>
      <c r="E66" s="16" t="s">
        <v>11414</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45">
      <c r="A67" s="15" t="s">
        <v>9223</v>
      </c>
      <c r="B67" s="16" t="s">
        <v>5</v>
      </c>
      <c r="C67" s="17" t="s">
        <v>738</v>
      </c>
      <c r="D67" s="17" t="s">
        <v>739</v>
      </c>
      <c r="E67" s="16" t="s">
        <v>11414</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45">
      <c r="A68" s="15" t="s">
        <v>9181</v>
      </c>
      <c r="B68" s="16" t="s">
        <v>5</v>
      </c>
      <c r="C68" s="17" t="s">
        <v>741</v>
      </c>
      <c r="D68" s="17" t="s">
        <v>742</v>
      </c>
      <c r="E68" s="16" t="s">
        <v>11414</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45">
      <c r="A69" s="15" t="s">
        <v>9178</v>
      </c>
      <c r="B69" s="16" t="s">
        <v>5</v>
      </c>
      <c r="C69" s="17" t="s">
        <v>744</v>
      </c>
      <c r="D69" s="17" t="s">
        <v>745</v>
      </c>
      <c r="E69" s="16" t="s">
        <v>11414</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45">
      <c r="A70" s="15" t="s">
        <v>1398</v>
      </c>
      <c r="B70" s="16" t="s">
        <v>5</v>
      </c>
      <c r="C70" s="17" t="s">
        <v>747</v>
      </c>
      <c r="D70" s="17" t="s">
        <v>748</v>
      </c>
      <c r="E70" s="16" t="s">
        <v>11414</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45">
      <c r="A71" s="15" t="s">
        <v>1478</v>
      </c>
      <c r="B71" s="16" t="s">
        <v>5</v>
      </c>
      <c r="C71" s="17" t="s">
        <v>750</v>
      </c>
      <c r="D71" s="17" t="s">
        <v>751</v>
      </c>
      <c r="E71" s="16" t="s">
        <v>11414</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45">
      <c r="A72" s="15" t="s">
        <v>1741</v>
      </c>
      <c r="B72" s="16" t="s">
        <v>5</v>
      </c>
      <c r="C72" s="17" t="s">
        <v>753</v>
      </c>
      <c r="D72" s="17" t="s">
        <v>754</v>
      </c>
      <c r="E72" s="16" t="s">
        <v>11414</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45">
      <c r="A73" s="15" t="s">
        <v>2623</v>
      </c>
      <c r="B73" s="16" t="s">
        <v>5</v>
      </c>
      <c r="C73" s="17" t="s">
        <v>756</v>
      </c>
      <c r="D73" s="17" t="s">
        <v>757</v>
      </c>
      <c r="E73" s="16" t="s">
        <v>11414</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45">
      <c r="A74" s="15" t="s">
        <v>2310</v>
      </c>
      <c r="B74" s="16" t="s">
        <v>5</v>
      </c>
      <c r="C74" s="17" t="s">
        <v>759</v>
      </c>
      <c r="D74" s="17" t="s">
        <v>760</v>
      </c>
      <c r="E74" s="16" t="s">
        <v>11414</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45">
      <c r="A75" s="15" t="s">
        <v>2698</v>
      </c>
      <c r="B75" s="16" t="s">
        <v>5</v>
      </c>
      <c r="C75" s="17" t="s">
        <v>762</v>
      </c>
      <c r="D75" s="17" t="s">
        <v>763</v>
      </c>
      <c r="E75" s="16" t="s">
        <v>11414</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45">
      <c r="A76" s="15" t="s">
        <v>2734</v>
      </c>
      <c r="B76" s="16" t="s">
        <v>5</v>
      </c>
      <c r="C76" s="17" t="s">
        <v>765</v>
      </c>
      <c r="D76" s="17" t="s">
        <v>766</v>
      </c>
      <c r="E76" s="16" t="s">
        <v>11414</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45">
      <c r="A77" s="15" t="s">
        <v>2902</v>
      </c>
      <c r="B77" s="16" t="s">
        <v>5</v>
      </c>
      <c r="C77" s="17" t="s">
        <v>768</v>
      </c>
      <c r="D77" s="17" t="s">
        <v>769</v>
      </c>
      <c r="E77" s="16" t="s">
        <v>11414</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45">
      <c r="A78" s="15" t="s">
        <v>1545</v>
      </c>
      <c r="B78" s="16" t="s">
        <v>5</v>
      </c>
      <c r="C78" s="17" t="s">
        <v>771</v>
      </c>
      <c r="D78" s="17" t="s">
        <v>772</v>
      </c>
      <c r="E78" s="16" t="s">
        <v>11414</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45">
      <c r="A79" s="15" t="s">
        <v>1576</v>
      </c>
      <c r="B79" s="16" t="s">
        <v>5</v>
      </c>
      <c r="C79" s="17" t="s">
        <v>774</v>
      </c>
      <c r="D79" s="17" t="s">
        <v>775</v>
      </c>
      <c r="E79" s="16" t="s">
        <v>11414</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45">
      <c r="A80" s="15" t="s">
        <v>737</v>
      </c>
      <c r="B80" s="16" t="s">
        <v>183</v>
      </c>
      <c r="C80" s="17" t="s">
        <v>777</v>
      </c>
      <c r="D80" s="17" t="s">
        <v>778</v>
      </c>
      <c r="E80" s="16" t="s">
        <v>11414</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45">
      <c r="A81" s="15" t="s">
        <v>8467</v>
      </c>
      <c r="B81" s="16" t="s">
        <v>5</v>
      </c>
      <c r="C81" s="17" t="s">
        <v>780</v>
      </c>
      <c r="D81" s="17" t="s">
        <v>781</v>
      </c>
      <c r="E81" s="16" t="s">
        <v>11418</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45">
      <c r="A82" s="15" t="s">
        <v>8575</v>
      </c>
      <c r="B82" s="16" t="s">
        <v>5</v>
      </c>
      <c r="C82" s="17" t="s">
        <v>783</v>
      </c>
      <c r="D82" s="17" t="s">
        <v>784</v>
      </c>
      <c r="E82" s="16" t="s">
        <v>11418</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45">
      <c r="A83" s="15" t="s">
        <v>6185</v>
      </c>
      <c r="B83" s="16" t="s">
        <v>5</v>
      </c>
      <c r="C83" s="17" t="s">
        <v>786</v>
      </c>
      <c r="D83" s="17" t="s">
        <v>787</v>
      </c>
      <c r="E83" s="16" t="s">
        <v>11418</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45">
      <c r="A84" s="15" t="s">
        <v>6203</v>
      </c>
      <c r="B84" s="16" t="s">
        <v>5</v>
      </c>
      <c r="C84" s="17" t="s">
        <v>789</v>
      </c>
      <c r="D84" s="17" t="s">
        <v>790</v>
      </c>
      <c r="E84" s="15" t="s">
        <v>11418</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45">
      <c r="A85" s="15" t="s">
        <v>6221</v>
      </c>
      <c r="B85" s="16" t="s">
        <v>5</v>
      </c>
      <c r="C85" s="17" t="s">
        <v>792</v>
      </c>
      <c r="D85" s="17" t="s">
        <v>793</v>
      </c>
      <c r="E85" s="16" t="s">
        <v>11418</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45">
      <c r="A86" s="15" t="s">
        <v>6982</v>
      </c>
      <c r="B86" s="16" t="s">
        <v>5</v>
      </c>
      <c r="C86" s="17" t="s">
        <v>795</v>
      </c>
      <c r="D86" s="17" t="s">
        <v>796</v>
      </c>
      <c r="E86" s="16" t="s">
        <v>11418</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45">
      <c r="A87" s="15" t="s">
        <v>7114</v>
      </c>
      <c r="B87" s="16" t="s">
        <v>5</v>
      </c>
      <c r="C87" s="17" t="s">
        <v>798</v>
      </c>
      <c r="D87" s="17" t="s">
        <v>799</v>
      </c>
      <c r="E87" s="16" t="s">
        <v>11418</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45">
      <c r="A88" s="15" t="s">
        <v>7432</v>
      </c>
      <c r="B88" s="16" t="s">
        <v>5</v>
      </c>
      <c r="C88" s="17" t="s">
        <v>801</v>
      </c>
      <c r="D88" s="17" t="s">
        <v>802</v>
      </c>
      <c r="E88" s="16" t="s">
        <v>11418</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45">
      <c r="A89" s="15" t="s">
        <v>7456</v>
      </c>
      <c r="B89" s="16" t="s">
        <v>5</v>
      </c>
      <c r="C89" s="17" t="s">
        <v>804</v>
      </c>
      <c r="D89" s="17" t="s">
        <v>805</v>
      </c>
      <c r="E89" s="16" t="s">
        <v>11418</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45">
      <c r="A90" s="15" t="s">
        <v>8218</v>
      </c>
      <c r="B90" s="16" t="s">
        <v>5</v>
      </c>
      <c r="C90" s="17" t="s">
        <v>807</v>
      </c>
      <c r="D90" s="17" t="s">
        <v>808</v>
      </c>
      <c r="E90" s="16" t="s">
        <v>11418</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45">
      <c r="A91" s="15" t="s">
        <v>8248</v>
      </c>
      <c r="B91" s="16" t="s">
        <v>5</v>
      </c>
      <c r="C91" s="17" t="s">
        <v>810</v>
      </c>
      <c r="D91" s="17" t="s">
        <v>811</v>
      </c>
      <c r="E91" s="16" t="s">
        <v>11418</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45">
      <c r="A92" s="15" t="s">
        <v>4490</v>
      </c>
      <c r="B92" s="16" t="s">
        <v>5</v>
      </c>
      <c r="C92" s="17" t="s">
        <v>813</v>
      </c>
      <c r="D92" s="17" t="s">
        <v>814</v>
      </c>
      <c r="E92" s="16" t="s">
        <v>11418</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45">
      <c r="A93" s="15" t="s">
        <v>4502</v>
      </c>
      <c r="B93" s="16" t="s">
        <v>5</v>
      </c>
      <c r="C93" s="17" t="s">
        <v>816</v>
      </c>
      <c r="D93" s="17" t="s">
        <v>817</v>
      </c>
      <c r="E93" s="16" t="s">
        <v>11418</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45">
      <c r="A94" s="15" t="s">
        <v>4547</v>
      </c>
      <c r="B94" s="16" t="s">
        <v>5</v>
      </c>
      <c r="C94" s="17" t="s">
        <v>819</v>
      </c>
      <c r="D94" s="17" t="s">
        <v>820</v>
      </c>
      <c r="E94" s="16" t="s">
        <v>11418</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45">
      <c r="A95" s="15" t="s">
        <v>4610</v>
      </c>
      <c r="B95" s="16" t="s">
        <v>5</v>
      </c>
      <c r="C95" s="17" t="s">
        <v>822</v>
      </c>
      <c r="D95" s="17" t="s">
        <v>823</v>
      </c>
      <c r="E95" s="16" t="s">
        <v>11418</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45">
      <c r="A96" s="15" t="s">
        <v>4622</v>
      </c>
      <c r="B96" s="16" t="s">
        <v>5</v>
      </c>
      <c r="C96" s="17" t="s">
        <v>825</v>
      </c>
      <c r="D96" s="17" t="s">
        <v>826</v>
      </c>
      <c r="E96" s="16" t="s">
        <v>11418</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45">
      <c r="A97" s="15" t="s">
        <v>4847</v>
      </c>
      <c r="B97" s="16" t="s">
        <v>5</v>
      </c>
      <c r="C97" s="17" t="s">
        <v>828</v>
      </c>
      <c r="D97" s="17" t="s">
        <v>829</v>
      </c>
      <c r="E97" s="16" t="s">
        <v>11418</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45">
      <c r="A98" s="15" t="s">
        <v>4973</v>
      </c>
      <c r="B98" s="16" t="s">
        <v>5</v>
      </c>
      <c r="C98" s="17" t="s">
        <v>831</v>
      </c>
      <c r="D98" s="17" t="s">
        <v>832</v>
      </c>
      <c r="E98" s="16" t="s">
        <v>11418</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45">
      <c r="A99" s="15" t="s">
        <v>5051</v>
      </c>
      <c r="B99" s="16" t="s">
        <v>5</v>
      </c>
      <c r="C99" s="17" t="s">
        <v>834</v>
      </c>
      <c r="D99" s="17" t="s">
        <v>835</v>
      </c>
      <c r="E99" s="16" t="s">
        <v>11418</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45">
      <c r="A100" s="15" t="s">
        <v>7246</v>
      </c>
      <c r="B100" s="16" t="s">
        <v>5</v>
      </c>
      <c r="C100" s="17" t="s">
        <v>837</v>
      </c>
      <c r="D100" s="17" t="s">
        <v>838</v>
      </c>
      <c r="E100" s="16" t="s">
        <v>11418</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45">
      <c r="A101" s="15" t="s">
        <v>7462</v>
      </c>
      <c r="B101" s="16" t="s">
        <v>5</v>
      </c>
      <c r="C101" s="17" t="s">
        <v>840</v>
      </c>
      <c r="D101" s="17" t="s">
        <v>841</v>
      </c>
      <c r="E101" s="16" t="s">
        <v>11418</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45">
      <c r="A102" s="15" t="s">
        <v>7972</v>
      </c>
      <c r="B102" s="16" t="s">
        <v>5</v>
      </c>
      <c r="C102" s="17" t="s">
        <v>843</v>
      </c>
      <c r="D102" s="17" t="s">
        <v>844</v>
      </c>
      <c r="E102" s="16" t="s">
        <v>11418</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45">
      <c r="A103" s="15" t="s">
        <v>8023</v>
      </c>
      <c r="B103" s="16" t="s">
        <v>5</v>
      </c>
      <c r="C103" s="17" t="s">
        <v>846</v>
      </c>
      <c r="D103" s="17" t="s">
        <v>847</v>
      </c>
      <c r="E103" s="16" t="s">
        <v>11418</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45">
      <c r="A104" s="15" t="s">
        <v>7249</v>
      </c>
      <c r="B104" s="16" t="s">
        <v>5</v>
      </c>
      <c r="C104" s="17" t="s">
        <v>849</v>
      </c>
      <c r="D104" s="17" t="s">
        <v>850</v>
      </c>
      <c r="E104" s="16" t="s">
        <v>11418</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45">
      <c r="A105" s="15" t="s">
        <v>7297</v>
      </c>
      <c r="B105" s="16" t="s">
        <v>5</v>
      </c>
      <c r="C105" s="17" t="s">
        <v>852</v>
      </c>
      <c r="D105" s="17" t="s">
        <v>853</v>
      </c>
      <c r="E105" s="16" t="s">
        <v>11418</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45">
      <c r="A106" s="15" t="s">
        <v>7330</v>
      </c>
      <c r="B106" s="16" t="s">
        <v>5</v>
      </c>
      <c r="C106" s="17" t="s">
        <v>855</v>
      </c>
      <c r="D106" s="17" t="s">
        <v>856</v>
      </c>
      <c r="E106" s="16" t="s">
        <v>11418</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45">
      <c r="A107" s="15" t="s">
        <v>7465</v>
      </c>
      <c r="B107" s="16" t="s">
        <v>5</v>
      </c>
      <c r="C107" s="17" t="s">
        <v>858</v>
      </c>
      <c r="D107" s="17" t="s">
        <v>859</v>
      </c>
      <c r="E107" s="16" t="s">
        <v>11418</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45">
      <c r="A108" s="15" t="s">
        <v>7582</v>
      </c>
      <c r="B108" s="16" t="s">
        <v>5</v>
      </c>
      <c r="C108" s="17" t="s">
        <v>861</v>
      </c>
      <c r="D108" s="17" t="s">
        <v>862</v>
      </c>
      <c r="E108" s="16" t="s">
        <v>11418</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45">
      <c r="A109" s="15" t="s">
        <v>7756</v>
      </c>
      <c r="B109" s="16" t="s">
        <v>5</v>
      </c>
      <c r="C109" s="17" t="s">
        <v>864</v>
      </c>
      <c r="D109" s="17" t="s">
        <v>865</v>
      </c>
      <c r="E109" s="16" t="s">
        <v>11418</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45">
      <c r="A110" s="15" t="s">
        <v>7915</v>
      </c>
      <c r="B110" s="16" t="s">
        <v>5</v>
      </c>
      <c r="C110" s="17" t="s">
        <v>867</v>
      </c>
      <c r="D110" s="17" t="s">
        <v>868</v>
      </c>
      <c r="E110" s="16" t="s">
        <v>11418</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45">
      <c r="A111" s="15" t="s">
        <v>8797</v>
      </c>
      <c r="B111" s="16" t="s">
        <v>5</v>
      </c>
      <c r="C111" s="17" t="s">
        <v>870</v>
      </c>
      <c r="D111" s="17" t="s">
        <v>871</v>
      </c>
      <c r="E111" s="16" t="s">
        <v>11418</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45">
      <c r="A112" s="15" t="s">
        <v>8830</v>
      </c>
      <c r="B112" s="16" t="s">
        <v>5</v>
      </c>
      <c r="C112" s="17" t="s">
        <v>873</v>
      </c>
      <c r="D112" s="17" t="s">
        <v>874</v>
      </c>
      <c r="E112" s="16" t="s">
        <v>11418</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45">
      <c r="A113" s="15" t="s">
        <v>7642</v>
      </c>
      <c r="B113" s="16" t="s">
        <v>5</v>
      </c>
      <c r="C113" s="17" t="s">
        <v>876</v>
      </c>
      <c r="D113" s="17" t="s">
        <v>877</v>
      </c>
      <c r="E113" s="16" t="s">
        <v>11418</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45">
      <c r="A114" s="15" t="s">
        <v>8965</v>
      </c>
      <c r="B114" s="16" t="s">
        <v>5</v>
      </c>
      <c r="C114" s="17" t="s">
        <v>879</v>
      </c>
      <c r="D114" s="17" t="s">
        <v>880</v>
      </c>
      <c r="E114" s="16" t="s">
        <v>11418</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45">
      <c r="A115" s="15" t="s">
        <v>9211</v>
      </c>
      <c r="B115" s="16" t="s">
        <v>5</v>
      </c>
      <c r="C115" s="17" t="s">
        <v>882</v>
      </c>
      <c r="D115" s="17" t="s">
        <v>883</v>
      </c>
      <c r="E115" s="16" t="s">
        <v>11418</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45">
      <c r="A116" s="15" t="s">
        <v>9139</v>
      </c>
      <c r="B116" s="16" t="s">
        <v>5</v>
      </c>
      <c r="C116" s="17" t="s">
        <v>885</v>
      </c>
      <c r="D116" s="17" t="s">
        <v>886</v>
      </c>
      <c r="E116" s="16" t="s">
        <v>11418</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45">
      <c r="A117" s="15" t="s">
        <v>9256</v>
      </c>
      <c r="B117" s="16" t="s">
        <v>5</v>
      </c>
      <c r="C117" s="17" t="s">
        <v>888</v>
      </c>
      <c r="D117" s="17" t="s">
        <v>889</v>
      </c>
      <c r="E117" s="16" t="s">
        <v>11418</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45">
      <c r="A118" s="15" t="s">
        <v>8638</v>
      </c>
      <c r="B118" s="16" t="s">
        <v>5</v>
      </c>
      <c r="C118" s="17" t="s">
        <v>891</v>
      </c>
      <c r="D118" s="17" t="s">
        <v>892</v>
      </c>
      <c r="E118" s="16" t="s">
        <v>11418</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45">
      <c r="A119" s="15" t="s">
        <v>1555</v>
      </c>
      <c r="B119" s="16" t="s">
        <v>5</v>
      </c>
      <c r="C119" s="17" t="s">
        <v>894</v>
      </c>
      <c r="D119" s="17" t="s">
        <v>895</v>
      </c>
      <c r="E119" s="16" t="s">
        <v>11418</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45">
      <c r="A120" s="15" t="s">
        <v>2117</v>
      </c>
      <c r="B120" s="16" t="s">
        <v>5</v>
      </c>
      <c r="C120" s="17" t="s">
        <v>897</v>
      </c>
      <c r="D120" s="17" t="s">
        <v>898</v>
      </c>
      <c r="E120" s="16" t="s">
        <v>11418</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45">
      <c r="A121" s="15" t="s">
        <v>740</v>
      </c>
      <c r="B121" s="16" t="s">
        <v>183</v>
      </c>
      <c r="C121" s="17" t="s">
        <v>900</v>
      </c>
      <c r="D121" s="17" t="s">
        <v>901</v>
      </c>
      <c r="E121" s="16" t="s">
        <v>11418</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45">
      <c r="A122" s="15" t="s">
        <v>707</v>
      </c>
      <c r="B122" s="16" t="s">
        <v>183</v>
      </c>
      <c r="C122" s="17" t="s">
        <v>903</v>
      </c>
      <c r="D122" s="17" t="s">
        <v>904</v>
      </c>
      <c r="E122" s="16" t="s">
        <v>11418</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45">
      <c r="A123" s="15" t="s">
        <v>6622</v>
      </c>
      <c r="B123" s="16" t="s">
        <v>5</v>
      </c>
      <c r="C123" s="17" t="s">
        <v>906</v>
      </c>
      <c r="D123" s="17" t="s">
        <v>907</v>
      </c>
      <c r="E123" s="16" t="s">
        <v>11419</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45">
      <c r="A124" s="15" t="s">
        <v>7303</v>
      </c>
      <c r="B124" s="16" t="s">
        <v>5</v>
      </c>
      <c r="C124" s="17" t="s">
        <v>909</v>
      </c>
      <c r="D124" s="17" t="s">
        <v>910</v>
      </c>
      <c r="E124" s="16" t="s">
        <v>11419</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45">
      <c r="A125" s="15" t="s">
        <v>7594</v>
      </c>
      <c r="B125" s="16" t="s">
        <v>5</v>
      </c>
      <c r="C125" s="17" t="s">
        <v>912</v>
      </c>
      <c r="D125" s="17" t="s">
        <v>913</v>
      </c>
      <c r="E125" s="16" t="s">
        <v>11419</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45">
      <c r="A126" s="15" t="s">
        <v>7603</v>
      </c>
      <c r="B126" s="16" t="s">
        <v>5</v>
      </c>
      <c r="C126" s="17" t="s">
        <v>915</v>
      </c>
      <c r="D126" s="17" t="s">
        <v>916</v>
      </c>
      <c r="E126" s="16" t="s">
        <v>11419</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45">
      <c r="A127" s="15" t="s">
        <v>7753</v>
      </c>
      <c r="B127" s="16" t="s">
        <v>5</v>
      </c>
      <c r="C127" s="17" t="s">
        <v>918</v>
      </c>
      <c r="D127" s="17" t="s">
        <v>919</v>
      </c>
      <c r="E127" s="16" t="s">
        <v>11419</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45">
      <c r="A128" s="15" t="s">
        <v>7762</v>
      </c>
      <c r="B128" s="16" t="s">
        <v>5</v>
      </c>
      <c r="C128" s="17" t="s">
        <v>921</v>
      </c>
      <c r="D128" s="17" t="s">
        <v>922</v>
      </c>
      <c r="E128" s="16" t="s">
        <v>11419</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45">
      <c r="A129" s="15" t="s">
        <v>4424</v>
      </c>
      <c r="B129" s="16" t="s">
        <v>5</v>
      </c>
      <c r="C129" s="17" t="s">
        <v>924</v>
      </c>
      <c r="D129" s="17" t="s">
        <v>925</v>
      </c>
      <c r="E129" s="16" t="s">
        <v>11419</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45">
      <c r="A130" s="15" t="s">
        <v>4583</v>
      </c>
      <c r="B130" s="16" t="s">
        <v>5</v>
      </c>
      <c r="C130" s="17" t="s">
        <v>927</v>
      </c>
      <c r="D130" s="17" t="s">
        <v>928</v>
      </c>
      <c r="E130" s="16" t="s">
        <v>11419</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45">
      <c r="A131" s="15" t="s">
        <v>4586</v>
      </c>
      <c r="B131" s="16" t="s">
        <v>5</v>
      </c>
      <c r="C131" s="17" t="s">
        <v>930</v>
      </c>
      <c r="D131" s="17" t="s">
        <v>931</v>
      </c>
      <c r="E131" s="16" t="s">
        <v>11419</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45">
      <c r="A132" s="15" t="s">
        <v>5942</v>
      </c>
      <c r="B132" s="16" t="s">
        <v>5</v>
      </c>
      <c r="C132" s="17" t="s">
        <v>933</v>
      </c>
      <c r="D132" s="17" t="s">
        <v>934</v>
      </c>
      <c r="E132" s="16" t="s">
        <v>11419</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45">
      <c r="A133" s="15" t="s">
        <v>5945</v>
      </c>
      <c r="B133" s="16" t="s">
        <v>5</v>
      </c>
      <c r="C133" s="17" t="s">
        <v>936</v>
      </c>
      <c r="D133" s="17" t="s">
        <v>937</v>
      </c>
      <c r="E133" s="16" t="s">
        <v>11419</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45">
      <c r="A134" s="15" t="s">
        <v>6179</v>
      </c>
      <c r="B134" s="16" t="s">
        <v>5</v>
      </c>
      <c r="C134" s="17" t="s">
        <v>939</v>
      </c>
      <c r="D134" s="17" t="s">
        <v>940</v>
      </c>
      <c r="E134" s="16" t="s">
        <v>11419</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45">
      <c r="A135" s="15" t="s">
        <v>6200</v>
      </c>
      <c r="B135" s="16" t="s">
        <v>5</v>
      </c>
      <c r="C135" s="17" t="s">
        <v>942</v>
      </c>
      <c r="D135" s="17" t="s">
        <v>943</v>
      </c>
      <c r="E135" s="16" t="s">
        <v>11419</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45">
      <c r="A136" s="15" t="s">
        <v>6311</v>
      </c>
      <c r="B136" s="16" t="s">
        <v>5</v>
      </c>
      <c r="C136" s="17" t="s">
        <v>945</v>
      </c>
      <c r="D136" s="17" t="s">
        <v>946</v>
      </c>
      <c r="E136" s="16" t="s">
        <v>11419</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45">
      <c r="A137" s="15" t="s">
        <v>6640</v>
      </c>
      <c r="B137" s="16" t="s">
        <v>5</v>
      </c>
      <c r="C137" s="17" t="s">
        <v>948</v>
      </c>
      <c r="D137" s="17" t="s">
        <v>949</v>
      </c>
      <c r="E137" s="16" t="s">
        <v>11419</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45">
      <c r="A138" s="15" t="s">
        <v>7285</v>
      </c>
      <c r="B138" s="16" t="s">
        <v>5</v>
      </c>
      <c r="C138" s="17" t="s">
        <v>951</v>
      </c>
      <c r="D138" s="17" t="s">
        <v>952</v>
      </c>
      <c r="E138" s="16" t="s">
        <v>11419</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45">
      <c r="A139" s="15" t="s">
        <v>7459</v>
      </c>
      <c r="B139" s="16" t="s">
        <v>5</v>
      </c>
      <c r="C139" s="17" t="s">
        <v>954</v>
      </c>
      <c r="D139" s="17" t="s">
        <v>955</v>
      </c>
      <c r="E139" s="16" t="s">
        <v>11419</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45">
      <c r="A140" s="15" t="s">
        <v>7771</v>
      </c>
      <c r="B140" s="16" t="s">
        <v>5</v>
      </c>
      <c r="C140" s="17" t="s">
        <v>957</v>
      </c>
      <c r="D140" s="17" t="s">
        <v>958</v>
      </c>
      <c r="E140" s="16" t="s">
        <v>11419</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45">
      <c r="A141" s="15" t="s">
        <v>7855</v>
      </c>
      <c r="B141" s="16" t="s">
        <v>5</v>
      </c>
      <c r="C141" s="17" t="s">
        <v>960</v>
      </c>
      <c r="D141" s="17" t="s">
        <v>961</v>
      </c>
      <c r="E141" s="16" t="s">
        <v>11419</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45">
      <c r="A142" s="15" t="s">
        <v>7912</v>
      </c>
      <c r="B142" s="16" t="s">
        <v>5</v>
      </c>
      <c r="C142" s="17" t="s">
        <v>963</v>
      </c>
      <c r="D142" s="17" t="s">
        <v>964</v>
      </c>
      <c r="E142" s="16" t="s">
        <v>11419</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45">
      <c r="A143" s="15" t="s">
        <v>7984</v>
      </c>
      <c r="B143" s="16" t="s">
        <v>5</v>
      </c>
      <c r="C143" s="17" t="s">
        <v>966</v>
      </c>
      <c r="D143" s="17" t="s">
        <v>967</v>
      </c>
      <c r="E143" s="16" t="s">
        <v>11419</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45">
      <c r="A144" s="15" t="s">
        <v>11301</v>
      </c>
      <c r="B144" s="16" t="s">
        <v>5</v>
      </c>
      <c r="C144" s="17" t="s">
        <v>969</v>
      </c>
      <c r="D144" s="17" t="s">
        <v>970</v>
      </c>
      <c r="E144" s="16" t="s">
        <v>11419</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45">
      <c r="A145" s="15" t="s">
        <v>4394</v>
      </c>
      <c r="B145" s="16" t="s">
        <v>5</v>
      </c>
      <c r="C145" s="17" t="s">
        <v>972</v>
      </c>
      <c r="D145" s="17" t="s">
        <v>973</v>
      </c>
      <c r="E145" s="16" t="s">
        <v>11419</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45">
      <c r="A146" s="15" t="s">
        <v>11302</v>
      </c>
      <c r="B146" s="16" t="s">
        <v>5</v>
      </c>
      <c r="C146" s="17" t="s">
        <v>975</v>
      </c>
      <c r="D146" s="17" t="s">
        <v>976</v>
      </c>
      <c r="E146" s="16" t="s">
        <v>11419</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45">
      <c r="A147" s="15" t="s">
        <v>4943</v>
      </c>
      <c r="B147" s="16" t="s">
        <v>5</v>
      </c>
      <c r="C147" s="17" t="s">
        <v>978</v>
      </c>
      <c r="D147" s="17" t="s">
        <v>979</v>
      </c>
      <c r="E147" s="16" t="s">
        <v>11419</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45">
      <c r="A148" s="15" t="s">
        <v>6293</v>
      </c>
      <c r="B148" s="16" t="s">
        <v>5</v>
      </c>
      <c r="C148" s="17" t="s">
        <v>981</v>
      </c>
      <c r="D148" s="17" t="s">
        <v>982</v>
      </c>
      <c r="E148" s="16" t="s">
        <v>11419</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45">
      <c r="A149" s="15" t="s">
        <v>6499</v>
      </c>
      <c r="B149" s="16" t="s">
        <v>5</v>
      </c>
      <c r="C149" s="17" t="s">
        <v>984</v>
      </c>
      <c r="D149" s="17" t="s">
        <v>985</v>
      </c>
      <c r="E149" s="16" t="s">
        <v>11419</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45">
      <c r="A150" s="15" t="s">
        <v>7852</v>
      </c>
      <c r="B150" s="16" t="s">
        <v>5</v>
      </c>
      <c r="C150" s="17" t="s">
        <v>987</v>
      </c>
      <c r="D150" s="17" t="s">
        <v>988</v>
      </c>
      <c r="E150" s="16" t="s">
        <v>11419</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45">
      <c r="A151" s="15" t="s">
        <v>8272</v>
      </c>
      <c r="B151" s="16" t="s">
        <v>5</v>
      </c>
      <c r="C151" s="17" t="s">
        <v>990</v>
      </c>
      <c r="D151" s="17" t="s">
        <v>991</v>
      </c>
      <c r="E151" s="16" t="s">
        <v>11419</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45">
      <c r="A152" s="15" t="s">
        <v>1354</v>
      </c>
      <c r="B152" s="16" t="s">
        <v>5</v>
      </c>
      <c r="C152" s="17" t="s">
        <v>993</v>
      </c>
      <c r="D152" s="17" t="s">
        <v>994</v>
      </c>
      <c r="E152" s="16" t="s">
        <v>11419</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45">
      <c r="A153" s="15" t="s">
        <v>4742</v>
      </c>
      <c r="B153" s="16" t="s">
        <v>5</v>
      </c>
      <c r="C153" s="17" t="s">
        <v>996</v>
      </c>
      <c r="D153" s="17" t="s">
        <v>997</v>
      </c>
      <c r="E153" s="16" t="s">
        <v>11419</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45">
      <c r="A154" s="15" t="s">
        <v>5042</v>
      </c>
      <c r="B154" s="16" t="s">
        <v>5</v>
      </c>
      <c r="C154" s="17" t="s">
        <v>999</v>
      </c>
      <c r="D154" s="17" t="s">
        <v>1000</v>
      </c>
      <c r="E154" s="16" t="s">
        <v>11419</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45">
      <c r="A155" s="15" t="s">
        <v>5123</v>
      </c>
      <c r="B155" s="16" t="s">
        <v>5</v>
      </c>
      <c r="C155" s="17" t="s">
        <v>1002</v>
      </c>
      <c r="D155" s="17" t="s">
        <v>1003</v>
      </c>
      <c r="E155" s="16" t="s">
        <v>11419</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45">
      <c r="A156" s="15" t="s">
        <v>5636</v>
      </c>
      <c r="B156" s="16" t="s">
        <v>5</v>
      </c>
      <c r="C156" s="17" t="s">
        <v>1005</v>
      </c>
      <c r="D156" s="17" t="s">
        <v>1006</v>
      </c>
      <c r="E156" s="16" t="s">
        <v>11419</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45">
      <c r="A157" s="15" t="s">
        <v>5711</v>
      </c>
      <c r="B157" s="16" t="s">
        <v>5</v>
      </c>
      <c r="C157" s="17" t="s">
        <v>1008</v>
      </c>
      <c r="D157" s="17" t="s">
        <v>1009</v>
      </c>
      <c r="E157" s="16" t="s">
        <v>11419</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45">
      <c r="A158" s="15" t="s">
        <v>5879</v>
      </c>
      <c r="B158" s="16" t="s">
        <v>5</v>
      </c>
      <c r="C158" s="17" t="s">
        <v>1011</v>
      </c>
      <c r="D158" s="17" t="s">
        <v>1012</v>
      </c>
      <c r="E158" s="16" t="s">
        <v>11419</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45">
      <c r="A159" s="15" t="s">
        <v>6140</v>
      </c>
      <c r="B159" s="16" t="s">
        <v>5</v>
      </c>
      <c r="C159" s="17" t="s">
        <v>1014</v>
      </c>
      <c r="D159" s="17" t="s">
        <v>1015</v>
      </c>
      <c r="E159" s="16" t="s">
        <v>11419</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45">
      <c r="A160" s="15" t="s">
        <v>6245</v>
      </c>
      <c r="B160" s="16" t="s">
        <v>5</v>
      </c>
      <c r="C160" s="17" t="s">
        <v>1017</v>
      </c>
      <c r="D160" s="17" t="s">
        <v>1018</v>
      </c>
      <c r="E160" s="16" t="s">
        <v>11419</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45">
      <c r="A161" s="15" t="s">
        <v>6358</v>
      </c>
      <c r="B161" s="16" t="s">
        <v>5</v>
      </c>
      <c r="C161" s="17" t="s">
        <v>1020</v>
      </c>
      <c r="D161" s="17" t="s">
        <v>1021</v>
      </c>
      <c r="E161" s="16" t="s">
        <v>11419</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45">
      <c r="A162" s="15" t="s">
        <v>7531</v>
      </c>
      <c r="B162" s="16" t="s">
        <v>5</v>
      </c>
      <c r="C162" s="17" t="s">
        <v>1023</v>
      </c>
      <c r="D162" s="17" t="s">
        <v>1024</v>
      </c>
      <c r="E162" s="16" t="s">
        <v>11419</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45">
      <c r="A163" s="15" t="s">
        <v>1349</v>
      </c>
      <c r="B163" s="16" t="s">
        <v>5</v>
      </c>
      <c r="C163" s="17" t="s">
        <v>1026</v>
      </c>
      <c r="D163" s="17" t="s">
        <v>1027</v>
      </c>
      <c r="E163" s="16" t="s">
        <v>11419</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45">
      <c r="A164" s="15" t="s">
        <v>9511</v>
      </c>
      <c r="B164" s="16" t="s">
        <v>5</v>
      </c>
      <c r="C164" s="17" t="s">
        <v>1029</v>
      </c>
      <c r="D164" s="17" t="s">
        <v>1030</v>
      </c>
      <c r="E164" s="16" t="s">
        <v>11419</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45">
      <c r="A165" s="15" t="s">
        <v>1363</v>
      </c>
      <c r="B165" s="16" t="s">
        <v>5</v>
      </c>
      <c r="C165" s="17" t="s">
        <v>1032</v>
      </c>
      <c r="D165" s="17" t="s">
        <v>1033</v>
      </c>
      <c r="E165" s="16" t="s">
        <v>11419</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45">
      <c r="A166" s="15" t="s">
        <v>4253</v>
      </c>
      <c r="B166" s="16" t="s">
        <v>5</v>
      </c>
      <c r="C166" s="17" t="s">
        <v>1035</v>
      </c>
      <c r="D166" s="17" t="s">
        <v>1036</v>
      </c>
      <c r="E166" s="16" t="s">
        <v>11419</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45">
      <c r="A167" s="15" t="s">
        <v>4277</v>
      </c>
      <c r="B167" s="16" t="s">
        <v>5</v>
      </c>
      <c r="C167" s="17" t="s">
        <v>1038</v>
      </c>
      <c r="D167" s="17" t="s">
        <v>1039</v>
      </c>
      <c r="E167" s="16" t="s">
        <v>11419</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45">
      <c r="A168" s="15" t="s">
        <v>4280</v>
      </c>
      <c r="B168" s="16" t="s">
        <v>5</v>
      </c>
      <c r="C168" s="17" t="s">
        <v>1041</v>
      </c>
      <c r="D168" s="17" t="s">
        <v>1042</v>
      </c>
      <c r="E168" s="16" t="s">
        <v>11419</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45">
      <c r="A169" s="15" t="s">
        <v>4355</v>
      </c>
      <c r="B169" s="16" t="s">
        <v>5</v>
      </c>
      <c r="C169" s="17" t="s">
        <v>1044</v>
      </c>
      <c r="D169" s="17" t="s">
        <v>1045</v>
      </c>
      <c r="E169" s="16" t="s">
        <v>11419</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45">
      <c r="A170" s="15" t="s">
        <v>4397</v>
      </c>
      <c r="B170" s="16" t="s">
        <v>5</v>
      </c>
      <c r="C170" s="17" t="s">
        <v>1047</v>
      </c>
      <c r="D170" s="17" t="s">
        <v>1048</v>
      </c>
      <c r="E170" s="16" t="s">
        <v>11419</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45">
      <c r="A171" s="15" t="s">
        <v>4442</v>
      </c>
      <c r="B171" s="16" t="s">
        <v>5</v>
      </c>
      <c r="C171" s="17" t="s">
        <v>1050</v>
      </c>
      <c r="D171" s="17" t="s">
        <v>1051</v>
      </c>
      <c r="E171" s="16" t="s">
        <v>11419</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45">
      <c r="A172" s="15" t="s">
        <v>4472</v>
      </c>
      <c r="B172" s="16" t="s">
        <v>5</v>
      </c>
      <c r="C172" s="17" t="s">
        <v>1053</v>
      </c>
      <c r="D172" s="17" t="s">
        <v>1054</v>
      </c>
      <c r="E172" s="16" t="s">
        <v>11419</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45">
      <c r="A173" s="15" t="s">
        <v>4784</v>
      </c>
      <c r="B173" s="16" t="s">
        <v>5</v>
      </c>
      <c r="C173" s="17" t="s">
        <v>1056</v>
      </c>
      <c r="D173" s="17" t="s">
        <v>1057</v>
      </c>
      <c r="E173" s="16" t="s">
        <v>11419</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45">
      <c r="A174" s="15" t="s">
        <v>4802</v>
      </c>
      <c r="B174" s="16" t="s">
        <v>5</v>
      </c>
      <c r="C174" s="17" t="s">
        <v>1059</v>
      </c>
      <c r="D174" s="17" t="s">
        <v>1060</v>
      </c>
      <c r="E174" s="16" t="s">
        <v>11419</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45">
      <c r="A175" s="15" t="s">
        <v>11303</v>
      </c>
      <c r="B175" s="16" t="s">
        <v>5</v>
      </c>
      <c r="C175" s="17" t="s">
        <v>1062</v>
      </c>
      <c r="D175" s="17" t="s">
        <v>1063</v>
      </c>
      <c r="E175" s="16" t="s">
        <v>11419</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45">
      <c r="A176" s="15" t="s">
        <v>5153</v>
      </c>
      <c r="B176" s="16" t="s">
        <v>5</v>
      </c>
      <c r="C176" s="17" t="s">
        <v>1065</v>
      </c>
      <c r="D176" s="17" t="s">
        <v>1066</v>
      </c>
      <c r="E176" s="16" t="s">
        <v>11419</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45">
      <c r="A177" s="15" t="s">
        <v>11304</v>
      </c>
      <c r="B177" s="16" t="s">
        <v>5</v>
      </c>
      <c r="C177" s="17" t="s">
        <v>1068</v>
      </c>
      <c r="D177" s="17" t="s">
        <v>1069</v>
      </c>
      <c r="E177" s="16" t="s">
        <v>11419</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45">
      <c r="A178" s="15" t="s">
        <v>5594</v>
      </c>
      <c r="B178" s="16" t="s">
        <v>5</v>
      </c>
      <c r="C178" s="17" t="s">
        <v>1071</v>
      </c>
      <c r="D178" s="17" t="s">
        <v>1072</v>
      </c>
      <c r="E178" s="16" t="s">
        <v>11419</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45">
      <c r="A179" s="15" t="s">
        <v>5771</v>
      </c>
      <c r="B179" s="16" t="s">
        <v>5</v>
      </c>
      <c r="C179" s="17" t="s">
        <v>1074</v>
      </c>
      <c r="D179" s="17" t="s">
        <v>1075</v>
      </c>
      <c r="E179" s="16" t="s">
        <v>11419</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45">
      <c r="A180" s="15" t="s">
        <v>5978</v>
      </c>
      <c r="B180" s="16" t="s">
        <v>5</v>
      </c>
      <c r="C180" s="17" t="s">
        <v>1077</v>
      </c>
      <c r="D180" s="17" t="s">
        <v>1078</v>
      </c>
      <c r="E180" s="16" t="s">
        <v>11419</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45">
      <c r="A181" s="15" t="s">
        <v>6290</v>
      </c>
      <c r="B181" s="16" t="s">
        <v>5</v>
      </c>
      <c r="C181" s="17" t="s">
        <v>1080</v>
      </c>
      <c r="D181" s="17" t="s">
        <v>1081</v>
      </c>
      <c r="E181" s="16" t="s">
        <v>11419</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45">
      <c r="A182" s="15" t="s">
        <v>11305</v>
      </c>
      <c r="B182" s="16" t="s">
        <v>5</v>
      </c>
      <c r="C182" s="17" t="s">
        <v>1083</v>
      </c>
      <c r="D182" s="17" t="s">
        <v>1084</v>
      </c>
      <c r="E182" s="16" t="s">
        <v>11419</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45">
      <c r="A183" s="15" t="s">
        <v>6715</v>
      </c>
      <c r="B183" s="16" t="s">
        <v>5</v>
      </c>
      <c r="C183" s="17" t="s">
        <v>1086</v>
      </c>
      <c r="D183" s="17" t="s">
        <v>1087</v>
      </c>
      <c r="E183" s="16" t="s">
        <v>11419</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45">
      <c r="A184" s="15" t="s">
        <v>7192</v>
      </c>
      <c r="B184" s="16" t="s">
        <v>5</v>
      </c>
      <c r="C184" s="17" t="s">
        <v>1089</v>
      </c>
      <c r="D184" s="17" t="s">
        <v>1090</v>
      </c>
      <c r="E184" s="16" t="s">
        <v>11419</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45">
      <c r="A185" s="15" t="s">
        <v>7696</v>
      </c>
      <c r="B185" s="16" t="s">
        <v>5</v>
      </c>
      <c r="C185" s="17" t="s">
        <v>1092</v>
      </c>
      <c r="D185" s="17" t="s">
        <v>1093</v>
      </c>
      <c r="E185" s="16" t="s">
        <v>11419</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45">
      <c r="A186" s="15" t="s">
        <v>8437</v>
      </c>
      <c r="B186" s="16" t="s">
        <v>5</v>
      </c>
      <c r="C186" s="17" t="s">
        <v>1095</v>
      </c>
      <c r="D186" s="17" t="s">
        <v>1096</v>
      </c>
      <c r="E186" s="16" t="s">
        <v>11419</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45">
      <c r="A187" s="15" t="s">
        <v>4352</v>
      </c>
      <c r="B187" s="16" t="s">
        <v>5</v>
      </c>
      <c r="C187" s="17" t="s">
        <v>1098</v>
      </c>
      <c r="D187" s="17" t="s">
        <v>1099</v>
      </c>
      <c r="E187" s="16" t="s">
        <v>11419</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45">
      <c r="A188" s="15" t="s">
        <v>4427</v>
      </c>
      <c r="B188" s="16" t="s">
        <v>5</v>
      </c>
      <c r="C188" s="17" t="s">
        <v>1101</v>
      </c>
      <c r="D188" s="17" t="s">
        <v>1102</v>
      </c>
      <c r="E188" s="16" t="s">
        <v>11419</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45">
      <c r="A189" s="15" t="s">
        <v>4439</v>
      </c>
      <c r="B189" s="16" t="s">
        <v>5</v>
      </c>
      <c r="C189" s="17" t="s">
        <v>1104</v>
      </c>
      <c r="D189" s="17" t="s">
        <v>1105</v>
      </c>
      <c r="E189" s="16" t="s">
        <v>11419</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45">
      <c r="A190" s="15" t="s">
        <v>11306</v>
      </c>
      <c r="B190" s="16" t="s">
        <v>5</v>
      </c>
      <c r="C190" s="17" t="s">
        <v>1107</v>
      </c>
      <c r="D190" s="17" t="s">
        <v>1108</v>
      </c>
      <c r="E190" s="16" t="s">
        <v>11419</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45">
      <c r="A191" s="15" t="s">
        <v>11307</v>
      </c>
      <c r="B191" s="16" t="s">
        <v>5</v>
      </c>
      <c r="C191" s="17" t="s">
        <v>1110</v>
      </c>
      <c r="D191" s="17" t="s">
        <v>1111</v>
      </c>
      <c r="E191" s="16" t="s">
        <v>11419</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45">
      <c r="A192" s="15" t="s">
        <v>5021</v>
      </c>
      <c r="B192" s="16" t="s">
        <v>5</v>
      </c>
      <c r="C192" s="17" t="s">
        <v>1113</v>
      </c>
      <c r="D192" s="17" t="s">
        <v>1114</v>
      </c>
      <c r="E192" s="16" t="s">
        <v>11419</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45">
      <c r="A193" s="15" t="s">
        <v>11308</v>
      </c>
      <c r="B193" s="16" t="s">
        <v>5</v>
      </c>
      <c r="C193" s="17" t="s">
        <v>1116</v>
      </c>
      <c r="D193" s="17" t="s">
        <v>1117</v>
      </c>
      <c r="E193" s="16" t="s">
        <v>11419</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45">
      <c r="A194" s="15" t="s">
        <v>11309</v>
      </c>
      <c r="B194" s="16" t="s">
        <v>5</v>
      </c>
      <c r="C194" s="17" t="s">
        <v>1119</v>
      </c>
      <c r="D194" s="17" t="s">
        <v>1120</v>
      </c>
      <c r="E194" s="16" t="s">
        <v>11419</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45">
      <c r="A195" s="15" t="s">
        <v>5774</v>
      </c>
      <c r="B195" s="16" t="s">
        <v>5</v>
      </c>
      <c r="C195" s="17" t="s">
        <v>1122</v>
      </c>
      <c r="D195" s="17" t="s">
        <v>1123</v>
      </c>
      <c r="E195" s="16" t="s">
        <v>11419</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45">
      <c r="A196" s="15" t="s">
        <v>6005</v>
      </c>
      <c r="B196" s="16" t="s">
        <v>5</v>
      </c>
      <c r="C196" s="17" t="s">
        <v>1125</v>
      </c>
      <c r="D196" s="17" t="s">
        <v>1126</v>
      </c>
      <c r="E196" s="16" t="s">
        <v>11419</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45">
      <c r="A197" s="15" t="s">
        <v>7282</v>
      </c>
      <c r="B197" s="16" t="s">
        <v>5</v>
      </c>
      <c r="C197" s="17" t="s">
        <v>1128</v>
      </c>
      <c r="D197" s="17" t="s">
        <v>1129</v>
      </c>
      <c r="E197" s="16" t="s">
        <v>11419</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45">
      <c r="A198" s="15" t="s">
        <v>8059</v>
      </c>
      <c r="B198" s="16" t="s">
        <v>5</v>
      </c>
      <c r="C198" s="17" t="s">
        <v>1131</v>
      </c>
      <c r="D198" s="17" t="s">
        <v>1132</v>
      </c>
      <c r="E198" s="16" t="s">
        <v>11419</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45">
      <c r="A199" s="15" t="s">
        <v>4580</v>
      </c>
      <c r="B199" s="16" t="s">
        <v>5</v>
      </c>
      <c r="C199" s="17" t="s">
        <v>1134</v>
      </c>
      <c r="D199" s="17" t="s">
        <v>1135</v>
      </c>
      <c r="E199" s="16" t="s">
        <v>11419</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45">
      <c r="A200" s="15" t="s">
        <v>5093</v>
      </c>
      <c r="B200" s="16" t="s">
        <v>5</v>
      </c>
      <c r="C200" s="17" t="s">
        <v>1137</v>
      </c>
      <c r="D200" s="17" t="s">
        <v>1138</v>
      </c>
      <c r="E200" s="16" t="s">
        <v>11419</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45">
      <c r="A201" s="15" t="s">
        <v>6439</v>
      </c>
      <c r="B201" s="16" t="s">
        <v>5</v>
      </c>
      <c r="C201" s="17" t="s">
        <v>1140</v>
      </c>
      <c r="D201" s="17" t="s">
        <v>1141</v>
      </c>
      <c r="E201" s="16" t="s">
        <v>11419</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45">
      <c r="A202" s="15" t="s">
        <v>9514</v>
      </c>
      <c r="B202" s="16" t="s">
        <v>5</v>
      </c>
      <c r="C202" s="17" t="s">
        <v>1143</v>
      </c>
      <c r="D202" s="17" t="s">
        <v>1144</v>
      </c>
      <c r="E202" s="16" t="s">
        <v>11419</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45">
      <c r="A203" s="15" t="s">
        <v>7201</v>
      </c>
      <c r="B203" s="16" t="s">
        <v>5</v>
      </c>
      <c r="C203" s="17" t="s">
        <v>1146</v>
      </c>
      <c r="D203" s="17" t="s">
        <v>1147</v>
      </c>
      <c r="E203" s="16" t="s">
        <v>11419</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45">
      <c r="A204" s="15" t="s">
        <v>7483</v>
      </c>
      <c r="B204" s="16" t="s">
        <v>5</v>
      </c>
      <c r="C204" s="17" t="s">
        <v>1149</v>
      </c>
      <c r="D204" s="17" t="s">
        <v>1150</v>
      </c>
      <c r="E204" s="16" t="s">
        <v>11419</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45">
      <c r="A205" s="15" t="s">
        <v>7600</v>
      </c>
      <c r="B205" s="16" t="s">
        <v>5</v>
      </c>
      <c r="C205" s="17" t="s">
        <v>1152</v>
      </c>
      <c r="D205" s="17" t="s">
        <v>1153</v>
      </c>
      <c r="E205" s="16" t="s">
        <v>11419</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45">
      <c r="A206" s="15" t="s">
        <v>8191</v>
      </c>
      <c r="B206" s="16" t="s">
        <v>5</v>
      </c>
      <c r="C206" s="17" t="s">
        <v>1155</v>
      </c>
      <c r="D206" s="17" t="s">
        <v>1156</v>
      </c>
      <c r="E206" s="16" t="s">
        <v>11419</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45">
      <c r="A207" s="15" t="s">
        <v>8236</v>
      </c>
      <c r="B207" s="16" t="s">
        <v>5</v>
      </c>
      <c r="C207" s="17" t="s">
        <v>1158</v>
      </c>
      <c r="D207" s="17" t="s">
        <v>1159</v>
      </c>
      <c r="E207" s="16" t="s">
        <v>11419</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45">
      <c r="A208" s="15" t="s">
        <v>8539</v>
      </c>
      <c r="B208" s="16" t="s">
        <v>5</v>
      </c>
      <c r="C208" s="17" t="s">
        <v>1161</v>
      </c>
      <c r="D208" s="17" t="s">
        <v>1162</v>
      </c>
      <c r="E208" s="16" t="s">
        <v>11419</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45">
      <c r="A209" s="15" t="s">
        <v>7828</v>
      </c>
      <c r="B209" s="16" t="s">
        <v>5</v>
      </c>
      <c r="C209" s="17" t="s">
        <v>1164</v>
      </c>
      <c r="D209" s="17" t="s">
        <v>1165</v>
      </c>
      <c r="E209" s="16" t="s">
        <v>11419</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45">
      <c r="A210" s="15" t="s">
        <v>8554</v>
      </c>
      <c r="B210" s="16" t="s">
        <v>5</v>
      </c>
      <c r="C210" s="17" t="s">
        <v>1167</v>
      </c>
      <c r="D210" s="17" t="s">
        <v>1168</v>
      </c>
      <c r="E210" s="16" t="s">
        <v>11419</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45">
      <c r="A211" s="15" t="s">
        <v>8992</v>
      </c>
      <c r="B211" s="16" t="s">
        <v>5</v>
      </c>
      <c r="C211" s="17" t="s">
        <v>1170</v>
      </c>
      <c r="D211" s="17" t="s">
        <v>1171</v>
      </c>
      <c r="E211" s="16" t="s">
        <v>11419</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45">
      <c r="A212" s="15" t="s">
        <v>8914</v>
      </c>
      <c r="B212" s="16" t="s">
        <v>5</v>
      </c>
      <c r="C212" s="17" t="s">
        <v>1173</v>
      </c>
      <c r="D212" s="17" t="s">
        <v>1174</v>
      </c>
      <c r="E212" s="16" t="s">
        <v>11419</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45">
      <c r="A213" s="15" t="s">
        <v>8863</v>
      </c>
      <c r="B213" s="16" t="s">
        <v>5</v>
      </c>
      <c r="C213" s="17" t="s">
        <v>1176</v>
      </c>
      <c r="D213" s="17" t="s">
        <v>1177</v>
      </c>
      <c r="E213" s="16" t="s">
        <v>11419</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45">
      <c r="A214" s="15" t="s">
        <v>9172</v>
      </c>
      <c r="B214" s="16" t="s">
        <v>5</v>
      </c>
      <c r="C214" s="17" t="s">
        <v>1179</v>
      </c>
      <c r="D214" s="17" t="s">
        <v>1180</v>
      </c>
      <c r="E214" s="16" t="s">
        <v>11419</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45">
      <c r="A215" s="15" t="s">
        <v>9202</v>
      </c>
      <c r="B215" s="16" t="s">
        <v>5</v>
      </c>
      <c r="C215" s="17" t="s">
        <v>1182</v>
      </c>
      <c r="D215" s="17" t="s">
        <v>1183</v>
      </c>
      <c r="E215" s="16" t="s">
        <v>11419</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45">
      <c r="A216" s="15" t="s">
        <v>9259</v>
      </c>
      <c r="B216" s="16" t="s">
        <v>5</v>
      </c>
      <c r="C216" s="17" t="s">
        <v>1185</v>
      </c>
      <c r="D216" s="17" t="s">
        <v>1186</v>
      </c>
      <c r="E216" s="16" t="s">
        <v>11419</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45">
      <c r="A217" s="15" t="s">
        <v>1391</v>
      </c>
      <c r="B217" s="16" t="s">
        <v>5</v>
      </c>
      <c r="C217" s="17" t="s">
        <v>1188</v>
      </c>
      <c r="D217" s="17" t="s">
        <v>1189</v>
      </c>
      <c r="E217" s="16" t="s">
        <v>11419</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45">
      <c r="A218" s="15" t="s">
        <v>1501</v>
      </c>
      <c r="B218" s="16" t="s">
        <v>5</v>
      </c>
      <c r="C218" s="17" t="s">
        <v>1191</v>
      </c>
      <c r="D218" s="17" t="s">
        <v>1192</v>
      </c>
      <c r="E218" s="16" t="s">
        <v>11419</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45">
      <c r="A219" s="15" t="s">
        <v>1674</v>
      </c>
      <c r="B219" s="16" t="s">
        <v>5</v>
      </c>
      <c r="C219" s="17" t="s">
        <v>1194</v>
      </c>
      <c r="D219" s="17" t="s">
        <v>1195</v>
      </c>
      <c r="E219" s="16" t="s">
        <v>11419</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45">
      <c r="A220" s="15" t="s">
        <v>1894</v>
      </c>
      <c r="B220" s="16" t="s">
        <v>5</v>
      </c>
      <c r="C220" s="17" t="s">
        <v>1197</v>
      </c>
      <c r="D220" s="17" t="s">
        <v>1198</v>
      </c>
      <c r="E220" s="16" t="s">
        <v>11419</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45">
      <c r="A221" s="15" t="s">
        <v>2060</v>
      </c>
      <c r="B221" s="16" t="s">
        <v>5</v>
      </c>
      <c r="C221" s="17" t="s">
        <v>1200</v>
      </c>
      <c r="D221" s="17" t="s">
        <v>1201</v>
      </c>
      <c r="E221" s="16" t="s">
        <v>11419</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45">
      <c r="A222" s="15" t="s">
        <v>2629</v>
      </c>
      <c r="B222" s="16" t="s">
        <v>5</v>
      </c>
      <c r="C222" s="17" t="s">
        <v>1203</v>
      </c>
      <c r="D222" s="17" t="s">
        <v>1204</v>
      </c>
      <c r="E222" s="16" t="s">
        <v>11419</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45">
      <c r="A223" s="15" t="s">
        <v>2890</v>
      </c>
      <c r="B223" s="16" t="s">
        <v>5</v>
      </c>
      <c r="C223" s="17" t="s">
        <v>1206</v>
      </c>
      <c r="D223" s="17" t="s">
        <v>1207</v>
      </c>
      <c r="E223" s="16" t="s">
        <v>11419</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45">
      <c r="A224" s="15" t="s">
        <v>1532</v>
      </c>
      <c r="B224" s="16" t="s">
        <v>5</v>
      </c>
      <c r="C224" s="17" t="s">
        <v>1209</v>
      </c>
      <c r="D224" s="17" t="s">
        <v>1210</v>
      </c>
      <c r="E224" s="16" t="s">
        <v>11419</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45">
      <c r="A225" s="15" t="s">
        <v>1585</v>
      </c>
      <c r="B225" s="16" t="s">
        <v>5</v>
      </c>
      <c r="C225" s="17" t="s">
        <v>1212</v>
      </c>
      <c r="D225" s="17" t="s">
        <v>1213</v>
      </c>
      <c r="E225" s="16" t="s">
        <v>11419</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45">
      <c r="A226" s="15" t="s">
        <v>683</v>
      </c>
      <c r="B226" s="16" t="s">
        <v>183</v>
      </c>
      <c r="C226" s="17" t="s">
        <v>1215</v>
      </c>
      <c r="D226" s="17" t="s">
        <v>1216</v>
      </c>
      <c r="E226" s="16" t="s">
        <v>11419</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45">
      <c r="A227" s="15" t="s">
        <v>812</v>
      </c>
      <c r="B227" s="16" t="s">
        <v>5</v>
      </c>
      <c r="C227" s="17" t="s">
        <v>1218</v>
      </c>
      <c r="D227" s="17" t="s">
        <v>1219</v>
      </c>
      <c r="E227" s="16" t="s">
        <v>11436</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45">
      <c r="A228" s="15" t="s">
        <v>839</v>
      </c>
      <c r="B228" s="16" t="s">
        <v>5</v>
      </c>
      <c r="C228" s="17" t="s">
        <v>1221</v>
      </c>
      <c r="D228" s="17" t="s">
        <v>1222</v>
      </c>
      <c r="E228" s="16" t="s">
        <v>11436</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45">
      <c r="A229" s="15" t="s">
        <v>11310</v>
      </c>
      <c r="B229" s="16" t="s">
        <v>5</v>
      </c>
      <c r="C229" s="17" t="s">
        <v>1224</v>
      </c>
      <c r="D229" s="17" t="s">
        <v>1225</v>
      </c>
      <c r="E229" s="16" t="s">
        <v>11436</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45">
      <c r="A230" s="15" t="s">
        <v>1169</v>
      </c>
      <c r="B230" s="16" t="s">
        <v>5</v>
      </c>
      <c r="C230" s="17" t="s">
        <v>1227</v>
      </c>
      <c r="D230" s="17" t="s">
        <v>1228</v>
      </c>
      <c r="E230" s="16" t="s">
        <v>11436</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45">
      <c r="A231" s="15" t="s">
        <v>1211</v>
      </c>
      <c r="B231" s="16" t="s">
        <v>5</v>
      </c>
      <c r="C231" s="17" t="s">
        <v>1230</v>
      </c>
      <c r="D231" s="17" t="s">
        <v>1231</v>
      </c>
      <c r="E231" s="16" t="s">
        <v>11436</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45">
      <c r="A232" s="15" t="s">
        <v>1292</v>
      </c>
      <c r="B232" s="16" t="s">
        <v>5</v>
      </c>
      <c r="C232" s="17" t="s">
        <v>1233</v>
      </c>
      <c r="D232" s="17" t="s">
        <v>1234</v>
      </c>
      <c r="E232" s="16" t="s">
        <v>11436</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45">
      <c r="A233" s="15" t="s">
        <v>5117</v>
      </c>
      <c r="B233" s="16" t="s">
        <v>5</v>
      </c>
      <c r="C233" s="17" t="s">
        <v>1236</v>
      </c>
      <c r="D233" s="17" t="s">
        <v>1237</v>
      </c>
      <c r="E233" s="16" t="s">
        <v>11436</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45">
      <c r="A234" s="15" t="s">
        <v>5654</v>
      </c>
      <c r="B234" s="16" t="s">
        <v>5</v>
      </c>
      <c r="C234" s="17" t="s">
        <v>1239</v>
      </c>
      <c r="D234" s="17" t="s">
        <v>1240</v>
      </c>
      <c r="E234" s="16" t="s">
        <v>11436</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45">
      <c r="A235" s="15" t="s">
        <v>6814</v>
      </c>
      <c r="B235" s="16" t="s">
        <v>5</v>
      </c>
      <c r="C235" s="17" t="s">
        <v>1242</v>
      </c>
      <c r="D235" s="17" t="s">
        <v>1243</v>
      </c>
      <c r="E235" s="16" t="s">
        <v>11436</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45">
      <c r="A236" s="15" t="s">
        <v>7939</v>
      </c>
      <c r="B236" s="16" t="s">
        <v>5</v>
      </c>
      <c r="C236" s="17" t="s">
        <v>1245</v>
      </c>
      <c r="D236" s="17" t="s">
        <v>1246</v>
      </c>
      <c r="E236" s="16" t="s">
        <v>11436</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45">
      <c r="A237" s="15" t="s">
        <v>8317</v>
      </c>
      <c r="B237" s="16" t="s">
        <v>5</v>
      </c>
      <c r="C237" s="17" t="s">
        <v>1248</v>
      </c>
      <c r="D237" s="17" t="s">
        <v>1249</v>
      </c>
      <c r="E237" s="16" t="s">
        <v>11436</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45">
      <c r="A238" s="15" t="s">
        <v>8332</v>
      </c>
      <c r="B238" s="16" t="s">
        <v>5</v>
      </c>
      <c r="C238" s="17" t="s">
        <v>1251</v>
      </c>
      <c r="D238" s="17" t="s">
        <v>1252</v>
      </c>
      <c r="E238" s="16" t="s">
        <v>11436</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45">
      <c r="A239" s="15" t="s">
        <v>779</v>
      </c>
      <c r="B239" s="16" t="s">
        <v>5</v>
      </c>
      <c r="C239" s="17" t="s">
        <v>1254</v>
      </c>
      <c r="D239" s="17" t="s">
        <v>1255</v>
      </c>
      <c r="E239" s="16" t="s">
        <v>11436</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45">
      <c r="A240" s="15" t="s">
        <v>842</v>
      </c>
      <c r="B240" s="16" t="s">
        <v>5</v>
      </c>
      <c r="C240" s="17" t="s">
        <v>1257</v>
      </c>
      <c r="D240" s="17" t="s">
        <v>1258</v>
      </c>
      <c r="E240" s="16" t="s">
        <v>11436</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45">
      <c r="A241" s="15" t="s">
        <v>908</v>
      </c>
      <c r="B241" s="16" t="s">
        <v>5</v>
      </c>
      <c r="C241" s="17" t="s">
        <v>1260</v>
      </c>
      <c r="D241" s="17" t="s">
        <v>1261</v>
      </c>
      <c r="E241" s="16" t="s">
        <v>11436</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45">
      <c r="A242" s="15" t="s">
        <v>926</v>
      </c>
      <c r="B242" s="16" t="s">
        <v>5</v>
      </c>
      <c r="C242" s="17" t="s">
        <v>1263</v>
      </c>
      <c r="D242" s="17" t="s">
        <v>1264</v>
      </c>
      <c r="E242" s="16" t="s">
        <v>11436</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45">
      <c r="A243" s="15" t="s">
        <v>980</v>
      </c>
      <c r="B243" s="16" t="s">
        <v>5</v>
      </c>
      <c r="C243" s="17" t="s">
        <v>1266</v>
      </c>
      <c r="D243" s="17" t="s">
        <v>1267</v>
      </c>
      <c r="E243" s="16" t="s">
        <v>11436</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45">
      <c r="A244" s="15" t="s">
        <v>1001</v>
      </c>
      <c r="B244" s="16" t="s">
        <v>5</v>
      </c>
      <c r="C244" s="17" t="s">
        <v>1269</v>
      </c>
      <c r="D244" s="17" t="s">
        <v>1270</v>
      </c>
      <c r="E244" s="16" t="s">
        <v>11436</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45">
      <c r="A245" s="15" t="s">
        <v>11311</v>
      </c>
      <c r="B245" s="16" t="s">
        <v>5</v>
      </c>
      <c r="C245" s="17" t="s">
        <v>1272</v>
      </c>
      <c r="D245" s="17" t="s">
        <v>1273</v>
      </c>
      <c r="E245" s="16" t="s">
        <v>11436</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45">
      <c r="A246" s="15" t="s">
        <v>1058</v>
      </c>
      <c r="B246" s="16" t="s">
        <v>5</v>
      </c>
      <c r="C246" s="17" t="s">
        <v>1275</v>
      </c>
      <c r="D246" s="17" t="s">
        <v>1276</v>
      </c>
      <c r="E246" s="16" t="s">
        <v>11436</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45">
      <c r="A247" s="15" t="s">
        <v>1061</v>
      </c>
      <c r="B247" s="16" t="s">
        <v>5</v>
      </c>
      <c r="C247" s="17" t="s">
        <v>1278</v>
      </c>
      <c r="D247" s="17" t="s">
        <v>1279</v>
      </c>
      <c r="E247" s="16" t="s">
        <v>11436</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45">
      <c r="A248" s="15" t="s">
        <v>1106</v>
      </c>
      <c r="B248" s="16" t="s">
        <v>5</v>
      </c>
      <c r="C248" s="17" t="s">
        <v>1281</v>
      </c>
      <c r="D248" s="17" t="s">
        <v>1282</v>
      </c>
      <c r="E248" s="16" t="s">
        <v>11436</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45">
      <c r="A249" s="15" t="s">
        <v>1244</v>
      </c>
      <c r="B249" s="16" t="s">
        <v>5</v>
      </c>
      <c r="C249" s="17" t="s">
        <v>1284</v>
      </c>
      <c r="D249" s="17" t="s">
        <v>1285</v>
      </c>
      <c r="E249" s="16" t="s">
        <v>11436</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45">
      <c r="A250" s="15" t="s">
        <v>4340</v>
      </c>
      <c r="B250" s="16" t="s">
        <v>5</v>
      </c>
      <c r="C250" s="17" t="s">
        <v>1287</v>
      </c>
      <c r="D250" s="17" t="s">
        <v>1288</v>
      </c>
      <c r="E250" s="16" t="s">
        <v>11436</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45">
      <c r="A251" s="15" t="s">
        <v>4967</v>
      </c>
      <c r="B251" s="16" t="s">
        <v>5</v>
      </c>
      <c r="C251" s="17" t="s">
        <v>1290</v>
      </c>
      <c r="D251" s="17" t="s">
        <v>1291</v>
      </c>
      <c r="E251" s="16" t="s">
        <v>11436</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45">
      <c r="A252" s="15" t="s">
        <v>5195</v>
      </c>
      <c r="B252" s="16" t="s">
        <v>5</v>
      </c>
      <c r="C252" s="17" t="s">
        <v>1293</v>
      </c>
      <c r="D252" s="17" t="s">
        <v>1294</v>
      </c>
      <c r="E252" s="16" t="s">
        <v>11436</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45">
      <c r="A253" s="15" t="s">
        <v>6721</v>
      </c>
      <c r="B253" s="16" t="s">
        <v>5</v>
      </c>
      <c r="C253" s="17" t="s">
        <v>1296</v>
      </c>
      <c r="D253" s="17" t="s">
        <v>1297</v>
      </c>
      <c r="E253" s="16" t="s">
        <v>11436</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45">
      <c r="A254" s="15" t="s">
        <v>1145</v>
      </c>
      <c r="B254" s="16" t="s">
        <v>5</v>
      </c>
      <c r="C254" s="17" t="s">
        <v>1299</v>
      </c>
      <c r="D254" s="17" t="s">
        <v>1300</v>
      </c>
      <c r="E254" s="16" t="s">
        <v>11436</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45">
      <c r="A255" s="15" t="s">
        <v>11312</v>
      </c>
      <c r="B255" s="16" t="s">
        <v>183</v>
      </c>
      <c r="C255" s="17" t="s">
        <v>1302</v>
      </c>
      <c r="D255" s="17" t="s">
        <v>1303</v>
      </c>
      <c r="E255" s="16" t="s">
        <v>11416</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45">
      <c r="A256" s="15" t="s">
        <v>8821</v>
      </c>
      <c r="B256" s="16" t="s">
        <v>5</v>
      </c>
      <c r="C256" s="17" t="s">
        <v>1305</v>
      </c>
      <c r="D256" s="17" t="s">
        <v>1306</v>
      </c>
      <c r="E256" s="16" t="s">
        <v>11436</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45">
      <c r="A257" s="15" t="s">
        <v>833</v>
      </c>
      <c r="B257" s="16" t="s">
        <v>5</v>
      </c>
      <c r="C257" s="17" t="s">
        <v>1308</v>
      </c>
      <c r="D257" s="17" t="s">
        <v>1309</v>
      </c>
      <c r="E257" s="16" t="s">
        <v>11436</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45">
      <c r="A258" s="15" t="s">
        <v>845</v>
      </c>
      <c r="B258" s="16" t="s">
        <v>5</v>
      </c>
      <c r="C258" s="17" t="s">
        <v>1311</v>
      </c>
      <c r="D258" s="17" t="s">
        <v>1312</v>
      </c>
      <c r="E258" s="16" t="s">
        <v>11436</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45">
      <c r="A259" s="15" t="s">
        <v>863</v>
      </c>
      <c r="B259" s="16" t="s">
        <v>5</v>
      </c>
      <c r="C259" s="17" t="s">
        <v>1314</v>
      </c>
      <c r="D259" s="17" t="s">
        <v>1315</v>
      </c>
      <c r="E259" s="16" t="s">
        <v>11436</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45">
      <c r="A260" s="15" t="s">
        <v>872</v>
      </c>
      <c r="B260" s="16" t="s">
        <v>5</v>
      </c>
      <c r="C260" s="17" t="s">
        <v>1317</v>
      </c>
      <c r="D260" s="17" t="s">
        <v>1318</v>
      </c>
      <c r="E260" s="16" t="s">
        <v>11436</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45">
      <c r="A261" s="15" t="s">
        <v>902</v>
      </c>
      <c r="B261" s="16" t="s">
        <v>5</v>
      </c>
      <c r="C261" s="17" t="s">
        <v>1320</v>
      </c>
      <c r="D261" s="17" t="s">
        <v>1321</v>
      </c>
      <c r="E261" s="16" t="s">
        <v>11436</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45">
      <c r="A262" s="15" t="s">
        <v>941</v>
      </c>
      <c r="B262" s="16" t="s">
        <v>5</v>
      </c>
      <c r="C262" s="17" t="s">
        <v>1323</v>
      </c>
      <c r="D262" s="17" t="s">
        <v>1324</v>
      </c>
      <c r="E262" s="16" t="s">
        <v>11436</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45">
      <c r="A263" s="15" t="s">
        <v>956</v>
      </c>
      <c r="B263" s="16" t="s">
        <v>5</v>
      </c>
      <c r="C263" s="17" t="s">
        <v>1326</v>
      </c>
      <c r="D263" s="17" t="s">
        <v>1327</v>
      </c>
      <c r="E263" s="16" t="s">
        <v>11436</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45">
      <c r="A264" s="15" t="s">
        <v>962</v>
      </c>
      <c r="B264" s="16" t="s">
        <v>5</v>
      </c>
      <c r="C264" s="17" t="s">
        <v>1329</v>
      </c>
      <c r="D264" s="17" t="s">
        <v>1330</v>
      </c>
      <c r="E264" s="16" t="s">
        <v>11436</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45">
      <c r="A265" s="15" t="s">
        <v>965</v>
      </c>
      <c r="B265" s="16" t="s">
        <v>5</v>
      </c>
      <c r="C265" s="17" t="s">
        <v>1332</v>
      </c>
      <c r="D265" s="17" t="s">
        <v>1333</v>
      </c>
      <c r="E265" s="16" t="s">
        <v>11436</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45">
      <c r="A266" s="15" t="s">
        <v>1034</v>
      </c>
      <c r="B266" s="16" t="s">
        <v>5</v>
      </c>
      <c r="C266" s="17" t="s">
        <v>1335</v>
      </c>
      <c r="D266" s="17" t="s">
        <v>1336</v>
      </c>
      <c r="E266" s="16" t="s">
        <v>11436</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45">
      <c r="A267" s="15" t="s">
        <v>1154</v>
      </c>
      <c r="B267" s="16" t="s">
        <v>5</v>
      </c>
      <c r="C267" s="17" t="s">
        <v>1338</v>
      </c>
      <c r="D267" s="17" t="s">
        <v>1339</v>
      </c>
      <c r="E267" s="16" t="s">
        <v>11436</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45">
      <c r="A268" s="15" t="s">
        <v>1163</v>
      </c>
      <c r="B268" s="16" t="s">
        <v>5</v>
      </c>
      <c r="C268" s="17" t="s">
        <v>1341</v>
      </c>
      <c r="D268" s="17" t="s">
        <v>1342</v>
      </c>
      <c r="E268" s="16" t="s">
        <v>11436</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45">
      <c r="A269" s="15" t="s">
        <v>1190</v>
      </c>
      <c r="B269" s="16" t="s">
        <v>5</v>
      </c>
      <c r="C269" s="17" t="s">
        <v>1344</v>
      </c>
      <c r="D269" s="17" t="s">
        <v>1345</v>
      </c>
      <c r="E269" s="16" t="s">
        <v>11436</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45">
      <c r="A270" s="15" t="s">
        <v>1214</v>
      </c>
      <c r="B270" s="16" t="s">
        <v>5</v>
      </c>
      <c r="C270" s="17" t="s">
        <v>1347</v>
      </c>
      <c r="D270" s="17" t="s">
        <v>1348</v>
      </c>
      <c r="E270" s="16" t="s">
        <v>11436</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45">
      <c r="A271" s="15" t="s">
        <v>11313</v>
      </c>
      <c r="B271" s="16" t="s">
        <v>5</v>
      </c>
      <c r="C271" s="17" t="s">
        <v>1350</v>
      </c>
      <c r="D271" s="17" t="s">
        <v>1351</v>
      </c>
      <c r="E271" s="16" t="s">
        <v>11436</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45">
      <c r="A272" s="15" t="s">
        <v>1298</v>
      </c>
      <c r="B272" s="16" t="s">
        <v>5</v>
      </c>
      <c r="C272" s="17" t="s">
        <v>1355</v>
      </c>
      <c r="D272" s="17" t="s">
        <v>1356</v>
      </c>
      <c r="E272" s="16" t="s">
        <v>11436</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45">
      <c r="A273" s="15" t="s">
        <v>11314</v>
      </c>
      <c r="B273" s="16" t="s">
        <v>5</v>
      </c>
      <c r="C273" s="17" t="s">
        <v>1358</v>
      </c>
      <c r="D273" s="17" t="s">
        <v>1359</v>
      </c>
      <c r="E273" s="16" t="s">
        <v>11436</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45">
      <c r="A274" s="15" t="s">
        <v>11315</v>
      </c>
      <c r="B274" s="16" t="s">
        <v>5</v>
      </c>
      <c r="C274" s="17" t="s">
        <v>1361</v>
      </c>
      <c r="D274" s="17" t="s">
        <v>1362</v>
      </c>
      <c r="E274" s="16" t="s">
        <v>11436</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45">
      <c r="A275" s="15" t="s">
        <v>4568</v>
      </c>
      <c r="B275" s="16" t="s">
        <v>5</v>
      </c>
      <c r="C275" s="17" t="s">
        <v>1364</v>
      </c>
      <c r="D275" s="17" t="s">
        <v>1365</v>
      </c>
      <c r="E275" s="16" t="s">
        <v>11436</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45">
      <c r="A276" s="15" t="s">
        <v>4607</v>
      </c>
      <c r="B276" s="16" t="s">
        <v>5</v>
      </c>
      <c r="C276" s="17" t="s">
        <v>1367</v>
      </c>
      <c r="D276" s="17" t="s">
        <v>1368</v>
      </c>
      <c r="E276" s="16" t="s">
        <v>11436</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45">
      <c r="A277" s="15" t="s">
        <v>5270</v>
      </c>
      <c r="B277" s="16" t="s">
        <v>5</v>
      </c>
      <c r="C277" s="17" t="s">
        <v>1370</v>
      </c>
      <c r="D277" s="17" t="s">
        <v>1371</v>
      </c>
      <c r="E277" s="16" t="s">
        <v>11436</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45">
      <c r="A278" s="15" t="s">
        <v>6670</v>
      </c>
      <c r="B278" s="16" t="s">
        <v>5</v>
      </c>
      <c r="C278" s="17" t="s">
        <v>1373</v>
      </c>
      <c r="D278" s="17" t="s">
        <v>1374</v>
      </c>
      <c r="E278" s="16" t="s">
        <v>11436</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45">
      <c r="A279" s="15" t="s">
        <v>6742</v>
      </c>
      <c r="B279" s="16" t="s">
        <v>5</v>
      </c>
      <c r="C279" s="17" t="s">
        <v>1376</v>
      </c>
      <c r="D279" s="17" t="s">
        <v>1377</v>
      </c>
      <c r="E279" s="16" t="s">
        <v>11436</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45">
      <c r="A280" s="15" t="s">
        <v>6745</v>
      </c>
      <c r="B280" s="16" t="s">
        <v>5</v>
      </c>
      <c r="C280" s="17" t="s">
        <v>1379</v>
      </c>
      <c r="D280" s="17" t="s">
        <v>1380</v>
      </c>
      <c r="E280" s="16" t="s">
        <v>11436</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45">
      <c r="A281" s="15" t="s">
        <v>6925</v>
      </c>
      <c r="B281" s="16" t="s">
        <v>5</v>
      </c>
      <c r="C281" s="17" t="s">
        <v>1382</v>
      </c>
      <c r="D281" s="17" t="s">
        <v>1383</v>
      </c>
      <c r="E281" s="16" t="s">
        <v>11436</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45">
      <c r="A282" s="15" t="s">
        <v>6976</v>
      </c>
      <c r="B282" s="16" t="s">
        <v>5</v>
      </c>
      <c r="C282" s="17" t="s">
        <v>1385</v>
      </c>
      <c r="D282" s="17" t="s">
        <v>1386</v>
      </c>
      <c r="E282" s="16" t="s">
        <v>11436</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45">
      <c r="A283" s="15" t="s">
        <v>7120</v>
      </c>
      <c r="B283" s="16" t="s">
        <v>5</v>
      </c>
      <c r="C283" s="17" t="s">
        <v>1388</v>
      </c>
      <c r="D283" s="17" t="s">
        <v>1389</v>
      </c>
      <c r="E283" s="16" t="s">
        <v>11436</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45">
      <c r="A284" s="15" t="s">
        <v>1076</v>
      </c>
      <c r="B284" s="16" t="s">
        <v>5</v>
      </c>
      <c r="C284" s="17" t="s">
        <v>1392</v>
      </c>
      <c r="D284" s="17" t="s">
        <v>1393</v>
      </c>
      <c r="E284" s="16" t="s">
        <v>11436</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45">
      <c r="A285" s="15" t="s">
        <v>1241</v>
      </c>
      <c r="B285" s="16" t="s">
        <v>5</v>
      </c>
      <c r="C285" s="17" t="s">
        <v>1395</v>
      </c>
      <c r="D285" s="17" t="s">
        <v>1396</v>
      </c>
      <c r="E285" s="16" t="s">
        <v>11436</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45">
      <c r="A286" s="15" t="s">
        <v>8995</v>
      </c>
      <c r="B286" s="16" t="s">
        <v>5</v>
      </c>
      <c r="C286" s="17" t="s">
        <v>1399</v>
      </c>
      <c r="D286" s="17" t="s">
        <v>1400</v>
      </c>
      <c r="E286" s="16" t="s">
        <v>11436</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45">
      <c r="A287" s="15" t="s">
        <v>9088</v>
      </c>
      <c r="B287" s="16" t="s">
        <v>5</v>
      </c>
      <c r="C287" s="17" t="s">
        <v>1402</v>
      </c>
      <c r="D287" s="17" t="s">
        <v>1403</v>
      </c>
      <c r="E287" s="16" t="s">
        <v>11436</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45">
      <c r="A288" s="15" t="s">
        <v>9232</v>
      </c>
      <c r="B288" s="16" t="s">
        <v>5</v>
      </c>
      <c r="C288" s="17" t="s">
        <v>1405</v>
      </c>
      <c r="D288" s="17" t="s">
        <v>1406</v>
      </c>
      <c r="E288" s="16" t="s">
        <v>11436</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45">
      <c r="A289" s="15" t="s">
        <v>776</v>
      </c>
      <c r="B289" s="16" t="s">
        <v>5</v>
      </c>
      <c r="C289" s="17" t="s">
        <v>1408</v>
      </c>
      <c r="D289" s="17" t="s">
        <v>1409</v>
      </c>
      <c r="E289" s="16" t="s">
        <v>11436</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45">
      <c r="A290" s="15" t="s">
        <v>800</v>
      </c>
      <c r="B290" s="16" t="s">
        <v>5</v>
      </c>
      <c r="C290" s="17" t="s">
        <v>1411</v>
      </c>
      <c r="D290" s="17" t="s">
        <v>1412</v>
      </c>
      <c r="E290" s="16" t="s">
        <v>11436</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45">
      <c r="A291" s="15" t="s">
        <v>809</v>
      </c>
      <c r="B291" s="16" t="s">
        <v>5</v>
      </c>
      <c r="C291" s="17" t="s">
        <v>1415</v>
      </c>
      <c r="D291" s="17" t="s">
        <v>1416</v>
      </c>
      <c r="E291" s="16" t="s">
        <v>11436</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45">
      <c r="A292" s="15" t="s">
        <v>824</v>
      </c>
      <c r="B292" s="16" t="s">
        <v>5</v>
      </c>
      <c r="C292" s="17" t="s">
        <v>1419</v>
      </c>
      <c r="D292" s="17" t="s">
        <v>1420</v>
      </c>
      <c r="E292" s="16" t="s">
        <v>11436</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45">
      <c r="A293" s="15" t="s">
        <v>851</v>
      </c>
      <c r="B293" s="16" t="s">
        <v>5</v>
      </c>
      <c r="C293" s="17" t="s">
        <v>1423</v>
      </c>
      <c r="D293" s="17" t="s">
        <v>1424</v>
      </c>
      <c r="E293" s="16" t="s">
        <v>11436</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45">
      <c r="A294" s="15" t="s">
        <v>860</v>
      </c>
      <c r="B294" s="16" t="s">
        <v>5</v>
      </c>
      <c r="C294" s="17" t="s">
        <v>1426</v>
      </c>
      <c r="D294" s="17" t="s">
        <v>1427</v>
      </c>
      <c r="E294" s="16" t="s">
        <v>11436</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45">
      <c r="A295" s="15" t="s">
        <v>866</v>
      </c>
      <c r="B295" s="16" t="s">
        <v>5</v>
      </c>
      <c r="C295" s="17" t="s">
        <v>1430</v>
      </c>
      <c r="D295" s="17" t="s">
        <v>1431</v>
      </c>
      <c r="E295" s="16" t="s">
        <v>11436</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45">
      <c r="A296" s="15" t="s">
        <v>893</v>
      </c>
      <c r="B296" s="16" t="s">
        <v>5</v>
      </c>
      <c r="C296" s="17" t="s">
        <v>1433</v>
      </c>
      <c r="D296" s="17" t="s">
        <v>1434</v>
      </c>
      <c r="E296" s="16" t="s">
        <v>11436</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45">
      <c r="A297" s="15" t="s">
        <v>899</v>
      </c>
      <c r="B297" s="16" t="s">
        <v>5</v>
      </c>
      <c r="C297" s="17" t="s">
        <v>1436</v>
      </c>
      <c r="D297" s="17" t="s">
        <v>1437</v>
      </c>
      <c r="E297" s="16" t="s">
        <v>11436</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45">
      <c r="A298" s="15" t="s">
        <v>905</v>
      </c>
      <c r="B298" s="16" t="s">
        <v>5</v>
      </c>
      <c r="C298" s="17" t="s">
        <v>1440</v>
      </c>
      <c r="D298" s="17" t="s">
        <v>1441</v>
      </c>
      <c r="E298" s="16" t="s">
        <v>11436</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45">
      <c r="A299" s="15" t="s">
        <v>932</v>
      </c>
      <c r="B299" s="16" t="s">
        <v>5</v>
      </c>
      <c r="C299" s="17" t="s">
        <v>1443</v>
      </c>
      <c r="D299" s="17" t="s">
        <v>1444</v>
      </c>
      <c r="E299" s="16" t="s">
        <v>11436</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45">
      <c r="A300" s="15" t="s">
        <v>950</v>
      </c>
      <c r="B300" s="16" t="s">
        <v>5</v>
      </c>
      <c r="C300" s="17" t="s">
        <v>1447</v>
      </c>
      <c r="D300" s="17" t="s">
        <v>1448</v>
      </c>
      <c r="E300" s="16" t="s">
        <v>11436</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45">
      <c r="A301" s="15" t="s">
        <v>998</v>
      </c>
      <c r="B301" s="16" t="s">
        <v>5</v>
      </c>
      <c r="C301" s="17" t="s">
        <v>1450</v>
      </c>
      <c r="D301" s="17" t="s">
        <v>1451</v>
      </c>
      <c r="E301" s="16" t="s">
        <v>11436</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45">
      <c r="A302" s="15" t="s">
        <v>1037</v>
      </c>
      <c r="B302" s="16" t="s">
        <v>5</v>
      </c>
      <c r="C302" s="17" t="s">
        <v>1453</v>
      </c>
      <c r="D302" s="17" t="s">
        <v>1454</v>
      </c>
      <c r="E302" s="16" t="s">
        <v>11436</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45">
      <c r="A303" s="15" t="s">
        <v>1040</v>
      </c>
      <c r="B303" s="16" t="s">
        <v>5</v>
      </c>
      <c r="C303" s="17" t="s">
        <v>1456</v>
      </c>
      <c r="D303" s="17" t="s">
        <v>1457</v>
      </c>
      <c r="E303" s="16" t="s">
        <v>11436</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45">
      <c r="A304" s="15" t="s">
        <v>1100</v>
      </c>
      <c r="B304" s="16" t="s">
        <v>5</v>
      </c>
      <c r="C304" s="17" t="s">
        <v>1459</v>
      </c>
      <c r="D304" s="17" t="s">
        <v>1460</v>
      </c>
      <c r="E304" s="16" t="s">
        <v>11436</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45">
      <c r="A305" s="15" t="s">
        <v>1121</v>
      </c>
      <c r="B305" s="16" t="s">
        <v>5</v>
      </c>
      <c r="C305" s="17" t="s">
        <v>1463</v>
      </c>
      <c r="D305" s="17" t="s">
        <v>1464</v>
      </c>
      <c r="E305" s="16" t="s">
        <v>11436</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45">
      <c r="A306" s="15" t="s">
        <v>11316</v>
      </c>
      <c r="B306" s="16" t="s">
        <v>5</v>
      </c>
      <c r="C306" s="17" t="s">
        <v>1467</v>
      </c>
      <c r="D306" s="17" t="s">
        <v>1468</v>
      </c>
      <c r="E306" s="16" t="s">
        <v>11436</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45">
      <c r="A307" s="15" t="s">
        <v>1223</v>
      </c>
      <c r="B307" s="16" t="s">
        <v>5</v>
      </c>
      <c r="C307" s="17" t="s">
        <v>1470</v>
      </c>
      <c r="D307" s="17" t="s">
        <v>1471</v>
      </c>
      <c r="E307" s="16" t="s">
        <v>11436</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45">
      <c r="A308" s="15" t="s">
        <v>11317</v>
      </c>
      <c r="B308" s="16" t="s">
        <v>5</v>
      </c>
      <c r="C308" s="17" t="s">
        <v>1473</v>
      </c>
      <c r="D308" s="17" t="s">
        <v>1474</v>
      </c>
      <c r="E308" s="16" t="s">
        <v>11436</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45">
      <c r="A309" s="15" t="s">
        <v>1265</v>
      </c>
      <c r="B309" s="16" t="s">
        <v>5</v>
      </c>
      <c r="C309" s="17" t="s">
        <v>1476</v>
      </c>
      <c r="D309" s="17" t="s">
        <v>1477</v>
      </c>
      <c r="E309" s="16" t="s">
        <v>11436</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45">
      <c r="A310" s="15" t="s">
        <v>4223</v>
      </c>
      <c r="B310" s="16" t="s">
        <v>5</v>
      </c>
      <c r="C310" s="17" t="s">
        <v>1479</v>
      </c>
      <c r="D310" s="17" t="s">
        <v>1480</v>
      </c>
      <c r="E310" s="16" t="s">
        <v>11436</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45">
      <c r="A311" s="15" t="s">
        <v>4382</v>
      </c>
      <c r="B311" s="16" t="s">
        <v>5</v>
      </c>
      <c r="C311" s="17" t="s">
        <v>1482</v>
      </c>
      <c r="D311" s="17" t="s">
        <v>1483</v>
      </c>
      <c r="E311" s="16" t="s">
        <v>11436</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45">
      <c r="A312" s="15" t="s">
        <v>4523</v>
      </c>
      <c r="B312" s="16" t="s">
        <v>5</v>
      </c>
      <c r="C312" s="17" t="s">
        <v>1485</v>
      </c>
      <c r="D312" s="17" t="s">
        <v>1486</v>
      </c>
      <c r="E312" s="16" t="s">
        <v>11436</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45">
      <c r="A313" s="15" t="s">
        <v>4793</v>
      </c>
      <c r="B313" s="16" t="s">
        <v>5</v>
      </c>
      <c r="C313" s="17" t="s">
        <v>1488</v>
      </c>
      <c r="D313" s="17" t="s">
        <v>1489</v>
      </c>
      <c r="E313" s="16" t="s">
        <v>11436</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45">
      <c r="A314" s="15" t="s">
        <v>5135</v>
      </c>
      <c r="B314" s="16" t="s">
        <v>5</v>
      </c>
      <c r="C314" s="17" t="s">
        <v>1491</v>
      </c>
      <c r="D314" s="17" t="s">
        <v>1492</v>
      </c>
      <c r="E314" s="16" t="s">
        <v>11436</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45">
      <c r="A315" s="15" t="s">
        <v>5276</v>
      </c>
      <c r="B315" s="16" t="s">
        <v>5</v>
      </c>
      <c r="C315" s="17" t="s">
        <v>1494</v>
      </c>
      <c r="D315" s="17" t="s">
        <v>1495</v>
      </c>
      <c r="E315" s="16" t="s">
        <v>11436</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45">
      <c r="A316" s="15" t="s">
        <v>5627</v>
      </c>
      <c r="B316" s="16" t="s">
        <v>5</v>
      </c>
      <c r="C316" s="17" t="s">
        <v>1498</v>
      </c>
      <c r="D316" s="17" t="s">
        <v>1499</v>
      </c>
      <c r="E316" s="16" t="s">
        <v>11436</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45">
      <c r="A317" s="15" t="s">
        <v>5954</v>
      </c>
      <c r="B317" s="16" t="s">
        <v>5</v>
      </c>
      <c r="C317" s="17" t="s">
        <v>1502</v>
      </c>
      <c r="D317" s="17" t="s">
        <v>1503</v>
      </c>
      <c r="E317" s="16" t="s">
        <v>11436</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45">
      <c r="A318" s="15" t="s">
        <v>5966</v>
      </c>
      <c r="B318" s="16" t="s">
        <v>5</v>
      </c>
      <c r="C318" s="17" t="s">
        <v>1505</v>
      </c>
      <c r="D318" s="17" t="s">
        <v>1506</v>
      </c>
      <c r="E318" s="16" t="s">
        <v>11436</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45">
      <c r="A319" s="15" t="s">
        <v>6493</v>
      </c>
      <c r="B319" s="16" t="s">
        <v>5</v>
      </c>
      <c r="C319" s="17" t="s">
        <v>1508</v>
      </c>
      <c r="D319" s="17" t="s">
        <v>1509</v>
      </c>
      <c r="E319" s="16" t="s">
        <v>11436</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45">
      <c r="A320" s="15" t="s">
        <v>6802</v>
      </c>
      <c r="B320" s="16" t="s">
        <v>5</v>
      </c>
      <c r="C320" s="17" t="s">
        <v>1511</v>
      </c>
      <c r="D320" s="17" t="s">
        <v>1512</v>
      </c>
      <c r="E320" s="16" t="s">
        <v>11436</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45">
      <c r="A321" s="15" t="s">
        <v>6919</v>
      </c>
      <c r="B321" s="16" t="s">
        <v>5</v>
      </c>
      <c r="C321" s="17" t="s">
        <v>1515</v>
      </c>
      <c r="D321" s="17" t="s">
        <v>1516</v>
      </c>
      <c r="E321" s="16" t="s">
        <v>11436</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45">
      <c r="A322" s="15" t="s">
        <v>7399</v>
      </c>
      <c r="B322" s="16" t="s">
        <v>5</v>
      </c>
      <c r="C322" s="17" t="s">
        <v>1518</v>
      </c>
      <c r="D322" s="17" t="s">
        <v>1519</v>
      </c>
      <c r="E322" s="16" t="s">
        <v>11436</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45">
      <c r="A323" s="15" t="s">
        <v>7861</v>
      </c>
      <c r="B323" s="16" t="s">
        <v>5</v>
      </c>
      <c r="C323" s="17" t="s">
        <v>1521</v>
      </c>
      <c r="D323" s="17" t="s">
        <v>1522</v>
      </c>
      <c r="E323" s="16" t="s">
        <v>11436</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45">
      <c r="A324" s="15" t="s">
        <v>8740</v>
      </c>
      <c r="B324" s="16" t="s">
        <v>5</v>
      </c>
      <c r="C324" s="17" t="s">
        <v>1524</v>
      </c>
      <c r="D324" s="17" t="s">
        <v>1525</v>
      </c>
      <c r="E324" s="16" t="s">
        <v>11436</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45">
      <c r="A325" s="15" t="s">
        <v>2123</v>
      </c>
      <c r="B325" s="16" t="s">
        <v>5</v>
      </c>
      <c r="C325" s="17" t="s">
        <v>1527</v>
      </c>
      <c r="D325" s="17" t="s">
        <v>1528</v>
      </c>
      <c r="E325" s="16" t="s">
        <v>11436</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45">
      <c r="A326" s="15" t="s">
        <v>568</v>
      </c>
      <c r="B326" s="16" t="s">
        <v>183</v>
      </c>
      <c r="C326" s="17" t="s">
        <v>1530</v>
      </c>
      <c r="D326" s="17" t="s">
        <v>1531</v>
      </c>
      <c r="E326" s="16" t="s">
        <v>11416</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45">
      <c r="A327" s="15" t="s">
        <v>631</v>
      </c>
      <c r="B327" s="16" t="s">
        <v>183</v>
      </c>
      <c r="C327" s="17" t="s">
        <v>1533</v>
      </c>
      <c r="D327" s="17" t="s">
        <v>1534</v>
      </c>
      <c r="E327" s="16" t="s">
        <v>11416</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45">
      <c r="A328" s="15" t="s">
        <v>658</v>
      </c>
      <c r="B328" s="16" t="s">
        <v>183</v>
      </c>
      <c r="C328" s="17" t="s">
        <v>1536</v>
      </c>
      <c r="D328" s="17" t="s">
        <v>1537</v>
      </c>
      <c r="E328" s="16" t="s">
        <v>11416</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45">
      <c r="A329" s="15" t="s">
        <v>770</v>
      </c>
      <c r="B329" s="16" t="s">
        <v>5</v>
      </c>
      <c r="C329" s="17" t="s">
        <v>1540</v>
      </c>
      <c r="D329" s="17" t="s">
        <v>1541</v>
      </c>
      <c r="E329" s="16" t="s">
        <v>11436</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45">
      <c r="A330" s="15" t="s">
        <v>815</v>
      </c>
      <c r="B330" s="16" t="s">
        <v>5</v>
      </c>
      <c r="C330" s="17" t="s">
        <v>1543</v>
      </c>
      <c r="D330" s="17" t="s">
        <v>1544</v>
      </c>
      <c r="E330" s="16" t="s">
        <v>11436</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45">
      <c r="A331" s="15" t="s">
        <v>938</v>
      </c>
      <c r="B331" s="16" t="s">
        <v>5</v>
      </c>
      <c r="C331" s="17" t="s">
        <v>1546</v>
      </c>
      <c r="D331" s="17" t="s">
        <v>1547</v>
      </c>
      <c r="E331" s="16" t="s">
        <v>11436</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45">
      <c r="A332" s="15" t="s">
        <v>11318</v>
      </c>
      <c r="B332" s="16" t="s">
        <v>5</v>
      </c>
      <c r="C332" s="17" t="s">
        <v>1549</v>
      </c>
      <c r="D332" s="17" t="s">
        <v>1550</v>
      </c>
      <c r="E332" s="16" t="s">
        <v>11436</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45">
      <c r="A333" s="15" t="s">
        <v>1004</v>
      </c>
      <c r="B333" s="16" t="s">
        <v>5</v>
      </c>
      <c r="C333" s="17" t="s">
        <v>1552</v>
      </c>
      <c r="D333" s="17" t="s">
        <v>1553</v>
      </c>
      <c r="E333" s="16" t="s">
        <v>11436</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45">
      <c r="A334" s="15" t="s">
        <v>1013</v>
      </c>
      <c r="B334" s="16" t="s">
        <v>5</v>
      </c>
      <c r="C334" s="17" t="s">
        <v>1556</v>
      </c>
      <c r="D334" s="17" t="s">
        <v>1557</v>
      </c>
      <c r="E334" s="16" t="s">
        <v>11436</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45">
      <c r="A335" s="15" t="s">
        <v>1019</v>
      </c>
      <c r="B335" s="16" t="s">
        <v>5</v>
      </c>
      <c r="C335" s="17" t="s">
        <v>1559</v>
      </c>
      <c r="D335" s="17" t="s">
        <v>1560</v>
      </c>
      <c r="E335" s="16" t="s">
        <v>11436</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45">
      <c r="A336" s="15" t="s">
        <v>1052</v>
      </c>
      <c r="B336" s="16" t="s">
        <v>5</v>
      </c>
      <c r="C336" s="17" t="s">
        <v>1562</v>
      </c>
      <c r="D336" s="17" t="s">
        <v>1563</v>
      </c>
      <c r="E336" s="16" t="s">
        <v>11436</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45">
      <c r="A337" s="15" t="s">
        <v>1079</v>
      </c>
      <c r="B337" s="16" t="s">
        <v>5</v>
      </c>
      <c r="C337" s="17" t="s">
        <v>1565</v>
      </c>
      <c r="D337" s="17" t="s">
        <v>1566</v>
      </c>
      <c r="E337" s="16" t="s">
        <v>11436</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45">
      <c r="A338" s="15" t="s">
        <v>1091</v>
      </c>
      <c r="B338" s="16" t="s">
        <v>5</v>
      </c>
      <c r="C338" s="17" t="s">
        <v>1568</v>
      </c>
      <c r="D338" s="17" t="s">
        <v>1569</v>
      </c>
      <c r="E338" s="16" t="s">
        <v>11436</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45">
      <c r="A339" s="15" t="s">
        <v>1130</v>
      </c>
      <c r="B339" s="16" t="s">
        <v>5</v>
      </c>
      <c r="C339" s="17" t="s">
        <v>1571</v>
      </c>
      <c r="D339" s="17" t="s">
        <v>1572</v>
      </c>
      <c r="E339" s="16" t="s">
        <v>11436</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45">
      <c r="A340" s="15" t="s">
        <v>11319</v>
      </c>
      <c r="B340" s="16" t="s">
        <v>5</v>
      </c>
      <c r="C340" s="17" t="s">
        <v>1574</v>
      </c>
      <c r="D340" s="17" t="s">
        <v>1575</v>
      </c>
      <c r="E340" s="16" t="s">
        <v>11436</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45">
      <c r="A341" s="15" t="s">
        <v>1175</v>
      </c>
      <c r="B341" s="16" t="s">
        <v>5</v>
      </c>
      <c r="C341" s="17" t="s">
        <v>1577</v>
      </c>
      <c r="D341" s="17" t="s">
        <v>1578</v>
      </c>
      <c r="E341" s="16" t="s">
        <v>11436</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45">
      <c r="A342" s="15" t="s">
        <v>1184</v>
      </c>
      <c r="B342" s="16" t="s">
        <v>5</v>
      </c>
      <c r="C342" s="17" t="s">
        <v>1580</v>
      </c>
      <c r="D342" s="17" t="s">
        <v>1581</v>
      </c>
      <c r="E342" s="16" t="s">
        <v>11436</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45">
      <c r="A343" s="15" t="s">
        <v>1232</v>
      </c>
      <c r="B343" s="16" t="s">
        <v>5</v>
      </c>
      <c r="C343" s="17" t="s">
        <v>1583</v>
      </c>
      <c r="D343" s="17" t="s">
        <v>1584</v>
      </c>
      <c r="E343" s="16" t="s">
        <v>11436</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45">
      <c r="A344" s="15" t="s">
        <v>1262</v>
      </c>
      <c r="B344" s="16" t="s">
        <v>5</v>
      </c>
      <c r="C344" s="17" t="s">
        <v>1586</v>
      </c>
      <c r="D344" s="17" t="s">
        <v>1587</v>
      </c>
      <c r="E344" s="16" t="s">
        <v>11436</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45">
      <c r="A345" s="15" t="s">
        <v>1268</v>
      </c>
      <c r="B345" s="16" t="s">
        <v>5</v>
      </c>
      <c r="C345" s="17" t="s">
        <v>1589</v>
      </c>
      <c r="D345" s="17" t="s">
        <v>1590</v>
      </c>
      <c r="E345" s="16" t="s">
        <v>11436</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45">
      <c r="A346" s="15" t="s">
        <v>1271</v>
      </c>
      <c r="B346" s="16" t="s">
        <v>5</v>
      </c>
      <c r="C346" s="17" t="s">
        <v>1592</v>
      </c>
      <c r="D346" s="17" t="s">
        <v>1593</v>
      </c>
      <c r="E346" s="16" t="s">
        <v>11436</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45">
      <c r="A347" s="15" t="s">
        <v>1277</v>
      </c>
      <c r="B347" s="16" t="s">
        <v>5</v>
      </c>
      <c r="C347" s="17" t="s">
        <v>1595</v>
      </c>
      <c r="D347" s="17" t="s">
        <v>1596</v>
      </c>
      <c r="E347" s="16" t="s">
        <v>11436</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45">
      <c r="A348" s="15" t="s">
        <v>1289</v>
      </c>
      <c r="B348" s="16" t="s">
        <v>5</v>
      </c>
      <c r="C348" s="17" t="s">
        <v>1599</v>
      </c>
      <c r="D348" s="17" t="s">
        <v>1600</v>
      </c>
      <c r="E348" s="16" t="s">
        <v>11436</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45">
      <c r="A349" s="15" t="s">
        <v>1325</v>
      </c>
      <c r="B349" s="16" t="s">
        <v>5</v>
      </c>
      <c r="C349" s="17" t="s">
        <v>1602</v>
      </c>
      <c r="D349" s="17" t="s">
        <v>1603</v>
      </c>
      <c r="E349" s="16" t="s">
        <v>11436</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45">
      <c r="A350" s="15" t="s">
        <v>1328</v>
      </c>
      <c r="B350" s="16" t="s">
        <v>5</v>
      </c>
      <c r="C350" s="17" t="s">
        <v>1605</v>
      </c>
      <c r="D350" s="17" t="s">
        <v>1606</v>
      </c>
      <c r="E350" s="16" t="s">
        <v>11436</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45">
      <c r="A351" s="15" t="s">
        <v>1378</v>
      </c>
      <c r="B351" s="16" t="s">
        <v>5</v>
      </c>
      <c r="C351" s="17" t="s">
        <v>1608</v>
      </c>
      <c r="D351" s="17" t="s">
        <v>1609</v>
      </c>
      <c r="E351" s="16" t="s">
        <v>11436</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45">
      <c r="A352" s="15" t="s">
        <v>4247</v>
      </c>
      <c r="B352" s="16" t="s">
        <v>5</v>
      </c>
      <c r="C352" s="17" t="s">
        <v>1611</v>
      </c>
      <c r="D352" s="17" t="s">
        <v>1612</v>
      </c>
      <c r="E352" s="16" t="s">
        <v>11436</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45">
      <c r="A353" s="15" t="s">
        <v>4346</v>
      </c>
      <c r="B353" s="16" t="s">
        <v>5</v>
      </c>
      <c r="C353" s="17" t="s">
        <v>1614</v>
      </c>
      <c r="D353" s="17" t="s">
        <v>1615</v>
      </c>
      <c r="E353" s="16" t="s">
        <v>11436</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45">
      <c r="A354" s="15" t="s">
        <v>4391</v>
      </c>
      <c r="B354" s="16" t="s">
        <v>5</v>
      </c>
      <c r="C354" s="17" t="s">
        <v>1617</v>
      </c>
      <c r="D354" s="17" t="s">
        <v>1618</v>
      </c>
      <c r="E354" s="16" t="s">
        <v>11436</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45">
      <c r="A355" s="15" t="s">
        <v>4412</v>
      </c>
      <c r="B355" s="16" t="s">
        <v>5</v>
      </c>
      <c r="C355" s="17" t="s">
        <v>1620</v>
      </c>
      <c r="D355" s="17" t="s">
        <v>1621</v>
      </c>
      <c r="E355" s="16" t="s">
        <v>11436</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45">
      <c r="A356" s="15" t="s">
        <v>4565</v>
      </c>
      <c r="B356" s="16" t="s">
        <v>5</v>
      </c>
      <c r="C356" s="17" t="s">
        <v>1623</v>
      </c>
      <c r="D356" s="17" t="s">
        <v>1624</v>
      </c>
      <c r="E356" s="16" t="s">
        <v>11436</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45">
      <c r="A357" s="15" t="s">
        <v>4667</v>
      </c>
      <c r="B357" s="16" t="s">
        <v>5</v>
      </c>
      <c r="C357" s="17" t="s">
        <v>1626</v>
      </c>
      <c r="D357" s="17" t="s">
        <v>1627</v>
      </c>
      <c r="E357" s="16" t="s">
        <v>11436</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45">
      <c r="A358" s="15" t="s">
        <v>4697</v>
      </c>
      <c r="B358" s="16" t="s">
        <v>5</v>
      </c>
      <c r="C358" s="17" t="s">
        <v>1629</v>
      </c>
      <c r="D358" s="17" t="s">
        <v>1630</v>
      </c>
      <c r="E358" s="16" t="s">
        <v>11436</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45">
      <c r="A359" s="15" t="s">
        <v>4715</v>
      </c>
      <c r="B359" s="16" t="s">
        <v>5</v>
      </c>
      <c r="C359" s="17" t="s">
        <v>1632</v>
      </c>
      <c r="D359" s="17" t="s">
        <v>1633</v>
      </c>
      <c r="E359" s="16" t="s">
        <v>11436</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45">
      <c r="A360" s="15" t="s">
        <v>4808</v>
      </c>
      <c r="B360" s="16" t="s">
        <v>5</v>
      </c>
      <c r="C360" s="17" t="s">
        <v>1635</v>
      </c>
      <c r="D360" s="17" t="s">
        <v>1636</v>
      </c>
      <c r="E360" s="16" t="s">
        <v>11436</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45">
      <c r="A361" s="15" t="s">
        <v>4811</v>
      </c>
      <c r="B361" s="16" t="s">
        <v>5</v>
      </c>
      <c r="C361" s="17" t="s">
        <v>1638</v>
      </c>
      <c r="D361" s="17" t="s">
        <v>1639</v>
      </c>
      <c r="E361" s="16" t="s">
        <v>11436</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45">
      <c r="A362" s="15" t="s">
        <v>4835</v>
      </c>
      <c r="B362" s="16" t="s">
        <v>5</v>
      </c>
      <c r="C362" s="17" t="s">
        <v>1642</v>
      </c>
      <c r="D362" s="17" t="s">
        <v>1643</v>
      </c>
      <c r="E362" s="16" t="s">
        <v>11436</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45">
      <c r="A363" s="15" t="s">
        <v>4985</v>
      </c>
      <c r="B363" s="16" t="s">
        <v>5</v>
      </c>
      <c r="C363" s="17" t="s">
        <v>1645</v>
      </c>
      <c r="D363" s="17" t="s">
        <v>1646</v>
      </c>
      <c r="E363" s="16" t="s">
        <v>11436</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45">
      <c r="A364" s="15" t="s">
        <v>5006</v>
      </c>
      <c r="B364" s="16" t="s">
        <v>5</v>
      </c>
      <c r="C364" s="17" t="s">
        <v>1648</v>
      </c>
      <c r="D364" s="17" t="s">
        <v>1649</v>
      </c>
      <c r="E364" s="16" t="s">
        <v>11436</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45">
      <c r="A365" s="15" t="s">
        <v>5015</v>
      </c>
      <c r="B365" s="16" t="s">
        <v>5</v>
      </c>
      <c r="C365" s="17" t="s">
        <v>1651</v>
      </c>
      <c r="D365" s="17" t="s">
        <v>1652</v>
      </c>
      <c r="E365" s="16" t="s">
        <v>11436</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45">
      <c r="A366" s="15" t="s">
        <v>5018</v>
      </c>
      <c r="B366" s="16" t="s">
        <v>5</v>
      </c>
      <c r="C366" s="17" t="s">
        <v>1654</v>
      </c>
      <c r="D366" s="17" t="s">
        <v>1655</v>
      </c>
      <c r="E366" s="16" t="s">
        <v>11436</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45">
      <c r="A367" s="15" t="s">
        <v>5048</v>
      </c>
      <c r="B367" s="16" t="s">
        <v>5</v>
      </c>
      <c r="C367" s="17" t="s">
        <v>1657</v>
      </c>
      <c r="D367" s="17" t="s">
        <v>1658</v>
      </c>
      <c r="E367" s="16" t="s">
        <v>11436</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45">
      <c r="A368" s="15" t="s">
        <v>5192</v>
      </c>
      <c r="B368" s="16" t="s">
        <v>5</v>
      </c>
      <c r="C368" s="17" t="s">
        <v>1660</v>
      </c>
      <c r="D368" s="17" t="s">
        <v>1661</v>
      </c>
      <c r="E368" s="16" t="s">
        <v>11436</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45">
      <c r="A369" s="15" t="s">
        <v>5411</v>
      </c>
      <c r="B369" s="16" t="s">
        <v>5</v>
      </c>
      <c r="C369" s="17" t="s">
        <v>1663</v>
      </c>
      <c r="D369" s="17" t="s">
        <v>1664</v>
      </c>
      <c r="E369" s="16" t="s">
        <v>11436</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45">
      <c r="A370" s="15" t="s">
        <v>5438</v>
      </c>
      <c r="B370" s="16" t="s">
        <v>5</v>
      </c>
      <c r="C370" s="17" t="s">
        <v>1666</v>
      </c>
      <c r="D370" s="17" t="s">
        <v>1667</v>
      </c>
      <c r="E370" s="16" t="s">
        <v>11436</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45">
      <c r="A371" s="15" t="s">
        <v>5462</v>
      </c>
      <c r="B371" s="16" t="s">
        <v>5</v>
      </c>
      <c r="C371" s="17" t="s">
        <v>1669</v>
      </c>
      <c r="D371" s="17" t="s">
        <v>1670</v>
      </c>
      <c r="E371" s="16" t="s">
        <v>11436</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45">
      <c r="A372" s="15" t="s">
        <v>5513</v>
      </c>
      <c r="B372" s="16" t="s">
        <v>5</v>
      </c>
      <c r="C372" s="17" t="s">
        <v>1672</v>
      </c>
      <c r="D372" s="17" t="s">
        <v>1673</v>
      </c>
      <c r="E372" s="16" t="s">
        <v>11436</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45">
      <c r="A373" s="15" t="s">
        <v>5603</v>
      </c>
      <c r="B373" s="16" t="s">
        <v>5</v>
      </c>
      <c r="C373" s="17" t="s">
        <v>1675</v>
      </c>
      <c r="D373" s="17" t="s">
        <v>1676</v>
      </c>
      <c r="E373" s="16" t="s">
        <v>11436</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45">
      <c r="A374" s="15" t="s">
        <v>5639</v>
      </c>
      <c r="B374" s="16" t="s">
        <v>5</v>
      </c>
      <c r="C374" s="17" t="s">
        <v>1678</v>
      </c>
      <c r="D374" s="17" t="s">
        <v>1679</v>
      </c>
      <c r="E374" s="16" t="s">
        <v>11436</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45">
      <c r="A375" s="15" t="s">
        <v>5651</v>
      </c>
      <c r="B375" s="16" t="s">
        <v>5</v>
      </c>
      <c r="C375" s="17" t="s">
        <v>1682</v>
      </c>
      <c r="D375" s="17" t="s">
        <v>1683</v>
      </c>
      <c r="E375" s="16" t="s">
        <v>11436</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45">
      <c r="A376" s="15" t="s">
        <v>5732</v>
      </c>
      <c r="B376" s="16" t="s">
        <v>5</v>
      </c>
      <c r="C376" s="17" t="s">
        <v>1685</v>
      </c>
      <c r="D376" s="17" t="s">
        <v>1686</v>
      </c>
      <c r="E376" s="16" t="s">
        <v>11436</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45">
      <c r="A377" s="15" t="s">
        <v>5957</v>
      </c>
      <c r="B377" s="16" t="s">
        <v>5</v>
      </c>
      <c r="C377" s="17" t="s">
        <v>1689</v>
      </c>
      <c r="D377" s="17" t="s">
        <v>1690</v>
      </c>
      <c r="E377" s="16" t="s">
        <v>11436</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45">
      <c r="A378" s="15" t="s">
        <v>6071</v>
      </c>
      <c r="B378" s="16" t="s">
        <v>5</v>
      </c>
      <c r="C378" s="17" t="s">
        <v>1692</v>
      </c>
      <c r="D378" s="17" t="s">
        <v>1693</v>
      </c>
      <c r="E378" s="16" t="s">
        <v>11436</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45">
      <c r="A379" s="15" t="s">
        <v>6122</v>
      </c>
      <c r="B379" s="16" t="s">
        <v>5</v>
      </c>
      <c r="C379" s="17" t="s">
        <v>1696</v>
      </c>
      <c r="D379" s="17" t="s">
        <v>1697</v>
      </c>
      <c r="E379" s="16" t="s">
        <v>11436</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45">
      <c r="A380" s="15" t="s">
        <v>6628</v>
      </c>
      <c r="B380" s="16" t="s">
        <v>5</v>
      </c>
      <c r="C380" s="17" t="s">
        <v>1699</v>
      </c>
      <c r="D380" s="17" t="s">
        <v>1700</v>
      </c>
      <c r="E380" s="16" t="s">
        <v>11436</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45">
      <c r="A381" s="15" t="s">
        <v>6652</v>
      </c>
      <c r="B381" s="16" t="s">
        <v>5</v>
      </c>
      <c r="C381" s="17" t="s">
        <v>1702</v>
      </c>
      <c r="D381" s="17" t="s">
        <v>1703</v>
      </c>
      <c r="E381" s="16" t="s">
        <v>11436</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45">
      <c r="A382" s="15" t="s">
        <v>6769</v>
      </c>
      <c r="B382" s="16" t="s">
        <v>5</v>
      </c>
      <c r="C382" s="17" t="s">
        <v>1705</v>
      </c>
      <c r="D382" s="17" t="s">
        <v>1706</v>
      </c>
      <c r="E382" s="16" t="s">
        <v>11436</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45">
      <c r="A383" s="15" t="s">
        <v>6790</v>
      </c>
      <c r="B383" s="16" t="s">
        <v>5</v>
      </c>
      <c r="C383" s="17" t="s">
        <v>1708</v>
      </c>
      <c r="D383" s="17" t="s">
        <v>1709</v>
      </c>
      <c r="E383" s="16" t="s">
        <v>11436</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45">
      <c r="A384" s="15" t="s">
        <v>7132</v>
      </c>
      <c r="B384" s="16" t="s">
        <v>5</v>
      </c>
      <c r="C384" s="17" t="s">
        <v>1711</v>
      </c>
      <c r="D384" s="17" t="s">
        <v>1712</v>
      </c>
      <c r="E384" s="16" t="s">
        <v>11436</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45">
      <c r="A385" s="15" t="s">
        <v>7174</v>
      </c>
      <c r="B385" s="16" t="s">
        <v>5</v>
      </c>
      <c r="C385" s="17" t="s">
        <v>1714</v>
      </c>
      <c r="D385" s="17" t="s">
        <v>1715</v>
      </c>
      <c r="E385" s="16" t="s">
        <v>11436</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45">
      <c r="A386" s="15" t="s">
        <v>7519</v>
      </c>
      <c r="B386" s="16" t="s">
        <v>5</v>
      </c>
      <c r="C386" s="17" t="s">
        <v>1717</v>
      </c>
      <c r="D386" s="17" t="s">
        <v>1718</v>
      </c>
      <c r="E386" s="16" t="s">
        <v>11436</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45">
      <c r="A387" s="15" t="s">
        <v>7831</v>
      </c>
      <c r="B387" s="16" t="s">
        <v>5</v>
      </c>
      <c r="C387" s="17" t="s">
        <v>1721</v>
      </c>
      <c r="D387" s="17" t="s">
        <v>1722</v>
      </c>
      <c r="E387" s="16" t="s">
        <v>11436</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45">
      <c r="A388" s="15" t="s">
        <v>8200</v>
      </c>
      <c r="B388" s="16" t="s">
        <v>5</v>
      </c>
      <c r="C388" s="17" t="s">
        <v>1724</v>
      </c>
      <c r="D388" s="17" t="s">
        <v>1725</v>
      </c>
      <c r="E388" s="16" t="s">
        <v>11436</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45">
      <c r="A389" s="15" t="s">
        <v>5501</v>
      </c>
      <c r="B389" s="16" t="s">
        <v>5</v>
      </c>
      <c r="C389" s="17" t="s">
        <v>1727</v>
      </c>
      <c r="D389" s="17" t="s">
        <v>1728</v>
      </c>
      <c r="E389" s="16" t="s">
        <v>11436</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45">
      <c r="A390" s="15" t="s">
        <v>6949</v>
      </c>
      <c r="B390" s="16" t="s">
        <v>5</v>
      </c>
      <c r="C390" s="17" t="s">
        <v>1730</v>
      </c>
      <c r="D390" s="17" t="s">
        <v>1731</v>
      </c>
      <c r="E390" s="16" t="s">
        <v>11436</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45">
      <c r="A391" s="15" t="s">
        <v>8836</v>
      </c>
      <c r="B391" s="16" t="s">
        <v>5</v>
      </c>
      <c r="C391" s="17" t="s">
        <v>1733</v>
      </c>
      <c r="D391" s="17" t="s">
        <v>1734</v>
      </c>
      <c r="E391" s="16" t="s">
        <v>11436</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45">
      <c r="A392" s="15" t="s">
        <v>7408</v>
      </c>
      <c r="B392" s="16" t="s">
        <v>5</v>
      </c>
      <c r="C392" s="17" t="s">
        <v>1736</v>
      </c>
      <c r="D392" s="17" t="s">
        <v>1737</v>
      </c>
      <c r="E392" s="16" t="s">
        <v>11436</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45">
      <c r="A393" s="15" t="s">
        <v>8902</v>
      </c>
      <c r="B393" s="16" t="s">
        <v>5</v>
      </c>
      <c r="C393" s="17" t="s">
        <v>1739</v>
      </c>
      <c r="D393" s="17" t="s">
        <v>1740</v>
      </c>
      <c r="E393" s="16" t="s">
        <v>11436</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45">
      <c r="A394" s="15" t="s">
        <v>8950</v>
      </c>
      <c r="B394" s="16" t="s">
        <v>5</v>
      </c>
      <c r="C394" s="17" t="s">
        <v>1742</v>
      </c>
      <c r="D394" s="17" t="s">
        <v>1743</v>
      </c>
      <c r="E394" s="16" t="s">
        <v>11436</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45">
      <c r="A395" s="15" t="s">
        <v>2899</v>
      </c>
      <c r="B395" s="16" t="s">
        <v>5</v>
      </c>
      <c r="C395" s="17" t="s">
        <v>1745</v>
      </c>
      <c r="D395" s="17" t="s">
        <v>1746</v>
      </c>
      <c r="E395" s="16" t="s">
        <v>11436</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45">
      <c r="A396" s="15" t="s">
        <v>571</v>
      </c>
      <c r="B396" s="16" t="s">
        <v>183</v>
      </c>
      <c r="C396" s="17" t="s">
        <v>1748</v>
      </c>
      <c r="D396" s="17" t="s">
        <v>1749</v>
      </c>
      <c r="E396" s="16" t="s">
        <v>11416</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45">
      <c r="A397" s="15" t="s">
        <v>652</v>
      </c>
      <c r="B397" s="16" t="s">
        <v>183</v>
      </c>
      <c r="C397" s="17" t="s">
        <v>1751</v>
      </c>
      <c r="D397" s="17" t="s">
        <v>1752</v>
      </c>
      <c r="E397" s="16" t="s">
        <v>11416</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45">
      <c r="A398" s="15" t="s">
        <v>667</v>
      </c>
      <c r="B398" s="16" t="s">
        <v>183</v>
      </c>
      <c r="C398" s="17" t="s">
        <v>1754</v>
      </c>
      <c r="D398" s="17" t="s">
        <v>1755</v>
      </c>
      <c r="E398" s="16" t="s">
        <v>11416</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45">
      <c r="A399" s="15" t="s">
        <v>4877</v>
      </c>
      <c r="B399" s="16" t="s">
        <v>5</v>
      </c>
      <c r="C399" s="17" t="s">
        <v>1757</v>
      </c>
      <c r="D399" s="17" t="s">
        <v>1758</v>
      </c>
      <c r="E399" s="16" t="s">
        <v>11418</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45">
      <c r="A400" s="15" t="s">
        <v>4994</v>
      </c>
      <c r="B400" s="16" t="s">
        <v>5</v>
      </c>
      <c r="C400" s="17" t="s">
        <v>1760</v>
      </c>
      <c r="D400" s="17" t="s">
        <v>1761</v>
      </c>
      <c r="E400" s="16" t="s">
        <v>11418</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45">
      <c r="A401" s="15" t="s">
        <v>5075</v>
      </c>
      <c r="B401" s="16" t="s">
        <v>5</v>
      </c>
      <c r="C401" s="17" t="s">
        <v>1763</v>
      </c>
      <c r="D401" s="17" t="s">
        <v>1764</v>
      </c>
      <c r="E401" s="16" t="s">
        <v>11418</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45">
      <c r="A402" s="15" t="s">
        <v>5162</v>
      </c>
      <c r="B402" s="16" t="s">
        <v>5</v>
      </c>
      <c r="C402" s="17" t="s">
        <v>1766</v>
      </c>
      <c r="D402" s="17" t="s">
        <v>1767</v>
      </c>
      <c r="E402" s="16" t="s">
        <v>11418</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45">
      <c r="A403" s="15" t="s">
        <v>5465</v>
      </c>
      <c r="B403" s="16" t="s">
        <v>5</v>
      </c>
      <c r="C403" s="17" t="s">
        <v>1769</v>
      </c>
      <c r="D403" s="17" t="s">
        <v>1770</v>
      </c>
      <c r="E403" s="16" t="s">
        <v>11418</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45">
      <c r="A404" s="15" t="s">
        <v>5477</v>
      </c>
      <c r="B404" s="16" t="s">
        <v>5</v>
      </c>
      <c r="C404" s="17" t="s">
        <v>1772</v>
      </c>
      <c r="D404" s="17" t="s">
        <v>1773</v>
      </c>
      <c r="E404" s="16" t="s">
        <v>11418</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45">
      <c r="A405" s="15" t="s">
        <v>5546</v>
      </c>
      <c r="B405" s="16" t="s">
        <v>5</v>
      </c>
      <c r="C405" s="17" t="s">
        <v>1775</v>
      </c>
      <c r="D405" s="17" t="s">
        <v>1776</v>
      </c>
      <c r="E405" s="16" t="s">
        <v>11418</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45">
      <c r="A406" s="15" t="s">
        <v>5606</v>
      </c>
      <c r="B406" s="16" t="s">
        <v>5</v>
      </c>
      <c r="C406" s="17" t="s">
        <v>1778</v>
      </c>
      <c r="D406" s="17" t="s">
        <v>1779</v>
      </c>
      <c r="E406" s="16" t="s">
        <v>11418</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45">
      <c r="A407" s="15" t="s">
        <v>5810</v>
      </c>
      <c r="B407" s="16" t="s">
        <v>5</v>
      </c>
      <c r="C407" s="17" t="s">
        <v>1781</v>
      </c>
      <c r="D407" s="17" t="s">
        <v>1782</v>
      </c>
      <c r="E407" s="16" t="s">
        <v>11418</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45">
      <c r="A408" s="15" t="s">
        <v>6014</v>
      </c>
      <c r="B408" s="16" t="s">
        <v>5</v>
      </c>
      <c r="C408" s="17" t="s">
        <v>1784</v>
      </c>
      <c r="D408" s="17" t="s">
        <v>1785</v>
      </c>
      <c r="E408" s="16" t="s">
        <v>11418</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45">
      <c r="A409" s="15" t="s">
        <v>6101</v>
      </c>
      <c r="B409" s="16" t="s">
        <v>5</v>
      </c>
      <c r="C409" s="17" t="s">
        <v>1787</v>
      </c>
      <c r="D409" s="17" t="s">
        <v>1788</v>
      </c>
      <c r="E409" s="16" t="s">
        <v>11418</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45">
      <c r="A410" s="15" t="s">
        <v>6173</v>
      </c>
      <c r="B410" s="16" t="s">
        <v>5</v>
      </c>
      <c r="C410" s="17" t="s">
        <v>1790</v>
      </c>
      <c r="D410" s="17" t="s">
        <v>1791</v>
      </c>
      <c r="E410" s="16" t="s">
        <v>11418</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45">
      <c r="A411" s="15" t="s">
        <v>6218</v>
      </c>
      <c r="B411" s="16" t="s">
        <v>5</v>
      </c>
      <c r="C411" s="17" t="s">
        <v>1793</v>
      </c>
      <c r="D411" s="17" t="s">
        <v>1794</v>
      </c>
      <c r="E411" s="16" t="s">
        <v>11418</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45">
      <c r="A412" s="15" t="s">
        <v>6349</v>
      </c>
      <c r="B412" s="16" t="s">
        <v>5</v>
      </c>
      <c r="C412" s="17" t="s">
        <v>1796</v>
      </c>
      <c r="D412" s="17" t="s">
        <v>1797</v>
      </c>
      <c r="E412" s="16" t="s">
        <v>11418</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45">
      <c r="A413" s="15" t="s">
        <v>6412</v>
      </c>
      <c r="B413" s="16" t="s">
        <v>5</v>
      </c>
      <c r="C413" s="17" t="s">
        <v>1799</v>
      </c>
      <c r="D413" s="17" t="s">
        <v>1800</v>
      </c>
      <c r="E413" s="16" t="s">
        <v>11418</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45">
      <c r="A414" s="15" t="s">
        <v>6502</v>
      </c>
      <c r="B414" s="16" t="s">
        <v>5</v>
      </c>
      <c r="C414" s="17" t="s">
        <v>1802</v>
      </c>
      <c r="D414" s="17" t="s">
        <v>1803</v>
      </c>
      <c r="E414" s="16" t="s">
        <v>11418</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45">
      <c r="A415" s="15" t="s">
        <v>6505</v>
      </c>
      <c r="B415" s="16" t="s">
        <v>5</v>
      </c>
      <c r="C415" s="17" t="s">
        <v>1805</v>
      </c>
      <c r="D415" s="17" t="s">
        <v>1806</v>
      </c>
      <c r="E415" s="16" t="s">
        <v>11418</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45">
      <c r="A416" s="15" t="s">
        <v>6583</v>
      </c>
      <c r="B416" s="16" t="s">
        <v>5</v>
      </c>
      <c r="C416" s="17" t="s">
        <v>1808</v>
      </c>
      <c r="D416" s="17" t="s">
        <v>1809</v>
      </c>
      <c r="E416" s="16" t="s">
        <v>11418</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45">
      <c r="A417" s="15" t="s">
        <v>6586</v>
      </c>
      <c r="B417" s="16" t="s">
        <v>5</v>
      </c>
      <c r="C417" s="17" t="s">
        <v>1811</v>
      </c>
      <c r="D417" s="17" t="s">
        <v>1812</v>
      </c>
      <c r="E417" s="16" t="s">
        <v>11418</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45">
      <c r="A418" s="15" t="s">
        <v>6610</v>
      </c>
      <c r="B418" s="16" t="s">
        <v>5</v>
      </c>
      <c r="C418" s="17" t="s">
        <v>1814</v>
      </c>
      <c r="D418" s="17" t="s">
        <v>1815</v>
      </c>
      <c r="E418" s="16" t="s">
        <v>11418</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45">
      <c r="A419" s="15" t="s">
        <v>6739</v>
      </c>
      <c r="B419" s="16" t="s">
        <v>5</v>
      </c>
      <c r="C419" s="17" t="s">
        <v>1817</v>
      </c>
      <c r="D419" s="17" t="s">
        <v>1818</v>
      </c>
      <c r="E419" s="16" t="s">
        <v>11418</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45">
      <c r="A420" s="15" t="s">
        <v>6793</v>
      </c>
      <c r="B420" s="16" t="s">
        <v>5</v>
      </c>
      <c r="C420" s="17" t="s">
        <v>1820</v>
      </c>
      <c r="D420" s="17" t="s">
        <v>1821</v>
      </c>
      <c r="E420" s="16" t="s">
        <v>11418</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45">
      <c r="A421" s="15" t="s">
        <v>6946</v>
      </c>
      <c r="B421" s="16" t="s">
        <v>5</v>
      </c>
      <c r="C421" s="17" t="s">
        <v>1823</v>
      </c>
      <c r="D421" s="17" t="s">
        <v>1824</v>
      </c>
      <c r="E421" s="16" t="s">
        <v>11418</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45">
      <c r="A422" s="15" t="s">
        <v>7051</v>
      </c>
      <c r="B422" s="16" t="s">
        <v>5</v>
      </c>
      <c r="C422" s="17" t="s">
        <v>1826</v>
      </c>
      <c r="D422" s="17" t="s">
        <v>1827</v>
      </c>
      <c r="E422" s="16" t="s">
        <v>11418</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45">
      <c r="A423" s="15" t="s">
        <v>7333</v>
      </c>
      <c r="B423" s="16" t="s">
        <v>5</v>
      </c>
      <c r="C423" s="17" t="s">
        <v>1829</v>
      </c>
      <c r="D423" s="17" t="s">
        <v>1830</v>
      </c>
      <c r="E423" s="16" t="s">
        <v>11418</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45">
      <c r="A424" s="15" t="s">
        <v>7393</v>
      </c>
      <c r="B424" s="16" t="s">
        <v>5</v>
      </c>
      <c r="C424" s="17" t="s">
        <v>1832</v>
      </c>
      <c r="D424" s="17" t="s">
        <v>1833</v>
      </c>
      <c r="E424" s="16" t="s">
        <v>11418</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45">
      <c r="A425" s="15" t="s">
        <v>4241</v>
      </c>
      <c r="B425" s="16" t="s">
        <v>5</v>
      </c>
      <c r="C425" s="17" t="s">
        <v>1835</v>
      </c>
      <c r="D425" s="17" t="s">
        <v>1836</v>
      </c>
      <c r="E425" s="16" t="s">
        <v>11418</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45">
      <c r="A426" s="15" t="s">
        <v>4265</v>
      </c>
      <c r="B426" s="16" t="s">
        <v>5</v>
      </c>
      <c r="C426" s="17" t="s">
        <v>1838</v>
      </c>
      <c r="D426" s="17" t="s">
        <v>1839</v>
      </c>
      <c r="E426" s="16" t="s">
        <v>11418</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45">
      <c r="A427" s="15" t="s">
        <v>4367</v>
      </c>
      <c r="B427" s="16" t="s">
        <v>5</v>
      </c>
      <c r="C427" s="17" t="s">
        <v>1841</v>
      </c>
      <c r="D427" s="17" t="s">
        <v>1842</v>
      </c>
      <c r="E427" s="16" t="s">
        <v>11418</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45">
      <c r="A428" s="15" t="s">
        <v>4418</v>
      </c>
      <c r="B428" s="16" t="s">
        <v>5</v>
      </c>
      <c r="C428" s="17" t="s">
        <v>1844</v>
      </c>
      <c r="D428" s="17" t="s">
        <v>1845</v>
      </c>
      <c r="E428" s="16" t="s">
        <v>11418</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45">
      <c r="A429" s="15" t="s">
        <v>4505</v>
      </c>
      <c r="B429" s="16" t="s">
        <v>5</v>
      </c>
      <c r="C429" s="17" t="s">
        <v>1847</v>
      </c>
      <c r="D429" s="17" t="s">
        <v>1848</v>
      </c>
      <c r="E429" s="16" t="s">
        <v>11418</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45">
      <c r="A430" s="15" t="s">
        <v>4532</v>
      </c>
      <c r="B430" s="16" t="s">
        <v>5</v>
      </c>
      <c r="C430" s="17" t="s">
        <v>1850</v>
      </c>
      <c r="D430" s="17" t="s">
        <v>1851</v>
      </c>
      <c r="E430" s="16" t="s">
        <v>11418</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45">
      <c r="A431" s="15" t="s">
        <v>4544</v>
      </c>
      <c r="B431" s="16" t="s">
        <v>5</v>
      </c>
      <c r="C431" s="17" t="s">
        <v>1853</v>
      </c>
      <c r="D431" s="17" t="s">
        <v>1854</v>
      </c>
      <c r="E431" s="16" t="s">
        <v>11418</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45">
      <c r="A432" s="15" t="s">
        <v>4589</v>
      </c>
      <c r="B432" s="16" t="s">
        <v>5</v>
      </c>
      <c r="C432" s="17" t="s">
        <v>1856</v>
      </c>
      <c r="D432" s="17" t="s">
        <v>1857</v>
      </c>
      <c r="E432" s="16" t="s">
        <v>11418</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45">
      <c r="A433" s="15" t="s">
        <v>4706</v>
      </c>
      <c r="B433" s="16" t="s">
        <v>5</v>
      </c>
      <c r="C433" s="17" t="s">
        <v>1859</v>
      </c>
      <c r="D433" s="17" t="s">
        <v>1860</v>
      </c>
      <c r="E433" s="16" t="s">
        <v>11418</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45">
      <c r="A434" s="15" t="s">
        <v>4865</v>
      </c>
      <c r="B434" s="16" t="s">
        <v>5</v>
      </c>
      <c r="C434" s="17" t="s">
        <v>1862</v>
      </c>
      <c r="D434" s="17" t="s">
        <v>1863</v>
      </c>
      <c r="E434" s="16" t="s">
        <v>11418</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45">
      <c r="A435" s="15" t="s">
        <v>4910</v>
      </c>
      <c r="B435" s="16" t="s">
        <v>5</v>
      </c>
      <c r="C435" s="17" t="s">
        <v>1865</v>
      </c>
      <c r="D435" s="17" t="s">
        <v>1866</v>
      </c>
      <c r="E435" s="16" t="s">
        <v>11418</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45">
      <c r="A436" s="15" t="s">
        <v>4931</v>
      </c>
      <c r="B436" s="16" t="s">
        <v>5</v>
      </c>
      <c r="C436" s="17" t="s">
        <v>1868</v>
      </c>
      <c r="D436" s="17" t="s">
        <v>1869</v>
      </c>
      <c r="E436" s="16" t="s">
        <v>11418</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45">
      <c r="A437" s="15" t="s">
        <v>4940</v>
      </c>
      <c r="B437" s="16" t="s">
        <v>5</v>
      </c>
      <c r="C437" s="17" t="s">
        <v>1871</v>
      </c>
      <c r="D437" s="17" t="s">
        <v>1872</v>
      </c>
      <c r="E437" s="16" t="s">
        <v>11418</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45">
      <c r="A438" s="15" t="s">
        <v>4961</v>
      </c>
      <c r="B438" s="16" t="s">
        <v>5</v>
      </c>
      <c r="C438" s="17" t="s">
        <v>1874</v>
      </c>
      <c r="D438" s="17" t="s">
        <v>1875</v>
      </c>
      <c r="E438" s="16" t="s">
        <v>11418</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45">
      <c r="A439" s="15" t="s">
        <v>4964</v>
      </c>
      <c r="B439" s="16" t="s">
        <v>5</v>
      </c>
      <c r="C439" s="17" t="s">
        <v>1877</v>
      </c>
      <c r="D439" s="17" t="s">
        <v>1878</v>
      </c>
      <c r="E439" s="16" t="s">
        <v>11418</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45">
      <c r="A440" s="15" t="s">
        <v>4982</v>
      </c>
      <c r="B440" s="16" t="s">
        <v>5</v>
      </c>
      <c r="C440" s="17" t="s">
        <v>1880</v>
      </c>
      <c r="D440" s="17" t="s">
        <v>1881</v>
      </c>
      <c r="E440" s="16" t="s">
        <v>11418</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45">
      <c r="A441" s="15" t="s">
        <v>4991</v>
      </c>
      <c r="B441" s="16" t="s">
        <v>5</v>
      </c>
      <c r="C441" s="17" t="s">
        <v>1883</v>
      </c>
      <c r="D441" s="17" t="s">
        <v>1884</v>
      </c>
      <c r="E441" s="16" t="s">
        <v>11418</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45">
      <c r="A442" s="15" t="s">
        <v>5003</v>
      </c>
      <c r="B442" s="16" t="s">
        <v>5</v>
      </c>
      <c r="C442" s="17" t="s">
        <v>1886</v>
      </c>
      <c r="D442" s="17" t="s">
        <v>1887</v>
      </c>
      <c r="E442" s="16" t="s">
        <v>11418</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45">
      <c r="A443" s="15" t="s">
        <v>5198</v>
      </c>
      <c r="B443" s="16" t="s">
        <v>5</v>
      </c>
      <c r="C443" s="17" t="s">
        <v>1889</v>
      </c>
      <c r="D443" s="17" t="s">
        <v>1890</v>
      </c>
      <c r="E443" s="16" t="s">
        <v>11418</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45">
      <c r="A444" s="15" t="s">
        <v>5252</v>
      </c>
      <c r="B444" s="16" t="s">
        <v>5</v>
      </c>
      <c r="C444" s="17" t="s">
        <v>1892</v>
      </c>
      <c r="D444" s="17" t="s">
        <v>1893</v>
      </c>
      <c r="E444" s="16" t="s">
        <v>11418</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45">
      <c r="A445" s="15" t="s">
        <v>5258</v>
      </c>
      <c r="B445" s="16" t="s">
        <v>5</v>
      </c>
      <c r="C445" s="17" t="s">
        <v>1895</v>
      </c>
      <c r="D445" s="17" t="s">
        <v>1896</v>
      </c>
      <c r="E445" s="16" t="s">
        <v>11418</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45">
      <c r="A446" s="15" t="s">
        <v>5375</v>
      </c>
      <c r="B446" s="16" t="s">
        <v>5</v>
      </c>
      <c r="C446" s="17" t="s">
        <v>1898</v>
      </c>
      <c r="D446" s="17" t="s">
        <v>1899</v>
      </c>
      <c r="E446" s="16" t="s">
        <v>11418</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45">
      <c r="A447" s="15" t="s">
        <v>5423</v>
      </c>
      <c r="B447" s="16" t="s">
        <v>5</v>
      </c>
      <c r="C447" s="17" t="s">
        <v>1901</v>
      </c>
      <c r="D447" s="17" t="s">
        <v>1902</v>
      </c>
      <c r="E447" s="16" t="s">
        <v>11418</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45">
      <c r="A448" s="15" t="s">
        <v>5435</v>
      </c>
      <c r="B448" s="16" t="s">
        <v>5</v>
      </c>
      <c r="C448" s="17" t="s">
        <v>1904</v>
      </c>
      <c r="D448" s="17" t="s">
        <v>1905</v>
      </c>
      <c r="E448" s="16" t="s">
        <v>11418</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45">
      <c r="A449" s="15" t="s">
        <v>5609</v>
      </c>
      <c r="B449" s="16" t="s">
        <v>5</v>
      </c>
      <c r="C449" s="17" t="s">
        <v>1907</v>
      </c>
      <c r="D449" s="17" t="s">
        <v>1908</v>
      </c>
      <c r="E449" s="16" t="s">
        <v>11418</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45">
      <c r="A450" s="15" t="s">
        <v>5645</v>
      </c>
      <c r="B450" s="16" t="s">
        <v>5</v>
      </c>
      <c r="C450" s="17" t="s">
        <v>1910</v>
      </c>
      <c r="D450" s="17" t="s">
        <v>1911</v>
      </c>
      <c r="E450" s="16" t="s">
        <v>11418</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45">
      <c r="A451" s="15" t="s">
        <v>5717</v>
      </c>
      <c r="B451" s="16" t="s">
        <v>5</v>
      </c>
      <c r="C451" s="17" t="s">
        <v>1913</v>
      </c>
      <c r="D451" s="17" t="s">
        <v>1914</v>
      </c>
      <c r="E451" s="16" t="s">
        <v>11418</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45">
      <c r="A452" s="15" t="s">
        <v>5831</v>
      </c>
      <c r="B452" s="16" t="s">
        <v>5</v>
      </c>
      <c r="C452" s="17" t="s">
        <v>1916</v>
      </c>
      <c r="D452" s="17" t="s">
        <v>1917</v>
      </c>
      <c r="E452" s="16" t="s">
        <v>11418</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45">
      <c r="A453" s="15" t="s">
        <v>6107</v>
      </c>
      <c r="B453" s="16" t="s">
        <v>5</v>
      </c>
      <c r="C453" s="17" t="s">
        <v>1919</v>
      </c>
      <c r="D453" s="17" t="s">
        <v>1920</v>
      </c>
      <c r="E453" s="16" t="s">
        <v>11418</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45">
      <c r="A454" s="15" t="s">
        <v>6352</v>
      </c>
      <c r="B454" s="16" t="s">
        <v>5</v>
      </c>
      <c r="C454" s="17" t="s">
        <v>1922</v>
      </c>
      <c r="D454" s="17" t="s">
        <v>1923</v>
      </c>
      <c r="E454" s="16" t="s">
        <v>11418</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45">
      <c r="A455" s="15" t="s">
        <v>6361</v>
      </c>
      <c r="B455" s="16" t="s">
        <v>5</v>
      </c>
      <c r="C455" s="17" t="s">
        <v>1925</v>
      </c>
      <c r="D455" s="17" t="s">
        <v>1926</v>
      </c>
      <c r="E455" s="16" t="s">
        <v>11418</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45">
      <c r="A456" s="15" t="s">
        <v>6760</v>
      </c>
      <c r="B456" s="16" t="s">
        <v>5</v>
      </c>
      <c r="C456" s="17" t="s">
        <v>1928</v>
      </c>
      <c r="D456" s="17" t="s">
        <v>1929</v>
      </c>
      <c r="E456" s="16" t="s">
        <v>11418</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45">
      <c r="A457" s="15" t="s">
        <v>6880</v>
      </c>
      <c r="B457" s="16" t="s">
        <v>5</v>
      </c>
      <c r="C457" s="17" t="s">
        <v>1931</v>
      </c>
      <c r="D457" s="17" t="s">
        <v>1932</v>
      </c>
      <c r="E457" s="16" t="s">
        <v>11418</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45">
      <c r="A458" s="15" t="s">
        <v>6943</v>
      </c>
      <c r="B458" s="16" t="s">
        <v>5</v>
      </c>
      <c r="C458" s="17" t="s">
        <v>1934</v>
      </c>
      <c r="D458" s="17" t="s">
        <v>1935</v>
      </c>
      <c r="E458" s="16" t="s">
        <v>11418</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45">
      <c r="A459" s="15" t="s">
        <v>7087</v>
      </c>
      <c r="B459" s="16" t="s">
        <v>5</v>
      </c>
      <c r="C459" s="17" t="s">
        <v>1937</v>
      </c>
      <c r="D459" s="17" t="s">
        <v>1938</v>
      </c>
      <c r="E459" s="16" t="s">
        <v>11418</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45">
      <c r="A460" s="15" t="s">
        <v>7126</v>
      </c>
      <c r="B460" s="16" t="s">
        <v>5</v>
      </c>
      <c r="C460" s="17" t="s">
        <v>1940</v>
      </c>
      <c r="D460" s="17" t="s">
        <v>1941</v>
      </c>
      <c r="E460" s="16" t="s">
        <v>11418</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45">
      <c r="A461" s="15" t="s">
        <v>7210</v>
      </c>
      <c r="B461" s="16" t="s">
        <v>5</v>
      </c>
      <c r="C461" s="17" t="s">
        <v>1943</v>
      </c>
      <c r="D461" s="17" t="s">
        <v>1944</v>
      </c>
      <c r="E461" s="16" t="s">
        <v>11418</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45">
      <c r="A462" s="15" t="s">
        <v>7501</v>
      </c>
      <c r="B462" s="16" t="s">
        <v>5</v>
      </c>
      <c r="C462" s="17" t="s">
        <v>1946</v>
      </c>
      <c r="D462" s="17" t="s">
        <v>1947</v>
      </c>
      <c r="E462" s="16" t="s">
        <v>11418</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45">
      <c r="A463" s="15" t="s">
        <v>7504</v>
      </c>
      <c r="B463" s="16" t="s">
        <v>5</v>
      </c>
      <c r="C463" s="17" t="s">
        <v>1949</v>
      </c>
      <c r="D463" s="17" t="s">
        <v>1950</v>
      </c>
      <c r="E463" s="16" t="s">
        <v>11418</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45">
      <c r="A464" s="15" t="s">
        <v>7567</v>
      </c>
      <c r="B464" s="16" t="s">
        <v>5</v>
      </c>
      <c r="C464" s="17" t="s">
        <v>1952</v>
      </c>
      <c r="D464" s="17" t="s">
        <v>1953</v>
      </c>
      <c r="E464" s="16" t="s">
        <v>11418</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45">
      <c r="A465" s="15" t="s">
        <v>7591</v>
      </c>
      <c r="B465" s="16" t="s">
        <v>5</v>
      </c>
      <c r="C465" s="17" t="s">
        <v>1955</v>
      </c>
      <c r="D465" s="17" t="s">
        <v>1956</v>
      </c>
      <c r="E465" s="16" t="s">
        <v>11418</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45">
      <c r="A466" s="15" t="s">
        <v>7840</v>
      </c>
      <c r="B466" s="16" t="s">
        <v>5</v>
      </c>
      <c r="C466" s="17" t="s">
        <v>1958</v>
      </c>
      <c r="D466" s="17" t="s">
        <v>1959</v>
      </c>
      <c r="E466" s="16" t="s">
        <v>11418</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45">
      <c r="A467" s="15" t="s">
        <v>7849</v>
      </c>
      <c r="B467" s="16" t="s">
        <v>5</v>
      </c>
      <c r="C467" s="17" t="s">
        <v>1961</v>
      </c>
      <c r="D467" s="17" t="s">
        <v>1962</v>
      </c>
      <c r="E467" s="16" t="s">
        <v>11418</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45">
      <c r="A468" s="15" t="s">
        <v>8989</v>
      </c>
      <c r="B468" s="16" t="s">
        <v>5</v>
      </c>
      <c r="C468" s="17" t="s">
        <v>1964</v>
      </c>
      <c r="D468" s="17" t="s">
        <v>1965</v>
      </c>
      <c r="E468" s="16" t="s">
        <v>11418</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45">
      <c r="A469" s="15" t="s">
        <v>9004</v>
      </c>
      <c r="B469" s="16" t="s">
        <v>5</v>
      </c>
      <c r="C469" s="17" t="s">
        <v>1967</v>
      </c>
      <c r="D469" s="17" t="s">
        <v>1968</v>
      </c>
      <c r="E469" s="16" t="s">
        <v>11418</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45">
      <c r="A470" s="15" t="s">
        <v>9136</v>
      </c>
      <c r="B470" s="16" t="s">
        <v>5</v>
      </c>
      <c r="C470" s="17" t="s">
        <v>1970</v>
      </c>
      <c r="D470" s="17" t="s">
        <v>1971</v>
      </c>
      <c r="E470" s="16" t="s">
        <v>11418</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45">
      <c r="A471" s="15" t="s">
        <v>9214</v>
      </c>
      <c r="B471" s="16" t="s">
        <v>5</v>
      </c>
      <c r="C471" s="17" t="s">
        <v>1973</v>
      </c>
      <c r="D471" s="17" t="s">
        <v>1974</v>
      </c>
      <c r="E471" s="16" t="s">
        <v>11418</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45">
      <c r="A472" s="15" t="s">
        <v>1493</v>
      </c>
      <c r="B472" s="16" t="s">
        <v>5</v>
      </c>
      <c r="C472" s="17" t="s">
        <v>1976</v>
      </c>
      <c r="D472" s="17" t="s">
        <v>1977</v>
      </c>
      <c r="E472" s="16" t="s">
        <v>11418</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45">
      <c r="A473" s="15" t="s">
        <v>2478</v>
      </c>
      <c r="B473" s="16" t="s">
        <v>5</v>
      </c>
      <c r="C473" s="17" t="s">
        <v>1979</v>
      </c>
      <c r="D473" s="17" t="s">
        <v>1980</v>
      </c>
      <c r="E473" s="16" t="s">
        <v>11418</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45">
      <c r="A474" s="15" t="s">
        <v>752</v>
      </c>
      <c r="B474" s="16" t="s">
        <v>183</v>
      </c>
      <c r="C474" s="17" t="s">
        <v>1982</v>
      </c>
      <c r="D474" s="17" t="s">
        <v>1983</v>
      </c>
      <c r="E474" s="16" t="s">
        <v>11418</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45">
      <c r="A475" s="15" t="s">
        <v>680</v>
      </c>
      <c r="B475" s="16" t="s">
        <v>183</v>
      </c>
      <c r="C475" s="17" t="s">
        <v>1985</v>
      </c>
      <c r="D475" s="17" t="s">
        <v>1986</v>
      </c>
      <c r="E475" s="16" t="s">
        <v>11418</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45">
      <c r="A476" s="15" t="s">
        <v>4934</v>
      </c>
      <c r="B476" s="16" t="s">
        <v>5</v>
      </c>
      <c r="C476" s="17" t="s">
        <v>1988</v>
      </c>
      <c r="D476" s="17" t="s">
        <v>1989</v>
      </c>
      <c r="E476" s="16" t="s">
        <v>11436</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45">
      <c r="A477" s="15" t="s">
        <v>1274</v>
      </c>
      <c r="B477" s="16" t="s">
        <v>5</v>
      </c>
      <c r="C477" s="17" t="s">
        <v>1991</v>
      </c>
      <c r="D477" s="17" t="s">
        <v>1992</v>
      </c>
      <c r="E477" s="16" t="s">
        <v>11436</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45">
      <c r="A478" s="15" t="s">
        <v>1366</v>
      </c>
      <c r="B478" s="16" t="s">
        <v>5</v>
      </c>
      <c r="C478" s="17" t="s">
        <v>1994</v>
      </c>
      <c r="D478" s="17" t="s">
        <v>1995</v>
      </c>
      <c r="E478" s="16" t="s">
        <v>11436</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45">
      <c r="A479" s="15" t="s">
        <v>4334</v>
      </c>
      <c r="B479" s="16" t="s">
        <v>5</v>
      </c>
      <c r="C479" s="17" t="s">
        <v>1997</v>
      </c>
      <c r="D479" s="17" t="s">
        <v>1998</v>
      </c>
      <c r="E479" s="16" t="s">
        <v>11436</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45">
      <c r="A480" s="15" t="s">
        <v>4421</v>
      </c>
      <c r="B480" s="16" t="s">
        <v>5</v>
      </c>
      <c r="C480" s="17" t="s">
        <v>2000</v>
      </c>
      <c r="D480" s="17" t="s">
        <v>2001</v>
      </c>
      <c r="E480" s="16" t="s">
        <v>11436</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45">
      <c r="A481" s="15" t="s">
        <v>4445</v>
      </c>
      <c r="B481" s="16" t="s">
        <v>5</v>
      </c>
      <c r="C481" s="17" t="s">
        <v>2003</v>
      </c>
      <c r="D481" s="17" t="s">
        <v>2004</v>
      </c>
      <c r="E481" s="16" t="s">
        <v>11436</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45">
      <c r="A482" s="15" t="s">
        <v>4823</v>
      </c>
      <c r="B482" s="16" t="s">
        <v>5</v>
      </c>
      <c r="C482" s="17" t="s">
        <v>2006</v>
      </c>
      <c r="D482" s="17" t="s">
        <v>2007</v>
      </c>
      <c r="E482" s="16" t="s">
        <v>11436</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45">
      <c r="A483" s="15" t="s">
        <v>4958</v>
      </c>
      <c r="B483" s="16" t="s">
        <v>5</v>
      </c>
      <c r="C483" s="17" t="s">
        <v>2009</v>
      </c>
      <c r="D483" s="17" t="s">
        <v>2010</v>
      </c>
      <c r="E483" s="16" t="s">
        <v>11436</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45">
      <c r="A484" s="15" t="s">
        <v>5066</v>
      </c>
      <c r="B484" s="16" t="s">
        <v>5</v>
      </c>
      <c r="C484" s="17" t="s">
        <v>2012</v>
      </c>
      <c r="D484" s="17" t="s">
        <v>2013</v>
      </c>
      <c r="E484" s="16" t="s">
        <v>11436</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45">
      <c r="A485" s="15" t="s">
        <v>5105</v>
      </c>
      <c r="B485" s="16" t="s">
        <v>5</v>
      </c>
      <c r="C485" s="17" t="s">
        <v>2015</v>
      </c>
      <c r="D485" s="17" t="s">
        <v>2016</v>
      </c>
      <c r="E485" s="16" t="s">
        <v>11436</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45">
      <c r="A486" s="15" t="s">
        <v>5267</v>
      </c>
      <c r="B486" s="16" t="s">
        <v>5</v>
      </c>
      <c r="C486" s="17" t="s">
        <v>2018</v>
      </c>
      <c r="D486" s="17" t="s">
        <v>2019</v>
      </c>
      <c r="E486" s="16" t="s">
        <v>11436</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45">
      <c r="A487" s="15" t="s">
        <v>5336</v>
      </c>
      <c r="B487" s="16" t="s">
        <v>5</v>
      </c>
      <c r="C487" s="17" t="s">
        <v>2021</v>
      </c>
      <c r="D487" s="17" t="s">
        <v>2022</v>
      </c>
      <c r="E487" s="16" t="s">
        <v>11436</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45">
      <c r="A488" s="15" t="s">
        <v>5402</v>
      </c>
      <c r="B488" s="16" t="s">
        <v>5</v>
      </c>
      <c r="C488" s="17" t="s">
        <v>2024</v>
      </c>
      <c r="D488" s="17" t="s">
        <v>2025</v>
      </c>
      <c r="E488" s="16" t="s">
        <v>11436</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45">
      <c r="A489" s="15" t="s">
        <v>5474</v>
      </c>
      <c r="B489" s="16" t="s">
        <v>5</v>
      </c>
      <c r="C489" s="17" t="s">
        <v>2027</v>
      </c>
      <c r="D489" s="17" t="s">
        <v>2028</v>
      </c>
      <c r="E489" s="16" t="s">
        <v>11436</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45">
      <c r="A490" s="15" t="s">
        <v>5525</v>
      </c>
      <c r="B490" s="16" t="s">
        <v>5</v>
      </c>
      <c r="C490" s="17" t="s">
        <v>2030</v>
      </c>
      <c r="D490" s="17" t="s">
        <v>2031</v>
      </c>
      <c r="E490" s="16" t="s">
        <v>11436</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45">
      <c r="A491" s="15" t="s">
        <v>5579</v>
      </c>
      <c r="B491" s="16" t="s">
        <v>5</v>
      </c>
      <c r="C491" s="17" t="s">
        <v>2033</v>
      </c>
      <c r="D491" s="17" t="s">
        <v>2034</v>
      </c>
      <c r="E491" s="16" t="s">
        <v>11436</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45">
      <c r="A492" s="15" t="s">
        <v>5666</v>
      </c>
      <c r="B492" s="16" t="s">
        <v>5</v>
      </c>
      <c r="C492" s="17" t="s">
        <v>2036</v>
      </c>
      <c r="D492" s="17" t="s">
        <v>2037</v>
      </c>
      <c r="E492" s="16" t="s">
        <v>11436</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45">
      <c r="A493" s="15" t="s">
        <v>5960</v>
      </c>
      <c r="B493" s="16" t="s">
        <v>5</v>
      </c>
      <c r="C493" s="17" t="s">
        <v>2039</v>
      </c>
      <c r="D493" s="17" t="s">
        <v>2040</v>
      </c>
      <c r="E493" s="16" t="s">
        <v>11436</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45">
      <c r="A494" s="15" t="s">
        <v>6466</v>
      </c>
      <c r="B494" s="16" t="s">
        <v>5</v>
      </c>
      <c r="C494" s="17" t="s">
        <v>2042</v>
      </c>
      <c r="D494" s="17" t="s">
        <v>2043</v>
      </c>
      <c r="E494" s="16" t="s">
        <v>11436</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45">
      <c r="A495" s="15" t="s">
        <v>6544</v>
      </c>
      <c r="B495" s="16" t="s">
        <v>5</v>
      </c>
      <c r="C495" s="17" t="s">
        <v>2045</v>
      </c>
      <c r="D495" s="17" t="s">
        <v>2046</v>
      </c>
      <c r="E495" s="15" t="s">
        <v>11436</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45">
      <c r="A496" s="15" t="s">
        <v>6655</v>
      </c>
      <c r="B496" s="16" t="s">
        <v>5</v>
      </c>
      <c r="C496" s="17" t="s">
        <v>2048</v>
      </c>
      <c r="D496" s="17" t="s">
        <v>2049</v>
      </c>
      <c r="E496" s="16" t="s">
        <v>11436</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45">
      <c r="A497" s="15" t="s">
        <v>6850</v>
      </c>
      <c r="B497" s="16" t="s">
        <v>5</v>
      </c>
      <c r="C497" s="17" t="s">
        <v>2052</v>
      </c>
      <c r="D497" s="17" t="s">
        <v>2053</v>
      </c>
      <c r="E497" s="16" t="s">
        <v>11436</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45">
      <c r="A498" s="15" t="s">
        <v>6856</v>
      </c>
      <c r="B498" s="16" t="s">
        <v>5</v>
      </c>
      <c r="C498" s="17" t="s">
        <v>2055</v>
      </c>
      <c r="D498" s="17" t="s">
        <v>2056</v>
      </c>
      <c r="E498" s="16" t="s">
        <v>11436</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45">
      <c r="A499" s="15" t="s">
        <v>6910</v>
      </c>
      <c r="B499" s="16" t="s">
        <v>5</v>
      </c>
      <c r="C499" s="17" t="s">
        <v>2058</v>
      </c>
      <c r="D499" s="17" t="s">
        <v>2059</v>
      </c>
      <c r="E499" s="16" t="s">
        <v>11436</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45">
      <c r="A500" s="15" t="s">
        <v>6913</v>
      </c>
      <c r="B500" s="16" t="s">
        <v>5</v>
      </c>
      <c r="C500" s="17" t="s">
        <v>2061</v>
      </c>
      <c r="D500" s="17" t="s">
        <v>2062</v>
      </c>
      <c r="E500" s="16" t="s">
        <v>11436</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45">
      <c r="A501" s="15" t="s">
        <v>6928</v>
      </c>
      <c r="B501" s="16" t="s">
        <v>5</v>
      </c>
      <c r="C501" s="17" t="s">
        <v>2064</v>
      </c>
      <c r="D501" s="17" t="s">
        <v>2065</v>
      </c>
      <c r="E501" s="16" t="s">
        <v>11436</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45">
      <c r="A502" s="15" t="s">
        <v>11320</v>
      </c>
      <c r="B502" s="16" t="s">
        <v>5</v>
      </c>
      <c r="C502" s="17" t="s">
        <v>2067</v>
      </c>
      <c r="D502" s="17" t="s">
        <v>2068</v>
      </c>
      <c r="E502" s="16" t="s">
        <v>11436</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45">
      <c r="A503" s="15" t="s">
        <v>6937</v>
      </c>
      <c r="B503" s="16" t="s">
        <v>5</v>
      </c>
      <c r="C503" s="17" t="s">
        <v>2070</v>
      </c>
      <c r="D503" s="17" t="s">
        <v>2071</v>
      </c>
      <c r="E503" s="16" t="s">
        <v>11436</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45">
      <c r="A504" s="15" t="s">
        <v>6940</v>
      </c>
      <c r="B504" s="16" t="s">
        <v>5</v>
      </c>
      <c r="C504" s="17" t="s">
        <v>2073</v>
      </c>
      <c r="D504" s="17" t="s">
        <v>2074</v>
      </c>
      <c r="E504" s="15" t="s">
        <v>11436</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45">
      <c r="A505" s="15" t="s">
        <v>6958</v>
      </c>
      <c r="B505" s="16" t="s">
        <v>5</v>
      </c>
      <c r="C505" s="17" t="s">
        <v>2076</v>
      </c>
      <c r="D505" s="17" t="s">
        <v>2077</v>
      </c>
      <c r="E505" s="16" t="s">
        <v>11436</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45">
      <c r="A506" s="15" t="s">
        <v>6961</v>
      </c>
      <c r="B506" s="16" t="s">
        <v>5</v>
      </c>
      <c r="C506" s="17" t="s">
        <v>2079</v>
      </c>
      <c r="D506" s="17" t="s">
        <v>2080</v>
      </c>
      <c r="E506" s="16" t="s">
        <v>11436</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45">
      <c r="A507" s="15" t="s">
        <v>7009</v>
      </c>
      <c r="B507" s="16" t="s">
        <v>5</v>
      </c>
      <c r="C507" s="17" t="s">
        <v>2082</v>
      </c>
      <c r="D507" s="17" t="s">
        <v>2083</v>
      </c>
      <c r="E507" s="16" t="s">
        <v>11436</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45">
      <c r="A508" s="15" t="s">
        <v>7012</v>
      </c>
      <c r="B508" s="16" t="s">
        <v>5</v>
      </c>
      <c r="C508" s="17" t="s">
        <v>2085</v>
      </c>
      <c r="D508" s="17" t="s">
        <v>2086</v>
      </c>
      <c r="E508" s="16" t="s">
        <v>11436</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45">
      <c r="A509" s="15" t="s">
        <v>7015</v>
      </c>
      <c r="B509" s="16" t="s">
        <v>5</v>
      </c>
      <c r="C509" s="17" t="s">
        <v>2088</v>
      </c>
      <c r="D509" s="17" t="s">
        <v>2089</v>
      </c>
      <c r="E509" s="16" t="s">
        <v>11436</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45">
      <c r="A510" s="15" t="s">
        <v>7306</v>
      </c>
      <c r="B510" s="16" t="s">
        <v>5</v>
      </c>
      <c r="C510" s="17" t="s">
        <v>2091</v>
      </c>
      <c r="D510" s="17" t="s">
        <v>2092</v>
      </c>
      <c r="E510" s="16" t="s">
        <v>11436</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45">
      <c r="A511" s="15" t="s">
        <v>7564</v>
      </c>
      <c r="B511" s="16" t="s">
        <v>5</v>
      </c>
      <c r="C511" s="17" t="s">
        <v>2094</v>
      </c>
      <c r="D511" s="17" t="s">
        <v>2095</v>
      </c>
      <c r="E511" s="16" t="s">
        <v>11436</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45">
      <c r="A512" s="15" t="s">
        <v>8062</v>
      </c>
      <c r="B512" s="16" t="s">
        <v>5</v>
      </c>
      <c r="C512" s="17" t="s">
        <v>2097</v>
      </c>
      <c r="D512" s="17" t="s">
        <v>2098</v>
      </c>
      <c r="E512" s="16" t="s">
        <v>11436</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45">
      <c r="A513" s="15" t="s">
        <v>8065</v>
      </c>
      <c r="B513" s="16" t="s">
        <v>5</v>
      </c>
      <c r="C513" s="17" t="s">
        <v>2100</v>
      </c>
      <c r="D513" s="17" t="s">
        <v>2101</v>
      </c>
      <c r="E513" s="16" t="s">
        <v>11436</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45">
      <c r="A514" s="15" t="s">
        <v>8494</v>
      </c>
      <c r="B514" s="16" t="s">
        <v>5</v>
      </c>
      <c r="C514" s="17" t="s">
        <v>2103</v>
      </c>
      <c r="D514" s="17" t="s">
        <v>2104</v>
      </c>
      <c r="E514" s="16" t="s">
        <v>11436</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45">
      <c r="A515" s="15" t="s">
        <v>1372</v>
      </c>
      <c r="B515" s="16" t="s">
        <v>5</v>
      </c>
      <c r="C515" s="17" t="s">
        <v>2106</v>
      </c>
      <c r="D515" s="17" t="s">
        <v>2107</v>
      </c>
      <c r="E515" s="16" t="s">
        <v>11437</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45">
      <c r="A516" s="15" t="s">
        <v>4319</v>
      </c>
      <c r="B516" s="16" t="s">
        <v>5</v>
      </c>
      <c r="C516" s="17" t="s">
        <v>2109</v>
      </c>
      <c r="D516" s="17" t="s">
        <v>2110</v>
      </c>
      <c r="E516" s="16" t="s">
        <v>11437</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45">
      <c r="A517" s="15" t="s">
        <v>4322</v>
      </c>
      <c r="B517" s="16" t="s">
        <v>5</v>
      </c>
      <c r="C517" s="17" t="s">
        <v>2112</v>
      </c>
      <c r="D517" s="17" t="s">
        <v>2113</v>
      </c>
      <c r="E517" s="16" t="s">
        <v>11437</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45">
      <c r="A518" s="15" t="s">
        <v>4712</v>
      </c>
      <c r="B518" s="16" t="s">
        <v>5</v>
      </c>
      <c r="C518" s="17" t="s">
        <v>2115</v>
      </c>
      <c r="D518" s="17" t="s">
        <v>2116</v>
      </c>
      <c r="E518" s="16" t="s">
        <v>11437</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45">
      <c r="A519" s="15" t="s">
        <v>5186</v>
      </c>
      <c r="B519" s="16" t="s">
        <v>5</v>
      </c>
      <c r="C519" s="17" t="s">
        <v>2118</v>
      </c>
      <c r="D519" s="17" t="s">
        <v>2119</v>
      </c>
      <c r="E519" s="16" t="s">
        <v>11437</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45">
      <c r="A520" s="15" t="s">
        <v>5225</v>
      </c>
      <c r="B520" s="16" t="s">
        <v>5</v>
      </c>
      <c r="C520" s="17" t="s">
        <v>2121</v>
      </c>
      <c r="D520" s="17" t="s">
        <v>2122</v>
      </c>
      <c r="E520" s="16" t="s">
        <v>11437</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45">
      <c r="A521" s="15" t="s">
        <v>6038</v>
      </c>
      <c r="B521" s="16" t="s">
        <v>5</v>
      </c>
      <c r="C521" s="17" t="s">
        <v>2124</v>
      </c>
      <c r="D521" s="17" t="s">
        <v>2125</v>
      </c>
      <c r="E521" s="16" t="s">
        <v>11437</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45">
      <c r="A522" s="15" t="s">
        <v>9550</v>
      </c>
      <c r="B522" s="16" t="s">
        <v>5</v>
      </c>
      <c r="C522" s="17" t="s">
        <v>2127</v>
      </c>
      <c r="D522" s="17" t="s">
        <v>2128</v>
      </c>
      <c r="E522" s="16" t="s">
        <v>11437</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45">
      <c r="A523" s="15" t="s">
        <v>6074</v>
      </c>
      <c r="B523" s="16" t="s">
        <v>5</v>
      </c>
      <c r="C523" s="17" t="s">
        <v>2130</v>
      </c>
      <c r="D523" s="17" t="s">
        <v>2131</v>
      </c>
      <c r="E523" s="16" t="s">
        <v>11437</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45">
      <c r="A524" s="15" t="s">
        <v>6997</v>
      </c>
      <c r="B524" s="16" t="s">
        <v>5</v>
      </c>
      <c r="C524" s="17" t="s">
        <v>2133</v>
      </c>
      <c r="D524" s="17" t="s">
        <v>2134</v>
      </c>
      <c r="E524" s="16" t="s">
        <v>11437</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45">
      <c r="A525" s="15" t="s">
        <v>9022</v>
      </c>
      <c r="B525" s="16" t="s">
        <v>5</v>
      </c>
      <c r="C525" s="17" t="s">
        <v>2136</v>
      </c>
      <c r="D525" s="17" t="s">
        <v>2137</v>
      </c>
      <c r="E525" s="16" t="s">
        <v>11437</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45">
      <c r="A526" s="15" t="s">
        <v>9046</v>
      </c>
      <c r="B526" s="16" t="s">
        <v>5</v>
      </c>
      <c r="C526" s="17" t="s">
        <v>2139</v>
      </c>
      <c r="D526" s="17" t="s">
        <v>2140</v>
      </c>
      <c r="E526" s="16" t="s">
        <v>11437</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45">
      <c r="A527" s="15" t="s">
        <v>9196</v>
      </c>
      <c r="B527" s="16" t="s">
        <v>5</v>
      </c>
      <c r="C527" s="17" t="s">
        <v>2142</v>
      </c>
      <c r="D527" s="17" t="s">
        <v>2143</v>
      </c>
      <c r="E527" s="16" t="s">
        <v>11436</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45">
      <c r="A528" s="15" t="s">
        <v>9265</v>
      </c>
      <c r="B528" s="16" t="s">
        <v>5</v>
      </c>
      <c r="C528" s="17" t="s">
        <v>2145</v>
      </c>
      <c r="D528" s="17" t="s">
        <v>2146</v>
      </c>
      <c r="E528" s="16" t="s">
        <v>11436</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45">
      <c r="A529" s="15" t="s">
        <v>2406</v>
      </c>
      <c r="B529" s="16" t="s">
        <v>5</v>
      </c>
      <c r="C529" s="17" t="s">
        <v>2148</v>
      </c>
      <c r="D529" s="17" t="s">
        <v>2149</v>
      </c>
      <c r="E529" s="16" t="s">
        <v>11436</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45">
      <c r="A530" s="15" t="s">
        <v>2707</v>
      </c>
      <c r="B530" s="16" t="s">
        <v>5</v>
      </c>
      <c r="C530" s="17" t="s">
        <v>2151</v>
      </c>
      <c r="D530" s="17" t="s">
        <v>2152</v>
      </c>
      <c r="E530" s="16" t="s">
        <v>11437</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45">
      <c r="A531" s="15" t="s">
        <v>2782</v>
      </c>
      <c r="B531" s="16" t="s">
        <v>5</v>
      </c>
      <c r="C531" s="17" t="s">
        <v>2154</v>
      </c>
      <c r="D531" s="17" t="s">
        <v>2155</v>
      </c>
      <c r="E531" s="16" t="s">
        <v>11436</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45">
      <c r="A532" s="15" t="s">
        <v>664</v>
      </c>
      <c r="B532" s="16" t="s">
        <v>183</v>
      </c>
      <c r="C532" s="17" t="s">
        <v>2157</v>
      </c>
      <c r="D532" s="17" t="s">
        <v>2158</v>
      </c>
      <c r="E532" s="16" t="s">
        <v>11416</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45">
      <c r="A533" s="15" t="s">
        <v>7021</v>
      </c>
      <c r="B533" s="16" t="s">
        <v>5</v>
      </c>
      <c r="C533" s="17" t="s">
        <v>2160</v>
      </c>
      <c r="D533" s="17" t="s">
        <v>2161</v>
      </c>
      <c r="E533" s="16" t="s">
        <v>11438</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45">
      <c r="A534" s="15" t="s">
        <v>7054</v>
      </c>
      <c r="B534" s="16" t="s">
        <v>5</v>
      </c>
      <c r="C534" s="17" t="s">
        <v>2163</v>
      </c>
      <c r="D534" s="17" t="s">
        <v>2164</v>
      </c>
      <c r="E534" s="15" t="s">
        <v>11438</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45">
      <c r="A535" s="15" t="s">
        <v>7702</v>
      </c>
      <c r="B535" s="16" t="s">
        <v>5</v>
      </c>
      <c r="C535" s="17" t="s">
        <v>2166</v>
      </c>
      <c r="D535" s="17" t="s">
        <v>2167</v>
      </c>
      <c r="E535" s="16" t="s">
        <v>11438</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45">
      <c r="A536" s="15" t="s">
        <v>7705</v>
      </c>
      <c r="B536" s="16" t="s">
        <v>5</v>
      </c>
      <c r="C536" s="17" t="s">
        <v>2169</v>
      </c>
      <c r="D536" s="17" t="s">
        <v>2170</v>
      </c>
      <c r="E536" s="16" t="s">
        <v>11438</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45">
      <c r="A537" s="15" t="s">
        <v>7774</v>
      </c>
      <c r="B537" s="16" t="s">
        <v>5</v>
      </c>
      <c r="C537" s="17" t="s">
        <v>2172</v>
      </c>
      <c r="D537" s="17" t="s">
        <v>2173</v>
      </c>
      <c r="E537" s="16" t="s">
        <v>11438</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45">
      <c r="A538" s="15" t="s">
        <v>7714</v>
      </c>
      <c r="B538" s="16" t="s">
        <v>5</v>
      </c>
      <c r="C538" s="17" t="s">
        <v>2175</v>
      </c>
      <c r="D538" s="17" t="s">
        <v>2176</v>
      </c>
      <c r="E538" s="16" t="s">
        <v>11438</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45">
      <c r="A539" s="15" t="s">
        <v>8137</v>
      </c>
      <c r="B539" s="16" t="s">
        <v>5</v>
      </c>
      <c r="C539" s="17" t="s">
        <v>2178</v>
      </c>
      <c r="D539" s="17" t="s">
        <v>2179</v>
      </c>
      <c r="E539" s="16" t="s">
        <v>11438</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45">
      <c r="A540" s="15" t="s">
        <v>5804</v>
      </c>
      <c r="B540" s="16" t="s">
        <v>5</v>
      </c>
      <c r="C540" s="17" t="s">
        <v>2181</v>
      </c>
      <c r="D540" s="17" t="s">
        <v>2182</v>
      </c>
      <c r="E540" s="16" t="s">
        <v>11438</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45">
      <c r="A541" s="15" t="s">
        <v>5807</v>
      </c>
      <c r="B541" s="16" t="s">
        <v>5</v>
      </c>
      <c r="C541" s="17" t="s">
        <v>2184</v>
      </c>
      <c r="D541" s="17" t="s">
        <v>2185</v>
      </c>
      <c r="E541" s="16" t="s">
        <v>11438</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45">
      <c r="A542" s="15" t="s">
        <v>5846</v>
      </c>
      <c r="B542" s="16" t="s">
        <v>5</v>
      </c>
      <c r="C542" s="17" t="s">
        <v>2187</v>
      </c>
      <c r="D542" s="17" t="s">
        <v>2188</v>
      </c>
      <c r="E542" s="16" t="s">
        <v>11438</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45">
      <c r="A543" s="15" t="s">
        <v>5849</v>
      </c>
      <c r="B543" s="16" t="s">
        <v>5</v>
      </c>
      <c r="C543" s="17" t="s">
        <v>2190</v>
      </c>
      <c r="D543" s="17" t="s">
        <v>2191</v>
      </c>
      <c r="E543" s="16" t="s">
        <v>11438</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45">
      <c r="A544" s="15" t="s">
        <v>5855</v>
      </c>
      <c r="B544" s="16" t="s">
        <v>5</v>
      </c>
      <c r="C544" s="17" t="s">
        <v>2193</v>
      </c>
      <c r="D544" s="17" t="s">
        <v>2194</v>
      </c>
      <c r="E544" s="16" t="s">
        <v>11438</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45">
      <c r="A545" s="15" t="s">
        <v>5924</v>
      </c>
      <c r="B545" s="16" t="s">
        <v>5</v>
      </c>
      <c r="C545" s="17" t="s">
        <v>2196</v>
      </c>
      <c r="D545" s="17" t="s">
        <v>2197</v>
      </c>
      <c r="E545" s="16" t="s">
        <v>11438</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45">
      <c r="A546" s="15" t="s">
        <v>6017</v>
      </c>
      <c r="B546" s="16" t="s">
        <v>5</v>
      </c>
      <c r="C546" s="17" t="s">
        <v>2199</v>
      </c>
      <c r="D546" s="17" t="s">
        <v>2200</v>
      </c>
      <c r="E546" s="16" t="s">
        <v>11438</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45">
      <c r="A547" s="15" t="s">
        <v>6053</v>
      </c>
      <c r="B547" s="16" t="s">
        <v>5</v>
      </c>
      <c r="C547" s="17" t="s">
        <v>2202</v>
      </c>
      <c r="D547" s="17" t="s">
        <v>2203</v>
      </c>
      <c r="E547" s="15" t="s">
        <v>11438</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45">
      <c r="A548" s="15" t="s">
        <v>6125</v>
      </c>
      <c r="B548" s="16" t="s">
        <v>5</v>
      </c>
      <c r="C548" s="17" t="s">
        <v>2205</v>
      </c>
      <c r="D548" s="17" t="s">
        <v>2206</v>
      </c>
      <c r="E548" s="16" t="s">
        <v>11438</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45">
      <c r="A549" s="15" t="s">
        <v>6209</v>
      </c>
      <c r="B549" s="16" t="s">
        <v>5</v>
      </c>
      <c r="C549" s="17" t="s">
        <v>2208</v>
      </c>
      <c r="D549" s="17" t="s">
        <v>2209</v>
      </c>
      <c r="E549" s="16" t="s">
        <v>11438</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45">
      <c r="A550" s="15" t="s">
        <v>6604</v>
      </c>
      <c r="B550" s="16" t="s">
        <v>5</v>
      </c>
      <c r="C550" s="17" t="s">
        <v>2211</v>
      </c>
      <c r="D550" s="17" t="s">
        <v>2212</v>
      </c>
      <c r="E550" s="15" t="s">
        <v>11438</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45">
      <c r="A551" s="15" t="s">
        <v>6646</v>
      </c>
      <c r="B551" s="16" t="s">
        <v>5</v>
      </c>
      <c r="C551" s="17" t="s">
        <v>2214</v>
      </c>
      <c r="D551" s="17" t="s">
        <v>2215</v>
      </c>
      <c r="E551" s="16" t="s">
        <v>11438</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45">
      <c r="A552" s="15" t="s">
        <v>11321</v>
      </c>
      <c r="B552" s="16" t="s">
        <v>5</v>
      </c>
      <c r="C552" s="17" t="s">
        <v>2217</v>
      </c>
      <c r="D552" s="17" t="s">
        <v>2218</v>
      </c>
      <c r="E552" s="16" t="s">
        <v>11438</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45">
      <c r="A553" s="15" t="s">
        <v>7096</v>
      </c>
      <c r="B553" s="16" t="s">
        <v>5</v>
      </c>
      <c r="C553" s="17" t="s">
        <v>2220</v>
      </c>
      <c r="D553" s="17" t="s">
        <v>2221</v>
      </c>
      <c r="E553" s="16" t="s">
        <v>11422</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45">
      <c r="A554" s="15" t="s">
        <v>7363</v>
      </c>
      <c r="B554" s="16" t="s">
        <v>5</v>
      </c>
      <c r="C554" s="17" t="s">
        <v>2223</v>
      </c>
      <c r="D554" s="17" t="s">
        <v>2224</v>
      </c>
      <c r="E554" s="16" t="s">
        <v>11422</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45">
      <c r="A555" s="15" t="s">
        <v>7510</v>
      </c>
      <c r="B555" s="16" t="s">
        <v>5</v>
      </c>
      <c r="C555" s="17" t="s">
        <v>2226</v>
      </c>
      <c r="D555" s="17" t="s">
        <v>2227</v>
      </c>
      <c r="E555" s="16" t="s">
        <v>11422</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45">
      <c r="A556" s="15" t="s">
        <v>7639</v>
      </c>
      <c r="B556" s="16" t="s">
        <v>5</v>
      </c>
      <c r="C556" s="17" t="s">
        <v>2229</v>
      </c>
      <c r="D556" s="17" t="s">
        <v>2230</v>
      </c>
      <c r="E556" s="16" t="s">
        <v>11422</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45">
      <c r="A557" s="15" t="s">
        <v>7813</v>
      </c>
      <c r="B557" s="16" t="s">
        <v>5</v>
      </c>
      <c r="C557" s="17" t="s">
        <v>2232</v>
      </c>
      <c r="D557" s="17" t="s">
        <v>2233</v>
      </c>
      <c r="E557" s="16" t="s">
        <v>11422</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45">
      <c r="A558" s="15" t="s">
        <v>7180</v>
      </c>
      <c r="B558" s="16" t="s">
        <v>5</v>
      </c>
      <c r="C558" s="17" t="s">
        <v>2235</v>
      </c>
      <c r="D558" s="17" t="s">
        <v>2236</v>
      </c>
      <c r="E558" s="16" t="s">
        <v>11422</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45">
      <c r="A559" s="15" t="s">
        <v>7669</v>
      </c>
      <c r="B559" s="16" t="s">
        <v>5</v>
      </c>
      <c r="C559" s="17" t="s">
        <v>2238</v>
      </c>
      <c r="D559" s="17" t="s">
        <v>2239</v>
      </c>
      <c r="E559" s="16" t="s">
        <v>11422</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45">
      <c r="A560" s="15" t="s">
        <v>7078</v>
      </c>
      <c r="B560" s="16" t="s">
        <v>5</v>
      </c>
      <c r="C560" s="17" t="s">
        <v>2241</v>
      </c>
      <c r="D560" s="17" t="s">
        <v>2242</v>
      </c>
      <c r="E560" s="16" t="s">
        <v>11422</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45">
      <c r="A561" s="15" t="s">
        <v>7081</v>
      </c>
      <c r="B561" s="16" t="s">
        <v>5</v>
      </c>
      <c r="C561" s="17" t="s">
        <v>2244</v>
      </c>
      <c r="D561" s="17" t="s">
        <v>2245</v>
      </c>
      <c r="E561" s="16" t="s">
        <v>11422</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45">
      <c r="A562" s="15" t="s">
        <v>7555</v>
      </c>
      <c r="B562" s="16" t="s">
        <v>5</v>
      </c>
      <c r="C562" s="17" t="s">
        <v>2247</v>
      </c>
      <c r="D562" s="17" t="s">
        <v>2248</v>
      </c>
      <c r="E562" s="16" t="s">
        <v>11422</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45">
      <c r="A563" s="15" t="s">
        <v>7561</v>
      </c>
      <c r="B563" s="16" t="s">
        <v>5</v>
      </c>
      <c r="C563" s="17" t="s">
        <v>2250</v>
      </c>
      <c r="D563" s="17" t="s">
        <v>2251</v>
      </c>
      <c r="E563" s="16" t="s">
        <v>11422</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45">
      <c r="A564" s="15" t="s">
        <v>7717</v>
      </c>
      <c r="B564" s="16" t="s">
        <v>5</v>
      </c>
      <c r="C564" s="17" t="s">
        <v>2253</v>
      </c>
      <c r="D564" s="17" t="s">
        <v>2254</v>
      </c>
      <c r="E564" s="16" t="s">
        <v>11422</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45">
      <c r="A565" s="15" t="s">
        <v>7726</v>
      </c>
      <c r="B565" s="16" t="s">
        <v>5</v>
      </c>
      <c r="C565" s="17" t="s">
        <v>2256</v>
      </c>
      <c r="D565" s="17" t="s">
        <v>2257</v>
      </c>
      <c r="E565" s="16" t="s">
        <v>11422</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45">
      <c r="A566" s="15" t="s">
        <v>7783</v>
      </c>
      <c r="B566" s="16" t="s">
        <v>5</v>
      </c>
      <c r="C566" s="17" t="s">
        <v>2259</v>
      </c>
      <c r="D566" s="17" t="s">
        <v>2260</v>
      </c>
      <c r="E566" s="16" t="s">
        <v>11422</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45">
      <c r="A567" s="15" t="s">
        <v>7597</v>
      </c>
      <c r="B567" s="16" t="s">
        <v>5</v>
      </c>
      <c r="C567" s="17" t="s">
        <v>2262</v>
      </c>
      <c r="D567" s="17" t="s">
        <v>2263</v>
      </c>
      <c r="E567" s="16" t="s">
        <v>11422</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45">
      <c r="A568" s="15" t="s">
        <v>7738</v>
      </c>
      <c r="B568" s="16" t="s">
        <v>5</v>
      </c>
      <c r="C568" s="17" t="s">
        <v>2265</v>
      </c>
      <c r="D568" s="17" t="s">
        <v>2266</v>
      </c>
      <c r="E568" s="16" t="s">
        <v>11422</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45">
      <c r="A569" s="15" t="s">
        <v>7867</v>
      </c>
      <c r="B569" s="16" t="s">
        <v>5</v>
      </c>
      <c r="C569" s="17" t="s">
        <v>2268</v>
      </c>
      <c r="D569" s="17" t="s">
        <v>2269</v>
      </c>
      <c r="E569" s="16" t="s">
        <v>11422</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45">
      <c r="A570" s="15" t="s">
        <v>7183</v>
      </c>
      <c r="B570" s="16" t="s">
        <v>5</v>
      </c>
      <c r="C570" s="17" t="s">
        <v>2271</v>
      </c>
      <c r="D570" s="17" t="s">
        <v>2272</v>
      </c>
      <c r="E570" s="16" t="s">
        <v>11422</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45">
      <c r="A571" s="15" t="s">
        <v>7624</v>
      </c>
      <c r="B571" s="16" t="s">
        <v>5</v>
      </c>
      <c r="C571" s="17" t="s">
        <v>2274</v>
      </c>
      <c r="D571" s="17" t="s">
        <v>2275</v>
      </c>
      <c r="E571" s="16" t="s">
        <v>11422</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45">
      <c r="A572" s="15" t="s">
        <v>7477</v>
      </c>
      <c r="B572" s="16" t="s">
        <v>5</v>
      </c>
      <c r="C572" s="17" t="s">
        <v>2277</v>
      </c>
      <c r="D572" s="17" t="s">
        <v>2278</v>
      </c>
      <c r="E572" s="16" t="s">
        <v>11422</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45">
      <c r="A573" s="15" t="s">
        <v>7633</v>
      </c>
      <c r="B573" s="16" t="s">
        <v>5</v>
      </c>
      <c r="C573" s="17" t="s">
        <v>2280</v>
      </c>
      <c r="D573" s="17" t="s">
        <v>2281</v>
      </c>
      <c r="E573" s="16" t="s">
        <v>11422</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45">
      <c r="A574" s="15" t="s">
        <v>7663</v>
      </c>
      <c r="B574" s="16" t="s">
        <v>5</v>
      </c>
      <c r="C574" s="17" t="s">
        <v>2283</v>
      </c>
      <c r="D574" s="17" t="s">
        <v>2284</v>
      </c>
      <c r="E574" s="16" t="s">
        <v>11422</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45">
      <c r="A575" s="15" t="s">
        <v>7495</v>
      </c>
      <c r="B575" s="16" t="s">
        <v>5</v>
      </c>
      <c r="C575" s="17" t="s">
        <v>2290</v>
      </c>
      <c r="D575" s="17" t="s">
        <v>2291</v>
      </c>
      <c r="E575" s="16" t="s">
        <v>11422</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45">
      <c r="A576" s="15" t="s">
        <v>7552</v>
      </c>
      <c r="B576" s="16" t="s">
        <v>5</v>
      </c>
      <c r="C576" s="17" t="s">
        <v>2293</v>
      </c>
      <c r="D576" s="17" t="s">
        <v>2294</v>
      </c>
      <c r="E576" s="16" t="s">
        <v>11422</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45">
      <c r="A577" s="15" t="s">
        <v>7651</v>
      </c>
      <c r="B577" s="16" t="s">
        <v>5</v>
      </c>
      <c r="C577" s="17" t="s">
        <v>2296</v>
      </c>
      <c r="D577" s="17" t="s">
        <v>2297</v>
      </c>
      <c r="E577" s="16" t="s">
        <v>11422</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45">
      <c r="A578" s="15" t="s">
        <v>4463</v>
      </c>
      <c r="B578" s="16" t="s">
        <v>5</v>
      </c>
      <c r="C578" s="17" t="s">
        <v>2299</v>
      </c>
      <c r="D578" s="17" t="s">
        <v>2300</v>
      </c>
      <c r="E578" s="16" t="s">
        <v>11422</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45">
      <c r="A579" s="15" t="s">
        <v>4526</v>
      </c>
      <c r="B579" s="16" t="s">
        <v>5</v>
      </c>
      <c r="C579" s="17" t="s">
        <v>2302</v>
      </c>
      <c r="D579" s="17" t="s">
        <v>2303</v>
      </c>
      <c r="E579" s="16" t="s">
        <v>11422</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45">
      <c r="A580" s="15" t="s">
        <v>4550</v>
      </c>
      <c r="B580" s="16" t="s">
        <v>5</v>
      </c>
      <c r="C580" s="17" t="s">
        <v>2305</v>
      </c>
      <c r="D580" s="17" t="s">
        <v>2306</v>
      </c>
      <c r="E580" s="16" t="s">
        <v>11422</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45">
      <c r="A581" s="15" t="s">
        <v>4556</v>
      </c>
      <c r="B581" s="16" t="s">
        <v>5</v>
      </c>
      <c r="C581" s="17" t="s">
        <v>2308</v>
      </c>
      <c r="D581" s="17" t="s">
        <v>2309</v>
      </c>
      <c r="E581" s="16" t="s">
        <v>11422</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45">
      <c r="A582" s="15" t="s">
        <v>4598</v>
      </c>
      <c r="B582" s="16" t="s">
        <v>5</v>
      </c>
      <c r="C582" s="17" t="s">
        <v>2311</v>
      </c>
      <c r="D582" s="17" t="s">
        <v>2312</v>
      </c>
      <c r="E582" s="16" t="s">
        <v>11422</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45">
      <c r="A583" s="15" t="s">
        <v>4613</v>
      </c>
      <c r="B583" s="16" t="s">
        <v>5</v>
      </c>
      <c r="C583" s="17" t="s">
        <v>2314</v>
      </c>
      <c r="D583" s="17" t="s">
        <v>2315</v>
      </c>
      <c r="E583" s="16" t="s">
        <v>11422</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45">
      <c r="A584" s="15" t="s">
        <v>4625</v>
      </c>
      <c r="B584" s="16" t="s">
        <v>5</v>
      </c>
      <c r="C584" s="17" t="s">
        <v>2317</v>
      </c>
      <c r="D584" s="17" t="s">
        <v>2318</v>
      </c>
      <c r="E584" s="16" t="s">
        <v>11422</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45">
      <c r="A585" s="15" t="s">
        <v>4661</v>
      </c>
      <c r="B585" s="16" t="s">
        <v>5</v>
      </c>
      <c r="C585" s="17" t="s">
        <v>2320</v>
      </c>
      <c r="D585" s="17" t="s">
        <v>2321</v>
      </c>
      <c r="E585" s="16" t="s">
        <v>11422</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45">
      <c r="A586" s="15" t="s">
        <v>4664</v>
      </c>
      <c r="B586" s="16" t="s">
        <v>5</v>
      </c>
      <c r="C586" s="17" t="s">
        <v>2323</v>
      </c>
      <c r="D586" s="17" t="s">
        <v>2324</v>
      </c>
      <c r="E586" s="16" t="s">
        <v>11422</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45">
      <c r="A587" s="15" t="s">
        <v>4829</v>
      </c>
      <c r="B587" s="16" t="s">
        <v>5</v>
      </c>
      <c r="C587" s="17" t="s">
        <v>2326</v>
      </c>
      <c r="D587" s="17" t="s">
        <v>2327</v>
      </c>
      <c r="E587" s="16" t="s">
        <v>11422</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45">
      <c r="A588" s="15" t="s">
        <v>4871</v>
      </c>
      <c r="B588" s="16" t="s">
        <v>5</v>
      </c>
      <c r="C588" s="17" t="s">
        <v>2329</v>
      </c>
      <c r="D588" s="17" t="s">
        <v>2330</v>
      </c>
      <c r="E588" s="16" t="s">
        <v>11422</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45">
      <c r="A589" s="15" t="s">
        <v>5060</v>
      </c>
      <c r="B589" s="16" t="s">
        <v>5</v>
      </c>
      <c r="C589" s="17" t="s">
        <v>2332</v>
      </c>
      <c r="D589" s="17" t="s">
        <v>2333</v>
      </c>
      <c r="E589" s="16" t="s">
        <v>11422</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45">
      <c r="A590" s="15" t="s">
        <v>5150</v>
      </c>
      <c r="B590" s="16" t="s">
        <v>5</v>
      </c>
      <c r="C590" s="17" t="s">
        <v>2335</v>
      </c>
      <c r="D590" s="17" t="s">
        <v>2336</v>
      </c>
      <c r="E590" s="16" t="s">
        <v>11422</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45">
      <c r="A591" s="15" t="s">
        <v>6616</v>
      </c>
      <c r="B591" s="16" t="s">
        <v>5</v>
      </c>
      <c r="C591" s="17" t="s">
        <v>2338</v>
      </c>
      <c r="D591" s="17" t="s">
        <v>2339</v>
      </c>
      <c r="E591" s="16" t="s">
        <v>11422</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45">
      <c r="A592" s="15" t="s">
        <v>6625</v>
      </c>
      <c r="B592" s="16" t="s">
        <v>5</v>
      </c>
      <c r="C592" s="17" t="s">
        <v>2341</v>
      </c>
      <c r="D592" s="17" t="s">
        <v>2342</v>
      </c>
      <c r="E592" s="16" t="s">
        <v>11422</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45">
      <c r="A593" s="15" t="s">
        <v>6778</v>
      </c>
      <c r="B593" s="16" t="s">
        <v>5</v>
      </c>
      <c r="C593" s="17" t="s">
        <v>2344</v>
      </c>
      <c r="D593" s="17" t="s">
        <v>2345</v>
      </c>
      <c r="E593" s="16" t="s">
        <v>11422</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45">
      <c r="A594" s="15" t="s">
        <v>6781</v>
      </c>
      <c r="B594" s="16" t="s">
        <v>5</v>
      </c>
      <c r="C594" s="17" t="s">
        <v>2347</v>
      </c>
      <c r="D594" s="17" t="s">
        <v>2348</v>
      </c>
      <c r="E594" s="16" t="s">
        <v>11422</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45">
      <c r="A595" s="15" t="s">
        <v>6874</v>
      </c>
      <c r="B595" s="16" t="s">
        <v>5</v>
      </c>
      <c r="C595" s="17" t="s">
        <v>2350</v>
      </c>
      <c r="D595" s="17" t="s">
        <v>2351</v>
      </c>
      <c r="E595" s="16" t="s">
        <v>11422</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45">
      <c r="A596" s="15" t="s">
        <v>6883</v>
      </c>
      <c r="B596" s="16" t="s">
        <v>5</v>
      </c>
      <c r="C596" s="17" t="s">
        <v>2353</v>
      </c>
      <c r="D596" s="17" t="s">
        <v>2354</v>
      </c>
      <c r="E596" s="16" t="s">
        <v>11422</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45">
      <c r="A597" s="15" t="s">
        <v>7654</v>
      </c>
      <c r="B597" s="16" t="s">
        <v>5</v>
      </c>
      <c r="C597" s="17" t="s">
        <v>2356</v>
      </c>
      <c r="D597" s="17" t="s">
        <v>2357</v>
      </c>
      <c r="E597" s="16" t="s">
        <v>11422</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45">
      <c r="A598" s="15" t="s">
        <v>8260</v>
      </c>
      <c r="B598" s="16" t="s">
        <v>5</v>
      </c>
      <c r="C598" s="17" t="s">
        <v>2359</v>
      </c>
      <c r="D598" s="17" t="s">
        <v>2360</v>
      </c>
      <c r="E598" s="16" t="s">
        <v>11422</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45">
      <c r="A599" s="15" t="s">
        <v>8338</v>
      </c>
      <c r="B599" s="16" t="s">
        <v>5</v>
      </c>
      <c r="C599" s="17" t="s">
        <v>2362</v>
      </c>
      <c r="D599" s="17" t="s">
        <v>2363</v>
      </c>
      <c r="E599" s="16" t="s">
        <v>11422</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45">
      <c r="A600" s="15" t="s">
        <v>7420</v>
      </c>
      <c r="B600" s="16" t="s">
        <v>5</v>
      </c>
      <c r="C600" s="17" t="s">
        <v>2365</v>
      </c>
      <c r="D600" s="17" t="s">
        <v>2366</v>
      </c>
      <c r="E600" s="16" t="s">
        <v>11422</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45">
      <c r="A601" s="15" t="s">
        <v>9565</v>
      </c>
      <c r="B601" s="16" t="s">
        <v>5</v>
      </c>
      <c r="C601" s="17" t="s">
        <v>2368</v>
      </c>
      <c r="D601" s="17" t="s">
        <v>2369</v>
      </c>
      <c r="E601" s="16" t="s">
        <v>11422</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45">
      <c r="A602" s="15" t="s">
        <v>7486</v>
      </c>
      <c r="B602" s="16" t="s">
        <v>5</v>
      </c>
      <c r="C602" s="17" t="s">
        <v>2371</v>
      </c>
      <c r="D602" s="17" t="s">
        <v>2372</v>
      </c>
      <c r="E602" s="16" t="s">
        <v>11422</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45">
      <c r="A603" s="15" t="s">
        <v>7618</v>
      </c>
      <c r="B603" s="16" t="s">
        <v>5</v>
      </c>
      <c r="C603" s="17" t="s">
        <v>2374</v>
      </c>
      <c r="D603" s="17" t="s">
        <v>2375</v>
      </c>
      <c r="E603" s="16" t="s">
        <v>11422</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45">
      <c r="A604" s="15" t="s">
        <v>7759</v>
      </c>
      <c r="B604" s="16" t="s">
        <v>5</v>
      </c>
      <c r="C604" s="17" t="s">
        <v>2377</v>
      </c>
      <c r="D604" s="17" t="s">
        <v>2378</v>
      </c>
      <c r="E604" s="16" t="s">
        <v>11422</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45">
      <c r="A605" s="15" t="s">
        <v>9013</v>
      </c>
      <c r="B605" s="16" t="s">
        <v>5</v>
      </c>
      <c r="C605" s="17" t="s">
        <v>2380</v>
      </c>
      <c r="D605" s="17" t="s">
        <v>2381</v>
      </c>
      <c r="E605" s="16" t="s">
        <v>11422</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45">
      <c r="A606" s="15" t="s">
        <v>7507</v>
      </c>
      <c r="B606" s="16" t="s">
        <v>5</v>
      </c>
      <c r="C606" s="17" t="s">
        <v>2383</v>
      </c>
      <c r="D606" s="17" t="s">
        <v>2384</v>
      </c>
      <c r="E606" s="15" t="s">
        <v>11422</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45">
      <c r="A607" s="15" t="s">
        <v>7657</v>
      </c>
      <c r="B607" s="16" t="s">
        <v>5</v>
      </c>
      <c r="C607" s="17" t="s">
        <v>2386</v>
      </c>
      <c r="D607" s="17" t="s">
        <v>2387</v>
      </c>
      <c r="E607" s="16" t="s">
        <v>11422</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45">
      <c r="A608" s="15" t="s">
        <v>7636</v>
      </c>
      <c r="B608" s="16" t="s">
        <v>5</v>
      </c>
      <c r="C608" s="17" t="s">
        <v>2389</v>
      </c>
      <c r="D608" s="17" t="s">
        <v>2390</v>
      </c>
      <c r="E608" s="16" t="s">
        <v>11422</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45">
      <c r="A609" s="15" t="s">
        <v>7558</v>
      </c>
      <c r="B609" s="16" t="s">
        <v>5</v>
      </c>
      <c r="C609" s="17" t="s">
        <v>2392</v>
      </c>
      <c r="D609" s="17" t="s">
        <v>2393</v>
      </c>
      <c r="E609" s="16" t="s">
        <v>11422</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45">
      <c r="A610" s="15" t="s">
        <v>7039</v>
      </c>
      <c r="B610" s="16" t="s">
        <v>5</v>
      </c>
      <c r="C610" s="17" t="s">
        <v>2395</v>
      </c>
      <c r="D610" s="17" t="s">
        <v>2396</v>
      </c>
      <c r="E610" s="15" t="s">
        <v>11422</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45">
      <c r="A611" s="15" t="s">
        <v>7660</v>
      </c>
      <c r="B611" s="16" t="s">
        <v>5</v>
      </c>
      <c r="C611" s="17" t="s">
        <v>2398</v>
      </c>
      <c r="D611" s="17" t="s">
        <v>2399</v>
      </c>
      <c r="E611" s="16" t="s">
        <v>11422</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45">
      <c r="A612" s="15" t="s">
        <v>7720</v>
      </c>
      <c r="B612" s="16" t="s">
        <v>5</v>
      </c>
      <c r="C612" s="17" t="s">
        <v>2401</v>
      </c>
      <c r="D612" s="17" t="s">
        <v>2402</v>
      </c>
      <c r="E612" s="16" t="s">
        <v>11422</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45">
      <c r="A613" s="15" t="s">
        <v>7732</v>
      </c>
      <c r="B613" s="16" t="s">
        <v>5</v>
      </c>
      <c r="C613" s="17" t="s">
        <v>2404</v>
      </c>
      <c r="D613" s="17" t="s">
        <v>2405</v>
      </c>
      <c r="E613" s="16" t="s">
        <v>11437</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45">
      <c r="A614" s="15" t="s">
        <v>8545</v>
      </c>
      <c r="B614" s="16" t="s">
        <v>5</v>
      </c>
      <c r="C614" s="17" t="s">
        <v>2407</v>
      </c>
      <c r="D614" s="17" t="s">
        <v>2408</v>
      </c>
      <c r="E614" s="16" t="s">
        <v>11437</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45">
      <c r="A615" s="15" t="s">
        <v>5864</v>
      </c>
      <c r="B615" s="16" t="s">
        <v>5</v>
      </c>
      <c r="C615" s="17" t="s">
        <v>2410</v>
      </c>
      <c r="D615" s="17" t="s">
        <v>2411</v>
      </c>
      <c r="E615" s="16" t="s">
        <v>11437</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45">
      <c r="A616" s="15" t="s">
        <v>7102</v>
      </c>
      <c r="B616" s="16" t="s">
        <v>5</v>
      </c>
      <c r="C616" s="17" t="s">
        <v>2413</v>
      </c>
      <c r="D616" s="17" t="s">
        <v>2414</v>
      </c>
      <c r="E616" s="16" t="s">
        <v>11437</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45">
      <c r="A617" s="15" t="s">
        <v>7222</v>
      </c>
      <c r="B617" s="16" t="s">
        <v>5</v>
      </c>
      <c r="C617" s="17" t="s">
        <v>2416</v>
      </c>
      <c r="D617" s="17" t="s">
        <v>2417</v>
      </c>
      <c r="E617" s="16" t="s">
        <v>11437</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45">
      <c r="A618" s="15" t="s">
        <v>6343</v>
      </c>
      <c r="B618" s="16" t="s">
        <v>5</v>
      </c>
      <c r="C618" s="17" t="s">
        <v>2419</v>
      </c>
      <c r="D618" s="17" t="s">
        <v>2420</v>
      </c>
      <c r="E618" s="16" t="s">
        <v>11437</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45">
      <c r="A619" s="15" t="s">
        <v>7225</v>
      </c>
      <c r="B619" s="16" t="s">
        <v>5</v>
      </c>
      <c r="C619" s="17" t="s">
        <v>2422</v>
      </c>
      <c r="D619" s="17" t="s">
        <v>2423</v>
      </c>
      <c r="E619" s="16" t="s">
        <v>11437</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45">
      <c r="A620" s="15" t="s">
        <v>7384</v>
      </c>
      <c r="B620" s="16" t="s">
        <v>5</v>
      </c>
      <c r="C620" s="17" t="s">
        <v>2425</v>
      </c>
      <c r="D620" s="17" t="s">
        <v>2426</v>
      </c>
      <c r="E620" s="16" t="s">
        <v>11437</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45">
      <c r="A621" s="15" t="s">
        <v>5882</v>
      </c>
      <c r="B621" s="16" t="s">
        <v>5</v>
      </c>
      <c r="C621" s="17" t="s">
        <v>2428</v>
      </c>
      <c r="D621" s="17" t="s">
        <v>2429</v>
      </c>
      <c r="E621" s="16" t="s">
        <v>11437</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45">
      <c r="A622" s="15" t="s">
        <v>5873</v>
      </c>
      <c r="B622" s="16" t="s">
        <v>5</v>
      </c>
      <c r="C622" s="17" t="s">
        <v>2431</v>
      </c>
      <c r="D622" s="17" t="s">
        <v>2432</v>
      </c>
      <c r="E622" s="16" t="s">
        <v>11437</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45">
      <c r="A623" s="15" t="s">
        <v>6260</v>
      </c>
      <c r="B623" s="16" t="s">
        <v>5</v>
      </c>
      <c r="C623" s="17" t="s">
        <v>2434</v>
      </c>
      <c r="D623" s="17" t="s">
        <v>2435</v>
      </c>
      <c r="E623" s="16" t="s">
        <v>11437</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45">
      <c r="A624" s="15" t="s">
        <v>7390</v>
      </c>
      <c r="B624" s="16" t="s">
        <v>5</v>
      </c>
      <c r="C624" s="17" t="s">
        <v>2437</v>
      </c>
      <c r="D624" s="17" t="s">
        <v>2438</v>
      </c>
      <c r="E624" s="16" t="s">
        <v>11437</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45">
      <c r="A625" s="15" t="s">
        <v>8722</v>
      </c>
      <c r="B625" s="16" t="s">
        <v>5</v>
      </c>
      <c r="C625" s="17" t="s">
        <v>2440</v>
      </c>
      <c r="D625" s="17" t="s">
        <v>2441</v>
      </c>
      <c r="E625" s="16" t="s">
        <v>11437</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45">
      <c r="A626" s="15" t="s">
        <v>5861</v>
      </c>
      <c r="B626" s="16" t="s">
        <v>5</v>
      </c>
      <c r="C626" s="17" t="s">
        <v>2443</v>
      </c>
      <c r="D626" s="17" t="s">
        <v>2444</v>
      </c>
      <c r="E626" s="16" t="s">
        <v>11437</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45">
      <c r="A627" s="15" t="s">
        <v>6029</v>
      </c>
      <c r="B627" s="16" t="s">
        <v>5</v>
      </c>
      <c r="C627" s="17" t="s">
        <v>2446</v>
      </c>
      <c r="D627" s="17" t="s">
        <v>2447</v>
      </c>
      <c r="E627" s="16" t="s">
        <v>11437</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45">
      <c r="A628" s="15" t="s">
        <v>6263</v>
      </c>
      <c r="B628" s="16" t="s">
        <v>5</v>
      </c>
      <c r="C628" s="17" t="s">
        <v>2449</v>
      </c>
      <c r="D628" s="17" t="s">
        <v>2450</v>
      </c>
      <c r="E628" s="16" t="s">
        <v>11437</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45">
      <c r="A629" s="15" t="s">
        <v>7678</v>
      </c>
      <c r="B629" s="16" t="s">
        <v>5</v>
      </c>
      <c r="C629" s="17" t="s">
        <v>2452</v>
      </c>
      <c r="D629" s="17" t="s">
        <v>2453</v>
      </c>
      <c r="E629" s="16" t="s">
        <v>11437</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45">
      <c r="A630" s="15" t="s">
        <v>7780</v>
      </c>
      <c r="B630" s="16" t="s">
        <v>5</v>
      </c>
      <c r="C630" s="17" t="s">
        <v>2455</v>
      </c>
      <c r="D630" s="17" t="s">
        <v>2456</v>
      </c>
      <c r="E630" s="16" t="s">
        <v>11437</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45">
      <c r="A631" s="15" t="s">
        <v>8011</v>
      </c>
      <c r="B631" s="16" t="s">
        <v>5</v>
      </c>
      <c r="C631" s="17" t="s">
        <v>2458</v>
      </c>
      <c r="D631" s="17" t="s">
        <v>2459</v>
      </c>
      <c r="E631" s="16" t="s">
        <v>11437</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45">
      <c r="A632" s="15" t="s">
        <v>8296</v>
      </c>
      <c r="B632" s="16" t="s">
        <v>5</v>
      </c>
      <c r="C632" s="17" t="s">
        <v>2461</v>
      </c>
      <c r="D632" s="17" t="s">
        <v>2462</v>
      </c>
      <c r="E632" s="16" t="s">
        <v>11437</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45">
      <c r="A633" s="15" t="s">
        <v>8383</v>
      </c>
      <c r="B633" s="16" t="s">
        <v>5</v>
      </c>
      <c r="C633" s="17" t="s">
        <v>2464</v>
      </c>
      <c r="D633" s="17" t="s">
        <v>2465</v>
      </c>
      <c r="E633" s="16" t="s">
        <v>11437</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45">
      <c r="A634" s="15" t="s">
        <v>8581</v>
      </c>
      <c r="B634" s="16" t="s">
        <v>5</v>
      </c>
      <c r="C634" s="17" t="s">
        <v>2467</v>
      </c>
      <c r="D634" s="17" t="s">
        <v>2468</v>
      </c>
      <c r="E634" s="16" t="s">
        <v>11437</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45">
      <c r="A635" s="15" t="s">
        <v>5735</v>
      </c>
      <c r="B635" s="16" t="s">
        <v>5</v>
      </c>
      <c r="C635" s="17" t="s">
        <v>2470</v>
      </c>
      <c r="D635" s="17" t="s">
        <v>2471</v>
      </c>
      <c r="E635" s="16" t="s">
        <v>11437</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45">
      <c r="A636" s="15" t="s">
        <v>6032</v>
      </c>
      <c r="B636" s="16" t="s">
        <v>5</v>
      </c>
      <c r="C636" s="17" t="s">
        <v>2473</v>
      </c>
      <c r="D636" s="17" t="s">
        <v>2474</v>
      </c>
      <c r="E636" s="16" t="s">
        <v>11437</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45">
      <c r="A637" s="15" t="s">
        <v>6041</v>
      </c>
      <c r="B637" s="16" t="s">
        <v>5</v>
      </c>
      <c r="C637" s="17" t="s">
        <v>2476</v>
      </c>
      <c r="D637" s="17" t="s">
        <v>2477</v>
      </c>
      <c r="E637" s="16" t="s">
        <v>11437</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45">
      <c r="A638" s="15" t="s">
        <v>6314</v>
      </c>
      <c r="B638" s="16" t="s">
        <v>5</v>
      </c>
      <c r="C638" s="17" t="s">
        <v>2479</v>
      </c>
      <c r="D638" s="17" t="s">
        <v>2480</v>
      </c>
      <c r="E638" s="16" t="s">
        <v>11437</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45">
      <c r="A639" s="15" t="s">
        <v>6877</v>
      </c>
      <c r="B639" s="16" t="s">
        <v>5</v>
      </c>
      <c r="C639" s="17" t="s">
        <v>2482</v>
      </c>
      <c r="D639" s="17" t="s">
        <v>2483</v>
      </c>
      <c r="E639" s="16" t="s">
        <v>11437</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45">
      <c r="A640" s="15" t="s">
        <v>7387</v>
      </c>
      <c r="B640" s="16" t="s">
        <v>5</v>
      </c>
      <c r="C640" s="17" t="s">
        <v>2485</v>
      </c>
      <c r="D640" s="17" t="s">
        <v>2486</v>
      </c>
      <c r="E640" s="16" t="s">
        <v>11437</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45">
      <c r="A641" s="15" t="s">
        <v>8038</v>
      </c>
      <c r="B641" s="16" t="s">
        <v>5</v>
      </c>
      <c r="C641" s="17" t="s">
        <v>2488</v>
      </c>
      <c r="D641" s="17" t="s">
        <v>2489</v>
      </c>
      <c r="E641" s="16" t="s">
        <v>11437</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45">
      <c r="A642" s="15" t="s">
        <v>6772</v>
      </c>
      <c r="B642" s="16" t="s">
        <v>5</v>
      </c>
      <c r="C642" s="17" t="s">
        <v>2491</v>
      </c>
      <c r="D642" s="17" t="s">
        <v>2492</v>
      </c>
      <c r="E642" s="16" t="s">
        <v>11437</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45">
      <c r="A643" s="15" t="s">
        <v>6964</v>
      </c>
      <c r="B643" s="16" t="s">
        <v>5</v>
      </c>
      <c r="C643" s="17" t="s">
        <v>2494</v>
      </c>
      <c r="D643" s="17" t="s">
        <v>2495</v>
      </c>
      <c r="E643" s="16" t="s">
        <v>11437</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45">
      <c r="A644" s="15" t="s">
        <v>8362</v>
      </c>
      <c r="B644" s="16" t="s">
        <v>5</v>
      </c>
      <c r="C644" s="17" t="s">
        <v>2497</v>
      </c>
      <c r="D644" s="17" t="s">
        <v>2498</v>
      </c>
      <c r="E644" s="16" t="s">
        <v>11437</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45">
      <c r="A645" s="15" t="s">
        <v>8650</v>
      </c>
      <c r="B645" s="16" t="s">
        <v>5</v>
      </c>
      <c r="C645" s="17" t="s">
        <v>2500</v>
      </c>
      <c r="D645" s="17" t="s">
        <v>2501</v>
      </c>
      <c r="E645" s="16" t="s">
        <v>11437</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45">
      <c r="A646" s="15" t="s">
        <v>8998</v>
      </c>
      <c r="B646" s="16" t="s">
        <v>5</v>
      </c>
      <c r="C646" s="17" t="s">
        <v>2503</v>
      </c>
      <c r="D646" s="17" t="s">
        <v>2504</v>
      </c>
      <c r="E646" s="16" t="s">
        <v>11437</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45">
      <c r="A647" s="15" t="s">
        <v>7426</v>
      </c>
      <c r="B647" s="16" t="s">
        <v>5</v>
      </c>
      <c r="C647" s="17" t="s">
        <v>2506</v>
      </c>
      <c r="D647" s="17" t="s">
        <v>2507</v>
      </c>
      <c r="E647" s="16" t="s">
        <v>11429</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45">
      <c r="A648" s="15" t="s">
        <v>7576</v>
      </c>
      <c r="B648" s="16" t="s">
        <v>5</v>
      </c>
      <c r="C648" s="17" t="s">
        <v>2509</v>
      </c>
      <c r="D648" s="17" t="s">
        <v>2510</v>
      </c>
      <c r="E648" s="16" t="s">
        <v>11429</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45">
      <c r="A649" s="15" t="s">
        <v>5822</v>
      </c>
      <c r="B649" s="16" t="s">
        <v>5</v>
      </c>
      <c r="C649" s="17" t="s">
        <v>2512</v>
      </c>
      <c r="D649" s="17" t="s">
        <v>2513</v>
      </c>
      <c r="E649" s="16" t="s">
        <v>11429</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45">
      <c r="A650" s="15" t="s">
        <v>5834</v>
      </c>
      <c r="B650" s="16" t="s">
        <v>5</v>
      </c>
      <c r="C650" s="17" t="s">
        <v>2515</v>
      </c>
      <c r="D650" s="17" t="s">
        <v>2516</v>
      </c>
      <c r="E650" s="16" t="s">
        <v>11429</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45">
      <c r="A651" s="15" t="s">
        <v>5837</v>
      </c>
      <c r="B651" s="16" t="s">
        <v>5</v>
      </c>
      <c r="C651" s="17" t="s">
        <v>2518</v>
      </c>
      <c r="D651" s="17" t="s">
        <v>2519</v>
      </c>
      <c r="E651" s="16" t="s">
        <v>11429</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45">
      <c r="A652" s="15" t="s">
        <v>5852</v>
      </c>
      <c r="B652" s="16" t="s">
        <v>5</v>
      </c>
      <c r="C652" s="17" t="s">
        <v>2522</v>
      </c>
      <c r="D652" s="17" t="s">
        <v>2523</v>
      </c>
      <c r="E652" s="16" t="s">
        <v>11429</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45">
      <c r="A653" s="15" t="s">
        <v>5894</v>
      </c>
      <c r="B653" s="16" t="s">
        <v>5</v>
      </c>
      <c r="C653" s="17" t="s">
        <v>2525</v>
      </c>
      <c r="D653" s="17" t="s">
        <v>2526</v>
      </c>
      <c r="E653" s="16" t="s">
        <v>11429</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45">
      <c r="A654" s="15" t="s">
        <v>6011</v>
      </c>
      <c r="B654" s="16" t="s">
        <v>5</v>
      </c>
      <c r="C654" s="17" t="s">
        <v>2528</v>
      </c>
      <c r="D654" s="17" t="s">
        <v>2529</v>
      </c>
      <c r="E654" s="16" t="s">
        <v>11429</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45">
      <c r="A655" s="15" t="s">
        <v>6068</v>
      </c>
      <c r="B655" s="16" t="s">
        <v>5</v>
      </c>
      <c r="C655" s="17" t="s">
        <v>2531</v>
      </c>
      <c r="D655" s="17" t="s">
        <v>2532</v>
      </c>
      <c r="E655" s="16" t="s">
        <v>11429</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45">
      <c r="A656" s="15" t="s">
        <v>6104</v>
      </c>
      <c r="B656" s="16" t="s">
        <v>5</v>
      </c>
      <c r="C656" s="17" t="s">
        <v>2534</v>
      </c>
      <c r="D656" s="17" t="s">
        <v>2535</v>
      </c>
      <c r="E656" s="16" t="s">
        <v>11429</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45">
      <c r="A657" s="15" t="s">
        <v>6230</v>
      </c>
      <c r="B657" s="16" t="s">
        <v>5</v>
      </c>
      <c r="C657" s="17" t="s">
        <v>2537</v>
      </c>
      <c r="D657" s="17" t="s">
        <v>2538</v>
      </c>
      <c r="E657" s="16" t="s">
        <v>11429</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45">
      <c r="A658" s="15" t="s">
        <v>6577</v>
      </c>
      <c r="B658" s="16" t="s">
        <v>5</v>
      </c>
      <c r="C658" s="17" t="s">
        <v>2540</v>
      </c>
      <c r="D658" s="17" t="s">
        <v>2541</v>
      </c>
      <c r="E658" s="15" t="s">
        <v>11429</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45">
      <c r="A659" s="15" t="s">
        <v>5939</v>
      </c>
      <c r="B659" s="16" t="s">
        <v>5</v>
      </c>
      <c r="C659" s="17" t="s">
        <v>2543</v>
      </c>
      <c r="D659" s="17" t="s">
        <v>2544</v>
      </c>
      <c r="E659" s="16" t="s">
        <v>11429</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45">
      <c r="A660" s="15" t="s">
        <v>9040</v>
      </c>
      <c r="B660" s="16" t="s">
        <v>5</v>
      </c>
      <c r="C660" s="17" t="s">
        <v>2546</v>
      </c>
      <c r="D660" s="17" t="s">
        <v>2547</v>
      </c>
      <c r="E660" s="16" t="s">
        <v>11438</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45">
      <c r="A661" s="15" t="s">
        <v>9058</v>
      </c>
      <c r="B661" s="16" t="s">
        <v>5</v>
      </c>
      <c r="C661" s="17" t="s">
        <v>2549</v>
      </c>
      <c r="D661" s="17" t="s">
        <v>2550</v>
      </c>
      <c r="E661" s="16" t="s">
        <v>11438</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45">
      <c r="A662" s="15" t="s">
        <v>9076</v>
      </c>
      <c r="B662" s="16" t="s">
        <v>5</v>
      </c>
      <c r="C662" s="17" t="s">
        <v>2552</v>
      </c>
      <c r="D662" s="17" t="s">
        <v>2553</v>
      </c>
      <c r="E662" s="16" t="s">
        <v>11438</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45">
      <c r="A663" s="15" t="s">
        <v>9142</v>
      </c>
      <c r="B663" s="16" t="s">
        <v>5</v>
      </c>
      <c r="C663" s="17" t="s">
        <v>2555</v>
      </c>
      <c r="D663" s="17" t="s">
        <v>2556</v>
      </c>
      <c r="E663" s="16" t="s">
        <v>11438</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45">
      <c r="A664" s="15" t="s">
        <v>9193</v>
      </c>
      <c r="B664" s="16" t="s">
        <v>5</v>
      </c>
      <c r="C664" s="17" t="s">
        <v>2558</v>
      </c>
      <c r="D664" s="17" t="s">
        <v>2559</v>
      </c>
      <c r="E664" s="16" t="s">
        <v>11438</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45">
      <c r="A665" s="15" t="s">
        <v>9220</v>
      </c>
      <c r="B665" s="16" t="s">
        <v>5</v>
      </c>
      <c r="C665" s="17" t="s">
        <v>2561</v>
      </c>
      <c r="D665" s="17" t="s">
        <v>2562</v>
      </c>
      <c r="E665" s="16" t="s">
        <v>11422</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45">
      <c r="A666" s="15" t="s">
        <v>9157</v>
      </c>
      <c r="B666" s="16" t="s">
        <v>5</v>
      </c>
      <c r="C666" s="17" t="s">
        <v>2564</v>
      </c>
      <c r="D666" s="17" t="s">
        <v>2565</v>
      </c>
      <c r="E666" s="16" t="s">
        <v>11438</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45">
      <c r="A667" s="15" t="s">
        <v>9217</v>
      </c>
      <c r="B667" s="16" t="s">
        <v>5</v>
      </c>
      <c r="C667" s="17" t="s">
        <v>2567</v>
      </c>
      <c r="D667" s="17" t="s">
        <v>2568</v>
      </c>
      <c r="E667" s="16" t="s">
        <v>11422</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45">
      <c r="A668" s="15" t="s">
        <v>9262</v>
      </c>
      <c r="B668" s="16" t="s">
        <v>5</v>
      </c>
      <c r="C668" s="17" t="s">
        <v>2570</v>
      </c>
      <c r="D668" s="17" t="s">
        <v>2571</v>
      </c>
      <c r="E668" s="16" t="s">
        <v>11422</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45">
      <c r="A669" s="15" t="s">
        <v>1458</v>
      </c>
      <c r="B669" s="16" t="s">
        <v>5</v>
      </c>
      <c r="C669" s="17" t="s">
        <v>2573</v>
      </c>
      <c r="D669" s="17" t="s">
        <v>2574</v>
      </c>
      <c r="E669" s="16" t="s">
        <v>11422</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45">
      <c r="A670" s="15" t="s">
        <v>1418</v>
      </c>
      <c r="B670" s="16" t="s">
        <v>5</v>
      </c>
      <c r="C670" s="17" t="s">
        <v>2576</v>
      </c>
      <c r="D670" s="17" t="s">
        <v>2577</v>
      </c>
      <c r="E670" s="16" t="s">
        <v>11438</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45">
      <c r="A671" s="15" t="s">
        <v>1475</v>
      </c>
      <c r="B671" s="16" t="s">
        <v>5</v>
      </c>
      <c r="C671" s="17" t="s">
        <v>2579</v>
      </c>
      <c r="D671" s="17" t="s">
        <v>2580</v>
      </c>
      <c r="E671" s="16" t="s">
        <v>11437</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45">
      <c r="A672" s="15" t="s">
        <v>1671</v>
      </c>
      <c r="B672" s="16" t="s">
        <v>5</v>
      </c>
      <c r="C672" s="17" t="s">
        <v>2582</v>
      </c>
      <c r="D672" s="17" t="s">
        <v>2583</v>
      </c>
      <c r="E672" s="16" t="s">
        <v>11438</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45">
      <c r="A673" s="15" t="s">
        <v>8827</v>
      </c>
      <c r="B673" s="16" t="s">
        <v>5</v>
      </c>
      <c r="C673" s="17" t="s">
        <v>2585</v>
      </c>
      <c r="D673" s="17" t="s">
        <v>2586</v>
      </c>
      <c r="E673" s="16" t="s">
        <v>11422</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45">
      <c r="A674" s="15" t="s">
        <v>2111</v>
      </c>
      <c r="B674" s="16" t="s">
        <v>5</v>
      </c>
      <c r="C674" s="17" t="s">
        <v>2588</v>
      </c>
      <c r="D674" s="17" t="s">
        <v>2589</v>
      </c>
      <c r="E674" s="16" t="s">
        <v>11437</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45">
      <c r="A675" s="15" t="s">
        <v>2557</v>
      </c>
      <c r="B675" s="16" t="s">
        <v>5</v>
      </c>
      <c r="C675" s="17" t="s">
        <v>2591</v>
      </c>
      <c r="D675" s="17" t="s">
        <v>2592</v>
      </c>
      <c r="E675" s="16" t="s">
        <v>11438</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45">
      <c r="A676" s="15" t="s">
        <v>2047</v>
      </c>
      <c r="B676" s="16" t="s">
        <v>5</v>
      </c>
      <c r="C676" s="17" t="s">
        <v>2594</v>
      </c>
      <c r="D676" s="17" t="s">
        <v>2595</v>
      </c>
      <c r="E676" s="16" t="s">
        <v>11429</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45">
      <c r="A677" s="15" t="s">
        <v>1598</v>
      </c>
      <c r="B677" s="16" t="s">
        <v>5</v>
      </c>
      <c r="C677" s="17" t="s">
        <v>2597</v>
      </c>
      <c r="D677" s="17" t="s">
        <v>2598</v>
      </c>
      <c r="E677" s="16" t="s">
        <v>11438</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45">
      <c r="A678" s="15" t="s">
        <v>1564</v>
      </c>
      <c r="B678" s="16" t="s">
        <v>5</v>
      </c>
      <c r="C678" s="17" t="s">
        <v>2600</v>
      </c>
      <c r="D678" s="17" t="s">
        <v>2601</v>
      </c>
      <c r="E678" s="16" t="s">
        <v>11438</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45">
      <c r="A679" s="15" t="s">
        <v>1647</v>
      </c>
      <c r="B679" s="16" t="s">
        <v>5</v>
      </c>
      <c r="C679" s="17" t="s">
        <v>2603</v>
      </c>
      <c r="D679" s="17" t="s">
        <v>2604</v>
      </c>
      <c r="E679" s="15" t="s">
        <v>11436</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45">
      <c r="A680" s="15" t="s">
        <v>1701</v>
      </c>
      <c r="B680" s="16" t="s">
        <v>5</v>
      </c>
      <c r="C680" s="17" t="s">
        <v>2606</v>
      </c>
      <c r="D680" s="17" t="s">
        <v>2607</v>
      </c>
      <c r="E680" s="16" t="s">
        <v>11414</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45">
      <c r="A681" s="15" t="s">
        <v>1804</v>
      </c>
      <c r="B681" s="16" t="s">
        <v>5</v>
      </c>
      <c r="C681" s="17" t="s">
        <v>2609</v>
      </c>
      <c r="D681" s="17" t="s">
        <v>2610</v>
      </c>
      <c r="E681" s="16" t="s">
        <v>11419</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45">
      <c r="A682" s="15" t="s">
        <v>1813</v>
      </c>
      <c r="B682" s="16" t="s">
        <v>5</v>
      </c>
      <c r="C682" s="17" t="s">
        <v>2612</v>
      </c>
      <c r="D682" s="17" t="s">
        <v>2613</v>
      </c>
      <c r="E682" s="16" t="s">
        <v>11414</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45">
      <c r="A683" s="15" t="s">
        <v>1762</v>
      </c>
      <c r="B683" s="16" t="s">
        <v>5</v>
      </c>
      <c r="C683" s="17" t="s">
        <v>2615</v>
      </c>
      <c r="D683" s="17" t="s">
        <v>2616</v>
      </c>
      <c r="E683" s="16" t="s">
        <v>11419</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45">
      <c r="A684" s="15" t="s">
        <v>1771</v>
      </c>
      <c r="B684" s="16" t="s">
        <v>5</v>
      </c>
      <c r="C684" s="17" t="s">
        <v>2618</v>
      </c>
      <c r="D684" s="17" t="s">
        <v>2619</v>
      </c>
      <c r="E684" s="16" t="s">
        <v>11419</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45">
      <c r="A685" s="15" t="s">
        <v>1798</v>
      </c>
      <c r="B685" s="16" t="s">
        <v>5</v>
      </c>
      <c r="C685" s="17" t="s">
        <v>2621</v>
      </c>
      <c r="D685" s="17" t="s">
        <v>2622</v>
      </c>
      <c r="E685" s="16" t="s">
        <v>11414</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45">
      <c r="A686" s="15" t="s">
        <v>1765</v>
      </c>
      <c r="B686" s="16" t="s">
        <v>5</v>
      </c>
      <c r="C686" s="17" t="s">
        <v>2624</v>
      </c>
      <c r="D686" s="17" t="s">
        <v>2625</v>
      </c>
      <c r="E686" s="16" t="s">
        <v>11422</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45">
      <c r="A687" s="15" t="s">
        <v>1698</v>
      </c>
      <c r="B687" s="16" t="s">
        <v>5</v>
      </c>
      <c r="C687" s="17" t="s">
        <v>2627</v>
      </c>
      <c r="D687" s="17" t="s">
        <v>2628</v>
      </c>
      <c r="E687" s="16" t="s">
        <v>11437</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45">
      <c r="A688" s="15" t="s">
        <v>2836</v>
      </c>
      <c r="B688" s="16" t="s">
        <v>5</v>
      </c>
      <c r="C688" s="17" t="s">
        <v>2630</v>
      </c>
      <c r="D688" s="17" t="s">
        <v>2631</v>
      </c>
      <c r="E688" s="16" t="s">
        <v>11437</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45">
      <c r="A689" s="15" t="s">
        <v>692</v>
      </c>
      <c r="B689" s="16" t="s">
        <v>183</v>
      </c>
      <c r="C689" s="17" t="s">
        <v>2633</v>
      </c>
      <c r="D689" s="17" t="s">
        <v>2634</v>
      </c>
      <c r="E689" s="16" t="s">
        <v>11422</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45">
      <c r="A690" s="15" t="s">
        <v>716</v>
      </c>
      <c r="B690" s="16" t="s">
        <v>183</v>
      </c>
      <c r="C690" s="17" t="s">
        <v>2636</v>
      </c>
      <c r="D690" s="17" t="s">
        <v>2637</v>
      </c>
      <c r="E690" s="16" t="s">
        <v>11429</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45">
      <c r="A691" s="15" t="s">
        <v>6194</v>
      </c>
      <c r="B691" s="16" t="s">
        <v>5</v>
      </c>
      <c r="C691" s="17" t="s">
        <v>2639</v>
      </c>
      <c r="D691" s="17" t="s">
        <v>2640</v>
      </c>
      <c r="E691" s="16" t="s">
        <v>11419</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45">
      <c r="A692" s="15" t="s">
        <v>6355</v>
      </c>
      <c r="B692" s="16" t="s">
        <v>5</v>
      </c>
      <c r="C692" s="17" t="s">
        <v>2642</v>
      </c>
      <c r="D692" s="17" t="s">
        <v>2643</v>
      </c>
      <c r="E692" s="16" t="s">
        <v>11419</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45">
      <c r="A693" s="15" t="s">
        <v>6382</v>
      </c>
      <c r="B693" s="16" t="s">
        <v>5</v>
      </c>
      <c r="C693" s="17" t="s">
        <v>2645</v>
      </c>
      <c r="D693" s="17" t="s">
        <v>2646</v>
      </c>
      <c r="E693" s="16" t="s">
        <v>11419</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45">
      <c r="A694" s="15" t="s">
        <v>6433</v>
      </c>
      <c r="B694" s="16" t="s">
        <v>5</v>
      </c>
      <c r="C694" s="17" t="s">
        <v>2648</v>
      </c>
      <c r="D694" s="17" t="s">
        <v>2649</v>
      </c>
      <c r="E694" s="16" t="s">
        <v>11419</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45">
      <c r="A695" s="15" t="s">
        <v>7441</v>
      </c>
      <c r="B695" s="16" t="s">
        <v>5</v>
      </c>
      <c r="C695" s="17" t="s">
        <v>2651</v>
      </c>
      <c r="D695" s="17" t="s">
        <v>2652</v>
      </c>
      <c r="E695" s="16" t="s">
        <v>11419</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45">
      <c r="A696" s="15" t="s">
        <v>7819</v>
      </c>
      <c r="B696" s="16" t="s">
        <v>5</v>
      </c>
      <c r="C696" s="17" t="s">
        <v>2654</v>
      </c>
      <c r="D696" s="17" t="s">
        <v>2655</v>
      </c>
      <c r="E696" s="16" t="s">
        <v>11419</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45">
      <c r="A697" s="15" t="s">
        <v>5528</v>
      </c>
      <c r="B697" s="16" t="s">
        <v>5</v>
      </c>
      <c r="C697" s="17" t="s">
        <v>2657</v>
      </c>
      <c r="D697" s="17" t="s">
        <v>2658</v>
      </c>
      <c r="E697" s="16" t="s">
        <v>11419</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45">
      <c r="A698" s="15" t="s">
        <v>5780</v>
      </c>
      <c r="B698" s="16" t="s">
        <v>5</v>
      </c>
      <c r="C698" s="17" t="s">
        <v>2660</v>
      </c>
      <c r="D698" s="17" t="s">
        <v>2661</v>
      </c>
      <c r="E698" s="16" t="s">
        <v>11419</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45">
      <c r="A699" s="15" t="s">
        <v>5840</v>
      </c>
      <c r="B699" s="16" t="s">
        <v>5</v>
      </c>
      <c r="C699" s="17" t="s">
        <v>2663</v>
      </c>
      <c r="D699" s="17" t="s">
        <v>2664</v>
      </c>
      <c r="E699" s="16" t="s">
        <v>11419</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45">
      <c r="A700" s="15" t="s">
        <v>6325</v>
      </c>
      <c r="B700" s="16" t="s">
        <v>5</v>
      </c>
      <c r="C700" s="17" t="s">
        <v>2666</v>
      </c>
      <c r="D700" s="17" t="s">
        <v>2667</v>
      </c>
      <c r="E700" s="16" t="s">
        <v>11419</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45">
      <c r="A701" s="15" t="s">
        <v>7471</v>
      </c>
      <c r="B701" s="16" t="s">
        <v>5</v>
      </c>
      <c r="C701" s="17" t="s">
        <v>2669</v>
      </c>
      <c r="D701" s="17" t="s">
        <v>2670</v>
      </c>
      <c r="E701" s="16" t="s">
        <v>11419</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45">
      <c r="A702" s="15" t="s">
        <v>7585</v>
      </c>
      <c r="B702" s="16" t="s">
        <v>5</v>
      </c>
      <c r="C702" s="17" t="s">
        <v>2672</v>
      </c>
      <c r="D702" s="17" t="s">
        <v>2673</v>
      </c>
      <c r="E702" s="16" t="s">
        <v>11419</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45">
      <c r="A703" s="15" t="s">
        <v>7699</v>
      </c>
      <c r="B703" s="16" t="s">
        <v>5</v>
      </c>
      <c r="C703" s="17" t="s">
        <v>2675</v>
      </c>
      <c r="D703" s="17" t="s">
        <v>2676</v>
      </c>
      <c r="E703" s="16" t="s">
        <v>11419</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45">
      <c r="A704" s="15" t="s">
        <v>7750</v>
      </c>
      <c r="B704" s="16" t="s">
        <v>5</v>
      </c>
      <c r="C704" s="17" t="s">
        <v>2678</v>
      </c>
      <c r="D704" s="17" t="s">
        <v>2679</v>
      </c>
      <c r="E704" s="16" t="s">
        <v>11419</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45">
      <c r="A705" s="15" t="s">
        <v>7822</v>
      </c>
      <c r="B705" s="16" t="s">
        <v>5</v>
      </c>
      <c r="C705" s="17" t="s">
        <v>2681</v>
      </c>
      <c r="D705" s="17" t="s">
        <v>2682</v>
      </c>
      <c r="E705" s="16" t="s">
        <v>11419</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45">
      <c r="A706" s="15" t="s">
        <v>5909</v>
      </c>
      <c r="B706" s="16" t="s">
        <v>5</v>
      </c>
      <c r="C706" s="17" t="s">
        <v>2684</v>
      </c>
      <c r="D706" s="17" t="s">
        <v>2685</v>
      </c>
      <c r="E706" s="16" t="s">
        <v>11419</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45">
      <c r="A707" s="15" t="s">
        <v>5969</v>
      </c>
      <c r="B707" s="16" t="s">
        <v>5</v>
      </c>
      <c r="C707" s="17" t="s">
        <v>2687</v>
      </c>
      <c r="D707" s="17" t="s">
        <v>2688</v>
      </c>
      <c r="E707" s="16" t="s">
        <v>11419</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45">
      <c r="A708" s="15" t="s">
        <v>7468</v>
      </c>
      <c r="B708" s="16" t="s">
        <v>5</v>
      </c>
      <c r="C708" s="17" t="s">
        <v>2690</v>
      </c>
      <c r="D708" s="17" t="s">
        <v>2691</v>
      </c>
      <c r="E708" s="16" t="s">
        <v>11419</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45">
      <c r="A709" s="15" t="s">
        <v>7525</v>
      </c>
      <c r="B709" s="16" t="s">
        <v>5</v>
      </c>
      <c r="C709" s="17" t="s">
        <v>2693</v>
      </c>
      <c r="D709" s="17" t="s">
        <v>2694</v>
      </c>
      <c r="E709" s="16" t="s">
        <v>11419</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45">
      <c r="A710" s="15" t="s">
        <v>7765</v>
      </c>
      <c r="B710" s="16" t="s">
        <v>5</v>
      </c>
      <c r="C710" s="17" t="s">
        <v>2696</v>
      </c>
      <c r="D710" s="17" t="s">
        <v>2697</v>
      </c>
      <c r="E710" s="16" t="s">
        <v>11419</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45">
      <c r="A711" s="15" t="s">
        <v>6766</v>
      </c>
      <c r="B711" s="16" t="s">
        <v>5</v>
      </c>
      <c r="C711" s="17" t="s">
        <v>2699</v>
      </c>
      <c r="D711" s="17" t="s">
        <v>2700</v>
      </c>
      <c r="E711" s="16" t="s">
        <v>11419</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45">
      <c r="A712" s="15" t="s">
        <v>7876</v>
      </c>
      <c r="B712" s="16" t="s">
        <v>5</v>
      </c>
      <c r="C712" s="17" t="s">
        <v>2702</v>
      </c>
      <c r="D712" s="17" t="s">
        <v>2703</v>
      </c>
      <c r="E712" s="16" t="s">
        <v>11419</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45">
      <c r="A713" s="15" t="s">
        <v>5468</v>
      </c>
      <c r="B713" s="16" t="s">
        <v>5</v>
      </c>
      <c r="C713" s="17" t="s">
        <v>2705</v>
      </c>
      <c r="D713" s="17" t="s">
        <v>2706</v>
      </c>
      <c r="E713" s="16" t="s">
        <v>11419</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45">
      <c r="A714" s="15" t="s">
        <v>6409</v>
      </c>
      <c r="B714" s="16" t="s">
        <v>5</v>
      </c>
      <c r="C714" s="17" t="s">
        <v>2708</v>
      </c>
      <c r="D714" s="17" t="s">
        <v>2709</v>
      </c>
      <c r="E714" s="16" t="s">
        <v>11419</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45">
      <c r="A715" s="15" t="s">
        <v>7264</v>
      </c>
      <c r="B715" s="16" t="s">
        <v>5</v>
      </c>
      <c r="C715" s="17" t="s">
        <v>2711</v>
      </c>
      <c r="D715" s="17" t="s">
        <v>2712</v>
      </c>
      <c r="E715" s="16" t="s">
        <v>11419</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45">
      <c r="A716" s="15" t="s">
        <v>8335</v>
      </c>
      <c r="B716" s="16" t="s">
        <v>5</v>
      </c>
      <c r="C716" s="17" t="s">
        <v>2714</v>
      </c>
      <c r="D716" s="17" t="s">
        <v>2715</v>
      </c>
      <c r="E716" s="16" t="s">
        <v>11419</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45">
      <c r="A717" s="15" t="s">
        <v>4295</v>
      </c>
      <c r="B717" s="16" t="s">
        <v>5</v>
      </c>
      <c r="C717" s="17" t="s">
        <v>2717</v>
      </c>
      <c r="D717" s="17" t="s">
        <v>2718</v>
      </c>
      <c r="E717" s="16" t="s">
        <v>11419</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45">
      <c r="A718" s="15" t="s">
        <v>4601</v>
      </c>
      <c r="B718" s="16" t="s">
        <v>5</v>
      </c>
      <c r="C718" s="17" t="s">
        <v>2720</v>
      </c>
      <c r="D718" s="17" t="s">
        <v>2721</v>
      </c>
      <c r="E718" s="16" t="s">
        <v>11419</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45">
      <c r="A719" s="15" t="s">
        <v>4649</v>
      </c>
      <c r="B719" s="16" t="s">
        <v>5</v>
      </c>
      <c r="C719" s="17" t="s">
        <v>2723</v>
      </c>
      <c r="D719" s="17" t="s">
        <v>2724</v>
      </c>
      <c r="E719" s="16" t="s">
        <v>11419</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45">
      <c r="A720" s="15" t="s">
        <v>4658</v>
      </c>
      <c r="B720" s="16" t="s">
        <v>5</v>
      </c>
      <c r="C720" s="17" t="s">
        <v>2726</v>
      </c>
      <c r="D720" s="17" t="s">
        <v>2727</v>
      </c>
      <c r="E720" s="16" t="s">
        <v>11419</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45">
      <c r="A721" s="15" t="s">
        <v>4727</v>
      </c>
      <c r="B721" s="16" t="s">
        <v>5</v>
      </c>
      <c r="C721" s="17" t="s">
        <v>2729</v>
      </c>
      <c r="D721" s="17" t="s">
        <v>2730</v>
      </c>
      <c r="E721" s="15" t="s">
        <v>11419</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45">
      <c r="A722" s="15" t="s">
        <v>4886</v>
      </c>
      <c r="B722" s="16" t="s">
        <v>5</v>
      </c>
      <c r="C722" s="17" t="s">
        <v>2732</v>
      </c>
      <c r="D722" s="17" t="s">
        <v>2733</v>
      </c>
      <c r="E722" s="16" t="s">
        <v>11419</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45">
      <c r="A723" s="15" t="s">
        <v>4928</v>
      </c>
      <c r="B723" s="16" t="s">
        <v>5</v>
      </c>
      <c r="C723" s="17" t="s">
        <v>2735</v>
      </c>
      <c r="D723" s="17" t="s">
        <v>2736</v>
      </c>
      <c r="E723" s="16" t="s">
        <v>11419</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45">
      <c r="A724" s="15" t="s">
        <v>5078</v>
      </c>
      <c r="B724" s="16" t="s">
        <v>5</v>
      </c>
      <c r="C724" s="17" t="s">
        <v>2738</v>
      </c>
      <c r="D724" s="17" t="s">
        <v>2739</v>
      </c>
      <c r="E724" s="16" t="s">
        <v>11419</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45">
      <c r="A725" s="15" t="s">
        <v>5342</v>
      </c>
      <c r="B725" s="16" t="s">
        <v>5</v>
      </c>
      <c r="C725" s="17" t="s">
        <v>2741</v>
      </c>
      <c r="D725" s="17" t="s">
        <v>2742</v>
      </c>
      <c r="E725" s="16" t="s">
        <v>11419</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45">
      <c r="A726" s="15" t="s">
        <v>5420</v>
      </c>
      <c r="B726" s="16" t="s">
        <v>5</v>
      </c>
      <c r="C726" s="17" t="s">
        <v>2744</v>
      </c>
      <c r="D726" s="17" t="s">
        <v>2745</v>
      </c>
      <c r="E726" s="16" t="s">
        <v>11419</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45">
      <c r="A727" s="15" t="s">
        <v>5483</v>
      </c>
      <c r="B727" s="16" t="s">
        <v>5</v>
      </c>
      <c r="C727" s="17" t="s">
        <v>2747</v>
      </c>
      <c r="D727" s="17" t="s">
        <v>2748</v>
      </c>
      <c r="E727" s="16" t="s">
        <v>11419</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45">
      <c r="A728" s="15" t="s">
        <v>5705</v>
      </c>
      <c r="B728" s="16" t="s">
        <v>5</v>
      </c>
      <c r="C728" s="17" t="s">
        <v>2750</v>
      </c>
      <c r="D728" s="17" t="s">
        <v>2751</v>
      </c>
      <c r="E728" s="16" t="s">
        <v>11419</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45">
      <c r="A729" s="15" t="s">
        <v>6008</v>
      </c>
      <c r="B729" s="16" t="s">
        <v>5</v>
      </c>
      <c r="C729" s="17" t="s">
        <v>2753</v>
      </c>
      <c r="D729" s="17" t="s">
        <v>2754</v>
      </c>
      <c r="E729" s="16" t="s">
        <v>11419</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45">
      <c r="A730" s="15" t="s">
        <v>6373</v>
      </c>
      <c r="B730" s="16" t="s">
        <v>5</v>
      </c>
      <c r="C730" s="17" t="s">
        <v>2756</v>
      </c>
      <c r="D730" s="17" t="s">
        <v>2757</v>
      </c>
      <c r="E730" s="16" t="s">
        <v>11419</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45">
      <c r="A731" s="15" t="s">
        <v>6613</v>
      </c>
      <c r="B731" s="16" t="s">
        <v>5</v>
      </c>
      <c r="C731" s="17" t="s">
        <v>2759</v>
      </c>
      <c r="D731" s="17" t="s">
        <v>2760</v>
      </c>
      <c r="E731" s="16" t="s">
        <v>11419</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45">
      <c r="A732" s="15" t="s">
        <v>6619</v>
      </c>
      <c r="B732" s="16" t="s">
        <v>5</v>
      </c>
      <c r="C732" s="17" t="s">
        <v>2762</v>
      </c>
      <c r="D732" s="17" t="s">
        <v>2763</v>
      </c>
      <c r="E732" s="16" t="s">
        <v>11419</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45">
      <c r="A733" s="15" t="s">
        <v>6658</v>
      </c>
      <c r="B733" s="16" t="s">
        <v>5</v>
      </c>
      <c r="C733" s="17" t="s">
        <v>2765</v>
      </c>
      <c r="D733" s="17" t="s">
        <v>2766</v>
      </c>
      <c r="E733" s="16" t="s">
        <v>11419</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45">
      <c r="A734" s="15" t="s">
        <v>6763</v>
      </c>
      <c r="B734" s="16" t="s">
        <v>5</v>
      </c>
      <c r="C734" s="17" t="s">
        <v>2768</v>
      </c>
      <c r="D734" s="17" t="s">
        <v>2769</v>
      </c>
      <c r="E734" s="16" t="s">
        <v>11419</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45">
      <c r="A735" s="15" t="s">
        <v>7171</v>
      </c>
      <c r="B735" s="16" t="s">
        <v>5</v>
      </c>
      <c r="C735" s="17" t="s">
        <v>2771</v>
      </c>
      <c r="D735" s="17" t="s">
        <v>2772</v>
      </c>
      <c r="E735" s="16" t="s">
        <v>11419</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45">
      <c r="A736" s="15" t="s">
        <v>8071</v>
      </c>
      <c r="B736" s="16" t="s">
        <v>5</v>
      </c>
      <c r="C736" s="17" t="s">
        <v>2774</v>
      </c>
      <c r="D736" s="17" t="s">
        <v>2775</v>
      </c>
      <c r="E736" s="16" t="s">
        <v>11419</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45">
      <c r="A737" s="15" t="s">
        <v>9016</v>
      </c>
      <c r="B737" s="16" t="s">
        <v>5</v>
      </c>
      <c r="C737" s="17" t="s">
        <v>2777</v>
      </c>
      <c r="D737" s="17" t="s">
        <v>2778</v>
      </c>
      <c r="E737" s="16" t="s">
        <v>11419</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45">
      <c r="A738" s="15" t="s">
        <v>9061</v>
      </c>
      <c r="B738" s="16" t="s">
        <v>5</v>
      </c>
      <c r="C738" s="17" t="s">
        <v>2780</v>
      </c>
      <c r="D738" s="17" t="s">
        <v>2781</v>
      </c>
      <c r="E738" s="16" t="s">
        <v>11419</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45">
      <c r="A739" s="15" t="s">
        <v>1469</v>
      </c>
      <c r="B739" s="16" t="s">
        <v>5</v>
      </c>
      <c r="C739" s="17" t="s">
        <v>2783</v>
      </c>
      <c r="D739" s="17" t="s">
        <v>2784</v>
      </c>
      <c r="E739" s="16" t="s">
        <v>11419</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45">
      <c r="A740" s="15" t="s">
        <v>1579</v>
      </c>
      <c r="B740" s="16" t="s">
        <v>5</v>
      </c>
      <c r="C740" s="17" t="s">
        <v>2786</v>
      </c>
      <c r="D740" s="17" t="s">
        <v>2787</v>
      </c>
      <c r="E740" s="16" t="s">
        <v>11419</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45">
      <c r="A741" s="15" t="s">
        <v>734</v>
      </c>
      <c r="B741" s="16" t="s">
        <v>183</v>
      </c>
      <c r="C741" s="17" t="s">
        <v>2789</v>
      </c>
      <c r="D741" s="17" t="s">
        <v>2790</v>
      </c>
      <c r="E741" s="15" t="s">
        <v>11419</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45">
      <c r="A742" s="15" t="s">
        <v>9313</v>
      </c>
      <c r="B742" s="16" t="s">
        <v>5</v>
      </c>
      <c r="C742" s="17" t="s">
        <v>2792</v>
      </c>
      <c r="D742" s="17" t="s">
        <v>2793</v>
      </c>
      <c r="E742" s="16" t="s">
        <v>11426</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45">
      <c r="A743" s="15" t="s">
        <v>9322</v>
      </c>
      <c r="B743" s="16" t="s">
        <v>5</v>
      </c>
      <c r="C743" s="17" t="s">
        <v>2795</v>
      </c>
      <c r="D743" s="17" t="s">
        <v>2796</v>
      </c>
      <c r="E743" s="16" t="s">
        <v>11426</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45">
      <c r="A744" s="15" t="s">
        <v>6916</v>
      </c>
      <c r="B744" s="16" t="s">
        <v>5</v>
      </c>
      <c r="C744" s="17" t="s">
        <v>2798</v>
      </c>
      <c r="D744" s="17" t="s">
        <v>2799</v>
      </c>
      <c r="E744" s="16" t="s">
        <v>11426</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45">
      <c r="A745" s="15" t="s">
        <v>9316</v>
      </c>
      <c r="B745" s="16" t="s">
        <v>5</v>
      </c>
      <c r="C745" s="17" t="s">
        <v>2801</v>
      </c>
      <c r="D745" s="17" t="s">
        <v>2802</v>
      </c>
      <c r="E745" s="16" t="s">
        <v>11426</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45">
      <c r="A746" s="15" t="s">
        <v>7261</v>
      </c>
      <c r="B746" s="16" t="s">
        <v>5</v>
      </c>
      <c r="C746" s="17" t="s">
        <v>2804</v>
      </c>
      <c r="D746" s="17" t="s">
        <v>2805</v>
      </c>
      <c r="E746" s="16" t="s">
        <v>11426</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45">
      <c r="A747" s="15" t="s">
        <v>9295</v>
      </c>
      <c r="B747" s="16" t="s">
        <v>5</v>
      </c>
      <c r="C747" s="17" t="s">
        <v>2807</v>
      </c>
      <c r="D747" s="17" t="s">
        <v>2808</v>
      </c>
      <c r="E747" s="16" t="s">
        <v>11426</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45">
      <c r="A748" s="15" t="s">
        <v>7138</v>
      </c>
      <c r="B748" s="16" t="s">
        <v>5</v>
      </c>
      <c r="C748" s="17" t="s">
        <v>2810</v>
      </c>
      <c r="D748" s="17" t="s">
        <v>2811</v>
      </c>
      <c r="E748" s="16" t="s">
        <v>11426</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45">
      <c r="A749" s="15" t="s">
        <v>9331</v>
      </c>
      <c r="B749" s="16" t="s">
        <v>5</v>
      </c>
      <c r="C749" s="17" t="s">
        <v>2813</v>
      </c>
      <c r="D749" s="17" t="s">
        <v>2814</v>
      </c>
      <c r="E749" s="16" t="s">
        <v>11426</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45">
      <c r="A750" s="15" t="s">
        <v>9298</v>
      </c>
      <c r="B750" s="16" t="s">
        <v>5</v>
      </c>
      <c r="C750" s="17" t="s">
        <v>2816</v>
      </c>
      <c r="D750" s="17" t="s">
        <v>2817</v>
      </c>
      <c r="E750" s="16" t="s">
        <v>11426</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45">
      <c r="A751" s="15" t="s">
        <v>7165</v>
      </c>
      <c r="B751" s="16" t="s">
        <v>5</v>
      </c>
      <c r="C751" s="17" t="s">
        <v>2819</v>
      </c>
      <c r="D751" s="17" t="s">
        <v>2820</v>
      </c>
      <c r="E751" s="16" t="s">
        <v>11426</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45">
      <c r="A752" s="15" t="s">
        <v>9337</v>
      </c>
      <c r="B752" s="16" t="s">
        <v>5</v>
      </c>
      <c r="C752" s="17" t="s">
        <v>2822</v>
      </c>
      <c r="D752" s="17" t="s">
        <v>2823</v>
      </c>
      <c r="E752" s="16" t="s">
        <v>11426</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45">
      <c r="A753" s="15" t="s">
        <v>9328</v>
      </c>
      <c r="B753" s="16" t="s">
        <v>5</v>
      </c>
      <c r="C753" s="17" t="s">
        <v>2825</v>
      </c>
      <c r="D753" s="17" t="s">
        <v>2826</v>
      </c>
      <c r="E753" s="16" t="s">
        <v>11426</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45">
      <c r="A754" s="15" t="s">
        <v>6266</v>
      </c>
      <c r="B754" s="16" t="s">
        <v>5</v>
      </c>
      <c r="C754" s="17" t="s">
        <v>2828</v>
      </c>
      <c r="D754" s="17" t="s">
        <v>2829</v>
      </c>
      <c r="E754" s="16" t="s">
        <v>11426</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45">
      <c r="A755" s="15" t="s">
        <v>9346</v>
      </c>
      <c r="B755" s="16" t="s">
        <v>5</v>
      </c>
      <c r="C755" s="17" t="s">
        <v>2831</v>
      </c>
      <c r="D755" s="17" t="s">
        <v>2832</v>
      </c>
      <c r="E755" s="16" t="s">
        <v>11426</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45">
      <c r="A756" s="15" t="s">
        <v>9307</v>
      </c>
      <c r="B756" s="16" t="s">
        <v>5</v>
      </c>
      <c r="C756" s="17" t="s">
        <v>2834</v>
      </c>
      <c r="D756" s="17" t="s">
        <v>2835</v>
      </c>
      <c r="E756" s="16" t="s">
        <v>11426</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45">
      <c r="A757" s="15" t="s">
        <v>6445</v>
      </c>
      <c r="B757" s="16" t="s">
        <v>5</v>
      </c>
      <c r="C757" s="17" t="s">
        <v>2837</v>
      </c>
      <c r="D757" s="17" t="s">
        <v>2838</v>
      </c>
      <c r="E757" s="16" t="s">
        <v>11426</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45">
      <c r="A758" s="15" t="s">
        <v>9340</v>
      </c>
      <c r="B758" s="16" t="s">
        <v>5</v>
      </c>
      <c r="C758" s="17" t="s">
        <v>2840</v>
      </c>
      <c r="D758" s="17" t="s">
        <v>2841</v>
      </c>
      <c r="E758" s="16" t="s">
        <v>11426</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45">
      <c r="A759" s="15" t="s">
        <v>9325</v>
      </c>
      <c r="B759" s="16" t="s">
        <v>5</v>
      </c>
      <c r="C759" s="17" t="s">
        <v>2843</v>
      </c>
      <c r="D759" s="17" t="s">
        <v>2844</v>
      </c>
      <c r="E759" s="16" t="s">
        <v>11426</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45">
      <c r="A760" s="15" t="s">
        <v>6529</v>
      </c>
      <c r="B760" s="16" t="s">
        <v>5</v>
      </c>
      <c r="C760" s="17" t="s">
        <v>2846</v>
      </c>
      <c r="D760" s="17" t="s">
        <v>2847</v>
      </c>
      <c r="E760" s="16" t="s">
        <v>11426</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45">
      <c r="A761" s="15" t="s">
        <v>9310</v>
      </c>
      <c r="B761" s="16" t="s">
        <v>5</v>
      </c>
      <c r="C761" s="17" t="s">
        <v>2849</v>
      </c>
      <c r="D761" s="17" t="s">
        <v>2850</v>
      </c>
      <c r="E761" s="16" t="s">
        <v>11426</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45">
      <c r="A762" s="15" t="s">
        <v>9541</v>
      </c>
      <c r="B762" s="16" t="s">
        <v>5</v>
      </c>
      <c r="C762" s="17" t="s">
        <v>2852</v>
      </c>
      <c r="D762" s="17" t="s">
        <v>2853</v>
      </c>
      <c r="E762" s="16" t="s">
        <v>11426</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45">
      <c r="A763" s="15" t="s">
        <v>8110</v>
      </c>
      <c r="B763" s="16" t="s">
        <v>5</v>
      </c>
      <c r="C763" s="17" t="s">
        <v>2855</v>
      </c>
      <c r="D763" s="17" t="s">
        <v>2856</v>
      </c>
      <c r="E763" s="16" t="s">
        <v>11426</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45">
      <c r="A764" s="15" t="s">
        <v>8032</v>
      </c>
      <c r="B764" s="16" t="s">
        <v>5</v>
      </c>
      <c r="C764" s="17" t="s">
        <v>2858</v>
      </c>
      <c r="D764" s="17" t="s">
        <v>2859</v>
      </c>
      <c r="E764" s="16" t="s">
        <v>11426</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45">
      <c r="A765" s="15" t="s">
        <v>9319</v>
      </c>
      <c r="B765" s="16" t="s">
        <v>5</v>
      </c>
      <c r="C765" s="17" t="s">
        <v>2861</v>
      </c>
      <c r="D765" s="17" t="s">
        <v>2862</v>
      </c>
      <c r="E765" s="16" t="s">
        <v>11426</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45">
      <c r="A766" s="15" t="s">
        <v>8257</v>
      </c>
      <c r="B766" s="16" t="s">
        <v>5</v>
      </c>
      <c r="C766" s="17" t="s">
        <v>2864</v>
      </c>
      <c r="D766" s="17" t="s">
        <v>2865</v>
      </c>
      <c r="E766" s="16" t="s">
        <v>11426</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45">
      <c r="A767" s="15" t="s">
        <v>9334</v>
      </c>
      <c r="B767" s="16" t="s">
        <v>5</v>
      </c>
      <c r="C767" s="17" t="s">
        <v>2867</v>
      </c>
      <c r="D767" s="17" t="s">
        <v>2868</v>
      </c>
      <c r="E767" s="16" t="s">
        <v>11426</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45">
      <c r="A768" s="15" t="s">
        <v>8320</v>
      </c>
      <c r="B768" s="16" t="s">
        <v>5</v>
      </c>
      <c r="C768" s="17" t="s">
        <v>2870</v>
      </c>
      <c r="D768" s="17" t="s">
        <v>2871</v>
      </c>
      <c r="E768" s="16" t="s">
        <v>11426</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45">
      <c r="A769" s="15" t="s">
        <v>8350</v>
      </c>
      <c r="B769" s="16" t="s">
        <v>5</v>
      </c>
      <c r="C769" s="17" t="s">
        <v>2873</v>
      </c>
      <c r="D769" s="17" t="s">
        <v>2874</v>
      </c>
      <c r="E769" s="16" t="s">
        <v>11426</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45">
      <c r="A770" s="15" t="s">
        <v>9343</v>
      </c>
      <c r="B770" s="16" t="s">
        <v>5</v>
      </c>
      <c r="C770" s="17" t="s">
        <v>2876</v>
      </c>
      <c r="D770" s="17" t="s">
        <v>2877</v>
      </c>
      <c r="E770" s="16" t="s">
        <v>11426</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45">
      <c r="A771" s="15" t="s">
        <v>8428</v>
      </c>
      <c r="B771" s="16" t="s">
        <v>5</v>
      </c>
      <c r="C771" s="17" t="s">
        <v>2879</v>
      </c>
      <c r="D771" s="17" t="s">
        <v>2880</v>
      </c>
      <c r="E771" s="16" t="s">
        <v>11426</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45">
      <c r="A772" s="15" t="s">
        <v>8605</v>
      </c>
      <c r="B772" s="16" t="s">
        <v>5</v>
      </c>
      <c r="C772" s="17" t="s">
        <v>2882</v>
      </c>
      <c r="D772" s="17" t="s">
        <v>2883</v>
      </c>
      <c r="E772" s="16" t="s">
        <v>11426</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45">
      <c r="A773" s="15" t="s">
        <v>8611</v>
      </c>
      <c r="B773" s="16" t="s">
        <v>5</v>
      </c>
      <c r="C773" s="17" t="s">
        <v>2885</v>
      </c>
      <c r="D773" s="17" t="s">
        <v>2886</v>
      </c>
      <c r="E773" s="16" t="s">
        <v>11426</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45">
      <c r="A774" s="15" t="s">
        <v>8608</v>
      </c>
      <c r="B774" s="16" t="s">
        <v>5</v>
      </c>
      <c r="C774" s="17" t="s">
        <v>2888</v>
      </c>
      <c r="D774" s="17" t="s">
        <v>2889</v>
      </c>
      <c r="E774" s="16" t="s">
        <v>11426</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45">
      <c r="A775" s="15" t="s">
        <v>8542</v>
      </c>
      <c r="B775" s="16" t="s">
        <v>5</v>
      </c>
      <c r="C775" s="17" t="s">
        <v>2891</v>
      </c>
      <c r="D775" s="17" t="s">
        <v>2892</v>
      </c>
      <c r="E775" s="16" t="s">
        <v>11426</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45">
      <c r="A776" s="15" t="s">
        <v>9349</v>
      </c>
      <c r="B776" s="16" t="s">
        <v>5</v>
      </c>
      <c r="C776" s="17" t="s">
        <v>2894</v>
      </c>
      <c r="D776" s="17" t="s">
        <v>2895</v>
      </c>
      <c r="E776" s="16" t="s">
        <v>11426</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45">
      <c r="A777" s="15" t="s">
        <v>8566</v>
      </c>
      <c r="B777" s="16" t="s">
        <v>5</v>
      </c>
      <c r="C777" s="17" t="s">
        <v>2897</v>
      </c>
      <c r="D777" s="17" t="s">
        <v>2898</v>
      </c>
      <c r="E777" s="16" t="s">
        <v>11426</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45">
      <c r="A778" s="15" t="s">
        <v>8959</v>
      </c>
      <c r="B778" s="16" t="s">
        <v>5</v>
      </c>
      <c r="C778" s="17" t="s">
        <v>2900</v>
      </c>
      <c r="D778" s="17" t="s">
        <v>2901</v>
      </c>
      <c r="E778" s="16" t="s">
        <v>11426</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45">
      <c r="A779" s="15" t="s">
        <v>6278</v>
      </c>
      <c r="B779" s="16" t="s">
        <v>5</v>
      </c>
      <c r="C779" s="17" t="s">
        <v>2903</v>
      </c>
      <c r="D779" s="17" t="s">
        <v>2904</v>
      </c>
      <c r="E779" s="16" t="s">
        <v>11430</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45">
      <c r="A780" s="15" t="s">
        <v>8806</v>
      </c>
      <c r="B780" s="16" t="s">
        <v>5</v>
      </c>
      <c r="C780" s="17" t="s">
        <v>2906</v>
      </c>
      <c r="D780" s="17" t="s">
        <v>2907</v>
      </c>
      <c r="E780" s="16" t="s">
        <v>11426</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45">
      <c r="A781" s="15" t="s">
        <v>8779</v>
      </c>
      <c r="B781" s="16" t="s">
        <v>5</v>
      </c>
      <c r="C781" s="17" t="s">
        <v>2909</v>
      </c>
      <c r="D781" s="17" t="s">
        <v>2910</v>
      </c>
      <c r="E781" s="16" t="s">
        <v>11426</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45">
      <c r="A782" s="15" t="s">
        <v>728</v>
      </c>
      <c r="B782" s="16" t="s">
        <v>183</v>
      </c>
      <c r="C782" s="17" t="s">
        <v>2912</v>
      </c>
      <c r="D782" s="17" t="s">
        <v>2913</v>
      </c>
      <c r="E782" s="16" t="s">
        <v>11426</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45">
      <c r="A783" s="15" t="s">
        <v>704</v>
      </c>
      <c r="B783" s="16" t="s">
        <v>183</v>
      </c>
      <c r="C783" s="17" t="s">
        <v>2915</v>
      </c>
      <c r="D783" s="17" t="s">
        <v>2916</v>
      </c>
      <c r="E783" s="16" t="s">
        <v>11426</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45">
      <c r="A784" s="15" t="s">
        <v>719</v>
      </c>
      <c r="B784" s="16" t="s">
        <v>183</v>
      </c>
      <c r="C784" s="17" t="s">
        <v>2918</v>
      </c>
      <c r="D784" s="17" t="s">
        <v>2919</v>
      </c>
      <c r="E784" s="16" t="s">
        <v>11430</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45">
      <c r="A785" s="15" t="s">
        <v>7888</v>
      </c>
      <c r="B785" s="16" t="s">
        <v>5</v>
      </c>
      <c r="C785" s="17" t="s">
        <v>2921</v>
      </c>
      <c r="D785" s="17" t="s">
        <v>2922</v>
      </c>
      <c r="E785" s="16" t="s">
        <v>11432</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45">
      <c r="A786" s="15" t="s">
        <v>7954</v>
      </c>
      <c r="B786" s="16" t="s">
        <v>5</v>
      </c>
      <c r="C786" s="17" t="s">
        <v>2924</v>
      </c>
      <c r="D786" s="17" t="s">
        <v>2925</v>
      </c>
      <c r="E786" s="16" t="s">
        <v>11432</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45">
      <c r="A787" s="15" t="s">
        <v>5729</v>
      </c>
      <c r="B787" s="16" t="s">
        <v>5</v>
      </c>
      <c r="C787" s="17" t="s">
        <v>2927</v>
      </c>
      <c r="D787" s="17" t="s">
        <v>2928</v>
      </c>
      <c r="E787" s="16" t="s">
        <v>11432</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45">
      <c r="A788" s="15" t="s">
        <v>7153</v>
      </c>
      <c r="B788" s="16" t="s">
        <v>5</v>
      </c>
      <c r="C788" s="17" t="s">
        <v>2930</v>
      </c>
      <c r="D788" s="17" t="s">
        <v>2931</v>
      </c>
      <c r="E788" s="16" t="s">
        <v>11432</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45">
      <c r="A789" s="15" t="s">
        <v>5741</v>
      </c>
      <c r="B789" s="16" t="s">
        <v>5</v>
      </c>
      <c r="C789" s="17" t="s">
        <v>2933</v>
      </c>
      <c r="D789" s="17" t="s">
        <v>2934</v>
      </c>
      <c r="E789" s="16" t="s">
        <v>11432</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45">
      <c r="A790" s="15" t="s">
        <v>5744</v>
      </c>
      <c r="B790" s="16" t="s">
        <v>5</v>
      </c>
      <c r="C790" s="17" t="s">
        <v>2936</v>
      </c>
      <c r="D790" s="17" t="s">
        <v>2937</v>
      </c>
      <c r="E790" s="16" t="s">
        <v>11432</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45">
      <c r="A791" s="15" t="s">
        <v>11322</v>
      </c>
      <c r="B791" s="16" t="s">
        <v>5</v>
      </c>
      <c r="C791" s="17" t="s">
        <v>2939</v>
      </c>
      <c r="D791" s="17" t="s">
        <v>2940</v>
      </c>
      <c r="E791" s="16" t="s">
        <v>11432</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45">
      <c r="A792" s="15" t="s">
        <v>5870</v>
      </c>
      <c r="B792" s="16" t="s">
        <v>5</v>
      </c>
      <c r="C792" s="17" t="s">
        <v>2942</v>
      </c>
      <c r="D792" s="17" t="s">
        <v>2943</v>
      </c>
      <c r="E792" s="16" t="s">
        <v>11432</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45">
      <c r="A793" s="15" t="s">
        <v>6119</v>
      </c>
      <c r="B793" s="16" t="s">
        <v>5</v>
      </c>
      <c r="C793" s="17" t="s">
        <v>2945</v>
      </c>
      <c r="D793" s="17" t="s">
        <v>2946</v>
      </c>
      <c r="E793" s="16" t="s">
        <v>11432</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45">
      <c r="A794" s="15" t="s">
        <v>5672</v>
      </c>
      <c r="B794" s="16" t="s">
        <v>5</v>
      </c>
      <c r="C794" s="17" t="s">
        <v>2948</v>
      </c>
      <c r="D794" s="17" t="s">
        <v>2949</v>
      </c>
      <c r="E794" s="16" t="s">
        <v>11432</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45">
      <c r="A795" s="15" t="s">
        <v>5678</v>
      </c>
      <c r="B795" s="16" t="s">
        <v>5</v>
      </c>
      <c r="C795" s="17" t="s">
        <v>2951</v>
      </c>
      <c r="D795" s="17" t="s">
        <v>2952</v>
      </c>
      <c r="E795" s="16" t="s">
        <v>11432</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45">
      <c r="A796" s="15" t="s">
        <v>6523</v>
      </c>
      <c r="B796" s="16" t="s">
        <v>5</v>
      </c>
      <c r="C796" s="17" t="s">
        <v>2954</v>
      </c>
      <c r="D796" s="17" t="s">
        <v>2955</v>
      </c>
      <c r="E796" s="16" t="s">
        <v>11432</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45">
      <c r="A797" s="15" t="s">
        <v>5738</v>
      </c>
      <c r="B797" s="16" t="s">
        <v>5</v>
      </c>
      <c r="C797" s="17" t="s">
        <v>2957</v>
      </c>
      <c r="D797" s="17" t="s">
        <v>2958</v>
      </c>
      <c r="E797" s="16" t="s">
        <v>11432</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45">
      <c r="A798" s="15" t="s">
        <v>6970</v>
      </c>
      <c r="B798" s="16" t="s">
        <v>5</v>
      </c>
      <c r="C798" s="17" t="s">
        <v>2960</v>
      </c>
      <c r="D798" s="17" t="s">
        <v>2961</v>
      </c>
      <c r="E798" s="16" t="s">
        <v>11432</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45">
      <c r="A799" s="15" t="s">
        <v>5714</v>
      </c>
      <c r="B799" s="16" t="s">
        <v>5</v>
      </c>
      <c r="C799" s="17" t="s">
        <v>2963</v>
      </c>
      <c r="D799" s="17" t="s">
        <v>2964</v>
      </c>
      <c r="E799" s="16" t="s">
        <v>11432</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45">
      <c r="A800" s="15" t="s">
        <v>6272</v>
      </c>
      <c r="B800" s="16" t="s">
        <v>5</v>
      </c>
      <c r="C800" s="17" t="s">
        <v>2966</v>
      </c>
      <c r="D800" s="17" t="s">
        <v>2967</v>
      </c>
      <c r="E800" s="16" t="s">
        <v>11432</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45">
      <c r="A801" s="15" t="s">
        <v>6418</v>
      </c>
      <c r="B801" s="16" t="s">
        <v>5</v>
      </c>
      <c r="C801" s="17" t="s">
        <v>2969</v>
      </c>
      <c r="D801" s="17" t="s">
        <v>2970</v>
      </c>
      <c r="E801" s="16" t="s">
        <v>11432</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45">
      <c r="A802" s="15" t="s">
        <v>5786</v>
      </c>
      <c r="B802" s="16" t="s">
        <v>5</v>
      </c>
      <c r="C802" s="17" t="s">
        <v>2972</v>
      </c>
      <c r="D802" s="17" t="s">
        <v>2973</v>
      </c>
      <c r="E802" s="16" t="s">
        <v>11432</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45">
      <c r="A803" s="15" t="s">
        <v>5747</v>
      </c>
      <c r="B803" s="16" t="s">
        <v>5</v>
      </c>
      <c r="C803" s="17" t="s">
        <v>2975</v>
      </c>
      <c r="D803" s="17" t="s">
        <v>2976</v>
      </c>
      <c r="E803" s="16" t="s">
        <v>11432</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45">
      <c r="A804" s="15" t="s">
        <v>5684</v>
      </c>
      <c r="B804" s="16" t="s">
        <v>5</v>
      </c>
      <c r="C804" s="17" t="s">
        <v>2978</v>
      </c>
      <c r="D804" s="17" t="s">
        <v>2979</v>
      </c>
      <c r="E804" s="16" t="s">
        <v>11432</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45">
      <c r="A805" s="15" t="s">
        <v>5753</v>
      </c>
      <c r="B805" s="16" t="s">
        <v>5</v>
      </c>
      <c r="C805" s="17" t="s">
        <v>2981</v>
      </c>
      <c r="D805" s="17" t="s">
        <v>2982</v>
      </c>
      <c r="E805" s="16" t="s">
        <v>11432</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45">
      <c r="A806" s="15" t="s">
        <v>6083</v>
      </c>
      <c r="B806" s="16" t="s">
        <v>5</v>
      </c>
      <c r="C806" s="17" t="s">
        <v>2984</v>
      </c>
      <c r="D806" s="17" t="s">
        <v>2985</v>
      </c>
      <c r="E806" s="16" t="s">
        <v>11432</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45">
      <c r="A807" s="15" t="s">
        <v>11323</v>
      </c>
      <c r="B807" s="16" t="s">
        <v>5</v>
      </c>
      <c r="C807" s="17" t="s">
        <v>2987</v>
      </c>
      <c r="D807" s="17" t="s">
        <v>2988</v>
      </c>
      <c r="E807" s="16" t="s">
        <v>11432</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45">
      <c r="A808" s="15" t="s">
        <v>7075</v>
      </c>
      <c r="B808" s="16" t="s">
        <v>5</v>
      </c>
      <c r="C808" s="17" t="s">
        <v>2990</v>
      </c>
      <c r="D808" s="17" t="s">
        <v>2991</v>
      </c>
      <c r="E808" s="16" t="s">
        <v>11432</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45">
      <c r="A809" s="15" t="s">
        <v>7522</v>
      </c>
      <c r="B809" s="16" t="s">
        <v>5</v>
      </c>
      <c r="C809" s="17" t="s">
        <v>2993</v>
      </c>
      <c r="D809" s="17" t="s">
        <v>2994</v>
      </c>
      <c r="E809" s="16" t="s">
        <v>11432</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45">
      <c r="A810" s="15" t="s">
        <v>8035</v>
      </c>
      <c r="B810" s="16" t="s">
        <v>5</v>
      </c>
      <c r="C810" s="17" t="s">
        <v>2996</v>
      </c>
      <c r="D810" s="17" t="s">
        <v>2997</v>
      </c>
      <c r="E810" s="16" t="s">
        <v>11432</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45">
      <c r="A811" s="15" t="s">
        <v>8098</v>
      </c>
      <c r="B811" s="16" t="s">
        <v>5</v>
      </c>
      <c r="C811" s="17" t="s">
        <v>2999</v>
      </c>
      <c r="D811" s="17" t="s">
        <v>3000</v>
      </c>
      <c r="E811" s="16" t="s">
        <v>11432</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45">
      <c r="A812" s="15" t="s">
        <v>6787</v>
      </c>
      <c r="B812" s="16" t="s">
        <v>5</v>
      </c>
      <c r="C812" s="17" t="s">
        <v>3002</v>
      </c>
      <c r="D812" s="17" t="s">
        <v>3003</v>
      </c>
      <c r="E812" s="16" t="s">
        <v>11432</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45">
      <c r="A813" s="15" t="s">
        <v>6835</v>
      </c>
      <c r="B813" s="16" t="s">
        <v>5</v>
      </c>
      <c r="C813" s="17" t="s">
        <v>3005</v>
      </c>
      <c r="D813" s="17" t="s">
        <v>3006</v>
      </c>
      <c r="E813" s="16" t="s">
        <v>11432</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45">
      <c r="A814" s="15" t="s">
        <v>5681</v>
      </c>
      <c r="B814" s="16" t="s">
        <v>5</v>
      </c>
      <c r="C814" s="17" t="s">
        <v>3008</v>
      </c>
      <c r="D814" s="17" t="s">
        <v>3009</v>
      </c>
      <c r="E814" s="16" t="s">
        <v>11432</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45">
      <c r="A815" s="15" t="s">
        <v>5756</v>
      </c>
      <c r="B815" s="16" t="s">
        <v>5</v>
      </c>
      <c r="C815" s="17" t="s">
        <v>3011</v>
      </c>
      <c r="D815" s="17" t="s">
        <v>3012</v>
      </c>
      <c r="E815" s="16" t="s">
        <v>11432</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45">
      <c r="A816" s="15" t="s">
        <v>6394</v>
      </c>
      <c r="B816" s="16" t="s">
        <v>5</v>
      </c>
      <c r="C816" s="17" t="s">
        <v>3014</v>
      </c>
      <c r="D816" s="17" t="s">
        <v>3015</v>
      </c>
      <c r="E816" s="16" t="s">
        <v>11432</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45">
      <c r="A817" s="15" t="s">
        <v>5669</v>
      </c>
      <c r="B817" s="16" t="s">
        <v>5</v>
      </c>
      <c r="C817" s="17" t="s">
        <v>3017</v>
      </c>
      <c r="D817" s="17" t="s">
        <v>3018</v>
      </c>
      <c r="E817" s="16" t="s">
        <v>11432</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45">
      <c r="A818" s="15" t="s">
        <v>6050</v>
      </c>
      <c r="B818" s="16" t="s">
        <v>5</v>
      </c>
      <c r="C818" s="17" t="s">
        <v>3020</v>
      </c>
      <c r="D818" s="17" t="s">
        <v>3021</v>
      </c>
      <c r="E818" s="16" t="s">
        <v>11432</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45">
      <c r="A819" s="15" t="s">
        <v>6143</v>
      </c>
      <c r="B819" s="16" t="s">
        <v>5</v>
      </c>
      <c r="C819" s="17" t="s">
        <v>3023</v>
      </c>
      <c r="D819" s="17" t="s">
        <v>3024</v>
      </c>
      <c r="E819" s="16" t="s">
        <v>11432</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45">
      <c r="A820" s="15" t="s">
        <v>6898</v>
      </c>
      <c r="B820" s="16" t="s">
        <v>5</v>
      </c>
      <c r="C820" s="17" t="s">
        <v>3026</v>
      </c>
      <c r="D820" s="17" t="s">
        <v>3027</v>
      </c>
      <c r="E820" s="16" t="s">
        <v>11432</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45">
      <c r="A821" s="15" t="s">
        <v>5726</v>
      </c>
      <c r="B821" s="16" t="s">
        <v>5</v>
      </c>
      <c r="C821" s="17" t="s">
        <v>3029</v>
      </c>
      <c r="D821" s="17" t="s">
        <v>3030</v>
      </c>
      <c r="E821" s="16" t="s">
        <v>11432</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45">
      <c r="A822" s="15" t="s">
        <v>6463</v>
      </c>
      <c r="B822" s="16" t="s">
        <v>5</v>
      </c>
      <c r="C822" s="17" t="s">
        <v>3032</v>
      </c>
      <c r="D822" s="17" t="s">
        <v>3033</v>
      </c>
      <c r="E822" s="16" t="s">
        <v>11432</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45">
      <c r="A823" s="15" t="s">
        <v>6098</v>
      </c>
      <c r="B823" s="16" t="s">
        <v>5</v>
      </c>
      <c r="C823" s="17" t="s">
        <v>3035</v>
      </c>
      <c r="D823" s="17" t="s">
        <v>3036</v>
      </c>
      <c r="E823" s="16" t="s">
        <v>11432</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45">
      <c r="A824" s="15" t="s">
        <v>7891</v>
      </c>
      <c r="B824" s="16" t="s">
        <v>5</v>
      </c>
      <c r="C824" s="17" t="s">
        <v>3038</v>
      </c>
      <c r="D824" s="17" t="s">
        <v>3039</v>
      </c>
      <c r="E824" s="16" t="s">
        <v>11432</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45">
      <c r="A825" s="15" t="s">
        <v>5675</v>
      </c>
      <c r="B825" s="16" t="s">
        <v>5</v>
      </c>
      <c r="C825" s="17" t="s">
        <v>3041</v>
      </c>
      <c r="D825" s="17" t="s">
        <v>3042</v>
      </c>
      <c r="E825" s="16" t="s">
        <v>11432</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45">
      <c r="A826" s="15" t="s">
        <v>6158</v>
      </c>
      <c r="B826" s="16" t="s">
        <v>5</v>
      </c>
      <c r="C826" s="17" t="s">
        <v>3044</v>
      </c>
      <c r="D826" s="17" t="s">
        <v>3045</v>
      </c>
      <c r="E826" s="16" t="s">
        <v>11432</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45">
      <c r="A827" s="15" t="s">
        <v>6460</v>
      </c>
      <c r="B827" s="16" t="s">
        <v>5</v>
      </c>
      <c r="C827" s="17" t="s">
        <v>3047</v>
      </c>
      <c r="D827" s="17" t="s">
        <v>3048</v>
      </c>
      <c r="E827" s="16" t="s">
        <v>11432</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45">
      <c r="A828" s="15" t="s">
        <v>8290</v>
      </c>
      <c r="B828" s="16" t="s">
        <v>5</v>
      </c>
      <c r="C828" s="17" t="s">
        <v>3050</v>
      </c>
      <c r="D828" s="17" t="s">
        <v>3051</v>
      </c>
      <c r="E828" s="16" t="s">
        <v>11432</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45">
      <c r="A829" s="15" t="s">
        <v>8086</v>
      </c>
      <c r="B829" s="16" t="s">
        <v>5</v>
      </c>
      <c r="C829" s="17" t="s">
        <v>3053</v>
      </c>
      <c r="D829" s="17" t="s">
        <v>3054</v>
      </c>
      <c r="E829" s="16" t="s">
        <v>11432</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45">
      <c r="A830" s="15" t="s">
        <v>7963</v>
      </c>
      <c r="B830" s="16" t="s">
        <v>5</v>
      </c>
      <c r="C830" s="17" t="s">
        <v>3056</v>
      </c>
      <c r="D830" s="17" t="s">
        <v>3057</v>
      </c>
      <c r="E830" s="16" t="s">
        <v>11432</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45">
      <c r="A831" s="15" t="s">
        <v>7999</v>
      </c>
      <c r="B831" s="16" t="s">
        <v>5</v>
      </c>
      <c r="C831" s="17" t="s">
        <v>3059</v>
      </c>
      <c r="D831" s="17" t="s">
        <v>3060</v>
      </c>
      <c r="E831" s="16" t="s">
        <v>11432</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45">
      <c r="A832" s="15" t="s">
        <v>8020</v>
      </c>
      <c r="B832" s="16" t="s">
        <v>5</v>
      </c>
      <c r="C832" s="17" t="s">
        <v>3062</v>
      </c>
      <c r="D832" s="17" t="s">
        <v>3063</v>
      </c>
      <c r="E832" s="16" t="s">
        <v>11432</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45">
      <c r="A833" s="15" t="s">
        <v>8299</v>
      </c>
      <c r="B833" s="16" t="s">
        <v>5</v>
      </c>
      <c r="C833" s="17" t="s">
        <v>3065</v>
      </c>
      <c r="D833" s="17" t="s">
        <v>3066</v>
      </c>
      <c r="E833" s="16" t="s">
        <v>11432</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45">
      <c r="A834" s="15" t="s">
        <v>8341</v>
      </c>
      <c r="B834" s="16" t="s">
        <v>5</v>
      </c>
      <c r="C834" s="17" t="s">
        <v>3068</v>
      </c>
      <c r="D834" s="17" t="s">
        <v>3069</v>
      </c>
      <c r="E834" s="16" t="s">
        <v>11432</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45">
      <c r="A835" s="15" t="s">
        <v>8302</v>
      </c>
      <c r="B835" s="16" t="s">
        <v>5</v>
      </c>
      <c r="C835" s="17" t="s">
        <v>3071</v>
      </c>
      <c r="D835" s="17" t="s">
        <v>3072</v>
      </c>
      <c r="E835" s="16" t="s">
        <v>11432</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45">
      <c r="A836" s="15" t="s">
        <v>8407</v>
      </c>
      <c r="B836" s="16" t="s">
        <v>5</v>
      </c>
      <c r="C836" s="17" t="s">
        <v>3074</v>
      </c>
      <c r="D836" s="17" t="s">
        <v>3075</v>
      </c>
      <c r="E836" s="16" t="s">
        <v>11432</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45">
      <c r="A837" s="15" t="s">
        <v>7993</v>
      </c>
      <c r="B837" s="16" t="s">
        <v>5</v>
      </c>
      <c r="C837" s="17" t="s">
        <v>3077</v>
      </c>
      <c r="D837" s="17" t="s">
        <v>3078</v>
      </c>
      <c r="E837" s="16" t="s">
        <v>11432</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45">
      <c r="A838" s="15" t="s">
        <v>8509</v>
      </c>
      <c r="B838" s="16" t="s">
        <v>5</v>
      </c>
      <c r="C838" s="17" t="s">
        <v>3080</v>
      </c>
      <c r="D838" s="17" t="s">
        <v>3081</v>
      </c>
      <c r="E838" s="16" t="s">
        <v>11432</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45">
      <c r="A839" s="15" t="s">
        <v>8431</v>
      </c>
      <c r="B839" s="16" t="s">
        <v>5</v>
      </c>
      <c r="C839" s="17" t="s">
        <v>3083</v>
      </c>
      <c r="D839" s="17" t="s">
        <v>3084</v>
      </c>
      <c r="E839" s="16" t="s">
        <v>11432</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45">
      <c r="A840" s="15" t="s">
        <v>8518</v>
      </c>
      <c r="B840" s="16" t="s">
        <v>5</v>
      </c>
      <c r="C840" s="17" t="s">
        <v>3086</v>
      </c>
      <c r="D840" s="17" t="s">
        <v>3087</v>
      </c>
      <c r="E840" s="16" t="s">
        <v>11432</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45">
      <c r="A841" s="15" t="s">
        <v>8530</v>
      </c>
      <c r="B841" s="16" t="s">
        <v>5</v>
      </c>
      <c r="C841" s="17" t="s">
        <v>3089</v>
      </c>
      <c r="D841" s="17" t="s">
        <v>3090</v>
      </c>
      <c r="E841" s="16" t="s">
        <v>11432</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45">
      <c r="A842" s="15" t="s">
        <v>8536</v>
      </c>
      <c r="B842" s="16" t="s">
        <v>5</v>
      </c>
      <c r="C842" s="17" t="s">
        <v>3092</v>
      </c>
      <c r="D842" s="17" t="s">
        <v>3093</v>
      </c>
      <c r="E842" s="16" t="s">
        <v>11432</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45">
      <c r="A843" s="15" t="s">
        <v>8596</v>
      </c>
      <c r="B843" s="16" t="s">
        <v>5</v>
      </c>
      <c r="C843" s="17" t="s">
        <v>3095</v>
      </c>
      <c r="D843" s="17" t="s">
        <v>3096</v>
      </c>
      <c r="E843" s="16" t="s">
        <v>11432</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45">
      <c r="A844" s="15" t="s">
        <v>8635</v>
      </c>
      <c r="B844" s="16" t="s">
        <v>5</v>
      </c>
      <c r="C844" s="17" t="s">
        <v>3098</v>
      </c>
      <c r="D844" s="17" t="s">
        <v>3099</v>
      </c>
      <c r="E844" s="16" t="s">
        <v>11432</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45">
      <c r="A845" s="15" t="s">
        <v>8524</v>
      </c>
      <c r="B845" s="16" t="s">
        <v>5</v>
      </c>
      <c r="C845" s="17" t="s">
        <v>3101</v>
      </c>
      <c r="D845" s="17" t="s">
        <v>3102</v>
      </c>
      <c r="E845" s="16" t="s">
        <v>11432</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45">
      <c r="A846" s="15" t="s">
        <v>8557</v>
      </c>
      <c r="B846" s="16" t="s">
        <v>5</v>
      </c>
      <c r="C846" s="17" t="s">
        <v>3104</v>
      </c>
      <c r="D846" s="17" t="s">
        <v>3105</v>
      </c>
      <c r="E846" s="16" t="s">
        <v>11432</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45">
      <c r="A847" s="15" t="s">
        <v>8686</v>
      </c>
      <c r="B847" s="16" t="s">
        <v>5</v>
      </c>
      <c r="C847" s="17" t="s">
        <v>3107</v>
      </c>
      <c r="D847" s="17" t="s">
        <v>3108</v>
      </c>
      <c r="E847" s="16" t="s">
        <v>11432</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45">
      <c r="A848" s="15" t="s">
        <v>8710</v>
      </c>
      <c r="B848" s="16" t="s">
        <v>5</v>
      </c>
      <c r="C848" s="17" t="s">
        <v>3110</v>
      </c>
      <c r="D848" s="17" t="s">
        <v>3111</v>
      </c>
      <c r="E848" s="16" t="s">
        <v>11432</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45">
      <c r="A849" s="15" t="s">
        <v>8713</v>
      </c>
      <c r="B849" s="16" t="s">
        <v>5</v>
      </c>
      <c r="C849" s="17" t="s">
        <v>3113</v>
      </c>
      <c r="D849" s="17" t="s">
        <v>3114</v>
      </c>
      <c r="E849" s="16" t="s">
        <v>11432</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45">
      <c r="A850" s="15" t="s">
        <v>8716</v>
      </c>
      <c r="B850" s="16" t="s">
        <v>5</v>
      </c>
      <c r="C850" s="17" t="s">
        <v>3116</v>
      </c>
      <c r="D850" s="17" t="s">
        <v>3117</v>
      </c>
      <c r="E850" s="16" t="s">
        <v>11432</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45">
      <c r="A851" s="15" t="s">
        <v>8824</v>
      </c>
      <c r="B851" s="16" t="s">
        <v>5</v>
      </c>
      <c r="C851" s="17" t="s">
        <v>3119</v>
      </c>
      <c r="D851" s="17" t="s">
        <v>3120</v>
      </c>
      <c r="E851" s="16" t="s">
        <v>11432</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45">
      <c r="A852" s="15" t="s">
        <v>8833</v>
      </c>
      <c r="B852" s="16" t="s">
        <v>5</v>
      </c>
      <c r="C852" s="17" t="s">
        <v>3122</v>
      </c>
      <c r="D852" s="17" t="s">
        <v>3123</v>
      </c>
      <c r="E852" s="16" t="s">
        <v>11432</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45">
      <c r="A853" s="15" t="s">
        <v>8857</v>
      </c>
      <c r="B853" s="16" t="s">
        <v>5</v>
      </c>
      <c r="C853" s="17" t="s">
        <v>3125</v>
      </c>
      <c r="D853" s="17" t="s">
        <v>3126</v>
      </c>
      <c r="E853" s="16" t="s">
        <v>11432</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45">
      <c r="A854" s="15" t="s">
        <v>8818</v>
      </c>
      <c r="B854" s="16" t="s">
        <v>5</v>
      </c>
      <c r="C854" s="17" t="s">
        <v>3128</v>
      </c>
      <c r="D854" s="17" t="s">
        <v>3129</v>
      </c>
      <c r="E854" s="16" t="s">
        <v>11432</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45">
      <c r="A855" s="15" t="s">
        <v>8899</v>
      </c>
      <c r="B855" s="16" t="s">
        <v>5</v>
      </c>
      <c r="C855" s="17" t="s">
        <v>3131</v>
      </c>
      <c r="D855" s="17" t="s">
        <v>3132</v>
      </c>
      <c r="E855" s="16" t="s">
        <v>11432</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45">
      <c r="A856" s="15" t="s">
        <v>8983</v>
      </c>
      <c r="B856" s="16" t="s">
        <v>5</v>
      </c>
      <c r="C856" s="17" t="s">
        <v>3134</v>
      </c>
      <c r="D856" s="17" t="s">
        <v>3135</v>
      </c>
      <c r="E856" s="16" t="s">
        <v>11432</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45">
      <c r="A857" s="15" t="s">
        <v>8878</v>
      </c>
      <c r="B857" s="16" t="s">
        <v>5</v>
      </c>
      <c r="C857" s="17" t="s">
        <v>3137</v>
      </c>
      <c r="D857" s="17" t="s">
        <v>3138</v>
      </c>
      <c r="E857" s="16" t="s">
        <v>11432</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45">
      <c r="A858" s="15" t="s">
        <v>9097</v>
      </c>
      <c r="B858" s="16" t="s">
        <v>5</v>
      </c>
      <c r="C858" s="17" t="s">
        <v>3140</v>
      </c>
      <c r="D858" s="17" t="s">
        <v>3141</v>
      </c>
      <c r="E858" s="16" t="s">
        <v>11432</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45">
      <c r="A859" s="15" t="s">
        <v>731</v>
      </c>
      <c r="B859" s="16" t="s">
        <v>183</v>
      </c>
      <c r="C859" s="17" t="s">
        <v>3143</v>
      </c>
      <c r="D859" s="17" t="s">
        <v>3144</v>
      </c>
      <c r="E859" s="16" t="s">
        <v>11432</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45">
      <c r="A860" s="15" t="s">
        <v>764</v>
      </c>
      <c r="B860" s="16" t="s">
        <v>183</v>
      </c>
      <c r="C860" s="17" t="s">
        <v>3146</v>
      </c>
      <c r="D860" s="17" t="s">
        <v>3147</v>
      </c>
      <c r="E860" s="16" t="s">
        <v>11432</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45">
      <c r="A861" s="15" t="s">
        <v>755</v>
      </c>
      <c r="B861" s="16" t="s">
        <v>183</v>
      </c>
      <c r="C861" s="17" t="s">
        <v>3149</v>
      </c>
      <c r="D861" s="17" t="s">
        <v>3150</v>
      </c>
      <c r="E861" s="16" t="s">
        <v>11432</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45">
      <c r="A862" s="15" t="s">
        <v>761</v>
      </c>
      <c r="B862" s="16" t="s">
        <v>183</v>
      </c>
      <c r="C862" s="17" t="s">
        <v>3152</v>
      </c>
      <c r="D862" s="17" t="s">
        <v>3153</v>
      </c>
      <c r="E862" s="16" t="s">
        <v>11432</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45">
      <c r="A863" s="15" t="s">
        <v>4244</v>
      </c>
      <c r="B863" s="16" t="s">
        <v>5</v>
      </c>
      <c r="C863" s="17" t="s">
        <v>3155</v>
      </c>
      <c r="D863" s="17" t="s">
        <v>3156</v>
      </c>
      <c r="E863" s="16" t="s">
        <v>11436</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45">
      <c r="A864" s="15" t="s">
        <v>4406</v>
      </c>
      <c r="B864" s="16" t="s">
        <v>5</v>
      </c>
      <c r="C864" s="17" t="s">
        <v>3158</v>
      </c>
      <c r="D864" s="17" t="s">
        <v>3159</v>
      </c>
      <c r="E864" s="15" t="s">
        <v>11436</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45">
      <c r="A865" s="15" t="s">
        <v>4595</v>
      </c>
      <c r="B865" s="16" t="s">
        <v>5</v>
      </c>
      <c r="C865" s="17" t="s">
        <v>3161</v>
      </c>
      <c r="D865" s="17" t="s">
        <v>3162</v>
      </c>
      <c r="E865" s="16" t="s">
        <v>11436</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45">
      <c r="A866" s="15" t="s">
        <v>4850</v>
      </c>
      <c r="B866" s="16" t="s">
        <v>5</v>
      </c>
      <c r="C866" s="17" t="s">
        <v>3164</v>
      </c>
      <c r="D866" s="17" t="s">
        <v>3165</v>
      </c>
      <c r="E866" s="16" t="s">
        <v>11436</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45">
      <c r="A867" s="15" t="s">
        <v>4874</v>
      </c>
      <c r="B867" s="16" t="s">
        <v>5</v>
      </c>
      <c r="C867" s="17" t="s">
        <v>3167</v>
      </c>
      <c r="D867" s="17" t="s">
        <v>3168</v>
      </c>
      <c r="E867" s="16" t="s">
        <v>11436</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45">
      <c r="A868" s="15" t="s">
        <v>8008</v>
      </c>
      <c r="B868" s="16" t="s">
        <v>5</v>
      </c>
      <c r="C868" s="17" t="s">
        <v>3170</v>
      </c>
      <c r="D868" s="17" t="s">
        <v>3171</v>
      </c>
      <c r="E868" s="16" t="s">
        <v>11436</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45">
      <c r="A869" s="15" t="s">
        <v>8107</v>
      </c>
      <c r="B869" s="16" t="s">
        <v>5</v>
      </c>
      <c r="C869" s="17" t="s">
        <v>3173</v>
      </c>
      <c r="D869" s="17" t="s">
        <v>3174</v>
      </c>
      <c r="E869" s="16" t="s">
        <v>11436</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45">
      <c r="A870" s="15" t="s">
        <v>1010</v>
      </c>
      <c r="B870" s="16" t="s">
        <v>5</v>
      </c>
      <c r="C870" s="17" t="s">
        <v>3176</v>
      </c>
      <c r="D870" s="17" t="s">
        <v>3177</v>
      </c>
      <c r="E870" s="15" t="s">
        <v>11436</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45">
      <c r="A871" s="15" t="s">
        <v>11324</v>
      </c>
      <c r="B871" s="16" t="s">
        <v>5</v>
      </c>
      <c r="C871" s="17" t="s">
        <v>3179</v>
      </c>
      <c r="D871" s="17" t="s">
        <v>3180</v>
      </c>
      <c r="E871" s="16" t="s">
        <v>11436</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45">
      <c r="A872" s="15" t="s">
        <v>1202</v>
      </c>
      <c r="B872" s="16" t="s">
        <v>5</v>
      </c>
      <c r="C872" s="17" t="s">
        <v>3182</v>
      </c>
      <c r="D872" s="17" t="s">
        <v>3183</v>
      </c>
      <c r="E872" s="16" t="s">
        <v>11436</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45">
      <c r="A873" s="15" t="s">
        <v>4325</v>
      </c>
      <c r="B873" s="16" t="s">
        <v>5</v>
      </c>
      <c r="C873" s="17" t="s">
        <v>3185</v>
      </c>
      <c r="D873" s="17" t="s">
        <v>3186</v>
      </c>
      <c r="E873" s="16" t="s">
        <v>11436</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45">
      <c r="A874" s="15" t="s">
        <v>4328</v>
      </c>
      <c r="B874" s="16" t="s">
        <v>5</v>
      </c>
      <c r="C874" s="17" t="s">
        <v>3188</v>
      </c>
      <c r="D874" s="17" t="s">
        <v>3189</v>
      </c>
      <c r="E874" s="16" t="s">
        <v>11436</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45">
      <c r="A875" s="15" t="s">
        <v>4577</v>
      </c>
      <c r="B875" s="16" t="s">
        <v>5</v>
      </c>
      <c r="C875" s="17" t="s">
        <v>3191</v>
      </c>
      <c r="D875" s="17" t="s">
        <v>3192</v>
      </c>
      <c r="E875" s="16" t="s">
        <v>11436</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45">
      <c r="A876" s="15" t="s">
        <v>4592</v>
      </c>
      <c r="B876" s="16" t="s">
        <v>5</v>
      </c>
      <c r="C876" s="17" t="s">
        <v>3194</v>
      </c>
      <c r="D876" s="17" t="s">
        <v>3195</v>
      </c>
      <c r="E876" s="15" t="s">
        <v>11436</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45">
      <c r="A877" s="15" t="s">
        <v>4766</v>
      </c>
      <c r="B877" s="16" t="s">
        <v>5</v>
      </c>
      <c r="C877" s="17" t="s">
        <v>3197</v>
      </c>
      <c r="D877" s="17" t="s">
        <v>3198</v>
      </c>
      <c r="E877" s="16" t="s">
        <v>11436</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45">
      <c r="A878" s="15" t="s">
        <v>4814</v>
      </c>
      <c r="B878" s="16" t="s">
        <v>5</v>
      </c>
      <c r="C878" s="17" t="s">
        <v>3200</v>
      </c>
      <c r="D878" s="17" t="s">
        <v>3201</v>
      </c>
      <c r="E878" s="16" t="s">
        <v>11436</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45">
      <c r="A879" s="15" t="s">
        <v>4895</v>
      </c>
      <c r="B879" s="16" t="s">
        <v>5</v>
      </c>
      <c r="C879" s="17" t="s">
        <v>3203</v>
      </c>
      <c r="D879" s="17" t="s">
        <v>3204</v>
      </c>
      <c r="E879" s="16" t="s">
        <v>11436</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45">
      <c r="A880" s="15" t="s">
        <v>5045</v>
      </c>
      <c r="B880" s="16" t="s">
        <v>5</v>
      </c>
      <c r="C880" s="17" t="s">
        <v>3206</v>
      </c>
      <c r="D880" s="17" t="s">
        <v>3207</v>
      </c>
      <c r="E880" s="16" t="s">
        <v>11436</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45">
      <c r="A881" s="15" t="s">
        <v>5174</v>
      </c>
      <c r="B881" s="16" t="s">
        <v>5</v>
      </c>
      <c r="C881" s="17" t="s">
        <v>3209</v>
      </c>
      <c r="D881" s="17" t="s">
        <v>3210</v>
      </c>
      <c r="E881" s="16" t="s">
        <v>11436</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45">
      <c r="A882" s="15" t="s">
        <v>5417</v>
      </c>
      <c r="B882" s="16" t="s">
        <v>5</v>
      </c>
      <c r="C882" s="17" t="s">
        <v>3212</v>
      </c>
      <c r="D882" s="17" t="s">
        <v>3213</v>
      </c>
      <c r="E882" s="16" t="s">
        <v>11436</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45">
      <c r="A883" s="15" t="s">
        <v>5534</v>
      </c>
      <c r="B883" s="16" t="s">
        <v>5</v>
      </c>
      <c r="C883" s="17" t="s">
        <v>3215</v>
      </c>
      <c r="D883" s="17" t="s">
        <v>3216</v>
      </c>
      <c r="E883" s="16" t="s">
        <v>11436</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45">
      <c r="A884" s="15" t="s">
        <v>5630</v>
      </c>
      <c r="B884" s="16" t="s">
        <v>5</v>
      </c>
      <c r="C884" s="17" t="s">
        <v>3218</v>
      </c>
      <c r="D884" s="17" t="s">
        <v>3219</v>
      </c>
      <c r="E884" s="16" t="s">
        <v>11436</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45">
      <c r="A885" s="15" t="s">
        <v>5930</v>
      </c>
      <c r="B885" s="16" t="s">
        <v>5</v>
      </c>
      <c r="C885" s="17" t="s">
        <v>3221</v>
      </c>
      <c r="D885" s="17" t="s">
        <v>3222</v>
      </c>
      <c r="E885" s="16" t="s">
        <v>11436</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45">
      <c r="A886" s="15" t="s">
        <v>6302</v>
      </c>
      <c r="B886" s="16" t="s">
        <v>5</v>
      </c>
      <c r="C886" s="17" t="s">
        <v>3224</v>
      </c>
      <c r="D886" s="17" t="s">
        <v>3225</v>
      </c>
      <c r="E886" s="16" t="s">
        <v>11436</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45">
      <c r="A887" s="15" t="s">
        <v>6481</v>
      </c>
      <c r="B887" s="16" t="s">
        <v>5</v>
      </c>
      <c r="C887" s="17" t="s">
        <v>3227</v>
      </c>
      <c r="D887" s="17" t="s">
        <v>3228</v>
      </c>
      <c r="E887" s="16" t="s">
        <v>11436</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45">
      <c r="A888" s="15" t="s">
        <v>7030</v>
      </c>
      <c r="B888" s="16" t="s">
        <v>5</v>
      </c>
      <c r="C888" s="17" t="s">
        <v>3230</v>
      </c>
      <c r="D888" s="17" t="s">
        <v>3231</v>
      </c>
      <c r="E888" s="16" t="s">
        <v>11436</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45">
      <c r="A889" s="15" t="s">
        <v>7090</v>
      </c>
      <c r="B889" s="16" t="s">
        <v>5</v>
      </c>
      <c r="C889" s="17" t="s">
        <v>3233</v>
      </c>
      <c r="D889" s="17" t="s">
        <v>3234</v>
      </c>
      <c r="E889" s="16" t="s">
        <v>11436</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45">
      <c r="A890" s="15" t="s">
        <v>7111</v>
      </c>
      <c r="B890" s="16" t="s">
        <v>5</v>
      </c>
      <c r="C890" s="17" t="s">
        <v>3236</v>
      </c>
      <c r="D890" s="17" t="s">
        <v>3237</v>
      </c>
      <c r="E890" s="15" t="s">
        <v>11436</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45">
      <c r="A891" s="15" t="s">
        <v>7279</v>
      </c>
      <c r="B891" s="16" t="s">
        <v>5</v>
      </c>
      <c r="C891" s="17" t="s">
        <v>3239</v>
      </c>
      <c r="D891" s="17" t="s">
        <v>3240</v>
      </c>
      <c r="E891" s="15" t="s">
        <v>11436</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45">
      <c r="A892" s="15" t="s">
        <v>7870</v>
      </c>
      <c r="B892" s="16" t="s">
        <v>5</v>
      </c>
      <c r="C892" s="17" t="s">
        <v>3242</v>
      </c>
      <c r="D892" s="17" t="s">
        <v>3243</v>
      </c>
      <c r="E892" s="16" t="s">
        <v>11436</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45">
      <c r="A893" s="15" t="s">
        <v>7879</v>
      </c>
      <c r="B893" s="16" t="s">
        <v>5</v>
      </c>
      <c r="C893" s="17" t="s">
        <v>3245</v>
      </c>
      <c r="D893" s="17" t="s">
        <v>3246</v>
      </c>
      <c r="E893" s="16" t="s">
        <v>11436</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45">
      <c r="A894" s="15" t="s">
        <v>7894</v>
      </c>
      <c r="B894" s="16" t="s">
        <v>5</v>
      </c>
      <c r="C894" s="17" t="s">
        <v>3248</v>
      </c>
      <c r="D894" s="17" t="s">
        <v>3249</v>
      </c>
      <c r="E894" s="16" t="s">
        <v>11436</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45">
      <c r="A895" s="15" t="s">
        <v>4484</v>
      </c>
      <c r="B895" s="16" t="s">
        <v>5</v>
      </c>
      <c r="C895" s="17" t="s">
        <v>3251</v>
      </c>
      <c r="D895" s="17" t="s">
        <v>3252</v>
      </c>
      <c r="E895" s="16" t="s">
        <v>11436</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45">
      <c r="A896" s="15" t="s">
        <v>5090</v>
      </c>
      <c r="B896" s="16" t="s">
        <v>5</v>
      </c>
      <c r="C896" s="17" t="s">
        <v>3254</v>
      </c>
      <c r="D896" s="17" t="s">
        <v>3255</v>
      </c>
      <c r="E896" s="16" t="s">
        <v>11436</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45">
      <c r="A897" s="15" t="s">
        <v>5177</v>
      </c>
      <c r="B897" s="16" t="s">
        <v>5</v>
      </c>
      <c r="C897" s="17" t="s">
        <v>3257</v>
      </c>
      <c r="D897" s="17" t="s">
        <v>3258</v>
      </c>
      <c r="E897" s="15" t="s">
        <v>11436</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45">
      <c r="A898" s="15" t="s">
        <v>5246</v>
      </c>
      <c r="B898" s="16" t="s">
        <v>5</v>
      </c>
      <c r="C898" s="17" t="s">
        <v>3260</v>
      </c>
      <c r="D898" s="17" t="s">
        <v>3261</v>
      </c>
      <c r="E898" s="16" t="s">
        <v>11436</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45">
      <c r="A899" s="15" t="s">
        <v>6844</v>
      </c>
      <c r="B899" s="16" t="s">
        <v>5</v>
      </c>
      <c r="C899" s="17" t="s">
        <v>3263</v>
      </c>
      <c r="D899" s="17" t="s">
        <v>3264</v>
      </c>
      <c r="E899" s="16" t="s">
        <v>11436</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45">
      <c r="A900" s="15" t="s">
        <v>7357</v>
      </c>
      <c r="B900" s="16" t="s">
        <v>5</v>
      </c>
      <c r="C900" s="17" t="s">
        <v>3266</v>
      </c>
      <c r="D900" s="17" t="s">
        <v>3267</v>
      </c>
      <c r="E900" s="16" t="s">
        <v>11436</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45">
      <c r="A901" s="15" t="s">
        <v>5126</v>
      </c>
      <c r="B901" s="16" t="s">
        <v>5</v>
      </c>
      <c r="C901" s="17" t="s">
        <v>3269</v>
      </c>
      <c r="D901" s="17" t="s">
        <v>3270</v>
      </c>
      <c r="E901" s="16" t="s">
        <v>11436</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45">
      <c r="A902" s="15" t="s">
        <v>7147</v>
      </c>
      <c r="B902" s="16" t="s">
        <v>5</v>
      </c>
      <c r="C902" s="17" t="s">
        <v>3272</v>
      </c>
      <c r="D902" s="17" t="s">
        <v>3273</v>
      </c>
      <c r="E902" s="16" t="s">
        <v>11436</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45">
      <c r="A903" s="15" t="s">
        <v>7243</v>
      </c>
      <c r="B903" s="16" t="s">
        <v>5</v>
      </c>
      <c r="C903" s="17" t="s">
        <v>3275</v>
      </c>
      <c r="D903" s="17" t="s">
        <v>3276</v>
      </c>
      <c r="E903" s="16" t="s">
        <v>11436</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45">
      <c r="A904" s="15" t="s">
        <v>6281</v>
      </c>
      <c r="B904" s="16" t="s">
        <v>5</v>
      </c>
      <c r="C904" s="17" t="s">
        <v>3278</v>
      </c>
      <c r="D904" s="17" t="s">
        <v>3279</v>
      </c>
      <c r="E904" s="16" t="s">
        <v>11436</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45">
      <c r="A905" s="15" t="s">
        <v>661</v>
      </c>
      <c r="B905" s="16" t="s">
        <v>183</v>
      </c>
      <c r="C905" s="17" t="s">
        <v>3281</v>
      </c>
      <c r="D905" s="17" t="s">
        <v>3282</v>
      </c>
      <c r="E905" s="16" t="s">
        <v>11416</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45">
      <c r="A906" s="15" t="s">
        <v>601</v>
      </c>
      <c r="B906" s="16" t="s">
        <v>183</v>
      </c>
      <c r="C906" s="17" t="s">
        <v>3284</v>
      </c>
      <c r="D906" s="17" t="s">
        <v>3285</v>
      </c>
      <c r="E906" s="16" t="s">
        <v>11416</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45">
      <c r="A907" s="15" t="s">
        <v>628</v>
      </c>
      <c r="B907" s="16" t="s">
        <v>183</v>
      </c>
      <c r="C907" s="17" t="s">
        <v>3287</v>
      </c>
      <c r="D907" s="17" t="s">
        <v>3288</v>
      </c>
      <c r="E907" s="16" t="s">
        <v>11416</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45">
      <c r="A908" s="15" t="s">
        <v>878</v>
      </c>
      <c r="B908" s="16" t="s">
        <v>5</v>
      </c>
      <c r="C908" s="17" t="s">
        <v>3290</v>
      </c>
      <c r="D908" s="17" t="s">
        <v>3291</v>
      </c>
      <c r="E908" s="16" t="s">
        <v>11436</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45">
      <c r="A909" s="15" t="s">
        <v>896</v>
      </c>
      <c r="B909" s="16" t="s">
        <v>5</v>
      </c>
      <c r="C909" s="17" t="s">
        <v>3293</v>
      </c>
      <c r="D909" s="17" t="s">
        <v>3294</v>
      </c>
      <c r="E909" s="16" t="s">
        <v>11436</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45">
      <c r="A910" s="15" t="s">
        <v>968</v>
      </c>
      <c r="B910" s="16" t="s">
        <v>5</v>
      </c>
      <c r="C910" s="17" t="s">
        <v>3296</v>
      </c>
      <c r="D910" s="17" t="s">
        <v>3297</v>
      </c>
      <c r="E910" s="16" t="s">
        <v>11436</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45">
      <c r="A911" s="15" t="s">
        <v>1103</v>
      </c>
      <c r="B911" s="16" t="s">
        <v>5</v>
      </c>
      <c r="C911" s="17" t="s">
        <v>3299</v>
      </c>
      <c r="D911" s="17" t="s">
        <v>3300</v>
      </c>
      <c r="E911" s="16" t="s">
        <v>11436</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45">
      <c r="A912" s="15" t="s">
        <v>1115</v>
      </c>
      <c r="B912" s="16" t="s">
        <v>5</v>
      </c>
      <c r="C912" s="17" t="s">
        <v>3302</v>
      </c>
      <c r="D912" s="17" t="s">
        <v>3303</v>
      </c>
      <c r="E912" s="16" t="s">
        <v>11436</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45">
      <c r="A913" s="15" t="s">
        <v>11325</v>
      </c>
      <c r="B913" s="16" t="s">
        <v>5</v>
      </c>
      <c r="C913" s="17" t="s">
        <v>3305</v>
      </c>
      <c r="D913" s="17" t="s">
        <v>3306</v>
      </c>
      <c r="E913" s="16" t="s">
        <v>11436</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45">
      <c r="A914" s="15" t="s">
        <v>1259</v>
      </c>
      <c r="B914" s="16" t="s">
        <v>5</v>
      </c>
      <c r="C914" s="17" t="s">
        <v>3308</v>
      </c>
      <c r="D914" s="17" t="s">
        <v>3309</v>
      </c>
      <c r="E914" s="16" t="s">
        <v>11436</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45">
      <c r="A915" s="15" t="s">
        <v>1286</v>
      </c>
      <c r="B915" s="16" t="s">
        <v>5</v>
      </c>
      <c r="C915" s="17" t="s">
        <v>3311</v>
      </c>
      <c r="D915" s="17" t="s">
        <v>3312</v>
      </c>
      <c r="E915" s="16" t="s">
        <v>11436</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45">
      <c r="A916" s="15" t="s">
        <v>4262</v>
      </c>
      <c r="B916" s="16" t="s">
        <v>5</v>
      </c>
      <c r="C916" s="17" t="s">
        <v>3314</v>
      </c>
      <c r="D916" s="17" t="s">
        <v>3315</v>
      </c>
      <c r="E916" s="16" t="s">
        <v>11436</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45">
      <c r="A917" s="15" t="s">
        <v>4301</v>
      </c>
      <c r="B917" s="16" t="s">
        <v>5</v>
      </c>
      <c r="C917" s="17" t="s">
        <v>3317</v>
      </c>
      <c r="D917" s="17" t="s">
        <v>3318</v>
      </c>
      <c r="E917" s="16" t="s">
        <v>11436</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45">
      <c r="A918" s="15" t="s">
        <v>4304</v>
      </c>
      <c r="B918" s="16" t="s">
        <v>5</v>
      </c>
      <c r="C918" s="17" t="s">
        <v>3320</v>
      </c>
      <c r="D918" s="17" t="s">
        <v>3321</v>
      </c>
      <c r="E918" s="16" t="s">
        <v>11436</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45">
      <c r="A919" s="15" t="s">
        <v>4415</v>
      </c>
      <c r="B919" s="16" t="s">
        <v>5</v>
      </c>
      <c r="C919" s="17" t="s">
        <v>3323</v>
      </c>
      <c r="D919" s="17" t="s">
        <v>3324</v>
      </c>
      <c r="E919" s="16" t="s">
        <v>11436</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45">
      <c r="A920" s="15" t="s">
        <v>4640</v>
      </c>
      <c r="B920" s="16" t="s">
        <v>5</v>
      </c>
      <c r="C920" s="17" t="s">
        <v>3326</v>
      </c>
      <c r="D920" s="17" t="s">
        <v>3327</v>
      </c>
      <c r="E920" s="16" t="s">
        <v>11436</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45">
      <c r="A921" s="15" t="s">
        <v>5222</v>
      </c>
      <c r="B921" s="16" t="s">
        <v>5</v>
      </c>
      <c r="C921" s="17" t="s">
        <v>3329</v>
      </c>
      <c r="D921" s="17" t="s">
        <v>3330</v>
      </c>
      <c r="E921" s="16" t="s">
        <v>11436</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45">
      <c r="A922" s="15" t="s">
        <v>11326</v>
      </c>
      <c r="B922" s="16" t="s">
        <v>5</v>
      </c>
      <c r="C922" s="17" t="s">
        <v>3332</v>
      </c>
      <c r="D922" s="17" t="s">
        <v>3333</v>
      </c>
      <c r="E922" s="16" t="s">
        <v>11436</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45">
      <c r="A923" s="15" t="s">
        <v>6703</v>
      </c>
      <c r="B923" s="16" t="s">
        <v>5</v>
      </c>
      <c r="C923" s="17" t="s">
        <v>3335</v>
      </c>
      <c r="D923" s="17" t="s">
        <v>3336</v>
      </c>
      <c r="E923" s="16" t="s">
        <v>11436</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45">
      <c r="A924" s="15" t="s">
        <v>6886</v>
      </c>
      <c r="B924" s="16" t="s">
        <v>5</v>
      </c>
      <c r="C924" s="17" t="s">
        <v>3338</v>
      </c>
      <c r="D924" s="17" t="s">
        <v>3339</v>
      </c>
      <c r="E924" s="15" t="s">
        <v>11436</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45">
      <c r="A925" s="15" t="s">
        <v>7006</v>
      </c>
      <c r="B925" s="16" t="s">
        <v>5</v>
      </c>
      <c r="C925" s="17" t="s">
        <v>3341</v>
      </c>
      <c r="D925" s="17" t="s">
        <v>3342</v>
      </c>
      <c r="E925" s="16" t="s">
        <v>11436</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45">
      <c r="A926" s="15" t="s">
        <v>655</v>
      </c>
      <c r="B926" s="16" t="s">
        <v>183</v>
      </c>
      <c r="C926" s="17" t="s">
        <v>3344</v>
      </c>
      <c r="D926" s="17" t="s">
        <v>3345</v>
      </c>
      <c r="E926" s="16" t="s">
        <v>11416</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45">
      <c r="A927" s="15" t="s">
        <v>598</v>
      </c>
      <c r="B927" s="16" t="s">
        <v>183</v>
      </c>
      <c r="C927" s="17" t="s">
        <v>3347</v>
      </c>
      <c r="D927" s="17" t="s">
        <v>3348</v>
      </c>
      <c r="E927" s="16" t="s">
        <v>11416</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45">
      <c r="A928" s="15" t="s">
        <v>7000</v>
      </c>
      <c r="B928" s="16" t="s">
        <v>5</v>
      </c>
      <c r="C928" s="17" t="s">
        <v>3350</v>
      </c>
      <c r="D928" s="17" t="s">
        <v>3351</v>
      </c>
      <c r="E928" s="16" t="s">
        <v>11436</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45">
      <c r="A929" s="15" t="s">
        <v>7177</v>
      </c>
      <c r="B929" s="16" t="s">
        <v>5</v>
      </c>
      <c r="C929" s="17" t="s">
        <v>3353</v>
      </c>
      <c r="D929" s="17" t="s">
        <v>3354</v>
      </c>
      <c r="E929" s="16" t="s">
        <v>11436</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45">
      <c r="A930" s="15" t="s">
        <v>7627</v>
      </c>
      <c r="B930" s="16" t="s">
        <v>5</v>
      </c>
      <c r="C930" s="17" t="s">
        <v>3356</v>
      </c>
      <c r="D930" s="17" t="s">
        <v>3357</v>
      </c>
      <c r="E930" s="16" t="s">
        <v>11436</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45">
      <c r="A931" s="15" t="s">
        <v>7798</v>
      </c>
      <c r="B931" s="16" t="s">
        <v>5</v>
      </c>
      <c r="C931" s="17" t="s">
        <v>3359</v>
      </c>
      <c r="D931" s="17" t="s">
        <v>3360</v>
      </c>
      <c r="E931" s="16" t="s">
        <v>11436</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45">
      <c r="A932" s="15" t="s">
        <v>7825</v>
      </c>
      <c r="B932" s="16" t="s">
        <v>5</v>
      </c>
      <c r="C932" s="17" t="s">
        <v>3362</v>
      </c>
      <c r="D932" s="17" t="s">
        <v>3363</v>
      </c>
      <c r="E932" s="16" t="s">
        <v>11436</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45">
      <c r="A933" s="15" t="s">
        <v>7837</v>
      </c>
      <c r="B933" s="16" t="s">
        <v>5</v>
      </c>
      <c r="C933" s="17" t="s">
        <v>3365</v>
      </c>
      <c r="D933" s="17" t="s">
        <v>3366</v>
      </c>
      <c r="E933" s="16" t="s">
        <v>11436</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45">
      <c r="A934" s="15" t="s">
        <v>8164</v>
      </c>
      <c r="B934" s="16" t="s">
        <v>5</v>
      </c>
      <c r="C934" s="17" t="s">
        <v>3368</v>
      </c>
      <c r="D934" s="17" t="s">
        <v>3369</v>
      </c>
      <c r="E934" s="16" t="s">
        <v>11436</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45">
      <c r="A935" s="15" t="s">
        <v>6254</v>
      </c>
      <c r="B935" s="16" t="s">
        <v>5</v>
      </c>
      <c r="C935" s="17" t="s">
        <v>3371</v>
      </c>
      <c r="D935" s="17" t="s">
        <v>3372</v>
      </c>
      <c r="E935" s="16" t="s">
        <v>11436</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45">
      <c r="A936" s="15" t="s">
        <v>7288</v>
      </c>
      <c r="B936" s="16" t="s">
        <v>5</v>
      </c>
      <c r="C936" s="17" t="s">
        <v>3374</v>
      </c>
      <c r="D936" s="17" t="s">
        <v>3375</v>
      </c>
      <c r="E936" s="16" t="s">
        <v>11436</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45">
      <c r="A937" s="15" t="s">
        <v>7321</v>
      </c>
      <c r="B937" s="16" t="s">
        <v>5</v>
      </c>
      <c r="C937" s="17" t="s">
        <v>3377</v>
      </c>
      <c r="D937" s="17" t="s">
        <v>3378</v>
      </c>
      <c r="E937" s="16" t="s">
        <v>11436</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45">
      <c r="A938" s="15" t="s">
        <v>7918</v>
      </c>
      <c r="B938" s="16" t="s">
        <v>5</v>
      </c>
      <c r="C938" s="17" t="s">
        <v>3380</v>
      </c>
      <c r="D938" s="17" t="s">
        <v>3381</v>
      </c>
      <c r="E938" s="16" t="s">
        <v>11436</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45">
      <c r="A939" s="15" t="s">
        <v>7960</v>
      </c>
      <c r="B939" s="16" t="s">
        <v>5</v>
      </c>
      <c r="C939" s="17" t="s">
        <v>3383</v>
      </c>
      <c r="D939" s="17" t="s">
        <v>3384</v>
      </c>
      <c r="E939" s="16" t="s">
        <v>11436</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45">
      <c r="A940" s="15" t="s">
        <v>7987</v>
      </c>
      <c r="B940" s="16" t="s">
        <v>5</v>
      </c>
      <c r="C940" s="17" t="s">
        <v>3386</v>
      </c>
      <c r="D940" s="17" t="s">
        <v>3387</v>
      </c>
      <c r="E940" s="16" t="s">
        <v>11436</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45">
      <c r="A941" s="15" t="s">
        <v>8017</v>
      </c>
      <c r="B941" s="16" t="s">
        <v>5</v>
      </c>
      <c r="C941" s="17" t="s">
        <v>3389</v>
      </c>
      <c r="D941" s="17" t="s">
        <v>3390</v>
      </c>
      <c r="E941" s="16" t="s">
        <v>11436</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45">
      <c r="A942" s="15" t="s">
        <v>8092</v>
      </c>
      <c r="B942" s="16" t="s">
        <v>5</v>
      </c>
      <c r="C942" s="17" t="s">
        <v>3392</v>
      </c>
      <c r="D942" s="17" t="s">
        <v>3393</v>
      </c>
      <c r="E942" s="16" t="s">
        <v>11436</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45">
      <c r="A943" s="15" t="s">
        <v>8368</v>
      </c>
      <c r="B943" s="16" t="s">
        <v>5</v>
      </c>
      <c r="C943" s="17" t="s">
        <v>3395</v>
      </c>
      <c r="D943" s="17" t="s">
        <v>3396</v>
      </c>
      <c r="E943" s="16" t="s">
        <v>11436</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45">
      <c r="A944" s="15" t="s">
        <v>8209</v>
      </c>
      <c r="B944" s="16" t="s">
        <v>5</v>
      </c>
      <c r="C944" s="17" t="s">
        <v>3398</v>
      </c>
      <c r="D944" s="17" t="s">
        <v>3399</v>
      </c>
      <c r="E944" s="16" t="s">
        <v>11436</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45">
      <c r="A945" s="15" t="s">
        <v>5114</v>
      </c>
      <c r="B945" s="16" t="s">
        <v>5</v>
      </c>
      <c r="C945" s="17" t="s">
        <v>3401</v>
      </c>
      <c r="D945" s="17" t="s">
        <v>3402</v>
      </c>
      <c r="E945" s="16" t="s">
        <v>11436</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45">
      <c r="A946" s="15" t="s">
        <v>5138</v>
      </c>
      <c r="B946" s="16" t="s">
        <v>5</v>
      </c>
      <c r="C946" s="17" t="s">
        <v>3404</v>
      </c>
      <c r="D946" s="17" t="s">
        <v>3405</v>
      </c>
      <c r="E946" s="16" t="s">
        <v>11436</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45">
      <c r="A947" s="15" t="s">
        <v>8371</v>
      </c>
      <c r="B947" s="16" t="s">
        <v>5</v>
      </c>
      <c r="C947" s="17" t="s">
        <v>3407</v>
      </c>
      <c r="D947" s="17" t="s">
        <v>3408</v>
      </c>
      <c r="E947" s="16" t="s">
        <v>11436</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45">
      <c r="A948" s="15" t="s">
        <v>5612</v>
      </c>
      <c r="B948" s="16" t="s">
        <v>5</v>
      </c>
      <c r="C948" s="17" t="s">
        <v>3410</v>
      </c>
      <c r="D948" s="17" t="s">
        <v>3411</v>
      </c>
      <c r="E948" s="16" t="s">
        <v>11436</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45">
      <c r="A949" s="15" t="s">
        <v>7966</v>
      </c>
      <c r="B949" s="16" t="s">
        <v>5</v>
      </c>
      <c r="C949" s="17" t="s">
        <v>3413</v>
      </c>
      <c r="D949" s="17" t="s">
        <v>3414</v>
      </c>
      <c r="E949" s="16" t="s">
        <v>11436</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45">
      <c r="A950" s="15" t="s">
        <v>6751</v>
      </c>
      <c r="B950" s="16" t="s">
        <v>5</v>
      </c>
      <c r="C950" s="17" t="s">
        <v>3416</v>
      </c>
      <c r="D950" s="17" t="s">
        <v>3417</v>
      </c>
      <c r="E950" s="16" t="s">
        <v>11436</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45">
      <c r="A951" s="15" t="s">
        <v>6865</v>
      </c>
      <c r="B951" s="16" t="s">
        <v>5</v>
      </c>
      <c r="C951" s="17" t="s">
        <v>3419</v>
      </c>
      <c r="D951" s="17" t="s">
        <v>3420</v>
      </c>
      <c r="E951" s="16" t="s">
        <v>11436</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45">
      <c r="A952" s="15" t="s">
        <v>7834</v>
      </c>
      <c r="B952" s="16" t="s">
        <v>5</v>
      </c>
      <c r="C952" s="17" t="s">
        <v>3422</v>
      </c>
      <c r="D952" s="17" t="s">
        <v>3423</v>
      </c>
      <c r="E952" s="16" t="s">
        <v>11436</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45">
      <c r="A953" s="15" t="s">
        <v>4787</v>
      </c>
      <c r="B953" s="16" t="s">
        <v>5</v>
      </c>
      <c r="C953" s="17" t="s">
        <v>3425</v>
      </c>
      <c r="D953" s="17" t="s">
        <v>3426</v>
      </c>
      <c r="E953" s="16" t="s">
        <v>11436</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45">
      <c r="A954" s="15" t="s">
        <v>4889</v>
      </c>
      <c r="B954" s="16" t="s">
        <v>5</v>
      </c>
      <c r="C954" s="17" t="s">
        <v>3428</v>
      </c>
      <c r="D954" s="17" t="s">
        <v>3429</v>
      </c>
      <c r="E954" s="16" t="s">
        <v>11436</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45">
      <c r="A955" s="15" t="s">
        <v>4901</v>
      </c>
      <c r="B955" s="16" t="s">
        <v>5</v>
      </c>
      <c r="C955" s="17" t="s">
        <v>3431</v>
      </c>
      <c r="D955" s="17" t="s">
        <v>3432</v>
      </c>
      <c r="E955" s="16" t="s">
        <v>11436</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45">
      <c r="A956" s="15" t="s">
        <v>5111</v>
      </c>
      <c r="B956" s="16" t="s">
        <v>5</v>
      </c>
      <c r="C956" s="17" t="s">
        <v>3434</v>
      </c>
      <c r="D956" s="17" t="s">
        <v>3435</v>
      </c>
      <c r="E956" s="16" t="s">
        <v>11436</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45">
      <c r="A957" s="15" t="s">
        <v>5615</v>
      </c>
      <c r="B957" s="16" t="s">
        <v>5</v>
      </c>
      <c r="C957" s="17" t="s">
        <v>3437</v>
      </c>
      <c r="D957" s="17" t="s">
        <v>3438</v>
      </c>
      <c r="E957" s="16" t="s">
        <v>11436</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45">
      <c r="A958" s="15" t="s">
        <v>5915</v>
      </c>
      <c r="B958" s="16" t="s">
        <v>5</v>
      </c>
      <c r="C958" s="17" t="s">
        <v>3440</v>
      </c>
      <c r="D958" s="17" t="s">
        <v>3441</v>
      </c>
      <c r="E958" s="16" t="s">
        <v>11436</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45">
      <c r="A959" s="15" t="s">
        <v>6089</v>
      </c>
      <c r="B959" s="16" t="s">
        <v>5</v>
      </c>
      <c r="C959" s="17" t="s">
        <v>3443</v>
      </c>
      <c r="D959" s="17" t="s">
        <v>3444</v>
      </c>
      <c r="E959" s="16" t="s">
        <v>11436</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45">
      <c r="A960" s="15" t="s">
        <v>8212</v>
      </c>
      <c r="B960" s="16" t="s">
        <v>5</v>
      </c>
      <c r="C960" s="17" t="s">
        <v>3446</v>
      </c>
      <c r="D960" s="17" t="s">
        <v>3447</v>
      </c>
      <c r="E960" s="16" t="s">
        <v>11436</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45">
      <c r="A961" s="15" t="s">
        <v>11327</v>
      </c>
      <c r="B961" s="16" t="s">
        <v>5</v>
      </c>
      <c r="C961" s="17" t="s">
        <v>3449</v>
      </c>
      <c r="D961" s="17" t="s">
        <v>3450</v>
      </c>
      <c r="E961" s="16" t="s">
        <v>11436</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45">
      <c r="A962" s="15" t="s">
        <v>6535</v>
      </c>
      <c r="B962" s="16" t="s">
        <v>5</v>
      </c>
      <c r="C962" s="17" t="s">
        <v>3452</v>
      </c>
      <c r="D962" s="17" t="s">
        <v>3453</v>
      </c>
      <c r="E962" s="16" t="s">
        <v>11436</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45">
      <c r="A963" s="15" t="s">
        <v>6634</v>
      </c>
      <c r="B963" s="16" t="s">
        <v>5</v>
      </c>
      <c r="C963" s="17" t="s">
        <v>3455</v>
      </c>
      <c r="D963" s="17" t="s">
        <v>3456</v>
      </c>
      <c r="E963" s="16" t="s">
        <v>11436</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45">
      <c r="A964" s="15" t="s">
        <v>6796</v>
      </c>
      <c r="B964" s="16" t="s">
        <v>5</v>
      </c>
      <c r="C964" s="17" t="s">
        <v>3458</v>
      </c>
      <c r="D964" s="17" t="s">
        <v>3459</v>
      </c>
      <c r="E964" s="16" t="s">
        <v>11436</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45">
      <c r="A965" s="15" t="s">
        <v>7882</v>
      </c>
      <c r="B965" s="16" t="s">
        <v>5</v>
      </c>
      <c r="C965" s="17" t="s">
        <v>3461</v>
      </c>
      <c r="D965" s="17" t="s">
        <v>3462</v>
      </c>
      <c r="E965" s="16" t="s">
        <v>11436</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45">
      <c r="A966" s="15" t="s">
        <v>8077</v>
      </c>
      <c r="B966" s="16" t="s">
        <v>5</v>
      </c>
      <c r="C966" s="17" t="s">
        <v>3464</v>
      </c>
      <c r="D966" s="17" t="s">
        <v>3465</v>
      </c>
      <c r="E966" s="16" t="s">
        <v>11436</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45">
      <c r="A967" s="15" t="s">
        <v>5240</v>
      </c>
      <c r="B967" s="16" t="s">
        <v>5</v>
      </c>
      <c r="C967" s="17" t="s">
        <v>3467</v>
      </c>
      <c r="D967" s="17" t="s">
        <v>3468</v>
      </c>
      <c r="E967" s="16" t="s">
        <v>11436</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45">
      <c r="A968" s="15" t="s">
        <v>5282</v>
      </c>
      <c r="B968" s="16" t="s">
        <v>5</v>
      </c>
      <c r="C968" s="17" t="s">
        <v>3470</v>
      </c>
      <c r="D968" s="17" t="s">
        <v>3471</v>
      </c>
      <c r="E968" s="16" t="s">
        <v>11436</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45">
      <c r="A969" s="15" t="s">
        <v>5300</v>
      </c>
      <c r="B969" s="16" t="s">
        <v>5</v>
      </c>
      <c r="C969" s="17" t="s">
        <v>3473</v>
      </c>
      <c r="D969" s="17" t="s">
        <v>3474</v>
      </c>
      <c r="E969" s="16" t="s">
        <v>11436</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45">
      <c r="A970" s="15" t="s">
        <v>11328</v>
      </c>
      <c r="B970" s="16" t="s">
        <v>5</v>
      </c>
      <c r="C970" s="17" t="s">
        <v>3476</v>
      </c>
      <c r="D970" s="17" t="s">
        <v>3477</v>
      </c>
      <c r="E970" s="16" t="s">
        <v>11436</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45">
      <c r="A971" s="15" t="s">
        <v>5450</v>
      </c>
      <c r="B971" s="16" t="s">
        <v>5</v>
      </c>
      <c r="C971" s="17" t="s">
        <v>3479</v>
      </c>
      <c r="D971" s="17" t="s">
        <v>3480</v>
      </c>
      <c r="E971" s="16" t="s">
        <v>11436</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45">
      <c r="A972" s="15" t="s">
        <v>8419</v>
      </c>
      <c r="B972" s="16" t="s">
        <v>5</v>
      </c>
      <c r="C972" s="17" t="s">
        <v>3482</v>
      </c>
      <c r="D972" s="17" t="s">
        <v>3483</v>
      </c>
      <c r="E972" s="16" t="s">
        <v>11436</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45">
      <c r="A973" s="15" t="s">
        <v>8224</v>
      </c>
      <c r="B973" s="16" t="s">
        <v>5</v>
      </c>
      <c r="C973" s="17" t="s">
        <v>3485</v>
      </c>
      <c r="D973" s="17" t="s">
        <v>3486</v>
      </c>
      <c r="E973" s="16" t="s">
        <v>11436</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45">
      <c r="A974" s="15" t="s">
        <v>8044</v>
      </c>
      <c r="B974" s="16" t="s">
        <v>5</v>
      </c>
      <c r="C974" s="17" t="s">
        <v>3488</v>
      </c>
      <c r="D974" s="17" t="s">
        <v>3489</v>
      </c>
      <c r="E974" s="16" t="s">
        <v>11436</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45">
      <c r="A975" s="15" t="s">
        <v>5273</v>
      </c>
      <c r="B975" s="16" t="s">
        <v>5</v>
      </c>
      <c r="C975" s="17" t="s">
        <v>3491</v>
      </c>
      <c r="D975" s="17" t="s">
        <v>3492</v>
      </c>
      <c r="E975" s="16" t="s">
        <v>11436</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45">
      <c r="A976" s="15" t="s">
        <v>5519</v>
      </c>
      <c r="B976" s="16" t="s">
        <v>5</v>
      </c>
      <c r="C976" s="17" t="s">
        <v>3494</v>
      </c>
      <c r="D976" s="17" t="s">
        <v>3495</v>
      </c>
      <c r="E976" s="16" t="s">
        <v>11436</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45">
      <c r="A977" s="15" t="s">
        <v>5687</v>
      </c>
      <c r="B977" s="16" t="s">
        <v>5</v>
      </c>
      <c r="C977" s="17" t="s">
        <v>3497</v>
      </c>
      <c r="D977" s="17" t="s">
        <v>3498</v>
      </c>
      <c r="E977" s="16" t="s">
        <v>11436</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45">
      <c r="A978" s="15" t="s">
        <v>5723</v>
      </c>
      <c r="B978" s="16" t="s">
        <v>5</v>
      </c>
      <c r="C978" s="17" t="s">
        <v>3500</v>
      </c>
      <c r="D978" s="17" t="s">
        <v>3501</v>
      </c>
      <c r="E978" s="16" t="s">
        <v>11436</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45">
      <c r="A979" s="15" t="s">
        <v>5789</v>
      </c>
      <c r="B979" s="16" t="s">
        <v>5</v>
      </c>
      <c r="C979" s="17" t="s">
        <v>3503</v>
      </c>
      <c r="D979" s="17" t="s">
        <v>3504</v>
      </c>
      <c r="E979" s="16" t="s">
        <v>11436</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45">
      <c r="A980" s="15" t="s">
        <v>8416</v>
      </c>
      <c r="B980" s="16" t="s">
        <v>5</v>
      </c>
      <c r="C980" s="17" t="s">
        <v>3506</v>
      </c>
      <c r="D980" s="17" t="s">
        <v>3507</v>
      </c>
      <c r="E980" s="16" t="s">
        <v>11436</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45">
      <c r="A981" s="15" t="s">
        <v>6236</v>
      </c>
      <c r="B981" s="16" t="s">
        <v>5</v>
      </c>
      <c r="C981" s="17" t="s">
        <v>3509</v>
      </c>
      <c r="D981" s="17" t="s">
        <v>3510</v>
      </c>
      <c r="E981" s="16" t="s">
        <v>11436</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45">
      <c r="A982" s="15" t="s">
        <v>6275</v>
      </c>
      <c r="B982" s="16" t="s">
        <v>5</v>
      </c>
      <c r="C982" s="17" t="s">
        <v>3512</v>
      </c>
      <c r="D982" s="17" t="s">
        <v>3513</v>
      </c>
      <c r="E982" s="16" t="s">
        <v>11436</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45">
      <c r="A983" s="15" t="s">
        <v>6568</v>
      </c>
      <c r="B983" s="16" t="s">
        <v>5</v>
      </c>
      <c r="C983" s="17" t="s">
        <v>3515</v>
      </c>
      <c r="D983" s="17" t="s">
        <v>3516</v>
      </c>
      <c r="E983" s="16" t="s">
        <v>11436</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45">
      <c r="A984" s="15" t="s">
        <v>7060</v>
      </c>
      <c r="B984" s="16" t="s">
        <v>5</v>
      </c>
      <c r="C984" s="17" t="s">
        <v>3518</v>
      </c>
      <c r="D984" s="17" t="s">
        <v>3519</v>
      </c>
      <c r="E984" s="16" t="s">
        <v>11436</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45">
      <c r="A985" s="15" t="s">
        <v>7816</v>
      </c>
      <c r="B985" s="16" t="s">
        <v>5</v>
      </c>
      <c r="C985" s="17" t="s">
        <v>3521</v>
      </c>
      <c r="D985" s="17" t="s">
        <v>3522</v>
      </c>
      <c r="E985" s="16" t="s">
        <v>11436</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45">
      <c r="A986" s="15" t="s">
        <v>5696</v>
      </c>
      <c r="B986" s="16" t="s">
        <v>5</v>
      </c>
      <c r="C986" s="17" t="s">
        <v>3524</v>
      </c>
      <c r="D986" s="17" t="s">
        <v>3525</v>
      </c>
      <c r="E986" s="16" t="s">
        <v>11436</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45">
      <c r="A987" s="15" t="s">
        <v>5699</v>
      </c>
      <c r="B987" s="16" t="s">
        <v>5</v>
      </c>
      <c r="C987" s="17" t="s">
        <v>3527</v>
      </c>
      <c r="D987" s="17" t="s">
        <v>3528</v>
      </c>
      <c r="E987" s="16" t="s">
        <v>11436</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45">
      <c r="A988" s="15" t="s">
        <v>8389</v>
      </c>
      <c r="B988" s="16" t="s">
        <v>5</v>
      </c>
      <c r="C988" s="17" t="s">
        <v>3530</v>
      </c>
      <c r="D988" s="17" t="s">
        <v>3531</v>
      </c>
      <c r="E988" s="16" t="s">
        <v>11436</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45">
      <c r="A989" s="15" t="s">
        <v>8800</v>
      </c>
      <c r="B989" s="16" t="s">
        <v>5</v>
      </c>
      <c r="C989" s="17" t="s">
        <v>3533</v>
      </c>
      <c r="D989" s="17" t="s">
        <v>3534</v>
      </c>
      <c r="E989" s="16" t="s">
        <v>11436</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45">
      <c r="A990" s="15" t="s">
        <v>9055</v>
      </c>
      <c r="B990" s="16" t="s">
        <v>5</v>
      </c>
      <c r="C990" s="17" t="s">
        <v>3536</v>
      </c>
      <c r="D990" s="17" t="s">
        <v>3537</v>
      </c>
      <c r="E990" s="16" t="s">
        <v>11436</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45">
      <c r="A991" s="15" t="s">
        <v>9244</v>
      </c>
      <c r="B991" s="16" t="s">
        <v>5</v>
      </c>
      <c r="C991" s="17" t="s">
        <v>3539</v>
      </c>
      <c r="D991" s="17" t="s">
        <v>3540</v>
      </c>
      <c r="E991" s="16" t="s">
        <v>11436</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45">
      <c r="A992" s="15" t="s">
        <v>586</v>
      </c>
      <c r="B992" s="16" t="s">
        <v>183</v>
      </c>
      <c r="C992" s="17" t="s">
        <v>3542</v>
      </c>
      <c r="D992" s="17" t="s">
        <v>3543</v>
      </c>
      <c r="E992" s="16" t="s">
        <v>11416</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45">
      <c r="A993" s="15" t="s">
        <v>9025</v>
      </c>
      <c r="B993" s="16" t="s">
        <v>5</v>
      </c>
      <c r="C993" s="17" t="s">
        <v>3545</v>
      </c>
      <c r="D993" s="17" t="s">
        <v>3546</v>
      </c>
      <c r="E993" s="16" t="s">
        <v>11436</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45">
      <c r="A994" s="15" t="s">
        <v>9028</v>
      </c>
      <c r="B994" s="16" t="s">
        <v>5</v>
      </c>
      <c r="C994" s="17" t="s">
        <v>3548</v>
      </c>
      <c r="D994" s="17" t="s">
        <v>3549</v>
      </c>
      <c r="E994" s="16" t="s">
        <v>11436</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45">
      <c r="A995" s="15" t="s">
        <v>8872</v>
      </c>
      <c r="B995" s="16" t="s">
        <v>5</v>
      </c>
      <c r="C995" s="17" t="s">
        <v>3551</v>
      </c>
      <c r="D995" s="17" t="s">
        <v>3552</v>
      </c>
      <c r="E995" s="16" t="s">
        <v>11436</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45">
      <c r="A996" s="15" t="s">
        <v>8050</v>
      </c>
      <c r="B996" s="16" t="s">
        <v>5</v>
      </c>
      <c r="C996" s="17" t="s">
        <v>3554</v>
      </c>
      <c r="D996" s="17" t="s">
        <v>3555</v>
      </c>
      <c r="E996" s="16" t="s">
        <v>11436</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45">
      <c r="A997" s="15" t="s">
        <v>5429</v>
      </c>
      <c r="B997" s="16" t="s">
        <v>5</v>
      </c>
      <c r="C997" s="17" t="s">
        <v>3557</v>
      </c>
      <c r="D997" s="17" t="s">
        <v>3558</v>
      </c>
      <c r="E997" s="16" t="s">
        <v>11436</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45">
      <c r="A998" s="15" t="s">
        <v>857</v>
      </c>
      <c r="B998" s="16" t="s">
        <v>5</v>
      </c>
      <c r="C998" s="17" t="s">
        <v>3560</v>
      </c>
      <c r="D998" s="17" t="s">
        <v>3561</v>
      </c>
      <c r="E998" s="16" t="s">
        <v>11436</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45">
      <c r="A999" s="15" t="s">
        <v>1151</v>
      </c>
      <c r="B999" s="16" t="s">
        <v>5</v>
      </c>
      <c r="C999" s="17" t="s">
        <v>3563</v>
      </c>
      <c r="D999" s="17" t="s">
        <v>3564</v>
      </c>
      <c r="E999" s="16" t="s">
        <v>11436</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45">
      <c r="A1000" s="15" t="s">
        <v>1229</v>
      </c>
      <c r="B1000" s="16" t="s">
        <v>5</v>
      </c>
      <c r="C1000" s="17" t="s">
        <v>3566</v>
      </c>
      <c r="D1000" s="17" t="s">
        <v>3567</v>
      </c>
      <c r="E1000" s="16" t="s">
        <v>11436</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45">
      <c r="A1001" s="15" t="s">
        <v>4298</v>
      </c>
      <c r="B1001" s="16" t="s">
        <v>5</v>
      </c>
      <c r="C1001" s="17" t="s">
        <v>3570</v>
      </c>
      <c r="D1001" s="17" t="s">
        <v>3571</v>
      </c>
      <c r="E1001" s="16" t="s">
        <v>11436</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45">
      <c r="A1002" s="15" t="s">
        <v>4385</v>
      </c>
      <c r="B1002" s="16" t="s">
        <v>5</v>
      </c>
      <c r="C1002" s="17" t="s">
        <v>3573</v>
      </c>
      <c r="D1002" s="17" t="s">
        <v>3574</v>
      </c>
      <c r="E1002" s="16" t="s">
        <v>11436</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45">
      <c r="A1003" s="15" t="s">
        <v>4400</v>
      </c>
      <c r="B1003" s="16" t="s">
        <v>5</v>
      </c>
      <c r="C1003" s="17" t="s">
        <v>3576</v>
      </c>
      <c r="D1003" s="17" t="s">
        <v>3577</v>
      </c>
      <c r="E1003" s="16" t="s">
        <v>11436</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45">
      <c r="A1004" s="15" t="s">
        <v>4535</v>
      </c>
      <c r="B1004" s="16" t="s">
        <v>5</v>
      </c>
      <c r="C1004" s="17" t="s">
        <v>3579</v>
      </c>
      <c r="D1004" s="17" t="s">
        <v>3580</v>
      </c>
      <c r="E1004" s="16" t="s">
        <v>11436</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45">
      <c r="A1005" s="15" t="s">
        <v>4685</v>
      </c>
      <c r="B1005" s="16" t="s">
        <v>5</v>
      </c>
      <c r="C1005" s="17" t="s">
        <v>3582</v>
      </c>
      <c r="D1005" s="17" t="s">
        <v>3583</v>
      </c>
      <c r="E1005" s="16" t="s">
        <v>11436</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45">
      <c r="A1006" s="15" t="s">
        <v>4733</v>
      </c>
      <c r="B1006" s="16" t="s">
        <v>5</v>
      </c>
      <c r="C1006" s="17" t="s">
        <v>3585</v>
      </c>
      <c r="D1006" s="17" t="s">
        <v>3586</v>
      </c>
      <c r="E1006" s="16" t="s">
        <v>11436</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45">
      <c r="A1007" s="15" t="s">
        <v>4805</v>
      </c>
      <c r="B1007" s="16" t="s">
        <v>5</v>
      </c>
      <c r="C1007" s="17" t="s">
        <v>3588</v>
      </c>
      <c r="D1007" s="17" t="s">
        <v>3589</v>
      </c>
      <c r="E1007" s="16" t="s">
        <v>11436</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45">
      <c r="A1008" s="15" t="s">
        <v>5309</v>
      </c>
      <c r="B1008" s="16" t="s">
        <v>5</v>
      </c>
      <c r="C1008" s="17" t="s">
        <v>3591</v>
      </c>
      <c r="D1008" s="17" t="s">
        <v>3592</v>
      </c>
      <c r="E1008" s="16" t="s">
        <v>11436</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45">
      <c r="A1009" s="15" t="s">
        <v>5351</v>
      </c>
      <c r="B1009" s="16" t="s">
        <v>5</v>
      </c>
      <c r="C1009" s="17" t="s">
        <v>3594</v>
      </c>
      <c r="D1009" s="17" t="s">
        <v>3595</v>
      </c>
      <c r="E1009" s="16" t="s">
        <v>11436</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45">
      <c r="A1010" s="15" t="s">
        <v>5432</v>
      </c>
      <c r="B1010" s="16" t="s">
        <v>5</v>
      </c>
      <c r="C1010" s="17" t="s">
        <v>3597</v>
      </c>
      <c r="D1010" s="17" t="s">
        <v>3598</v>
      </c>
      <c r="E1010" s="16" t="s">
        <v>11436</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45">
      <c r="A1011" s="15" t="s">
        <v>5522</v>
      </c>
      <c r="B1011" s="16" t="s">
        <v>5</v>
      </c>
      <c r="C1011" s="17" t="s">
        <v>3600</v>
      </c>
      <c r="D1011" s="17" t="s">
        <v>3601</v>
      </c>
      <c r="E1011" s="16" t="s">
        <v>11436</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45">
      <c r="A1012" s="15" t="s">
        <v>5975</v>
      </c>
      <c r="B1012" s="16" t="s">
        <v>5</v>
      </c>
      <c r="C1012" s="17" t="s">
        <v>3603</v>
      </c>
      <c r="D1012" s="17" t="s">
        <v>3604</v>
      </c>
      <c r="E1012" s="16" t="s">
        <v>11436</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45">
      <c r="A1013" s="15" t="s">
        <v>6955</v>
      </c>
      <c r="B1013" s="16" t="s">
        <v>5</v>
      </c>
      <c r="C1013" s="17" t="s">
        <v>3606</v>
      </c>
      <c r="D1013" s="17" t="s">
        <v>3607</v>
      </c>
      <c r="E1013" s="16" t="s">
        <v>11436</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45">
      <c r="A1014" s="15" t="s">
        <v>7573</v>
      </c>
      <c r="B1014" s="16" t="s">
        <v>5</v>
      </c>
      <c r="C1014" s="17" t="s">
        <v>3609</v>
      </c>
      <c r="D1014" s="17" t="s">
        <v>3610</v>
      </c>
      <c r="E1014" s="16" t="s">
        <v>11436</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45">
      <c r="A1015" s="15" t="s">
        <v>7666</v>
      </c>
      <c r="B1015" s="16" t="s">
        <v>5</v>
      </c>
      <c r="C1015" s="17" t="s">
        <v>3612</v>
      </c>
      <c r="D1015" s="17" t="s">
        <v>3613</v>
      </c>
      <c r="E1015" s="16" t="s">
        <v>11436</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45">
      <c r="A1016" s="15" t="s">
        <v>7735</v>
      </c>
      <c r="B1016" s="16" t="s">
        <v>5</v>
      </c>
      <c r="C1016" s="17" t="s">
        <v>3615</v>
      </c>
      <c r="D1016" s="17" t="s">
        <v>3616</v>
      </c>
      <c r="E1016" s="16" t="s">
        <v>11436</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45">
      <c r="A1017" s="15" t="s">
        <v>8215</v>
      </c>
      <c r="B1017" s="16" t="s">
        <v>5</v>
      </c>
      <c r="C1017" s="17" t="s">
        <v>3618</v>
      </c>
      <c r="D1017" s="17" t="s">
        <v>3619</v>
      </c>
      <c r="E1017" s="16" t="s">
        <v>11436</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45">
      <c r="A1018" s="15" t="s">
        <v>6832</v>
      </c>
      <c r="B1018" s="16" t="s">
        <v>5</v>
      </c>
      <c r="C1018" s="17" t="s">
        <v>3621</v>
      </c>
      <c r="D1018" s="17" t="s">
        <v>3622</v>
      </c>
      <c r="E1018" s="16" t="s">
        <v>11436</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45">
      <c r="A1019" s="15" t="s">
        <v>8239</v>
      </c>
      <c r="B1019" s="16" t="s">
        <v>5</v>
      </c>
      <c r="C1019" s="17" t="s">
        <v>3624</v>
      </c>
      <c r="D1019" s="17" t="s">
        <v>3625</v>
      </c>
      <c r="E1019" s="16" t="s">
        <v>11436</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45">
      <c r="A1020" s="15" t="s">
        <v>6775</v>
      </c>
      <c r="B1020" s="16" t="s">
        <v>5</v>
      </c>
      <c r="C1020" s="17" t="s">
        <v>3627</v>
      </c>
      <c r="D1020" s="17" t="s">
        <v>3628</v>
      </c>
      <c r="E1020" s="16" t="s">
        <v>11436</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45">
      <c r="A1021" s="15" t="s">
        <v>6847</v>
      </c>
      <c r="B1021" s="16" t="s">
        <v>5</v>
      </c>
      <c r="C1021" s="17" t="s">
        <v>3630</v>
      </c>
      <c r="D1021" s="17" t="s">
        <v>3631</v>
      </c>
      <c r="E1021" s="16" t="s">
        <v>11436</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45">
      <c r="A1022" s="15" t="s">
        <v>7807</v>
      </c>
      <c r="B1022" s="16" t="s">
        <v>5</v>
      </c>
      <c r="C1022" s="17" t="s">
        <v>3633</v>
      </c>
      <c r="D1022" s="17" t="s">
        <v>3634</v>
      </c>
      <c r="E1022" s="16" t="s">
        <v>11436</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45">
      <c r="A1023" s="15" t="s">
        <v>8497</v>
      </c>
      <c r="B1023" s="16" t="s">
        <v>5</v>
      </c>
      <c r="C1023" s="17" t="s">
        <v>3636</v>
      </c>
      <c r="D1023" s="17" t="s">
        <v>3637</v>
      </c>
      <c r="E1023" s="16" t="s">
        <v>11436</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45">
      <c r="A1024" s="15" t="s">
        <v>8485</v>
      </c>
      <c r="B1024" s="16" t="s">
        <v>5</v>
      </c>
      <c r="C1024" s="17" t="s">
        <v>3639</v>
      </c>
      <c r="D1024" s="17" t="s">
        <v>3640</v>
      </c>
      <c r="E1024" s="16" t="s">
        <v>11436</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45">
      <c r="A1025" s="15" t="s">
        <v>8692</v>
      </c>
      <c r="B1025" s="16" t="s">
        <v>5</v>
      </c>
      <c r="C1025" s="17" t="s">
        <v>3642</v>
      </c>
      <c r="D1025" s="17" t="s">
        <v>3643</v>
      </c>
      <c r="E1025" s="16" t="s">
        <v>11436</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45">
      <c r="A1026" s="15" t="s">
        <v>8866</v>
      </c>
      <c r="B1026" s="16" t="s">
        <v>5</v>
      </c>
      <c r="C1026" s="17" t="s">
        <v>3645</v>
      </c>
      <c r="D1026" s="17" t="s">
        <v>3646</v>
      </c>
      <c r="E1026" s="16" t="s">
        <v>11436</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45">
      <c r="A1027" s="15" t="s">
        <v>9121</v>
      </c>
      <c r="B1027" s="16" t="s">
        <v>5</v>
      </c>
      <c r="C1027" s="17" t="s">
        <v>3648</v>
      </c>
      <c r="D1027" s="17" t="s">
        <v>3649</v>
      </c>
      <c r="E1027" s="16" t="s">
        <v>11436</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45">
      <c r="A1028" s="15" t="s">
        <v>9163</v>
      </c>
      <c r="B1028" s="16" t="s">
        <v>5</v>
      </c>
      <c r="C1028" s="17" t="s">
        <v>3651</v>
      </c>
      <c r="D1028" s="17" t="s">
        <v>3652</v>
      </c>
      <c r="E1028" s="16" t="s">
        <v>11436</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45">
      <c r="A1029" s="15" t="s">
        <v>580</v>
      </c>
      <c r="B1029" s="16" t="s">
        <v>183</v>
      </c>
      <c r="C1029" s="17" t="s">
        <v>3654</v>
      </c>
      <c r="D1029" s="17" t="s">
        <v>3655</v>
      </c>
      <c r="E1029" s="16" t="s">
        <v>11416</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45">
      <c r="A1030" s="15" t="s">
        <v>5057</v>
      </c>
      <c r="B1030" s="16" t="s">
        <v>5</v>
      </c>
      <c r="C1030" s="17" t="s">
        <v>3657</v>
      </c>
      <c r="D1030" s="17" t="s">
        <v>3658</v>
      </c>
      <c r="E1030" s="16" t="s">
        <v>11424</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45">
      <c r="A1031" s="15" t="s">
        <v>4724</v>
      </c>
      <c r="B1031" s="16" t="s">
        <v>5</v>
      </c>
      <c r="C1031" s="17" t="s">
        <v>3660</v>
      </c>
      <c r="D1031" s="17" t="s">
        <v>3661</v>
      </c>
      <c r="E1031" s="16" t="s">
        <v>11424</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45">
      <c r="A1032" s="15" t="s">
        <v>4730</v>
      </c>
      <c r="B1032" s="16" t="s">
        <v>5</v>
      </c>
      <c r="C1032" s="17" t="s">
        <v>3663</v>
      </c>
      <c r="D1032" s="17" t="s">
        <v>3664</v>
      </c>
      <c r="E1032" s="16" t="s">
        <v>11424</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45">
      <c r="A1033" s="15" t="s">
        <v>4736</v>
      </c>
      <c r="B1033" s="16" t="s">
        <v>5</v>
      </c>
      <c r="C1033" s="17" t="s">
        <v>3666</v>
      </c>
      <c r="D1033" s="17" t="s">
        <v>3667</v>
      </c>
      <c r="E1033" s="16" t="s">
        <v>11424</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45">
      <c r="A1034" s="15" t="s">
        <v>4745</v>
      </c>
      <c r="B1034" s="16" t="s">
        <v>5</v>
      </c>
      <c r="C1034" s="17" t="s">
        <v>3669</v>
      </c>
      <c r="D1034" s="17" t="s">
        <v>3670</v>
      </c>
      <c r="E1034" s="16" t="s">
        <v>11424</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45">
      <c r="A1035" s="15" t="s">
        <v>4754</v>
      </c>
      <c r="B1035" s="16" t="s">
        <v>5</v>
      </c>
      <c r="C1035" s="17" t="s">
        <v>3672</v>
      </c>
      <c r="D1035" s="17" t="s">
        <v>3673</v>
      </c>
      <c r="E1035" s="16" t="s">
        <v>11424</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45">
      <c r="A1036" s="15" t="s">
        <v>4841</v>
      </c>
      <c r="B1036" s="16" t="s">
        <v>5</v>
      </c>
      <c r="C1036" s="17" t="s">
        <v>3675</v>
      </c>
      <c r="D1036" s="17" t="s">
        <v>3676</v>
      </c>
      <c r="E1036" s="16" t="s">
        <v>11424</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45">
      <c r="A1037" s="15" t="s">
        <v>4862</v>
      </c>
      <c r="B1037" s="16" t="s">
        <v>5</v>
      </c>
      <c r="C1037" s="17" t="s">
        <v>3678</v>
      </c>
      <c r="D1037" s="17" t="s">
        <v>3679</v>
      </c>
      <c r="E1037" s="16" t="s">
        <v>11424</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45">
      <c r="A1038" s="15" t="s">
        <v>6904</v>
      </c>
      <c r="B1038" s="16" t="s">
        <v>5</v>
      </c>
      <c r="C1038" s="17" t="s">
        <v>3681</v>
      </c>
      <c r="D1038" s="17" t="s">
        <v>3682</v>
      </c>
      <c r="E1038" s="16" t="s">
        <v>11424</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45">
      <c r="A1039" s="15" t="s">
        <v>8029</v>
      </c>
      <c r="B1039" s="16" t="s">
        <v>5</v>
      </c>
      <c r="C1039" s="17" t="s">
        <v>3684</v>
      </c>
      <c r="D1039" s="17" t="s">
        <v>3685</v>
      </c>
      <c r="E1039" s="16" t="s">
        <v>11424</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45">
      <c r="A1040" s="15" t="s">
        <v>7186</v>
      </c>
      <c r="B1040" s="16" t="s">
        <v>5</v>
      </c>
      <c r="C1040" s="17" t="s">
        <v>3687</v>
      </c>
      <c r="D1040" s="17" t="s">
        <v>3688</v>
      </c>
      <c r="E1040" s="16" t="s">
        <v>11424</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45">
      <c r="A1041" s="15" t="s">
        <v>7159</v>
      </c>
      <c r="B1041" s="16" t="s">
        <v>5</v>
      </c>
      <c r="C1041" s="17" t="s">
        <v>3690</v>
      </c>
      <c r="D1041" s="17" t="s">
        <v>3691</v>
      </c>
      <c r="E1041" s="16" t="s">
        <v>11424</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45">
      <c r="A1042" s="15" t="s">
        <v>7168</v>
      </c>
      <c r="B1042" s="16" t="s">
        <v>5</v>
      </c>
      <c r="C1042" s="17" t="s">
        <v>3693</v>
      </c>
      <c r="D1042" s="17" t="s">
        <v>3694</v>
      </c>
      <c r="E1042" s="16" t="s">
        <v>11424</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45">
      <c r="A1043" s="15" t="s">
        <v>7156</v>
      </c>
      <c r="B1043" s="16" t="s">
        <v>5</v>
      </c>
      <c r="C1043" s="17" t="s">
        <v>3696</v>
      </c>
      <c r="D1043" s="17" t="s">
        <v>3697</v>
      </c>
      <c r="E1043" s="16" t="s">
        <v>11424</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45">
      <c r="A1044" s="15" t="s">
        <v>7189</v>
      </c>
      <c r="B1044" s="16" t="s">
        <v>5</v>
      </c>
      <c r="C1044" s="17" t="s">
        <v>3699</v>
      </c>
      <c r="D1044" s="17" t="s">
        <v>3700</v>
      </c>
      <c r="E1044" s="16" t="s">
        <v>11424</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45">
      <c r="A1045" s="15" t="s">
        <v>6059</v>
      </c>
      <c r="B1045" s="16" t="s">
        <v>5</v>
      </c>
      <c r="C1045" s="17" t="s">
        <v>3702</v>
      </c>
      <c r="D1045" s="17" t="s">
        <v>3703</v>
      </c>
      <c r="E1045" s="16" t="s">
        <v>11424</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45">
      <c r="A1046" s="15" t="s">
        <v>6748</v>
      </c>
      <c r="B1046" s="16" t="s">
        <v>5</v>
      </c>
      <c r="C1046" s="17" t="s">
        <v>3705</v>
      </c>
      <c r="D1046" s="17" t="s">
        <v>3706</v>
      </c>
      <c r="E1046" s="16" t="s">
        <v>11424</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45">
      <c r="A1047" s="15" t="s">
        <v>5036</v>
      </c>
      <c r="B1047" s="16" t="s">
        <v>5</v>
      </c>
      <c r="C1047" s="17" t="s">
        <v>3708</v>
      </c>
      <c r="D1047" s="17" t="s">
        <v>3709</v>
      </c>
      <c r="E1047" s="16" t="s">
        <v>11424</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45">
      <c r="A1048" s="15" t="s">
        <v>7975</v>
      </c>
      <c r="B1048" s="16" t="s">
        <v>5</v>
      </c>
      <c r="C1048" s="17" t="s">
        <v>3711</v>
      </c>
      <c r="D1048" s="17" t="s">
        <v>3712</v>
      </c>
      <c r="E1048" s="16" t="s">
        <v>11424</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45">
      <c r="A1049" s="15" t="s">
        <v>7924</v>
      </c>
      <c r="B1049" s="16" t="s">
        <v>5</v>
      </c>
      <c r="C1049" s="17" t="s">
        <v>3714</v>
      </c>
      <c r="D1049" s="17" t="s">
        <v>3715</v>
      </c>
      <c r="E1049" s="16" t="s">
        <v>11424</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45">
      <c r="A1050" s="15" t="s">
        <v>4781</v>
      </c>
      <c r="B1050" s="16" t="s">
        <v>5</v>
      </c>
      <c r="C1050" s="17" t="s">
        <v>3717</v>
      </c>
      <c r="D1050" s="17" t="s">
        <v>3718</v>
      </c>
      <c r="E1050" s="16" t="s">
        <v>11424</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45">
      <c r="A1051" s="15" t="s">
        <v>8179</v>
      </c>
      <c r="B1051" s="16" t="s">
        <v>5</v>
      </c>
      <c r="C1051" s="17" t="s">
        <v>3720</v>
      </c>
      <c r="D1051" s="17" t="s">
        <v>3721</v>
      </c>
      <c r="E1051" s="16" t="s">
        <v>11424</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45">
      <c r="A1052" s="15" t="s">
        <v>4955</v>
      </c>
      <c r="B1052" s="16" t="s">
        <v>5</v>
      </c>
      <c r="C1052" s="17" t="s">
        <v>3723</v>
      </c>
      <c r="D1052" s="17" t="s">
        <v>3724</v>
      </c>
      <c r="E1052" s="16" t="s">
        <v>11424</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45">
      <c r="A1053" s="15" t="s">
        <v>6020</v>
      </c>
      <c r="B1053" s="16" t="s">
        <v>5</v>
      </c>
      <c r="C1053" s="17" t="s">
        <v>3726</v>
      </c>
      <c r="D1053" s="17" t="s">
        <v>3727</v>
      </c>
      <c r="E1053" s="16" t="s">
        <v>11424</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45">
      <c r="A1054" s="15" t="s">
        <v>4952</v>
      </c>
      <c r="B1054" s="16" t="s">
        <v>5</v>
      </c>
      <c r="C1054" s="17" t="s">
        <v>3729</v>
      </c>
      <c r="D1054" s="17" t="s">
        <v>3730</v>
      </c>
      <c r="E1054" s="16" t="s">
        <v>11424</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45">
      <c r="A1055" s="15" t="s">
        <v>4949</v>
      </c>
      <c r="B1055" s="16" t="s">
        <v>5</v>
      </c>
      <c r="C1055" s="17" t="s">
        <v>3732</v>
      </c>
      <c r="D1055" s="17" t="s">
        <v>3733</v>
      </c>
      <c r="E1055" s="16" t="s">
        <v>11424</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45">
      <c r="A1056" s="15" t="s">
        <v>6817</v>
      </c>
      <c r="B1056" s="16" t="s">
        <v>5</v>
      </c>
      <c r="C1056" s="17" t="s">
        <v>3735</v>
      </c>
      <c r="D1056" s="17" t="s">
        <v>3736</v>
      </c>
      <c r="E1056" s="16" t="s">
        <v>11424</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45">
      <c r="A1057" s="15" t="s">
        <v>5567</v>
      </c>
      <c r="B1057" s="16" t="s">
        <v>5</v>
      </c>
      <c r="C1057" s="17" t="s">
        <v>3738</v>
      </c>
      <c r="D1057" s="17" t="s">
        <v>3739</v>
      </c>
      <c r="E1057" s="16" t="s">
        <v>11424</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45">
      <c r="A1058" s="15" t="s">
        <v>5168</v>
      </c>
      <c r="B1058" s="16" t="s">
        <v>5</v>
      </c>
      <c r="C1058" s="17" t="s">
        <v>3741</v>
      </c>
      <c r="D1058" s="17" t="s">
        <v>3742</v>
      </c>
      <c r="E1058" s="16" t="s">
        <v>11424</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45">
      <c r="A1059" s="15" t="s">
        <v>5039</v>
      </c>
      <c r="B1059" s="16" t="s">
        <v>5</v>
      </c>
      <c r="C1059" s="17" t="s">
        <v>3744</v>
      </c>
      <c r="D1059" s="17" t="s">
        <v>3745</v>
      </c>
      <c r="E1059" s="16" t="s">
        <v>11424</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45">
      <c r="A1060" s="15" t="s">
        <v>5492</v>
      </c>
      <c r="B1060" s="16" t="s">
        <v>5</v>
      </c>
      <c r="C1060" s="17" t="s">
        <v>3747</v>
      </c>
      <c r="D1060" s="17" t="s">
        <v>3748</v>
      </c>
      <c r="E1060" s="16" t="s">
        <v>11424</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45">
      <c r="A1061" s="15" t="s">
        <v>5987</v>
      </c>
      <c r="B1061" s="16" t="s">
        <v>5</v>
      </c>
      <c r="C1061" s="17" t="s">
        <v>3750</v>
      </c>
      <c r="D1061" s="17" t="s">
        <v>3751</v>
      </c>
      <c r="E1061" s="16" t="s">
        <v>11424</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45">
      <c r="A1062" s="15" t="s">
        <v>5372</v>
      </c>
      <c r="B1062" s="16" t="s">
        <v>5</v>
      </c>
      <c r="C1062" s="17" t="s">
        <v>3753</v>
      </c>
      <c r="D1062" s="17" t="s">
        <v>3754</v>
      </c>
      <c r="E1062" s="16" t="s">
        <v>11424</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45">
      <c r="A1063" s="15" t="s">
        <v>5585</v>
      </c>
      <c r="B1063" s="16" t="s">
        <v>5</v>
      </c>
      <c r="C1063" s="17" t="s">
        <v>3756</v>
      </c>
      <c r="D1063" s="17" t="s">
        <v>3757</v>
      </c>
      <c r="E1063" s="16" t="s">
        <v>11424</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45">
      <c r="A1064" s="15" t="s">
        <v>5030</v>
      </c>
      <c r="B1064" s="16" t="s">
        <v>5</v>
      </c>
      <c r="C1064" s="17" t="s">
        <v>3759</v>
      </c>
      <c r="D1064" s="17" t="s">
        <v>3760</v>
      </c>
      <c r="E1064" s="16" t="s">
        <v>11424</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45">
      <c r="A1065" s="15" t="s">
        <v>5318</v>
      </c>
      <c r="B1065" s="16" t="s">
        <v>5</v>
      </c>
      <c r="C1065" s="17" t="s">
        <v>3762</v>
      </c>
      <c r="D1065" s="17" t="s">
        <v>3763</v>
      </c>
      <c r="E1065" s="16" t="s">
        <v>11424</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45">
      <c r="A1066" s="15" t="s">
        <v>5291</v>
      </c>
      <c r="B1066" s="16" t="s">
        <v>5</v>
      </c>
      <c r="C1066" s="17" t="s">
        <v>3765</v>
      </c>
      <c r="D1066" s="17" t="s">
        <v>3766</v>
      </c>
      <c r="E1066" s="16" t="s">
        <v>11424</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45">
      <c r="A1067" s="15" t="s">
        <v>9452</v>
      </c>
      <c r="B1067" s="16" t="s">
        <v>5</v>
      </c>
      <c r="C1067" s="17" t="s">
        <v>3768</v>
      </c>
      <c r="D1067" s="17" t="s">
        <v>3769</v>
      </c>
      <c r="E1067" s="16" t="s">
        <v>11424</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45">
      <c r="A1068" s="15" t="s">
        <v>5459</v>
      </c>
      <c r="B1068" s="16" t="s">
        <v>5</v>
      </c>
      <c r="C1068" s="17" t="s">
        <v>3771</v>
      </c>
      <c r="D1068" s="17" t="s">
        <v>3772</v>
      </c>
      <c r="E1068" s="16" t="s">
        <v>11424</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45">
      <c r="A1069" s="15" t="s">
        <v>5357</v>
      </c>
      <c r="B1069" s="16" t="s">
        <v>5</v>
      </c>
      <c r="C1069" s="17" t="s">
        <v>3774</v>
      </c>
      <c r="D1069" s="17" t="s">
        <v>3775</v>
      </c>
      <c r="E1069" s="16" t="s">
        <v>11424</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45">
      <c r="A1070" s="15" t="s">
        <v>5495</v>
      </c>
      <c r="B1070" s="16" t="s">
        <v>5</v>
      </c>
      <c r="C1070" s="17" t="s">
        <v>3777</v>
      </c>
      <c r="D1070" s="17" t="s">
        <v>3778</v>
      </c>
      <c r="E1070" s="16" t="s">
        <v>11424</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45">
      <c r="A1071" s="15" t="s">
        <v>5543</v>
      </c>
      <c r="B1071" s="16" t="s">
        <v>5</v>
      </c>
      <c r="C1071" s="17" t="s">
        <v>3780</v>
      </c>
      <c r="D1071" s="17" t="s">
        <v>3781</v>
      </c>
      <c r="E1071" s="16" t="s">
        <v>11424</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45">
      <c r="A1072" s="15" t="s">
        <v>8221</v>
      </c>
      <c r="B1072" s="16" t="s">
        <v>5</v>
      </c>
      <c r="C1072" s="17" t="s">
        <v>3783</v>
      </c>
      <c r="D1072" s="17" t="s">
        <v>3784</v>
      </c>
      <c r="E1072" s="16" t="s">
        <v>11424</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45">
      <c r="A1073" s="15" t="s">
        <v>8227</v>
      </c>
      <c r="B1073" s="16" t="s">
        <v>5</v>
      </c>
      <c r="C1073" s="17" t="s">
        <v>3786</v>
      </c>
      <c r="D1073" s="17" t="s">
        <v>3787</v>
      </c>
      <c r="E1073" s="16" t="s">
        <v>11424</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45">
      <c r="A1074" s="15" t="s">
        <v>8230</v>
      </c>
      <c r="B1074" s="16" t="s">
        <v>5</v>
      </c>
      <c r="C1074" s="17" t="s">
        <v>3789</v>
      </c>
      <c r="D1074" s="17" t="s">
        <v>3790</v>
      </c>
      <c r="E1074" s="16" t="s">
        <v>11424</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45">
      <c r="A1075" s="15" t="s">
        <v>5540</v>
      </c>
      <c r="B1075" s="16" t="s">
        <v>5</v>
      </c>
      <c r="C1075" s="17" t="s">
        <v>3792</v>
      </c>
      <c r="D1075" s="17" t="s">
        <v>3793</v>
      </c>
      <c r="E1075" s="16" t="s">
        <v>11424</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45">
      <c r="A1076" s="15" t="s">
        <v>5561</v>
      </c>
      <c r="B1076" s="16" t="s">
        <v>5</v>
      </c>
      <c r="C1076" s="17" t="s">
        <v>3795</v>
      </c>
      <c r="D1076" s="17" t="s">
        <v>3796</v>
      </c>
      <c r="E1076" s="16" t="s">
        <v>11424</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45">
      <c r="A1077" s="15" t="s">
        <v>7537</v>
      </c>
      <c r="B1077" s="16" t="s">
        <v>5</v>
      </c>
      <c r="C1077" s="17" t="s">
        <v>3798</v>
      </c>
      <c r="D1077" s="17" t="s">
        <v>3799</v>
      </c>
      <c r="E1077" s="16" t="s">
        <v>11424</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45">
      <c r="A1078" s="15" t="s">
        <v>6317</v>
      </c>
      <c r="B1078" s="16" t="s">
        <v>5</v>
      </c>
      <c r="C1078" s="17" t="s">
        <v>3801</v>
      </c>
      <c r="D1078" s="17" t="s">
        <v>3802</v>
      </c>
      <c r="E1078" s="16" t="s">
        <v>11424</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45">
      <c r="A1079" s="15" t="s">
        <v>7003</v>
      </c>
      <c r="B1079" s="16" t="s">
        <v>5</v>
      </c>
      <c r="C1079" s="17" t="s">
        <v>3804</v>
      </c>
      <c r="D1079" s="17" t="s">
        <v>3805</v>
      </c>
      <c r="E1079" s="16" t="s">
        <v>11424</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45">
      <c r="A1080" s="15" t="s">
        <v>7534</v>
      </c>
      <c r="B1080" s="16" t="s">
        <v>5</v>
      </c>
      <c r="C1080" s="17" t="s">
        <v>3807</v>
      </c>
      <c r="D1080" s="17" t="s">
        <v>3808</v>
      </c>
      <c r="E1080" s="16" t="s">
        <v>11424</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45">
      <c r="A1081" s="15" t="s">
        <v>5315</v>
      </c>
      <c r="B1081" s="16" t="s">
        <v>5</v>
      </c>
      <c r="C1081" s="17" t="s">
        <v>3810</v>
      </c>
      <c r="D1081" s="17" t="s">
        <v>3811</v>
      </c>
      <c r="E1081" s="16" t="s">
        <v>11424</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45">
      <c r="A1082" s="15" t="s">
        <v>6811</v>
      </c>
      <c r="B1082" s="16" t="s">
        <v>5</v>
      </c>
      <c r="C1082" s="17" t="s">
        <v>3813</v>
      </c>
      <c r="D1082" s="17" t="s">
        <v>3814</v>
      </c>
      <c r="E1082" s="16" t="s">
        <v>11424</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45">
      <c r="A1083" s="15" t="s">
        <v>5489</v>
      </c>
      <c r="B1083" s="16" t="s">
        <v>5</v>
      </c>
      <c r="C1083" s="17" t="s">
        <v>3816</v>
      </c>
      <c r="D1083" s="17" t="s">
        <v>3817</v>
      </c>
      <c r="E1083" s="16" t="s">
        <v>11424</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45">
      <c r="A1084" s="15" t="s">
        <v>5321</v>
      </c>
      <c r="B1084" s="16" t="s">
        <v>5</v>
      </c>
      <c r="C1084" s="17" t="s">
        <v>3819</v>
      </c>
      <c r="D1084" s="17" t="s">
        <v>3820</v>
      </c>
      <c r="E1084" s="16" t="s">
        <v>11424</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45">
      <c r="A1085" s="15" t="s">
        <v>8281</v>
      </c>
      <c r="B1085" s="16" t="s">
        <v>5</v>
      </c>
      <c r="C1085" s="17" t="s">
        <v>3822</v>
      </c>
      <c r="D1085" s="17" t="s">
        <v>3823</v>
      </c>
      <c r="E1085" s="16" t="s">
        <v>11424</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45">
      <c r="A1086" s="15" t="s">
        <v>8311</v>
      </c>
      <c r="B1086" s="16" t="s">
        <v>5</v>
      </c>
      <c r="C1086" s="17" t="s">
        <v>3825</v>
      </c>
      <c r="D1086" s="17" t="s">
        <v>3826</v>
      </c>
      <c r="E1086" s="16" t="s">
        <v>11424</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45">
      <c r="A1087" s="15" t="s">
        <v>8284</v>
      </c>
      <c r="B1087" s="16" t="s">
        <v>5</v>
      </c>
      <c r="C1087" s="17" t="s">
        <v>3828</v>
      </c>
      <c r="D1087" s="17" t="s">
        <v>3829</v>
      </c>
      <c r="E1087" s="16" t="s">
        <v>11424</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45">
      <c r="A1088" s="15" t="s">
        <v>8326</v>
      </c>
      <c r="B1088" s="16" t="s">
        <v>5</v>
      </c>
      <c r="C1088" s="17" t="s">
        <v>3831</v>
      </c>
      <c r="D1088" s="17" t="s">
        <v>3832</v>
      </c>
      <c r="E1088" s="16" t="s">
        <v>11424</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45">
      <c r="A1089" s="15" t="s">
        <v>8413</v>
      </c>
      <c r="B1089" s="16" t="s">
        <v>5</v>
      </c>
      <c r="C1089" s="17" t="s">
        <v>3834</v>
      </c>
      <c r="D1089" s="17" t="s">
        <v>3835</v>
      </c>
      <c r="E1089" s="16" t="s">
        <v>11424</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45">
      <c r="A1090" s="15" t="s">
        <v>8440</v>
      </c>
      <c r="B1090" s="16" t="s">
        <v>5</v>
      </c>
      <c r="C1090" s="17" t="s">
        <v>3837</v>
      </c>
      <c r="D1090" s="17" t="s">
        <v>3838</v>
      </c>
      <c r="E1090" s="16" t="s">
        <v>11424</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45">
      <c r="A1091" s="15" t="s">
        <v>8512</v>
      </c>
      <c r="B1091" s="16" t="s">
        <v>5</v>
      </c>
      <c r="C1091" s="17" t="s">
        <v>3840</v>
      </c>
      <c r="D1091" s="17" t="s">
        <v>3841</v>
      </c>
      <c r="E1091" s="16" t="s">
        <v>11424</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45">
      <c r="A1092" s="15" t="s">
        <v>8527</v>
      </c>
      <c r="B1092" s="16" t="s">
        <v>5</v>
      </c>
      <c r="C1092" s="17" t="s">
        <v>3843</v>
      </c>
      <c r="D1092" s="17" t="s">
        <v>3844</v>
      </c>
      <c r="E1092" s="16" t="s">
        <v>11424</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45">
      <c r="A1093" s="15" t="s">
        <v>8620</v>
      </c>
      <c r="B1093" s="16" t="s">
        <v>5</v>
      </c>
      <c r="C1093" s="17" t="s">
        <v>3846</v>
      </c>
      <c r="D1093" s="17" t="s">
        <v>3847</v>
      </c>
      <c r="E1093" s="16" t="s">
        <v>11424</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45">
      <c r="A1094" s="15" t="s">
        <v>8743</v>
      </c>
      <c r="B1094" s="16" t="s">
        <v>5</v>
      </c>
      <c r="C1094" s="17" t="s">
        <v>3849</v>
      </c>
      <c r="D1094" s="17" t="s">
        <v>3850</v>
      </c>
      <c r="E1094" s="16" t="s">
        <v>11424</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45">
      <c r="A1095" s="15" t="s">
        <v>8434</v>
      </c>
      <c r="B1095" s="16" t="s">
        <v>5</v>
      </c>
      <c r="C1095" s="17" t="s">
        <v>3852</v>
      </c>
      <c r="D1095" s="17" t="s">
        <v>3853</v>
      </c>
      <c r="E1095" s="16" t="s">
        <v>11424</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45">
      <c r="A1096" s="15" t="s">
        <v>8569</v>
      </c>
      <c r="B1096" s="16" t="s">
        <v>5</v>
      </c>
      <c r="C1096" s="17" t="s">
        <v>3855</v>
      </c>
      <c r="D1096" s="17" t="s">
        <v>3856</v>
      </c>
      <c r="E1096" s="16" t="s">
        <v>11424</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45">
      <c r="A1097" s="15" t="s">
        <v>8668</v>
      </c>
      <c r="B1097" s="16" t="s">
        <v>5</v>
      </c>
      <c r="C1097" s="17" t="s">
        <v>3858</v>
      </c>
      <c r="D1097" s="17" t="s">
        <v>3859</v>
      </c>
      <c r="E1097" s="16" t="s">
        <v>11424</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45">
      <c r="A1098" s="15" t="s">
        <v>8749</v>
      </c>
      <c r="B1098" s="16" t="s">
        <v>5</v>
      </c>
      <c r="C1098" s="17" t="s">
        <v>3861</v>
      </c>
      <c r="D1098" s="17" t="s">
        <v>3862</v>
      </c>
      <c r="E1098" s="16" t="s">
        <v>11424</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45">
      <c r="A1099" s="15" t="s">
        <v>8761</v>
      </c>
      <c r="B1099" s="16" t="s">
        <v>5</v>
      </c>
      <c r="C1099" s="17" t="s">
        <v>3864</v>
      </c>
      <c r="D1099" s="17" t="s">
        <v>3865</v>
      </c>
      <c r="E1099" s="16" t="s">
        <v>11424</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45">
      <c r="A1100" s="15" t="s">
        <v>8812</v>
      </c>
      <c r="B1100" s="16" t="s">
        <v>5</v>
      </c>
      <c r="C1100" s="17" t="s">
        <v>3867</v>
      </c>
      <c r="D1100" s="17" t="s">
        <v>3868</v>
      </c>
      <c r="E1100" s="16" t="s">
        <v>11424</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45">
      <c r="A1101" s="15" t="s">
        <v>8815</v>
      </c>
      <c r="B1101" s="16" t="s">
        <v>5</v>
      </c>
      <c r="C1101" s="17" t="s">
        <v>3870</v>
      </c>
      <c r="D1101" s="17" t="s">
        <v>3871</v>
      </c>
      <c r="E1101" s="16" t="s">
        <v>11424</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45">
      <c r="A1102" s="15" t="s">
        <v>8869</v>
      </c>
      <c r="B1102" s="16" t="s">
        <v>5</v>
      </c>
      <c r="C1102" s="17" t="s">
        <v>3873</v>
      </c>
      <c r="D1102" s="17" t="s">
        <v>3874</v>
      </c>
      <c r="E1102" s="16" t="s">
        <v>11424</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45">
      <c r="A1103" s="15" t="s">
        <v>8929</v>
      </c>
      <c r="B1103" s="16" t="s">
        <v>5</v>
      </c>
      <c r="C1103" s="17" t="s">
        <v>3876</v>
      </c>
      <c r="D1103" s="17" t="s">
        <v>3877</v>
      </c>
      <c r="E1103" s="16" t="s">
        <v>11424</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45">
      <c r="A1104" s="15" t="s">
        <v>8932</v>
      </c>
      <c r="B1104" s="16" t="s">
        <v>5</v>
      </c>
      <c r="C1104" s="17" t="s">
        <v>3879</v>
      </c>
      <c r="D1104" s="17" t="s">
        <v>3880</v>
      </c>
      <c r="E1104" s="16" t="s">
        <v>11424</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45">
      <c r="A1105" s="15" t="s">
        <v>8980</v>
      </c>
      <c r="B1105" s="16" t="s">
        <v>5</v>
      </c>
      <c r="C1105" s="17" t="s">
        <v>3882</v>
      </c>
      <c r="D1105" s="17" t="s">
        <v>3883</v>
      </c>
      <c r="E1105" s="16" t="s">
        <v>11424</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45">
      <c r="A1106" s="15" t="s">
        <v>8956</v>
      </c>
      <c r="B1106" s="16" t="s">
        <v>5</v>
      </c>
      <c r="C1106" s="17" t="s">
        <v>3885</v>
      </c>
      <c r="D1106" s="17" t="s">
        <v>3886</v>
      </c>
      <c r="E1106" s="16" t="s">
        <v>11424</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45">
      <c r="A1107" s="15" t="s">
        <v>8962</v>
      </c>
      <c r="B1107" s="16" t="s">
        <v>5</v>
      </c>
      <c r="C1107" s="17" t="s">
        <v>3888</v>
      </c>
      <c r="D1107" s="17" t="s">
        <v>3889</v>
      </c>
      <c r="E1107" s="16" t="s">
        <v>11424</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45">
      <c r="A1108" s="15" t="s">
        <v>8971</v>
      </c>
      <c r="B1108" s="16" t="s">
        <v>5</v>
      </c>
      <c r="C1108" s="17" t="s">
        <v>3891</v>
      </c>
      <c r="D1108" s="17" t="s">
        <v>3892</v>
      </c>
      <c r="E1108" s="16" t="s">
        <v>11424</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45">
      <c r="A1109" s="15" t="s">
        <v>8776</v>
      </c>
      <c r="B1109" s="16" t="s">
        <v>5</v>
      </c>
      <c r="C1109" s="17" t="s">
        <v>3894</v>
      </c>
      <c r="D1109" s="17" t="s">
        <v>3895</v>
      </c>
      <c r="E1109" s="16" t="s">
        <v>11424</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45">
      <c r="A1110" s="15" t="s">
        <v>9112</v>
      </c>
      <c r="B1110" s="16" t="s">
        <v>5</v>
      </c>
      <c r="C1110" s="17" t="s">
        <v>3897</v>
      </c>
      <c r="D1110" s="17" t="s">
        <v>3898</v>
      </c>
      <c r="E1110" s="16" t="s">
        <v>11424</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45">
      <c r="A1111" s="15" t="s">
        <v>8986</v>
      </c>
      <c r="B1111" s="16" t="s">
        <v>5</v>
      </c>
      <c r="C1111" s="17" t="s">
        <v>3900</v>
      </c>
      <c r="D1111" s="17" t="s">
        <v>3901</v>
      </c>
      <c r="E1111" s="16" t="s">
        <v>11424</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45">
      <c r="A1112" s="15" t="s">
        <v>9091</v>
      </c>
      <c r="B1112" s="16" t="s">
        <v>5</v>
      </c>
      <c r="C1112" s="17" t="s">
        <v>3903</v>
      </c>
      <c r="D1112" s="17" t="s">
        <v>3904</v>
      </c>
      <c r="E1112" s="16" t="s">
        <v>11424</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45">
      <c r="A1113" s="15" t="s">
        <v>9094</v>
      </c>
      <c r="B1113" s="16" t="s">
        <v>5</v>
      </c>
      <c r="C1113" s="17" t="s">
        <v>3906</v>
      </c>
      <c r="D1113" s="17" t="s">
        <v>3907</v>
      </c>
      <c r="E1113" s="16" t="s">
        <v>11424</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45">
      <c r="A1114" s="15" t="s">
        <v>9127</v>
      </c>
      <c r="B1114" s="16" t="s">
        <v>5</v>
      </c>
      <c r="C1114" s="17" t="s">
        <v>3909</v>
      </c>
      <c r="D1114" s="17" t="s">
        <v>3910</v>
      </c>
      <c r="E1114" s="16" t="s">
        <v>11424</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45">
      <c r="A1115" s="15" t="s">
        <v>9043</v>
      </c>
      <c r="B1115" s="16" t="s">
        <v>5</v>
      </c>
      <c r="C1115" s="17" t="s">
        <v>3912</v>
      </c>
      <c r="D1115" s="17" t="s">
        <v>3913</v>
      </c>
      <c r="E1115" s="16" t="s">
        <v>11424</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45">
      <c r="A1116" s="15" t="s">
        <v>9166</v>
      </c>
      <c r="B1116" s="16" t="s">
        <v>5</v>
      </c>
      <c r="C1116" s="17" t="s">
        <v>3915</v>
      </c>
      <c r="D1116" s="17" t="s">
        <v>3916</v>
      </c>
      <c r="E1116" s="16" t="s">
        <v>11424</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45">
      <c r="A1117" s="15" t="s">
        <v>725</v>
      </c>
      <c r="B1117" s="16" t="s">
        <v>183</v>
      </c>
      <c r="C1117" s="17" t="s">
        <v>3918</v>
      </c>
      <c r="D1117" s="17" t="s">
        <v>3919</v>
      </c>
      <c r="E1117" s="16" t="s">
        <v>11424</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45">
      <c r="A1118" s="15" t="s">
        <v>698</v>
      </c>
      <c r="B1118" s="16" t="s">
        <v>183</v>
      </c>
      <c r="C1118" s="17" t="s">
        <v>3921</v>
      </c>
      <c r="D1118" s="17" t="s">
        <v>3922</v>
      </c>
      <c r="E1118" s="16" t="s">
        <v>11424</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45">
      <c r="A1119" s="15" t="s">
        <v>4217</v>
      </c>
      <c r="B1119" s="16" t="s">
        <v>5</v>
      </c>
      <c r="C1119" s="17" t="s">
        <v>3924</v>
      </c>
      <c r="D1119" s="17" t="s">
        <v>3925</v>
      </c>
      <c r="E1119" s="16" t="s">
        <v>11436</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45">
      <c r="A1120" s="15" t="s">
        <v>6601</v>
      </c>
      <c r="B1120" s="16" t="s">
        <v>5</v>
      </c>
      <c r="C1120" s="17" t="s">
        <v>3927</v>
      </c>
      <c r="D1120" s="17" t="s">
        <v>3928</v>
      </c>
      <c r="E1120" s="16" t="s">
        <v>11436</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45">
      <c r="A1121" s="15" t="s">
        <v>6805</v>
      </c>
      <c r="B1121" s="16" t="s">
        <v>5</v>
      </c>
      <c r="C1121" s="17" t="s">
        <v>3930</v>
      </c>
      <c r="D1121" s="17" t="s">
        <v>3931</v>
      </c>
      <c r="E1121" s="16" t="s">
        <v>11436</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45">
      <c r="A1122" s="15" t="s">
        <v>818</v>
      </c>
      <c r="B1122" s="16" t="s">
        <v>5</v>
      </c>
      <c r="C1122" s="17" t="s">
        <v>3933</v>
      </c>
      <c r="D1122" s="17" t="s">
        <v>3934</v>
      </c>
      <c r="E1122" s="16" t="s">
        <v>11436</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45">
      <c r="A1123" s="15" t="s">
        <v>836</v>
      </c>
      <c r="B1123" s="16" t="s">
        <v>5</v>
      </c>
      <c r="C1123" s="17" t="s">
        <v>3936</v>
      </c>
      <c r="D1123" s="17" t="s">
        <v>3937</v>
      </c>
      <c r="E1123" s="16" t="s">
        <v>11436</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45">
      <c r="A1124" s="15" t="s">
        <v>890</v>
      </c>
      <c r="B1124" s="16" t="s">
        <v>5</v>
      </c>
      <c r="C1124" s="17" t="s">
        <v>3939</v>
      </c>
      <c r="D1124" s="17" t="s">
        <v>3940</v>
      </c>
      <c r="E1124" s="16" t="s">
        <v>11436</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45">
      <c r="A1125" s="15" t="s">
        <v>986</v>
      </c>
      <c r="B1125" s="16" t="s">
        <v>5</v>
      </c>
      <c r="C1125" s="17" t="s">
        <v>3942</v>
      </c>
      <c r="D1125" s="17" t="s">
        <v>3943</v>
      </c>
      <c r="E1125" s="16" t="s">
        <v>11436</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45">
      <c r="A1126" s="15" t="s">
        <v>11329</v>
      </c>
      <c r="B1126" s="16" t="s">
        <v>5</v>
      </c>
      <c r="C1126" s="17" t="s">
        <v>3945</v>
      </c>
      <c r="D1126" s="17" t="s">
        <v>3946</v>
      </c>
      <c r="E1126" s="16" t="s">
        <v>11436</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45">
      <c r="A1127" s="15" t="s">
        <v>944</v>
      </c>
      <c r="B1127" s="16" t="s">
        <v>5</v>
      </c>
      <c r="C1127" s="17" t="s">
        <v>3948</v>
      </c>
      <c r="D1127" s="17" t="s">
        <v>3949</v>
      </c>
      <c r="E1127" s="16" t="s">
        <v>11436</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45">
      <c r="A1128" s="15" t="s">
        <v>959</v>
      </c>
      <c r="B1128" s="16" t="s">
        <v>5</v>
      </c>
      <c r="C1128" s="17" t="s">
        <v>3951</v>
      </c>
      <c r="D1128" s="17" t="s">
        <v>3952</v>
      </c>
      <c r="E1128" s="16" t="s">
        <v>11436</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45">
      <c r="A1129" s="15" t="s">
        <v>1028</v>
      </c>
      <c r="B1129" s="16" t="s">
        <v>5</v>
      </c>
      <c r="C1129" s="17" t="s">
        <v>3954</v>
      </c>
      <c r="D1129" s="17" t="s">
        <v>3955</v>
      </c>
      <c r="E1129" s="16" t="s">
        <v>11436</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45">
      <c r="A1130" s="15" t="s">
        <v>1070</v>
      </c>
      <c r="B1130" s="16" t="s">
        <v>5</v>
      </c>
      <c r="C1130" s="17" t="s">
        <v>3957</v>
      </c>
      <c r="D1130" s="17" t="s">
        <v>3958</v>
      </c>
      <c r="E1130" s="16" t="s">
        <v>11436</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45">
      <c r="A1131" s="15" t="s">
        <v>1139</v>
      </c>
      <c r="B1131" s="16" t="s">
        <v>5</v>
      </c>
      <c r="C1131" s="17" t="s">
        <v>3960</v>
      </c>
      <c r="D1131" s="17" t="s">
        <v>3961</v>
      </c>
      <c r="E1131" s="16" t="s">
        <v>11436</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45">
      <c r="A1132" s="15" t="s">
        <v>1142</v>
      </c>
      <c r="B1132" s="16" t="s">
        <v>5</v>
      </c>
      <c r="C1132" s="17" t="s">
        <v>3963</v>
      </c>
      <c r="D1132" s="17" t="s">
        <v>3964</v>
      </c>
      <c r="E1132" s="16" t="s">
        <v>11436</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45">
      <c r="A1133" s="15" t="s">
        <v>1238</v>
      </c>
      <c r="B1133" s="16" t="s">
        <v>5</v>
      </c>
      <c r="C1133" s="17" t="s">
        <v>3966</v>
      </c>
      <c r="D1133" s="17" t="s">
        <v>3967</v>
      </c>
      <c r="E1133" s="16" t="s">
        <v>11436</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45">
      <c r="A1134" s="15" t="s">
        <v>1307</v>
      </c>
      <c r="B1134" s="16" t="s">
        <v>5</v>
      </c>
      <c r="C1134" s="17" t="s">
        <v>3969</v>
      </c>
      <c r="D1134" s="17" t="s">
        <v>3970</v>
      </c>
      <c r="E1134" s="15" t="s">
        <v>11436</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45">
      <c r="A1135" s="15" t="s">
        <v>1322</v>
      </c>
      <c r="B1135" s="16" t="s">
        <v>5</v>
      </c>
      <c r="C1135" s="17" t="s">
        <v>3972</v>
      </c>
      <c r="D1135" s="17" t="s">
        <v>3973</v>
      </c>
      <c r="E1135" s="16" t="s">
        <v>11436</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45">
      <c r="A1136" s="15" t="s">
        <v>1334</v>
      </c>
      <c r="B1136" s="16" t="s">
        <v>5</v>
      </c>
      <c r="C1136" s="17" t="s">
        <v>3975</v>
      </c>
      <c r="D1136" s="17" t="s">
        <v>3976</v>
      </c>
      <c r="E1136" s="16" t="s">
        <v>11436</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45">
      <c r="A1137" s="15" t="s">
        <v>1357</v>
      </c>
      <c r="B1137" s="16" t="s">
        <v>5</v>
      </c>
      <c r="C1137" s="17" t="s">
        <v>3978</v>
      </c>
      <c r="D1137" s="17" t="s">
        <v>3979</v>
      </c>
      <c r="E1137" s="16" t="s">
        <v>11436</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45">
      <c r="A1138" s="15" t="s">
        <v>4226</v>
      </c>
      <c r="B1138" s="16" t="s">
        <v>5</v>
      </c>
      <c r="C1138" s="17" t="s">
        <v>3981</v>
      </c>
      <c r="D1138" s="17" t="s">
        <v>3982</v>
      </c>
      <c r="E1138" s="16" t="s">
        <v>11436</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45">
      <c r="A1139" s="15" t="s">
        <v>4343</v>
      </c>
      <c r="B1139" s="16" t="s">
        <v>5</v>
      </c>
      <c r="C1139" s="17" t="s">
        <v>3984</v>
      </c>
      <c r="D1139" s="17" t="s">
        <v>3985</v>
      </c>
      <c r="E1139" s="16" t="s">
        <v>11436</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45">
      <c r="A1140" s="15" t="s">
        <v>4376</v>
      </c>
      <c r="B1140" s="16" t="s">
        <v>5</v>
      </c>
      <c r="C1140" s="17" t="s">
        <v>3987</v>
      </c>
      <c r="D1140" s="17" t="s">
        <v>3988</v>
      </c>
      <c r="E1140" s="16" t="s">
        <v>11436</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45">
      <c r="A1141" s="15" t="s">
        <v>4481</v>
      </c>
      <c r="B1141" s="16" t="s">
        <v>5</v>
      </c>
      <c r="C1141" s="17" t="s">
        <v>3990</v>
      </c>
      <c r="D1141" s="17" t="s">
        <v>3991</v>
      </c>
      <c r="E1141" s="16" t="s">
        <v>11436</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45">
      <c r="A1142" s="15" t="s">
        <v>4541</v>
      </c>
      <c r="B1142" s="16" t="s">
        <v>5</v>
      </c>
      <c r="C1142" s="17" t="s">
        <v>3993</v>
      </c>
      <c r="D1142" s="17" t="s">
        <v>3994</v>
      </c>
      <c r="E1142" s="16" t="s">
        <v>11436</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45">
      <c r="A1143" s="15" t="s">
        <v>5213</v>
      </c>
      <c r="B1143" s="16" t="s">
        <v>5</v>
      </c>
      <c r="C1143" s="17" t="s">
        <v>3996</v>
      </c>
      <c r="D1143" s="17" t="s">
        <v>3997</v>
      </c>
      <c r="E1143" s="16" t="s">
        <v>11436</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45">
      <c r="A1144" s="15" t="s">
        <v>5237</v>
      </c>
      <c r="B1144" s="16" t="s">
        <v>5</v>
      </c>
      <c r="C1144" s="17" t="s">
        <v>3999</v>
      </c>
      <c r="D1144" s="17" t="s">
        <v>4000</v>
      </c>
      <c r="E1144" s="16" t="s">
        <v>11436</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45">
      <c r="A1145" s="15" t="s">
        <v>5279</v>
      </c>
      <c r="B1145" s="16" t="s">
        <v>5</v>
      </c>
      <c r="C1145" s="17" t="s">
        <v>4002</v>
      </c>
      <c r="D1145" s="17" t="s">
        <v>4003</v>
      </c>
      <c r="E1145" s="16" t="s">
        <v>11436</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45">
      <c r="A1146" s="15" t="s">
        <v>5456</v>
      </c>
      <c r="B1146" s="16" t="s">
        <v>5</v>
      </c>
      <c r="C1146" s="17" t="s">
        <v>4005</v>
      </c>
      <c r="D1146" s="17" t="s">
        <v>4006</v>
      </c>
      <c r="E1146" s="16" t="s">
        <v>11436</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45">
      <c r="A1147" s="15" t="s">
        <v>6415</v>
      </c>
      <c r="B1147" s="16" t="s">
        <v>5</v>
      </c>
      <c r="C1147" s="17" t="s">
        <v>4008</v>
      </c>
      <c r="D1147" s="17" t="s">
        <v>4009</v>
      </c>
      <c r="E1147" s="16" t="s">
        <v>11436</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45">
      <c r="A1148" s="15" t="s">
        <v>6532</v>
      </c>
      <c r="B1148" s="16" t="s">
        <v>5</v>
      </c>
      <c r="C1148" s="17" t="s">
        <v>4011</v>
      </c>
      <c r="D1148" s="17" t="s">
        <v>4012</v>
      </c>
      <c r="E1148" s="16" t="s">
        <v>11436</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45">
      <c r="A1149" s="15" t="s">
        <v>6538</v>
      </c>
      <c r="B1149" s="16" t="s">
        <v>5</v>
      </c>
      <c r="C1149" s="17" t="s">
        <v>4014</v>
      </c>
      <c r="D1149" s="17" t="s">
        <v>4015</v>
      </c>
      <c r="E1149" s="16" t="s">
        <v>11436</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45">
      <c r="A1150" s="15" t="s">
        <v>6838</v>
      </c>
      <c r="B1150" s="16" t="s">
        <v>5</v>
      </c>
      <c r="C1150" s="17" t="s">
        <v>4017</v>
      </c>
      <c r="D1150" s="17" t="s">
        <v>4018</v>
      </c>
      <c r="E1150" s="16" t="s">
        <v>11436</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45">
      <c r="A1151" s="15" t="s">
        <v>6973</v>
      </c>
      <c r="B1151" s="16" t="s">
        <v>5</v>
      </c>
      <c r="C1151" s="17" t="s">
        <v>4020</v>
      </c>
      <c r="D1151" s="17" t="s">
        <v>4021</v>
      </c>
      <c r="E1151" s="16" t="s">
        <v>11436</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45">
      <c r="A1152" s="15" t="s">
        <v>7450</v>
      </c>
      <c r="B1152" s="16" t="s">
        <v>5</v>
      </c>
      <c r="C1152" s="17" t="s">
        <v>4023</v>
      </c>
      <c r="D1152" s="17" t="s">
        <v>4024</v>
      </c>
      <c r="E1152" s="16" t="s">
        <v>11436</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45">
      <c r="A1153" s="15" t="s">
        <v>7786</v>
      </c>
      <c r="B1153" s="16" t="s">
        <v>5</v>
      </c>
      <c r="C1153" s="17" t="s">
        <v>4026</v>
      </c>
      <c r="D1153" s="17" t="s">
        <v>4027</v>
      </c>
      <c r="E1153" s="16" t="s">
        <v>11436</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45">
      <c r="A1154" s="15" t="s">
        <v>7489</v>
      </c>
      <c r="B1154" s="16" t="s">
        <v>5</v>
      </c>
      <c r="C1154" s="17" t="s">
        <v>4029</v>
      </c>
      <c r="D1154" s="17" t="s">
        <v>4030</v>
      </c>
      <c r="E1154" s="16" t="s">
        <v>11436</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45">
      <c r="A1155" s="15" t="s">
        <v>592</v>
      </c>
      <c r="B1155" s="16" t="s">
        <v>183</v>
      </c>
      <c r="C1155" s="17" t="s">
        <v>4032</v>
      </c>
      <c r="D1155" s="17" t="s">
        <v>4033</v>
      </c>
      <c r="E1155" s="16" t="s">
        <v>11416</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45">
      <c r="A1156" s="15" t="s">
        <v>556</v>
      </c>
      <c r="B1156" s="16" t="s">
        <v>183</v>
      </c>
      <c r="C1156" s="17" t="s">
        <v>4035</v>
      </c>
      <c r="D1156" s="17" t="s">
        <v>4036</v>
      </c>
      <c r="E1156" s="16" t="s">
        <v>11416</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45">
      <c r="A1157" s="15" t="s">
        <v>640</v>
      </c>
      <c r="B1157" s="16" t="s">
        <v>183</v>
      </c>
      <c r="C1157" s="17" t="s">
        <v>4038</v>
      </c>
      <c r="D1157" s="17" t="s">
        <v>4039</v>
      </c>
      <c r="E1157" s="16" t="s">
        <v>11416</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45">
      <c r="A1158" s="15" t="s">
        <v>5159</v>
      </c>
      <c r="B1158" s="16" t="s">
        <v>5</v>
      </c>
      <c r="C1158" s="17" t="s">
        <v>4041</v>
      </c>
      <c r="D1158" s="17" t="s">
        <v>4042</v>
      </c>
      <c r="E1158" s="16" t="s">
        <v>11436</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45">
      <c r="A1159" s="15" t="s">
        <v>5204</v>
      </c>
      <c r="B1159" s="16" t="s">
        <v>5</v>
      </c>
      <c r="C1159" s="17" t="s">
        <v>4044</v>
      </c>
      <c r="D1159" s="17" t="s">
        <v>4045</v>
      </c>
      <c r="E1159" s="16" t="s">
        <v>11436</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45">
      <c r="A1160" s="15" t="s">
        <v>8314</v>
      </c>
      <c r="B1160" s="16" t="s">
        <v>5</v>
      </c>
      <c r="C1160" s="17" t="s">
        <v>4047</v>
      </c>
      <c r="D1160" s="17" t="s">
        <v>4048</v>
      </c>
      <c r="E1160" s="16" t="s">
        <v>11436</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45">
      <c r="A1161" s="15" t="s">
        <v>947</v>
      </c>
      <c r="B1161" s="16" t="s">
        <v>5</v>
      </c>
      <c r="C1161" s="17" t="s">
        <v>4050</v>
      </c>
      <c r="D1161" s="17" t="s">
        <v>4051</v>
      </c>
      <c r="E1161" s="16" t="s">
        <v>11436</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45">
      <c r="A1162" s="15" t="s">
        <v>1217</v>
      </c>
      <c r="B1162" s="16" t="s">
        <v>5</v>
      </c>
      <c r="C1162" s="17" t="s">
        <v>4053</v>
      </c>
      <c r="D1162" s="17" t="s">
        <v>4054</v>
      </c>
      <c r="E1162" s="16" t="s">
        <v>11436</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45">
      <c r="A1163" s="15" t="s">
        <v>1319</v>
      </c>
      <c r="B1163" s="16" t="s">
        <v>5</v>
      </c>
      <c r="C1163" s="17" t="s">
        <v>4056</v>
      </c>
      <c r="D1163" s="17" t="s">
        <v>4057</v>
      </c>
      <c r="E1163" s="16" t="s">
        <v>11436</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45">
      <c r="A1164" s="15" t="s">
        <v>4229</v>
      </c>
      <c r="B1164" s="16" t="s">
        <v>5</v>
      </c>
      <c r="C1164" s="17" t="s">
        <v>4059</v>
      </c>
      <c r="D1164" s="17" t="s">
        <v>4060</v>
      </c>
      <c r="E1164" s="16" t="s">
        <v>11436</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45">
      <c r="A1165" s="15" t="s">
        <v>4268</v>
      </c>
      <c r="B1165" s="16" t="s">
        <v>5</v>
      </c>
      <c r="C1165" s="17" t="s">
        <v>4062</v>
      </c>
      <c r="D1165" s="17" t="s">
        <v>4063</v>
      </c>
      <c r="E1165" s="16" t="s">
        <v>11436</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45">
      <c r="A1166" s="15" t="s">
        <v>4310</v>
      </c>
      <c r="B1166" s="16" t="s">
        <v>5</v>
      </c>
      <c r="C1166" s="17" t="s">
        <v>4065</v>
      </c>
      <c r="D1166" s="17" t="s">
        <v>4066</v>
      </c>
      <c r="E1166" s="16" t="s">
        <v>11436</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45">
      <c r="A1167" s="15" t="s">
        <v>4409</v>
      </c>
      <c r="B1167" s="16" t="s">
        <v>5</v>
      </c>
      <c r="C1167" s="17" t="s">
        <v>4068</v>
      </c>
      <c r="D1167" s="17" t="s">
        <v>4069</v>
      </c>
      <c r="E1167" s="16" t="s">
        <v>11436</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45">
      <c r="A1168" s="15" t="s">
        <v>4433</v>
      </c>
      <c r="B1168" s="16" t="s">
        <v>5</v>
      </c>
      <c r="C1168" s="17" t="s">
        <v>4071</v>
      </c>
      <c r="D1168" s="17" t="s">
        <v>4072</v>
      </c>
      <c r="E1168" s="16" t="s">
        <v>11436</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45">
      <c r="A1169" s="15" t="s">
        <v>4631</v>
      </c>
      <c r="B1169" s="16" t="s">
        <v>5</v>
      </c>
      <c r="C1169" s="17" t="s">
        <v>4074</v>
      </c>
      <c r="D1169" s="17" t="s">
        <v>4075</v>
      </c>
      <c r="E1169" s="16" t="s">
        <v>11436</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45">
      <c r="A1170" s="15" t="s">
        <v>5189</v>
      </c>
      <c r="B1170" s="16" t="s">
        <v>5</v>
      </c>
      <c r="C1170" s="17" t="s">
        <v>4077</v>
      </c>
      <c r="D1170" s="17" t="s">
        <v>4078</v>
      </c>
      <c r="E1170" s="16" t="s">
        <v>11436</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45">
      <c r="A1171" s="15" t="s">
        <v>5393</v>
      </c>
      <c r="B1171" s="16" t="s">
        <v>5</v>
      </c>
      <c r="C1171" s="17" t="s">
        <v>4080</v>
      </c>
      <c r="D1171" s="17" t="s">
        <v>4081</v>
      </c>
      <c r="E1171" s="16" t="s">
        <v>11436</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45">
      <c r="A1172" s="15" t="s">
        <v>5936</v>
      </c>
      <c r="B1172" s="16" t="s">
        <v>5</v>
      </c>
      <c r="C1172" s="17" t="s">
        <v>4083</v>
      </c>
      <c r="D1172" s="17" t="s">
        <v>4084</v>
      </c>
      <c r="E1172" s="16" t="s">
        <v>11436</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45">
      <c r="A1173" s="15" t="s">
        <v>11330</v>
      </c>
      <c r="B1173" s="16" t="s">
        <v>5</v>
      </c>
      <c r="C1173" s="17" t="s">
        <v>4086</v>
      </c>
      <c r="D1173" s="17" t="s">
        <v>4087</v>
      </c>
      <c r="E1173" s="16" t="s">
        <v>11436</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45">
      <c r="A1174" s="15" t="s">
        <v>6754</v>
      </c>
      <c r="B1174" s="16" t="s">
        <v>5</v>
      </c>
      <c r="C1174" s="17" t="s">
        <v>4089</v>
      </c>
      <c r="D1174" s="17" t="s">
        <v>4090</v>
      </c>
      <c r="E1174" s="16" t="s">
        <v>11436</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45">
      <c r="A1175" s="15" t="s">
        <v>6931</v>
      </c>
      <c r="B1175" s="16" t="s">
        <v>5</v>
      </c>
      <c r="C1175" s="17" t="s">
        <v>4092</v>
      </c>
      <c r="D1175" s="17" t="s">
        <v>4093</v>
      </c>
      <c r="E1175" s="16" t="s">
        <v>11436</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45">
      <c r="A1176" s="15" t="s">
        <v>6967</v>
      </c>
      <c r="B1176" s="16" t="s">
        <v>5</v>
      </c>
      <c r="C1176" s="17" t="s">
        <v>4095</v>
      </c>
      <c r="D1176" s="17" t="s">
        <v>4096</v>
      </c>
      <c r="E1176" s="16" t="s">
        <v>11436</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45">
      <c r="A1177" s="15" t="s">
        <v>11331</v>
      </c>
      <c r="B1177" s="16" t="s">
        <v>5</v>
      </c>
      <c r="C1177" s="17" t="s">
        <v>4098</v>
      </c>
      <c r="D1177" s="17" t="s">
        <v>4099</v>
      </c>
      <c r="E1177" s="16" t="s">
        <v>11436</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45">
      <c r="A1178" s="15" t="s">
        <v>1007</v>
      </c>
      <c r="B1178" s="16" t="s">
        <v>5</v>
      </c>
      <c r="C1178" s="17" t="s">
        <v>4101</v>
      </c>
      <c r="D1178" s="17" t="s">
        <v>4102</v>
      </c>
      <c r="E1178" s="16" t="s">
        <v>11436</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45">
      <c r="A1179" s="15" t="s">
        <v>1301</v>
      </c>
      <c r="B1179" s="16" t="s">
        <v>5</v>
      </c>
      <c r="C1179" s="17" t="s">
        <v>4104</v>
      </c>
      <c r="D1179" s="17" t="s">
        <v>4105</v>
      </c>
      <c r="E1179" s="16" t="s">
        <v>11436</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45">
      <c r="A1180" s="15" t="s">
        <v>1360</v>
      </c>
      <c r="B1180" s="16" t="s">
        <v>5</v>
      </c>
      <c r="C1180" s="17" t="s">
        <v>4107</v>
      </c>
      <c r="D1180" s="17" t="s">
        <v>4108</v>
      </c>
      <c r="E1180" s="16" t="s">
        <v>11436</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45">
      <c r="A1181" s="15" t="s">
        <v>4496</v>
      </c>
      <c r="B1181" s="16" t="s">
        <v>5</v>
      </c>
      <c r="C1181" s="17" t="s">
        <v>4110</v>
      </c>
      <c r="D1181" s="17" t="s">
        <v>4111</v>
      </c>
      <c r="E1181" s="16" t="s">
        <v>11436</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45">
      <c r="A1182" s="15" t="s">
        <v>4619</v>
      </c>
      <c r="B1182" s="16" t="s">
        <v>5</v>
      </c>
      <c r="C1182" s="17" t="s">
        <v>4113</v>
      </c>
      <c r="D1182" s="17" t="s">
        <v>4114</v>
      </c>
      <c r="E1182" s="16" t="s">
        <v>11436</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45">
      <c r="A1183" s="15" t="s">
        <v>4859</v>
      </c>
      <c r="B1183" s="16" t="s">
        <v>5</v>
      </c>
      <c r="C1183" s="17" t="s">
        <v>4116</v>
      </c>
      <c r="D1183" s="17" t="s">
        <v>4117</v>
      </c>
      <c r="E1183" s="16" t="s">
        <v>11436</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45">
      <c r="A1184" s="15" t="s">
        <v>6454</v>
      </c>
      <c r="B1184" s="16" t="s">
        <v>5</v>
      </c>
      <c r="C1184" s="17" t="s">
        <v>4119</v>
      </c>
      <c r="D1184" s="17" t="s">
        <v>4120</v>
      </c>
      <c r="E1184" s="16" t="s">
        <v>11436</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45">
      <c r="A1185" s="15" t="s">
        <v>7036</v>
      </c>
      <c r="B1185" s="16" t="s">
        <v>5</v>
      </c>
      <c r="C1185" s="17" t="s">
        <v>4122</v>
      </c>
      <c r="D1185" s="17" t="s">
        <v>4123</v>
      </c>
      <c r="E1185" s="16" t="s">
        <v>11436</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45">
      <c r="A1186" s="15" t="s">
        <v>7234</v>
      </c>
      <c r="B1186" s="16" t="s">
        <v>5</v>
      </c>
      <c r="C1186" s="17" t="s">
        <v>4125</v>
      </c>
      <c r="D1186" s="17" t="s">
        <v>4126</v>
      </c>
      <c r="E1186" s="16" t="s">
        <v>11436</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45">
      <c r="A1187" s="15" t="s">
        <v>8584</v>
      </c>
      <c r="B1187" s="16" t="s">
        <v>5</v>
      </c>
      <c r="C1187" s="17" t="s">
        <v>4128</v>
      </c>
      <c r="D1187" s="17" t="s">
        <v>4129</v>
      </c>
      <c r="E1187" s="16" t="s">
        <v>11436</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45">
      <c r="A1188" s="15" t="s">
        <v>9106</v>
      </c>
      <c r="B1188" s="16" t="s">
        <v>5</v>
      </c>
      <c r="C1188" s="17" t="s">
        <v>4131</v>
      </c>
      <c r="D1188" s="17" t="s">
        <v>4132</v>
      </c>
      <c r="E1188" s="16" t="s">
        <v>11436</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45">
      <c r="A1189" s="15" t="s">
        <v>6694</v>
      </c>
      <c r="B1189" s="16" t="s">
        <v>5</v>
      </c>
      <c r="C1189" s="17" t="s">
        <v>4134</v>
      </c>
      <c r="D1189" s="17" t="s">
        <v>4135</v>
      </c>
      <c r="E1189" s="16" t="s">
        <v>11436</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45">
      <c r="A1190" s="15" t="s">
        <v>7063</v>
      </c>
      <c r="B1190" s="16" t="s">
        <v>5</v>
      </c>
      <c r="C1190" s="17" t="s">
        <v>4137</v>
      </c>
      <c r="D1190" s="17" t="s">
        <v>4138</v>
      </c>
      <c r="E1190" s="16" t="s">
        <v>11436</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45">
      <c r="A1191" s="15" t="s">
        <v>7435</v>
      </c>
      <c r="B1191" s="16" t="s">
        <v>5</v>
      </c>
      <c r="C1191" s="17" t="s">
        <v>4140</v>
      </c>
      <c r="D1191" s="17" t="s">
        <v>4141</v>
      </c>
      <c r="E1191" s="16" t="s">
        <v>11436</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45">
      <c r="A1192" s="15" t="s">
        <v>8425</v>
      </c>
      <c r="B1192" s="16" t="s">
        <v>5</v>
      </c>
      <c r="C1192" s="17" t="s">
        <v>4143</v>
      </c>
      <c r="D1192" s="17" t="s">
        <v>4144</v>
      </c>
      <c r="E1192" s="16" t="s">
        <v>11436</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45">
      <c r="A1193" s="15" t="s">
        <v>8365</v>
      </c>
      <c r="B1193" s="16" t="s">
        <v>5</v>
      </c>
      <c r="C1193" s="17" t="s">
        <v>4146</v>
      </c>
      <c r="D1193" s="17" t="s">
        <v>4147</v>
      </c>
      <c r="E1193" s="16" t="s">
        <v>11436</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45">
      <c r="A1194" s="15" t="s">
        <v>8683</v>
      </c>
      <c r="B1194" s="16" t="s">
        <v>5</v>
      </c>
      <c r="C1194" s="17" t="s">
        <v>4149</v>
      </c>
      <c r="D1194" s="17" t="s">
        <v>4150</v>
      </c>
      <c r="E1194" s="16" t="s">
        <v>11436</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45">
      <c r="A1195" s="15" t="s">
        <v>8770</v>
      </c>
      <c r="B1195" s="16" t="s">
        <v>5</v>
      </c>
      <c r="C1195" s="17" t="s">
        <v>4152</v>
      </c>
      <c r="D1195" s="17" t="s">
        <v>4153</v>
      </c>
      <c r="E1195" s="16" t="s">
        <v>11436</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45">
      <c r="A1196" s="15" t="s">
        <v>803</v>
      </c>
      <c r="B1196" s="16" t="s">
        <v>5</v>
      </c>
      <c r="C1196" s="17" t="s">
        <v>4155</v>
      </c>
      <c r="D1196" s="17" t="s">
        <v>4156</v>
      </c>
      <c r="E1196" s="16" t="s">
        <v>11436</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45">
      <c r="A1197" s="15" t="s">
        <v>875</v>
      </c>
      <c r="B1197" s="16" t="s">
        <v>5</v>
      </c>
      <c r="C1197" s="17" t="s">
        <v>4158</v>
      </c>
      <c r="D1197" s="17" t="s">
        <v>4159</v>
      </c>
      <c r="E1197" s="16" t="s">
        <v>11436</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45">
      <c r="A1198" s="15" t="s">
        <v>881</v>
      </c>
      <c r="B1198" s="16" t="s">
        <v>5</v>
      </c>
      <c r="C1198" s="17" t="s">
        <v>4161</v>
      </c>
      <c r="D1198" s="17" t="s">
        <v>4162</v>
      </c>
      <c r="E1198" s="16" t="s">
        <v>11436</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45">
      <c r="A1199" s="15" t="s">
        <v>995</v>
      </c>
      <c r="B1199" s="16" t="s">
        <v>5</v>
      </c>
      <c r="C1199" s="17" t="s">
        <v>4164</v>
      </c>
      <c r="D1199" s="17" t="s">
        <v>4165</v>
      </c>
      <c r="E1199" s="16" t="s">
        <v>11436</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45">
      <c r="A1200" s="15" t="s">
        <v>1094</v>
      </c>
      <c r="B1200" s="16" t="s">
        <v>5</v>
      </c>
      <c r="C1200" s="17" t="s">
        <v>4167</v>
      </c>
      <c r="D1200" s="17" t="s">
        <v>4168</v>
      </c>
      <c r="E1200" s="16" t="s">
        <v>11436</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45">
      <c r="A1201" s="15" t="s">
        <v>4448</v>
      </c>
      <c r="B1201" s="16" t="s">
        <v>5</v>
      </c>
      <c r="C1201" s="17" t="s">
        <v>4170</v>
      </c>
      <c r="D1201" s="17" t="s">
        <v>4171</v>
      </c>
      <c r="E1201" s="16" t="s">
        <v>11436</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45">
      <c r="A1202" s="15" t="s">
        <v>6526</v>
      </c>
      <c r="B1202" s="16" t="s">
        <v>5</v>
      </c>
      <c r="C1202" s="17" t="s">
        <v>4173</v>
      </c>
      <c r="D1202" s="17" t="s">
        <v>4174</v>
      </c>
      <c r="E1202" s="16" t="s">
        <v>11436</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45">
      <c r="A1203" s="15" t="s">
        <v>9100</v>
      </c>
      <c r="B1203" s="16" t="s">
        <v>5</v>
      </c>
      <c r="C1203" s="17" t="s">
        <v>4176</v>
      </c>
      <c r="D1203" s="17" t="s">
        <v>4177</v>
      </c>
      <c r="E1203" s="16" t="s">
        <v>11436</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45">
      <c r="A1204" s="15" t="s">
        <v>9124</v>
      </c>
      <c r="B1204" s="16" t="s">
        <v>5</v>
      </c>
      <c r="C1204" s="17" t="s">
        <v>4179</v>
      </c>
      <c r="D1204" s="17" t="s">
        <v>4180</v>
      </c>
      <c r="E1204" s="16" t="s">
        <v>11436</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45">
      <c r="A1205" s="15" t="s">
        <v>11332</v>
      </c>
      <c r="B1205" s="16" t="s">
        <v>5</v>
      </c>
      <c r="C1205" s="17" t="s">
        <v>4182</v>
      </c>
      <c r="D1205" s="17" t="s">
        <v>4183</v>
      </c>
      <c r="E1205" s="16" t="s">
        <v>11436</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45">
      <c r="A1206" s="15" t="s">
        <v>9184</v>
      </c>
      <c r="B1206" s="16" t="s">
        <v>5</v>
      </c>
      <c r="C1206" s="17" t="s">
        <v>4185</v>
      </c>
      <c r="D1206" s="17" t="s">
        <v>4186</v>
      </c>
      <c r="E1206" s="16" t="s">
        <v>11436</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45">
      <c r="A1207" s="15" t="s">
        <v>2264</v>
      </c>
      <c r="B1207" s="16" t="s">
        <v>5</v>
      </c>
      <c r="C1207" s="17" t="s">
        <v>4188</v>
      </c>
      <c r="D1207" s="17" t="s">
        <v>4189</v>
      </c>
      <c r="E1207" s="16" t="s">
        <v>11436</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45">
      <c r="A1208" s="15" t="s">
        <v>1561</v>
      </c>
      <c r="B1208" s="16" t="s">
        <v>5</v>
      </c>
      <c r="C1208" s="17" t="s">
        <v>4191</v>
      </c>
      <c r="D1208" s="17" t="s">
        <v>4192</v>
      </c>
      <c r="E1208" s="16" t="s">
        <v>11436</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45">
      <c r="A1209" s="15" t="s">
        <v>616</v>
      </c>
      <c r="B1209" s="16" t="s">
        <v>183</v>
      </c>
      <c r="C1209" s="17" t="s">
        <v>4194</v>
      </c>
      <c r="D1209" s="17" t="s">
        <v>4195</v>
      </c>
      <c r="E1209" s="16" t="s">
        <v>11416</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45">
      <c r="A1210" s="15" t="s">
        <v>622</v>
      </c>
      <c r="B1210" s="16" t="s">
        <v>183</v>
      </c>
      <c r="C1210" s="17" t="s">
        <v>4197</v>
      </c>
      <c r="D1210" s="17" t="s">
        <v>4198</v>
      </c>
      <c r="E1210" s="16" t="s">
        <v>11416</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45">
      <c r="A1211" s="15" t="s">
        <v>583</v>
      </c>
      <c r="B1211" s="16" t="s">
        <v>183</v>
      </c>
      <c r="C1211" s="17" t="s">
        <v>4200</v>
      </c>
      <c r="D1211" s="17" t="s">
        <v>4201</v>
      </c>
      <c r="E1211" s="16" t="s">
        <v>11416</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45">
      <c r="A1212" s="15" t="s">
        <v>634</v>
      </c>
      <c r="B1212" s="16" t="s">
        <v>183</v>
      </c>
      <c r="C1212" s="17" t="s">
        <v>4203</v>
      </c>
      <c r="D1212" s="17" t="s">
        <v>4204</v>
      </c>
      <c r="E1212" s="16" t="s">
        <v>11416</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45">
      <c r="A1213" s="15" t="s">
        <v>6718</v>
      </c>
      <c r="B1213" s="16" t="s">
        <v>5</v>
      </c>
      <c r="C1213" s="17" t="s">
        <v>4206</v>
      </c>
      <c r="D1213" s="17" t="s">
        <v>4207</v>
      </c>
      <c r="E1213" s="16" t="s">
        <v>11436</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45">
      <c r="A1214" s="15" t="s">
        <v>6724</v>
      </c>
      <c r="B1214" s="16" t="s">
        <v>5</v>
      </c>
      <c r="C1214" s="17" t="s">
        <v>4209</v>
      </c>
      <c r="D1214" s="17" t="s">
        <v>4210</v>
      </c>
      <c r="E1214" s="16" t="s">
        <v>11436</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45">
      <c r="A1215" s="15" t="s">
        <v>8386</v>
      </c>
      <c r="B1215" s="16" t="s">
        <v>5</v>
      </c>
      <c r="C1215" s="17" t="s">
        <v>4212</v>
      </c>
      <c r="D1215" s="17" t="s">
        <v>4213</v>
      </c>
      <c r="E1215" s="16" t="s">
        <v>11436</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45">
      <c r="A1216" s="15" t="s">
        <v>8404</v>
      </c>
      <c r="B1216" s="16" t="s">
        <v>5</v>
      </c>
      <c r="C1216" s="17" t="s">
        <v>4215</v>
      </c>
      <c r="D1216" s="17" t="s">
        <v>4216</v>
      </c>
      <c r="E1216" s="16" t="s">
        <v>11436</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45">
      <c r="A1217" s="15" t="s">
        <v>8344</v>
      </c>
      <c r="B1217" s="16" t="s">
        <v>5</v>
      </c>
      <c r="C1217" s="17" t="s">
        <v>4218</v>
      </c>
      <c r="D1217" s="17" t="s">
        <v>4219</v>
      </c>
      <c r="E1217" s="16" t="s">
        <v>11436</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45">
      <c r="A1218" s="15" t="s">
        <v>6520</v>
      </c>
      <c r="B1218" s="16" t="s">
        <v>5</v>
      </c>
      <c r="C1218" s="17" t="s">
        <v>4221</v>
      </c>
      <c r="D1218" s="17" t="s">
        <v>4222</v>
      </c>
      <c r="E1218" s="16" t="s">
        <v>11436</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45">
      <c r="A1219" s="15" t="s">
        <v>8488</v>
      </c>
      <c r="B1219" s="16" t="s">
        <v>5</v>
      </c>
      <c r="C1219" s="17" t="s">
        <v>4224</v>
      </c>
      <c r="D1219" s="17" t="s">
        <v>4225</v>
      </c>
      <c r="E1219" s="16" t="s">
        <v>11436</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45">
      <c r="A1220" s="15" t="s">
        <v>8791</v>
      </c>
      <c r="B1220" s="16" t="s">
        <v>5</v>
      </c>
      <c r="C1220" s="17" t="s">
        <v>4227</v>
      </c>
      <c r="D1220" s="17" t="s">
        <v>4228</v>
      </c>
      <c r="E1220" s="16" t="s">
        <v>11436</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45">
      <c r="A1221" s="15" t="s">
        <v>8782</v>
      </c>
      <c r="B1221" s="16" t="s">
        <v>5</v>
      </c>
      <c r="C1221" s="17" t="s">
        <v>4230</v>
      </c>
      <c r="D1221" s="17" t="s">
        <v>4231</v>
      </c>
      <c r="E1221" s="16" t="s">
        <v>11436</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45">
      <c r="A1222" s="15" t="s">
        <v>8464</v>
      </c>
      <c r="B1222" s="16" t="s">
        <v>5</v>
      </c>
      <c r="C1222" s="17" t="s">
        <v>4233</v>
      </c>
      <c r="D1222" s="17" t="s">
        <v>4234</v>
      </c>
      <c r="E1222" s="16" t="s">
        <v>11436</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45">
      <c r="A1223" s="15" t="s">
        <v>5171</v>
      </c>
      <c r="B1223" s="16" t="s">
        <v>5</v>
      </c>
      <c r="C1223" s="17" t="s">
        <v>4236</v>
      </c>
      <c r="D1223" s="17" t="s">
        <v>4237</v>
      </c>
      <c r="E1223" s="16" t="s">
        <v>11436</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45">
      <c r="A1224" s="15" t="s">
        <v>5180</v>
      </c>
      <c r="B1224" s="16" t="s">
        <v>5</v>
      </c>
      <c r="C1224" s="17" t="s">
        <v>4239</v>
      </c>
      <c r="D1224" s="17" t="s">
        <v>4240</v>
      </c>
      <c r="E1224" s="16" t="s">
        <v>11436</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45">
      <c r="A1225" s="15" t="s">
        <v>5183</v>
      </c>
      <c r="B1225" s="16" t="s">
        <v>5</v>
      </c>
      <c r="C1225" s="17" t="s">
        <v>4242</v>
      </c>
      <c r="D1225" s="17" t="s">
        <v>4243</v>
      </c>
      <c r="E1225" s="16" t="s">
        <v>11436</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45">
      <c r="A1226" s="15" t="s">
        <v>5498</v>
      </c>
      <c r="B1226" s="16" t="s">
        <v>5</v>
      </c>
      <c r="C1226" s="17" t="s">
        <v>4245</v>
      </c>
      <c r="D1226" s="17" t="s">
        <v>4246</v>
      </c>
      <c r="E1226" s="16" t="s">
        <v>11436</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45">
      <c r="A1227" s="15" t="s">
        <v>5552</v>
      </c>
      <c r="B1227" s="16" t="s">
        <v>5</v>
      </c>
      <c r="C1227" s="17" t="s">
        <v>4248</v>
      </c>
      <c r="D1227" s="17" t="s">
        <v>4249</v>
      </c>
      <c r="E1227" s="16" t="s">
        <v>11436</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45">
      <c r="A1228" s="15" t="s">
        <v>5591</v>
      </c>
      <c r="B1228" s="16" t="s">
        <v>5</v>
      </c>
      <c r="C1228" s="17" t="s">
        <v>4251</v>
      </c>
      <c r="D1228" s="17" t="s">
        <v>4252</v>
      </c>
      <c r="E1228" s="16" t="s">
        <v>11436</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45">
      <c r="A1229" s="15" t="s">
        <v>6239</v>
      </c>
      <c r="B1229" s="16" t="s">
        <v>5</v>
      </c>
      <c r="C1229" s="17" t="s">
        <v>4254</v>
      </c>
      <c r="D1229" s="17" t="s">
        <v>4255</v>
      </c>
      <c r="E1229" s="16" t="s">
        <v>11436</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45">
      <c r="A1230" s="15" t="s">
        <v>6700</v>
      </c>
      <c r="B1230" s="16" t="s">
        <v>5</v>
      </c>
      <c r="C1230" s="17" t="s">
        <v>4257</v>
      </c>
      <c r="D1230" s="17" t="s">
        <v>4258</v>
      </c>
      <c r="E1230" s="16" t="s">
        <v>11436</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45">
      <c r="A1231" s="15" t="s">
        <v>6829</v>
      </c>
      <c r="B1231" s="16" t="s">
        <v>5</v>
      </c>
      <c r="C1231" s="17" t="s">
        <v>4260</v>
      </c>
      <c r="D1231" s="17" t="s">
        <v>4261</v>
      </c>
      <c r="E1231" s="16" t="s">
        <v>11436</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45">
      <c r="A1232" s="15" t="s">
        <v>6841</v>
      </c>
      <c r="B1232" s="16" t="s">
        <v>5</v>
      </c>
      <c r="C1232" s="17" t="s">
        <v>4263</v>
      </c>
      <c r="D1232" s="17" t="s">
        <v>4264</v>
      </c>
      <c r="E1232" s="16" t="s">
        <v>11436</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45">
      <c r="A1233" s="15" t="s">
        <v>7921</v>
      </c>
      <c r="B1233" s="16" t="s">
        <v>5</v>
      </c>
      <c r="C1233" s="17" t="s">
        <v>4266</v>
      </c>
      <c r="D1233" s="17" t="s">
        <v>4267</v>
      </c>
      <c r="E1233" s="16" t="s">
        <v>11436</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45">
      <c r="A1234" s="15" t="s">
        <v>9085</v>
      </c>
      <c r="B1234" s="16" t="s">
        <v>5</v>
      </c>
      <c r="C1234" s="17" t="s">
        <v>4269</v>
      </c>
      <c r="D1234" s="17" t="s">
        <v>4270</v>
      </c>
      <c r="E1234" s="15" t="s">
        <v>11436</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45">
      <c r="A1235" s="15" t="s">
        <v>1481</v>
      </c>
      <c r="B1235" s="16" t="s">
        <v>5</v>
      </c>
      <c r="C1235" s="17" t="s">
        <v>4272</v>
      </c>
      <c r="D1235" s="17" t="s">
        <v>4273</v>
      </c>
      <c r="E1235" s="16" t="s">
        <v>11436</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45">
      <c r="A1236" s="15" t="s">
        <v>2539</v>
      </c>
      <c r="B1236" s="16" t="s">
        <v>5</v>
      </c>
      <c r="C1236" s="17" t="s">
        <v>4275</v>
      </c>
      <c r="D1236" s="17" t="s">
        <v>4276</v>
      </c>
      <c r="E1236" s="16" t="s">
        <v>11436</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45">
      <c r="A1237" s="15" t="s">
        <v>2779</v>
      </c>
      <c r="B1237" s="16" t="s">
        <v>5</v>
      </c>
      <c r="C1237" s="17" t="s">
        <v>4278</v>
      </c>
      <c r="D1237" s="17" t="s">
        <v>4279</v>
      </c>
      <c r="E1237" s="16" t="s">
        <v>11436</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45">
      <c r="A1238" s="15" t="s">
        <v>8911</v>
      </c>
      <c r="B1238" s="16" t="s">
        <v>5</v>
      </c>
      <c r="C1238" s="17" t="s">
        <v>4281</v>
      </c>
      <c r="D1238" s="17" t="s">
        <v>4282</v>
      </c>
      <c r="E1238" s="16" t="s">
        <v>11436</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45">
      <c r="A1239" s="15" t="s">
        <v>11333</v>
      </c>
      <c r="B1239" s="16" t="s">
        <v>5</v>
      </c>
      <c r="C1239" s="17" t="s">
        <v>4284</v>
      </c>
      <c r="D1239" s="17" t="s">
        <v>4285</v>
      </c>
      <c r="E1239" s="16" t="s">
        <v>11436</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45">
      <c r="A1240" s="15" t="s">
        <v>797</v>
      </c>
      <c r="B1240" s="16" t="s">
        <v>5</v>
      </c>
      <c r="C1240" s="17" t="s">
        <v>4287</v>
      </c>
      <c r="D1240" s="17" t="s">
        <v>4288</v>
      </c>
      <c r="E1240" s="16" t="s">
        <v>11436</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45">
      <c r="A1241" s="15" t="s">
        <v>887</v>
      </c>
      <c r="B1241" s="16" t="s">
        <v>5</v>
      </c>
      <c r="C1241" s="17" t="s">
        <v>4290</v>
      </c>
      <c r="D1241" s="17" t="s">
        <v>4291</v>
      </c>
      <c r="E1241" s="16" t="s">
        <v>11436</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45">
      <c r="A1242" s="15" t="s">
        <v>1112</v>
      </c>
      <c r="B1242" s="16" t="s">
        <v>5</v>
      </c>
      <c r="C1242" s="17" t="s">
        <v>4293</v>
      </c>
      <c r="D1242" s="17" t="s">
        <v>4294</v>
      </c>
      <c r="E1242" s="16" t="s">
        <v>11436</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45">
      <c r="A1243" s="15" t="s">
        <v>1226</v>
      </c>
      <c r="B1243" s="16" t="s">
        <v>5</v>
      </c>
      <c r="C1243" s="17" t="s">
        <v>4296</v>
      </c>
      <c r="D1243" s="17" t="s">
        <v>4297</v>
      </c>
      <c r="E1243" s="16" t="s">
        <v>11436</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45">
      <c r="A1244" s="15" t="s">
        <v>1337</v>
      </c>
      <c r="B1244" s="16" t="s">
        <v>5</v>
      </c>
      <c r="C1244" s="17" t="s">
        <v>4299</v>
      </c>
      <c r="D1244" s="17" t="s">
        <v>4300</v>
      </c>
      <c r="E1244" s="16" t="s">
        <v>11436</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45">
      <c r="A1245" s="15" t="s">
        <v>4250</v>
      </c>
      <c r="B1245" s="16" t="s">
        <v>5</v>
      </c>
      <c r="C1245" s="17" t="s">
        <v>4302</v>
      </c>
      <c r="D1245" s="17" t="s">
        <v>4303</v>
      </c>
      <c r="E1245" s="16" t="s">
        <v>11436</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45">
      <c r="A1246" s="15" t="s">
        <v>4316</v>
      </c>
      <c r="B1246" s="16" t="s">
        <v>5</v>
      </c>
      <c r="C1246" s="17" t="s">
        <v>4305</v>
      </c>
      <c r="D1246" s="17" t="s">
        <v>4306</v>
      </c>
      <c r="E1246" s="16" t="s">
        <v>11436</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45">
      <c r="A1247" s="15" t="s">
        <v>4364</v>
      </c>
      <c r="B1247" s="16" t="s">
        <v>5</v>
      </c>
      <c r="C1247" s="17" t="s">
        <v>4308</v>
      </c>
      <c r="D1247" s="17" t="s">
        <v>4309</v>
      </c>
      <c r="E1247" s="16" t="s">
        <v>11436</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45">
      <c r="A1248" s="15" t="s">
        <v>4370</v>
      </c>
      <c r="B1248" s="16" t="s">
        <v>5</v>
      </c>
      <c r="C1248" s="17" t="s">
        <v>4311</v>
      </c>
      <c r="D1248" s="17" t="s">
        <v>4312</v>
      </c>
      <c r="E1248" s="16" t="s">
        <v>11436</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45">
      <c r="A1249" s="15" t="s">
        <v>4436</v>
      </c>
      <c r="B1249" s="16" t="s">
        <v>5</v>
      </c>
      <c r="C1249" s="17" t="s">
        <v>4314</v>
      </c>
      <c r="D1249" s="17" t="s">
        <v>4315</v>
      </c>
      <c r="E1249" s="16" t="s">
        <v>11436</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45">
      <c r="A1250" s="15" t="s">
        <v>4454</v>
      </c>
      <c r="B1250" s="16" t="s">
        <v>5</v>
      </c>
      <c r="C1250" s="17" t="s">
        <v>4317</v>
      </c>
      <c r="D1250" s="17" t="s">
        <v>4318</v>
      </c>
      <c r="E1250" s="16" t="s">
        <v>11436</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45">
      <c r="A1251" s="15" t="s">
        <v>4457</v>
      </c>
      <c r="B1251" s="16" t="s">
        <v>5</v>
      </c>
      <c r="C1251" s="17" t="s">
        <v>4320</v>
      </c>
      <c r="D1251" s="17" t="s">
        <v>4321</v>
      </c>
      <c r="E1251" s="16" t="s">
        <v>11436</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45">
      <c r="A1252" s="15" t="s">
        <v>4475</v>
      </c>
      <c r="B1252" s="16" t="s">
        <v>5</v>
      </c>
      <c r="C1252" s="17" t="s">
        <v>4323</v>
      </c>
      <c r="D1252" s="17" t="s">
        <v>4324</v>
      </c>
      <c r="E1252" s="16" t="s">
        <v>11436</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45">
      <c r="A1253" s="15" t="s">
        <v>4478</v>
      </c>
      <c r="B1253" s="16" t="s">
        <v>5</v>
      </c>
      <c r="C1253" s="17" t="s">
        <v>4326</v>
      </c>
      <c r="D1253" s="17" t="s">
        <v>4327</v>
      </c>
      <c r="E1253" s="15" t="s">
        <v>11436</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45">
      <c r="A1254" s="15" t="s">
        <v>4553</v>
      </c>
      <c r="B1254" s="16" t="s">
        <v>5</v>
      </c>
      <c r="C1254" s="17" t="s">
        <v>4329</v>
      </c>
      <c r="D1254" s="17" t="s">
        <v>4330</v>
      </c>
      <c r="E1254" s="16" t="s">
        <v>11436</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45">
      <c r="A1255" s="15" t="s">
        <v>4832</v>
      </c>
      <c r="B1255" s="16" t="s">
        <v>5</v>
      </c>
      <c r="C1255" s="17" t="s">
        <v>4332</v>
      </c>
      <c r="D1255" s="17" t="s">
        <v>4333</v>
      </c>
      <c r="E1255" s="15" t="s">
        <v>11436</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45">
      <c r="A1256" s="15" t="s">
        <v>4979</v>
      </c>
      <c r="B1256" s="16" t="s">
        <v>5</v>
      </c>
      <c r="C1256" s="17" t="s">
        <v>4335</v>
      </c>
      <c r="D1256" s="17" t="s">
        <v>4336</v>
      </c>
      <c r="E1256" s="16" t="s">
        <v>11436</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45">
      <c r="A1257" s="15" t="s">
        <v>5072</v>
      </c>
      <c r="B1257" s="16" t="s">
        <v>5</v>
      </c>
      <c r="C1257" s="17" t="s">
        <v>4338</v>
      </c>
      <c r="D1257" s="17" t="s">
        <v>4339</v>
      </c>
      <c r="E1257" s="16" t="s">
        <v>11436</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45">
      <c r="A1258" s="15" t="s">
        <v>5129</v>
      </c>
      <c r="B1258" s="16" t="s">
        <v>5</v>
      </c>
      <c r="C1258" s="17" t="s">
        <v>4341</v>
      </c>
      <c r="D1258" s="17" t="s">
        <v>4342</v>
      </c>
      <c r="E1258" s="16" t="s">
        <v>11436</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45">
      <c r="A1259" s="15" t="s">
        <v>8884</v>
      </c>
      <c r="B1259" s="16" t="s">
        <v>5</v>
      </c>
      <c r="C1259" s="17" t="s">
        <v>4344</v>
      </c>
      <c r="D1259" s="17" t="s">
        <v>4345</v>
      </c>
      <c r="E1259" s="16" t="s">
        <v>11436</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45">
      <c r="A1260" s="15" t="s">
        <v>8935</v>
      </c>
      <c r="B1260" s="16" t="s">
        <v>5</v>
      </c>
      <c r="C1260" s="17" t="s">
        <v>4347</v>
      </c>
      <c r="D1260" s="17" t="s">
        <v>4348</v>
      </c>
      <c r="E1260" s="16" t="s">
        <v>11436</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45">
      <c r="A1261" s="15" t="s">
        <v>1401</v>
      </c>
      <c r="B1261" s="16" t="s">
        <v>5</v>
      </c>
      <c r="C1261" s="17" t="s">
        <v>4350</v>
      </c>
      <c r="D1261" s="17" t="s">
        <v>4351</v>
      </c>
      <c r="E1261" s="16" t="s">
        <v>11436</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45">
      <c r="A1262" s="15" t="s">
        <v>1466</v>
      </c>
      <c r="B1262" s="16" t="s">
        <v>5</v>
      </c>
      <c r="C1262" s="17" t="s">
        <v>4353</v>
      </c>
      <c r="D1262" s="17" t="s">
        <v>4354</v>
      </c>
      <c r="E1262" s="16" t="s">
        <v>11436</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45">
      <c r="A1263" s="15" t="s">
        <v>2695</v>
      </c>
      <c r="B1263" s="16" t="s">
        <v>5</v>
      </c>
      <c r="C1263" s="17" t="s">
        <v>4356</v>
      </c>
      <c r="D1263" s="17" t="s">
        <v>4357</v>
      </c>
      <c r="E1263" s="16" t="s">
        <v>11436</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45">
      <c r="A1264" s="15" t="s">
        <v>604</v>
      </c>
      <c r="B1264" s="16" t="s">
        <v>183</v>
      </c>
      <c r="C1264" s="17" t="s">
        <v>4359</v>
      </c>
      <c r="D1264" s="17" t="s">
        <v>4360</v>
      </c>
      <c r="E1264" s="16" t="s">
        <v>11416</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45">
      <c r="A1265" s="15" t="s">
        <v>6086</v>
      </c>
      <c r="B1265" s="16" t="s">
        <v>5</v>
      </c>
      <c r="C1265" s="17" t="s">
        <v>4362</v>
      </c>
      <c r="D1265" s="17" t="s">
        <v>4363</v>
      </c>
      <c r="E1265" s="16" t="s">
        <v>11431</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x14ac:dyDescent="0.45">
      <c r="A1266" s="15" t="s">
        <v>7366</v>
      </c>
      <c r="B1266" s="16" t="s">
        <v>5</v>
      </c>
      <c r="C1266" s="17" t="s">
        <v>4365</v>
      </c>
      <c r="D1266" s="17" t="s">
        <v>4366</v>
      </c>
      <c r="E1266" s="16" t="s">
        <v>11431</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x14ac:dyDescent="0.45">
      <c r="A1267" s="15" t="s">
        <v>6110</v>
      </c>
      <c r="B1267" s="16" t="s">
        <v>5</v>
      </c>
      <c r="C1267" s="17" t="s">
        <v>4368</v>
      </c>
      <c r="D1267" s="17" t="s">
        <v>4369</v>
      </c>
      <c r="E1267" s="16" t="s">
        <v>11431</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x14ac:dyDescent="0.45">
      <c r="A1268" s="15" t="s">
        <v>7528</v>
      </c>
      <c r="B1268" s="16" t="s">
        <v>5</v>
      </c>
      <c r="C1268" s="17" t="s">
        <v>4371</v>
      </c>
      <c r="D1268" s="17" t="s">
        <v>4372</v>
      </c>
      <c r="E1268" s="16" t="s">
        <v>11431</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x14ac:dyDescent="0.45">
      <c r="A1269" s="15" t="s">
        <v>6161</v>
      </c>
      <c r="B1269" s="16" t="s">
        <v>5</v>
      </c>
      <c r="C1269" s="17" t="s">
        <v>4374</v>
      </c>
      <c r="D1269" s="17" t="s">
        <v>4375</v>
      </c>
      <c r="E1269" s="16" t="s">
        <v>11431</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x14ac:dyDescent="0.45">
      <c r="A1270" s="15" t="s">
        <v>6224</v>
      </c>
      <c r="B1270" s="16" t="s">
        <v>5</v>
      </c>
      <c r="C1270" s="17" t="s">
        <v>4377</v>
      </c>
      <c r="D1270" s="17" t="s">
        <v>4378</v>
      </c>
      <c r="E1270" s="16" t="s">
        <v>11431</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x14ac:dyDescent="0.45">
      <c r="A1271" s="15" t="s">
        <v>7579</v>
      </c>
      <c r="B1271" s="16" t="s">
        <v>5</v>
      </c>
      <c r="C1271" s="17" t="s">
        <v>4380</v>
      </c>
      <c r="D1271" s="17" t="s">
        <v>4381</v>
      </c>
      <c r="E1271" s="16" t="s">
        <v>11431</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x14ac:dyDescent="0.45">
      <c r="A1272" s="15" t="s">
        <v>6682</v>
      </c>
      <c r="B1272" s="16" t="s">
        <v>5</v>
      </c>
      <c r="C1272" s="17" t="s">
        <v>4383</v>
      </c>
      <c r="D1272" s="17" t="s">
        <v>4384</v>
      </c>
      <c r="E1272" s="16" t="s">
        <v>11431</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x14ac:dyDescent="0.45">
      <c r="A1273" s="15" t="s">
        <v>8671</v>
      </c>
      <c r="B1273" s="16" t="s">
        <v>5</v>
      </c>
      <c r="C1273" s="17" t="s">
        <v>4386</v>
      </c>
      <c r="D1273" s="17" t="s">
        <v>4387</v>
      </c>
      <c r="E1273" s="16" t="s">
        <v>11431</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x14ac:dyDescent="0.45">
      <c r="A1274" s="15" t="s">
        <v>5327</v>
      </c>
      <c r="B1274" s="16" t="s">
        <v>5</v>
      </c>
      <c r="C1274" s="17" t="s">
        <v>4389</v>
      </c>
      <c r="D1274" s="17" t="s">
        <v>4390</v>
      </c>
      <c r="E1274" s="16" t="s">
        <v>11436</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45">
      <c r="A1275" s="15" t="s">
        <v>5366</v>
      </c>
      <c r="B1275" s="16" t="s">
        <v>5</v>
      </c>
      <c r="C1275" s="17" t="s">
        <v>4392</v>
      </c>
      <c r="D1275" s="17" t="s">
        <v>4393</v>
      </c>
      <c r="E1275" s="16" t="s">
        <v>11436</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45">
      <c r="A1276" s="15" t="s">
        <v>6308</v>
      </c>
      <c r="B1276" s="16" t="s">
        <v>5</v>
      </c>
      <c r="C1276" s="17" t="s">
        <v>4395</v>
      </c>
      <c r="D1276" s="17" t="s">
        <v>4396</v>
      </c>
      <c r="E1276" s="16" t="s">
        <v>11436</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45">
      <c r="A1277" s="15" t="s">
        <v>6364</v>
      </c>
      <c r="B1277" s="16" t="s">
        <v>5</v>
      </c>
      <c r="C1277" s="17" t="s">
        <v>4398</v>
      </c>
      <c r="D1277" s="17" t="s">
        <v>4399</v>
      </c>
      <c r="E1277" s="16" t="s">
        <v>11436</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45">
      <c r="A1278" s="15" t="s">
        <v>6367</v>
      </c>
      <c r="B1278" s="16" t="s">
        <v>5</v>
      </c>
      <c r="C1278" s="17" t="s">
        <v>4401</v>
      </c>
      <c r="D1278" s="17" t="s">
        <v>4402</v>
      </c>
      <c r="E1278" s="16" t="s">
        <v>11436</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45">
      <c r="A1279" s="15" t="s">
        <v>6376</v>
      </c>
      <c r="B1279" s="16" t="s">
        <v>5</v>
      </c>
      <c r="C1279" s="17" t="s">
        <v>4404</v>
      </c>
      <c r="D1279" s="17" t="s">
        <v>4405</v>
      </c>
      <c r="E1279" s="16" t="s">
        <v>11436</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45">
      <c r="A1280" s="15" t="s">
        <v>6469</v>
      </c>
      <c r="B1280" s="16" t="s">
        <v>5</v>
      </c>
      <c r="C1280" s="17" t="s">
        <v>4407</v>
      </c>
      <c r="D1280" s="17" t="s">
        <v>4408</v>
      </c>
      <c r="E1280" s="16" t="s">
        <v>11436</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45">
      <c r="A1281" s="15" t="s">
        <v>6472</v>
      </c>
      <c r="B1281" s="16" t="s">
        <v>5</v>
      </c>
      <c r="C1281" s="17" t="s">
        <v>4410</v>
      </c>
      <c r="D1281" s="17" t="s">
        <v>4411</v>
      </c>
      <c r="E1281" s="16" t="s">
        <v>11436</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45">
      <c r="A1282" s="15" t="s">
        <v>6784</v>
      </c>
      <c r="B1282" s="16" t="s">
        <v>5</v>
      </c>
      <c r="C1282" s="17" t="s">
        <v>4413</v>
      </c>
      <c r="D1282" s="17" t="s">
        <v>4414</v>
      </c>
      <c r="E1282" s="16" t="s">
        <v>11436</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45">
      <c r="A1283" s="15" t="s">
        <v>8479</v>
      </c>
      <c r="B1283" s="16" t="s">
        <v>5</v>
      </c>
      <c r="C1283" s="17" t="s">
        <v>4416</v>
      </c>
      <c r="D1283" s="17" t="s">
        <v>4417</v>
      </c>
      <c r="E1283" s="16" t="s">
        <v>11436</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45">
      <c r="A1284" s="15" t="s">
        <v>6637</v>
      </c>
      <c r="B1284" s="16" t="s">
        <v>5</v>
      </c>
      <c r="C1284" s="17" t="s">
        <v>4419</v>
      </c>
      <c r="D1284" s="17" t="s">
        <v>4420</v>
      </c>
      <c r="E1284" s="16" t="s">
        <v>11436</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45">
      <c r="A1285" s="15" t="s">
        <v>7135</v>
      </c>
      <c r="B1285" s="16" t="s">
        <v>5</v>
      </c>
      <c r="C1285" s="17" t="s">
        <v>4422</v>
      </c>
      <c r="D1285" s="17" t="s">
        <v>4423</v>
      </c>
      <c r="E1285" s="16" t="s">
        <v>11436</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45">
      <c r="A1286" s="15" t="s">
        <v>8446</v>
      </c>
      <c r="B1286" s="16" t="s">
        <v>5</v>
      </c>
      <c r="C1286" s="17" t="s">
        <v>4425</v>
      </c>
      <c r="D1286" s="17" t="s">
        <v>4426</v>
      </c>
      <c r="E1286" s="16" t="s">
        <v>11436</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45">
      <c r="A1287" s="15" t="s">
        <v>8461</v>
      </c>
      <c r="B1287" s="16" t="s">
        <v>5</v>
      </c>
      <c r="C1287" s="17" t="s">
        <v>4428</v>
      </c>
      <c r="D1287" s="17" t="s">
        <v>4429</v>
      </c>
      <c r="E1287" s="16" t="s">
        <v>11436</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45">
      <c r="A1288" s="15" t="s">
        <v>8287</v>
      </c>
      <c r="B1288" s="16" t="s">
        <v>5</v>
      </c>
      <c r="C1288" s="17" t="s">
        <v>4431</v>
      </c>
      <c r="D1288" s="17" t="s">
        <v>4432</v>
      </c>
      <c r="E1288" s="16" t="s">
        <v>11436</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45">
      <c r="A1289" s="15" t="s">
        <v>8629</v>
      </c>
      <c r="B1289" s="16" t="s">
        <v>5</v>
      </c>
      <c r="C1289" s="17" t="s">
        <v>4434</v>
      </c>
      <c r="D1289" s="17" t="s">
        <v>4435</v>
      </c>
      <c r="E1289" s="16" t="s">
        <v>11436</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45">
      <c r="A1290" s="15" t="s">
        <v>8587</v>
      </c>
      <c r="B1290" s="16" t="s">
        <v>5</v>
      </c>
      <c r="C1290" s="17" t="s">
        <v>4437</v>
      </c>
      <c r="D1290" s="17" t="s">
        <v>4438</v>
      </c>
      <c r="E1290" s="16" t="s">
        <v>11436</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45">
      <c r="A1291" s="15" t="s">
        <v>8695</v>
      </c>
      <c r="B1291" s="16" t="s">
        <v>5</v>
      </c>
      <c r="C1291" s="17" t="s">
        <v>4440</v>
      </c>
      <c r="D1291" s="17" t="s">
        <v>4441</v>
      </c>
      <c r="E1291" s="16" t="s">
        <v>11436</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45">
      <c r="A1292" s="15" t="s">
        <v>8788</v>
      </c>
      <c r="B1292" s="16" t="s">
        <v>5</v>
      </c>
      <c r="C1292" s="17" t="s">
        <v>4443</v>
      </c>
      <c r="D1292" s="17" t="s">
        <v>4444</v>
      </c>
      <c r="E1292" s="16" t="s">
        <v>11436</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45">
      <c r="A1293" s="15" t="s">
        <v>9031</v>
      </c>
      <c r="B1293" s="16" t="s">
        <v>5</v>
      </c>
      <c r="C1293" s="17" t="s">
        <v>4446</v>
      </c>
      <c r="D1293" s="17" t="s">
        <v>4447</v>
      </c>
      <c r="E1293" s="16" t="s">
        <v>11436</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45">
      <c r="A1294" s="15" t="s">
        <v>1942</v>
      </c>
      <c r="B1294" s="16" t="s">
        <v>5</v>
      </c>
      <c r="C1294" s="17" t="s">
        <v>4449</v>
      </c>
      <c r="D1294" s="17" t="s">
        <v>4450</v>
      </c>
      <c r="E1294" s="16" t="s">
        <v>11426</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45">
      <c r="A1295" s="15" t="s">
        <v>7318</v>
      </c>
      <c r="B1295" s="16" t="s">
        <v>5</v>
      </c>
      <c r="C1295" s="17" t="s">
        <v>4452</v>
      </c>
      <c r="D1295" s="17" t="s">
        <v>4453</v>
      </c>
      <c r="E1295" s="16" t="s">
        <v>11440</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45">
      <c r="A1296" s="15" t="s">
        <v>5888</v>
      </c>
      <c r="B1296" s="16" t="s">
        <v>5</v>
      </c>
      <c r="C1296" s="17" t="s">
        <v>4455</v>
      </c>
      <c r="D1296" s="17" t="s">
        <v>4456</v>
      </c>
      <c r="E1296" s="16" t="s">
        <v>11440</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45">
      <c r="A1297" s="15" t="s">
        <v>7546</v>
      </c>
      <c r="B1297" s="16" t="s">
        <v>5</v>
      </c>
      <c r="C1297" s="17" t="s">
        <v>4458</v>
      </c>
      <c r="D1297" s="17" t="s">
        <v>4459</v>
      </c>
      <c r="E1297" s="16" t="s">
        <v>11440</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45">
      <c r="A1298" s="15" t="s">
        <v>5999</v>
      </c>
      <c r="B1298" s="16" t="s">
        <v>5</v>
      </c>
      <c r="C1298" s="17" t="s">
        <v>4461</v>
      </c>
      <c r="D1298" s="17" t="s">
        <v>4462</v>
      </c>
      <c r="E1298" s="16" t="s">
        <v>11440</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45">
      <c r="A1299" s="15" t="s">
        <v>7123</v>
      </c>
      <c r="B1299" s="16" t="s">
        <v>5</v>
      </c>
      <c r="C1299" s="17" t="s">
        <v>4464</v>
      </c>
      <c r="D1299" s="17" t="s">
        <v>4465</v>
      </c>
      <c r="E1299" s="16" t="s">
        <v>11440</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45">
      <c r="A1300" s="15" t="s">
        <v>5876</v>
      </c>
      <c r="B1300" s="16" t="s">
        <v>5</v>
      </c>
      <c r="C1300" s="17" t="s">
        <v>4467</v>
      </c>
      <c r="D1300" s="17" t="s">
        <v>4468</v>
      </c>
      <c r="E1300" s="16" t="s">
        <v>11440</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45">
      <c r="A1301" s="15" t="s">
        <v>5933</v>
      </c>
      <c r="B1301" s="16" t="s">
        <v>5</v>
      </c>
      <c r="C1301" s="17" t="s">
        <v>4470</v>
      </c>
      <c r="D1301" s="17" t="s">
        <v>4471</v>
      </c>
      <c r="E1301" s="16" t="s">
        <v>11440</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45">
      <c r="A1302" s="15" t="s">
        <v>7213</v>
      </c>
      <c r="B1302" s="16" t="s">
        <v>5</v>
      </c>
      <c r="C1302" s="17" t="s">
        <v>4473</v>
      </c>
      <c r="D1302" s="17" t="s">
        <v>4474</v>
      </c>
      <c r="E1302" s="16" t="s">
        <v>11440</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45">
      <c r="A1303" s="15" t="s">
        <v>6299</v>
      </c>
      <c r="B1303" s="16" t="s">
        <v>5</v>
      </c>
      <c r="C1303" s="17" t="s">
        <v>4476</v>
      </c>
      <c r="D1303" s="17" t="s">
        <v>4477</v>
      </c>
      <c r="E1303" s="16" t="s">
        <v>11440</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45">
      <c r="A1304" s="15" t="s">
        <v>7141</v>
      </c>
      <c r="B1304" s="16" t="s">
        <v>5</v>
      </c>
      <c r="C1304" s="17" t="s">
        <v>4479</v>
      </c>
      <c r="D1304" s="17" t="s">
        <v>4480</v>
      </c>
      <c r="E1304" s="16" t="s">
        <v>11440</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45">
      <c r="A1305" s="15" t="s">
        <v>5903</v>
      </c>
      <c r="B1305" s="16" t="s">
        <v>5</v>
      </c>
      <c r="C1305" s="17" t="s">
        <v>4482</v>
      </c>
      <c r="D1305" s="17" t="s">
        <v>4483</v>
      </c>
      <c r="E1305" s="16" t="s">
        <v>11440</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45">
      <c r="A1306" s="15" t="s">
        <v>7906</v>
      </c>
      <c r="B1306" s="16" t="s">
        <v>5</v>
      </c>
      <c r="C1306" s="17" t="s">
        <v>4485</v>
      </c>
      <c r="D1306" s="17" t="s">
        <v>4486</v>
      </c>
      <c r="E1306" s="16" t="s">
        <v>11440</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45">
      <c r="A1307" s="15" t="s">
        <v>5900</v>
      </c>
      <c r="B1307" s="16" t="s">
        <v>5</v>
      </c>
      <c r="C1307" s="17" t="s">
        <v>4488</v>
      </c>
      <c r="D1307" s="17" t="s">
        <v>4489</v>
      </c>
      <c r="E1307" s="16" t="s">
        <v>11440</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45">
      <c r="A1308" s="15" t="s">
        <v>7978</v>
      </c>
      <c r="B1308" s="16" t="s">
        <v>5</v>
      </c>
      <c r="C1308" s="17" t="s">
        <v>4491</v>
      </c>
      <c r="D1308" s="17" t="s">
        <v>4492</v>
      </c>
      <c r="E1308" s="16" t="s">
        <v>11440</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45">
      <c r="A1309" s="15" t="s">
        <v>6113</v>
      </c>
      <c r="B1309" s="16" t="s">
        <v>5</v>
      </c>
      <c r="C1309" s="17" t="s">
        <v>4494</v>
      </c>
      <c r="D1309" s="17" t="s">
        <v>4495</v>
      </c>
      <c r="E1309" s="15" t="s">
        <v>11440</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45">
      <c r="A1310" s="15" t="s">
        <v>6002</v>
      </c>
      <c r="B1310" s="16" t="s">
        <v>5</v>
      </c>
      <c r="C1310" s="17" t="s">
        <v>4497</v>
      </c>
      <c r="D1310" s="17" t="s">
        <v>4498</v>
      </c>
      <c r="E1310" s="16" t="s">
        <v>11440</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45">
      <c r="A1311" s="15" t="s">
        <v>6155</v>
      </c>
      <c r="B1311" s="16" t="s">
        <v>5</v>
      </c>
      <c r="C1311" s="17" t="s">
        <v>4500</v>
      </c>
      <c r="D1311" s="17" t="s">
        <v>4501</v>
      </c>
      <c r="E1311" s="16" t="s">
        <v>11440</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45">
      <c r="A1312" s="15" t="s">
        <v>11334</v>
      </c>
      <c r="B1312" s="16" t="s">
        <v>5</v>
      </c>
      <c r="C1312" s="17" t="s">
        <v>4503</v>
      </c>
      <c r="D1312" s="17" t="s">
        <v>4504</v>
      </c>
      <c r="E1312" s="16" t="s">
        <v>11440</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45">
      <c r="A1313" s="15" t="s">
        <v>6436</v>
      </c>
      <c r="B1313" s="16" t="s">
        <v>5</v>
      </c>
      <c r="C1313" s="17" t="s">
        <v>4506</v>
      </c>
      <c r="D1313" s="17" t="s">
        <v>4507</v>
      </c>
      <c r="E1313" s="16" t="s">
        <v>11440</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45">
      <c r="A1314" s="15" t="s">
        <v>8182</v>
      </c>
      <c r="B1314" s="16" t="s">
        <v>5</v>
      </c>
      <c r="C1314" s="17" t="s">
        <v>4509</v>
      </c>
      <c r="D1314" s="17" t="s">
        <v>4510</v>
      </c>
      <c r="E1314" s="16" t="s">
        <v>11440</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45">
      <c r="A1315" s="15" t="s">
        <v>8116</v>
      </c>
      <c r="B1315" s="16" t="s">
        <v>5</v>
      </c>
      <c r="C1315" s="17" t="s">
        <v>4512</v>
      </c>
      <c r="D1315" s="17" t="s">
        <v>4513</v>
      </c>
      <c r="E1315" s="16" t="s">
        <v>11440</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45">
      <c r="A1316" s="15" t="s">
        <v>8380</v>
      </c>
      <c r="B1316" s="16" t="s">
        <v>5</v>
      </c>
      <c r="C1316" s="17" t="s">
        <v>4515</v>
      </c>
      <c r="D1316" s="17" t="s">
        <v>4516</v>
      </c>
      <c r="E1316" s="16" t="s">
        <v>11440</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45">
      <c r="A1317" s="15" t="s">
        <v>8410</v>
      </c>
      <c r="B1317" s="16" t="s">
        <v>5</v>
      </c>
      <c r="C1317" s="17" t="s">
        <v>4518</v>
      </c>
      <c r="D1317" s="17" t="s">
        <v>4519</v>
      </c>
      <c r="E1317" s="16" t="s">
        <v>11440</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45">
      <c r="A1318" s="15" t="s">
        <v>9001</v>
      </c>
      <c r="B1318" s="16" t="s">
        <v>5</v>
      </c>
      <c r="C1318" s="17" t="s">
        <v>4521</v>
      </c>
      <c r="D1318" s="17" t="s">
        <v>4522</v>
      </c>
      <c r="E1318" s="16" t="s">
        <v>11440</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45">
      <c r="A1319" s="15" t="s">
        <v>8938</v>
      </c>
      <c r="B1319" s="16" t="s">
        <v>5</v>
      </c>
      <c r="C1319" s="17" t="s">
        <v>4524</v>
      </c>
      <c r="D1319" s="17" t="s">
        <v>4525</v>
      </c>
      <c r="E1319" s="16" t="s">
        <v>11440</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45">
      <c r="A1320" s="15" t="s">
        <v>5795</v>
      </c>
      <c r="B1320" s="16" t="s">
        <v>5</v>
      </c>
      <c r="C1320" s="17" t="s">
        <v>4527</v>
      </c>
      <c r="D1320" s="17" t="s">
        <v>4528</v>
      </c>
      <c r="E1320" s="16" t="s">
        <v>11417</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45">
      <c r="A1321" s="15" t="s">
        <v>5777</v>
      </c>
      <c r="B1321" s="16" t="s">
        <v>5</v>
      </c>
      <c r="C1321" s="17" t="s">
        <v>4530</v>
      </c>
      <c r="D1321" s="17" t="s">
        <v>4531</v>
      </c>
      <c r="E1321" s="16" t="s">
        <v>11417</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45">
      <c r="A1322" s="15" t="s">
        <v>5885</v>
      </c>
      <c r="B1322" s="16" t="s">
        <v>5</v>
      </c>
      <c r="C1322" s="17" t="s">
        <v>4533</v>
      </c>
      <c r="D1322" s="17" t="s">
        <v>4534</v>
      </c>
      <c r="E1322" s="16" t="s">
        <v>11417</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45">
      <c r="A1323" s="15" t="s">
        <v>5843</v>
      </c>
      <c r="B1323" s="16" t="s">
        <v>5</v>
      </c>
      <c r="C1323" s="17" t="s">
        <v>4536</v>
      </c>
      <c r="D1323" s="17" t="s">
        <v>4537</v>
      </c>
      <c r="E1323" s="16" t="s">
        <v>11417</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45">
      <c r="A1324" s="15" t="s">
        <v>5921</v>
      </c>
      <c r="B1324" s="16" t="s">
        <v>5</v>
      </c>
      <c r="C1324" s="17" t="s">
        <v>4539</v>
      </c>
      <c r="D1324" s="17" t="s">
        <v>4540</v>
      </c>
      <c r="E1324" s="16" t="s">
        <v>11417</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45">
      <c r="A1325" s="15" t="s">
        <v>6149</v>
      </c>
      <c r="B1325" s="16" t="s">
        <v>5</v>
      </c>
      <c r="C1325" s="17" t="s">
        <v>4542</v>
      </c>
      <c r="D1325" s="17" t="s">
        <v>4543</v>
      </c>
      <c r="E1325" s="16" t="s">
        <v>11417</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45">
      <c r="A1326" s="15" t="s">
        <v>7108</v>
      </c>
      <c r="B1326" s="16" t="s">
        <v>5</v>
      </c>
      <c r="C1326" s="17" t="s">
        <v>4545</v>
      </c>
      <c r="D1326" s="17" t="s">
        <v>4546</v>
      </c>
      <c r="E1326" s="16" t="s">
        <v>11417</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45">
      <c r="A1327" s="15" t="s">
        <v>5990</v>
      </c>
      <c r="B1327" s="16" t="s">
        <v>5</v>
      </c>
      <c r="C1327" s="17" t="s">
        <v>4548</v>
      </c>
      <c r="D1327" s="17" t="s">
        <v>4549</v>
      </c>
      <c r="E1327" s="16" t="s">
        <v>11417</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45">
      <c r="A1328" s="15" t="s">
        <v>8293</v>
      </c>
      <c r="B1328" s="16" t="s">
        <v>5</v>
      </c>
      <c r="C1328" s="17" t="s">
        <v>4551</v>
      </c>
      <c r="D1328" s="17" t="s">
        <v>4552</v>
      </c>
      <c r="E1328" s="16" t="s">
        <v>11417</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45">
      <c r="A1329" s="15" t="s">
        <v>8647</v>
      </c>
      <c r="B1329" s="16" t="s">
        <v>5</v>
      </c>
      <c r="C1329" s="17" t="s">
        <v>4554</v>
      </c>
      <c r="D1329" s="17" t="s">
        <v>4555</v>
      </c>
      <c r="E1329" s="16" t="s">
        <v>11417</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45">
      <c r="A1330" s="15" t="s">
        <v>8674</v>
      </c>
      <c r="B1330" s="16" t="s">
        <v>5</v>
      </c>
      <c r="C1330" s="17" t="s">
        <v>4557</v>
      </c>
      <c r="D1330" s="17" t="s">
        <v>4558</v>
      </c>
      <c r="E1330" s="16" t="s">
        <v>11417</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45">
      <c r="A1331" s="15" t="s">
        <v>8707</v>
      </c>
      <c r="B1331" s="16" t="s">
        <v>5</v>
      </c>
      <c r="C1331" s="17" t="s">
        <v>4560</v>
      </c>
      <c r="D1331" s="17" t="s">
        <v>4561</v>
      </c>
      <c r="E1331" s="16" t="s">
        <v>11417</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45">
      <c r="A1332" s="15" t="s">
        <v>8659</v>
      </c>
      <c r="B1332" s="16" t="s">
        <v>5</v>
      </c>
      <c r="C1332" s="17" t="s">
        <v>4563</v>
      </c>
      <c r="D1332" s="17" t="s">
        <v>4564</v>
      </c>
      <c r="E1332" s="16" t="s">
        <v>11417</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45">
      <c r="A1333" s="15" t="s">
        <v>6296</v>
      </c>
      <c r="B1333" s="16" t="s">
        <v>5</v>
      </c>
      <c r="C1333" s="17" t="s">
        <v>4566</v>
      </c>
      <c r="D1333" s="17" t="s">
        <v>4567</v>
      </c>
      <c r="E1333" s="16" t="s">
        <v>11430</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45">
      <c r="A1334" s="15" t="s">
        <v>6170</v>
      </c>
      <c r="B1334" s="16" t="s">
        <v>5</v>
      </c>
      <c r="C1334" s="17" t="s">
        <v>4569</v>
      </c>
      <c r="D1334" s="17" t="s">
        <v>4570</v>
      </c>
      <c r="E1334" s="16" t="s">
        <v>11430</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45">
      <c r="A1335" s="15" t="s">
        <v>6047</v>
      </c>
      <c r="B1335" s="16" t="s">
        <v>5</v>
      </c>
      <c r="C1335" s="17" t="s">
        <v>4572</v>
      </c>
      <c r="D1335" s="17" t="s">
        <v>4573</v>
      </c>
      <c r="E1335" s="16" t="s">
        <v>11430</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45">
      <c r="A1336" s="15" t="s">
        <v>6952</v>
      </c>
      <c r="B1336" s="16" t="s">
        <v>5</v>
      </c>
      <c r="C1336" s="17" t="s">
        <v>4575</v>
      </c>
      <c r="D1336" s="17" t="s">
        <v>4576</v>
      </c>
      <c r="E1336" s="16" t="s">
        <v>11430</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45">
      <c r="A1337" s="15" t="s">
        <v>6269</v>
      </c>
      <c r="B1337" s="16" t="s">
        <v>5</v>
      </c>
      <c r="C1337" s="17" t="s">
        <v>4578</v>
      </c>
      <c r="D1337" s="17" t="s">
        <v>4579</v>
      </c>
      <c r="E1337" s="16" t="s">
        <v>11430</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45">
      <c r="A1338" s="15" t="s">
        <v>6167</v>
      </c>
      <c r="B1338" s="16" t="s">
        <v>5</v>
      </c>
      <c r="C1338" s="17" t="s">
        <v>4581</v>
      </c>
      <c r="D1338" s="17" t="s">
        <v>4582</v>
      </c>
      <c r="E1338" s="16" t="s">
        <v>11430</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45">
      <c r="A1339" s="15" t="s">
        <v>8347</v>
      </c>
      <c r="B1339" s="16" t="s">
        <v>5</v>
      </c>
      <c r="C1339" s="17" t="s">
        <v>4584</v>
      </c>
      <c r="D1339" s="17" t="s">
        <v>4585</v>
      </c>
      <c r="E1339" s="16" t="s">
        <v>11430</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45">
      <c r="A1340" s="15" t="s">
        <v>8374</v>
      </c>
      <c r="B1340" s="16" t="s">
        <v>5</v>
      </c>
      <c r="C1340" s="17" t="s">
        <v>4587</v>
      </c>
      <c r="D1340" s="17" t="s">
        <v>4588</v>
      </c>
      <c r="E1340" s="16" t="s">
        <v>11430</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45">
      <c r="A1341" s="15" t="s">
        <v>8506</v>
      </c>
      <c r="B1341" s="16" t="s">
        <v>5</v>
      </c>
      <c r="C1341" s="17" t="s">
        <v>4590</v>
      </c>
      <c r="D1341" s="17" t="s">
        <v>4591</v>
      </c>
      <c r="E1341" s="16" t="s">
        <v>11430</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45">
      <c r="A1342" s="15" t="s">
        <v>8632</v>
      </c>
      <c r="B1342" s="16" t="s">
        <v>5</v>
      </c>
      <c r="C1342" s="17" t="s">
        <v>4593</v>
      </c>
      <c r="D1342" s="17" t="s">
        <v>4594</v>
      </c>
      <c r="E1342" s="16" t="s">
        <v>11430</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45">
      <c r="A1343" s="15" t="s">
        <v>8725</v>
      </c>
      <c r="B1343" s="16" t="s">
        <v>5</v>
      </c>
      <c r="C1343" s="17" t="s">
        <v>4596</v>
      </c>
      <c r="D1343" s="17" t="s">
        <v>4597</v>
      </c>
      <c r="E1343" s="16" t="s">
        <v>11430</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45">
      <c r="A1344" s="15" t="s">
        <v>8599</v>
      </c>
      <c r="B1344" s="16" t="s">
        <v>5</v>
      </c>
      <c r="C1344" s="17" t="s">
        <v>4599</v>
      </c>
      <c r="D1344" s="17" t="s">
        <v>4600</v>
      </c>
      <c r="E1344" s="16" t="s">
        <v>11430</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45">
      <c r="A1345" s="15" t="s">
        <v>8746</v>
      </c>
      <c r="B1345" s="16" t="s">
        <v>5</v>
      </c>
      <c r="C1345" s="17" t="s">
        <v>4602</v>
      </c>
      <c r="D1345" s="17" t="s">
        <v>4603</v>
      </c>
      <c r="E1345" s="16" t="s">
        <v>11430</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45">
      <c r="A1346" s="15" t="s">
        <v>8851</v>
      </c>
      <c r="B1346" s="16" t="s">
        <v>5</v>
      </c>
      <c r="C1346" s="17" t="s">
        <v>4605</v>
      </c>
      <c r="D1346" s="17" t="s">
        <v>4606</v>
      </c>
      <c r="E1346" s="16" t="s">
        <v>11430</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45">
      <c r="A1347" s="15" t="s">
        <v>8896</v>
      </c>
      <c r="B1347" s="16" t="s">
        <v>5</v>
      </c>
      <c r="C1347" s="17" t="s">
        <v>4608</v>
      </c>
      <c r="D1347" s="17" t="s">
        <v>4609</v>
      </c>
      <c r="E1347" s="16" t="s">
        <v>11430</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45">
      <c r="A1348" s="15" t="s">
        <v>8860</v>
      </c>
      <c r="B1348" s="16" t="s">
        <v>5</v>
      </c>
      <c r="C1348" s="17" t="s">
        <v>4611</v>
      </c>
      <c r="D1348" s="17" t="s">
        <v>4612</v>
      </c>
      <c r="E1348" s="16" t="s">
        <v>11430</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45">
      <c r="A1349" s="15" t="s">
        <v>4529</v>
      </c>
      <c r="B1349" s="16" t="s">
        <v>5</v>
      </c>
      <c r="C1349" s="17" t="s">
        <v>4614</v>
      </c>
      <c r="D1349" s="17" t="s">
        <v>4615</v>
      </c>
      <c r="E1349" s="16" t="s">
        <v>11421</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45">
      <c r="A1350" s="15" t="s">
        <v>4562</v>
      </c>
      <c r="B1350" s="16" t="s">
        <v>5</v>
      </c>
      <c r="C1350" s="17" t="s">
        <v>4617</v>
      </c>
      <c r="D1350" s="17" t="s">
        <v>4618</v>
      </c>
      <c r="E1350" s="16" t="s">
        <v>11421</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45">
      <c r="A1351" s="15" t="s">
        <v>4643</v>
      </c>
      <c r="B1351" s="16" t="s">
        <v>5</v>
      </c>
      <c r="C1351" s="17" t="s">
        <v>4620</v>
      </c>
      <c r="D1351" s="17" t="s">
        <v>4621</v>
      </c>
      <c r="E1351" s="16" t="s">
        <v>11421</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45">
      <c r="A1352" s="15" t="s">
        <v>4679</v>
      </c>
      <c r="B1352" s="16" t="s">
        <v>5</v>
      </c>
      <c r="C1352" s="17" t="s">
        <v>4623</v>
      </c>
      <c r="D1352" s="17" t="s">
        <v>4624</v>
      </c>
      <c r="E1352" s="16" t="s">
        <v>11421</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45">
      <c r="A1353" s="15" t="s">
        <v>4721</v>
      </c>
      <c r="B1353" s="16" t="s">
        <v>5</v>
      </c>
      <c r="C1353" s="17" t="s">
        <v>4626</v>
      </c>
      <c r="D1353" s="17" t="s">
        <v>4627</v>
      </c>
      <c r="E1353" s="16" t="s">
        <v>11421</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45">
      <c r="A1354" s="15" t="s">
        <v>4778</v>
      </c>
      <c r="B1354" s="16" t="s">
        <v>5</v>
      </c>
      <c r="C1354" s="17" t="s">
        <v>4629</v>
      </c>
      <c r="D1354" s="17" t="s">
        <v>4630</v>
      </c>
      <c r="E1354" s="16" t="s">
        <v>11421</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45">
      <c r="A1355" s="15" t="s">
        <v>5009</v>
      </c>
      <c r="B1355" s="16" t="s">
        <v>5</v>
      </c>
      <c r="C1355" s="17" t="s">
        <v>4632</v>
      </c>
      <c r="D1355" s="17" t="s">
        <v>4633</v>
      </c>
      <c r="E1355" s="16" t="s">
        <v>11421</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45">
      <c r="A1356" s="15" t="s">
        <v>7024</v>
      </c>
      <c r="B1356" s="16" t="s">
        <v>5</v>
      </c>
      <c r="C1356" s="17" t="s">
        <v>4635</v>
      </c>
      <c r="D1356" s="17" t="s">
        <v>4636</v>
      </c>
      <c r="E1356" s="16" t="s">
        <v>11421</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45">
      <c r="A1357" s="15" t="s">
        <v>7093</v>
      </c>
      <c r="B1357" s="16" t="s">
        <v>5</v>
      </c>
      <c r="C1357" s="17" t="s">
        <v>4638</v>
      </c>
      <c r="D1357" s="17" t="s">
        <v>4639</v>
      </c>
      <c r="E1357" s="16" t="s">
        <v>11421</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45">
      <c r="A1358" s="15" t="s">
        <v>6808</v>
      </c>
      <c r="B1358" s="16" t="s">
        <v>5</v>
      </c>
      <c r="C1358" s="17" t="s">
        <v>4641</v>
      </c>
      <c r="D1358" s="17" t="s">
        <v>4642</v>
      </c>
      <c r="E1358" s="16" t="s">
        <v>11421</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45">
      <c r="A1359" s="15" t="s">
        <v>7672</v>
      </c>
      <c r="B1359" s="16" t="s">
        <v>5</v>
      </c>
      <c r="C1359" s="17" t="s">
        <v>4644</v>
      </c>
      <c r="D1359" s="17" t="s">
        <v>4645</v>
      </c>
      <c r="E1359" s="16" t="s">
        <v>11421</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45">
      <c r="A1360" s="15" t="s">
        <v>5120</v>
      </c>
      <c r="B1360" s="16" t="s">
        <v>5</v>
      </c>
      <c r="C1360" s="17" t="s">
        <v>4647</v>
      </c>
      <c r="D1360" s="17" t="s">
        <v>4648</v>
      </c>
      <c r="E1360" s="16" t="s">
        <v>11421</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45">
      <c r="A1361" s="15" t="s">
        <v>7270</v>
      </c>
      <c r="B1361" s="16" t="s">
        <v>5</v>
      </c>
      <c r="C1361" s="17" t="s">
        <v>4650</v>
      </c>
      <c r="D1361" s="17" t="s">
        <v>4651</v>
      </c>
      <c r="E1361" s="16" t="s">
        <v>11421</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45">
      <c r="A1362" s="15" t="s">
        <v>7540</v>
      </c>
      <c r="B1362" s="16" t="s">
        <v>5</v>
      </c>
      <c r="C1362" s="17" t="s">
        <v>4653</v>
      </c>
      <c r="D1362" s="17" t="s">
        <v>4654</v>
      </c>
      <c r="E1362" s="16" t="s">
        <v>11421</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45">
      <c r="A1363" s="15" t="s">
        <v>7543</v>
      </c>
      <c r="B1363" s="16" t="s">
        <v>5</v>
      </c>
      <c r="C1363" s="17" t="s">
        <v>4656</v>
      </c>
      <c r="D1363" s="17" t="s">
        <v>4657</v>
      </c>
      <c r="E1363" s="16" t="s">
        <v>11421</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45">
      <c r="A1364" s="15" t="s">
        <v>7630</v>
      </c>
      <c r="B1364" s="16" t="s">
        <v>5</v>
      </c>
      <c r="C1364" s="17" t="s">
        <v>4659</v>
      </c>
      <c r="D1364" s="17" t="s">
        <v>4660</v>
      </c>
      <c r="E1364" s="16" t="s">
        <v>11421</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45">
      <c r="A1365" s="15" t="s">
        <v>7792</v>
      </c>
      <c r="B1365" s="16" t="s">
        <v>5</v>
      </c>
      <c r="C1365" s="17" t="s">
        <v>4662</v>
      </c>
      <c r="D1365" s="17" t="s">
        <v>4663</v>
      </c>
      <c r="E1365" s="16" t="s">
        <v>11421</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45">
      <c r="A1366" s="15" t="s">
        <v>11335</v>
      </c>
      <c r="B1366" s="16" t="s">
        <v>5</v>
      </c>
      <c r="C1366" s="17" t="s">
        <v>4665</v>
      </c>
      <c r="D1366" s="17" t="s">
        <v>4666</v>
      </c>
      <c r="E1366" s="16" t="s">
        <v>11421</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45">
      <c r="A1367" s="15" t="s">
        <v>4817</v>
      </c>
      <c r="B1367" s="16" t="s">
        <v>5</v>
      </c>
      <c r="C1367" s="17" t="s">
        <v>4668</v>
      </c>
      <c r="D1367" s="17" t="s">
        <v>4669</v>
      </c>
      <c r="E1367" s="16" t="s">
        <v>11421</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45">
      <c r="A1368" s="15" t="s">
        <v>6421</v>
      </c>
      <c r="B1368" s="16" t="s">
        <v>5</v>
      </c>
      <c r="C1368" s="17" t="s">
        <v>4671</v>
      </c>
      <c r="D1368" s="17" t="s">
        <v>4672</v>
      </c>
      <c r="E1368" s="16" t="s">
        <v>11421</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45">
      <c r="A1369" s="15" t="s">
        <v>7369</v>
      </c>
      <c r="B1369" s="16" t="s">
        <v>5</v>
      </c>
      <c r="C1369" s="17" t="s">
        <v>4674</v>
      </c>
      <c r="D1369" s="17" t="s">
        <v>4675</v>
      </c>
      <c r="E1369" s="16" t="s">
        <v>11421</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45">
      <c r="A1370" s="15" t="s">
        <v>7372</v>
      </c>
      <c r="B1370" s="16" t="s">
        <v>5</v>
      </c>
      <c r="C1370" s="17" t="s">
        <v>4677</v>
      </c>
      <c r="D1370" s="17" t="s">
        <v>4678</v>
      </c>
      <c r="E1370" s="16" t="s">
        <v>11421</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45">
      <c r="A1371" s="15" t="s">
        <v>5165</v>
      </c>
      <c r="B1371" s="16" t="s">
        <v>5</v>
      </c>
      <c r="C1371" s="17" t="s">
        <v>4680</v>
      </c>
      <c r="D1371" s="17" t="s">
        <v>4681</v>
      </c>
      <c r="E1371" s="16" t="s">
        <v>11421</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45">
      <c r="A1372" s="15" t="s">
        <v>7228</v>
      </c>
      <c r="B1372" s="16" t="s">
        <v>5</v>
      </c>
      <c r="C1372" s="17" t="s">
        <v>4683</v>
      </c>
      <c r="D1372" s="17" t="s">
        <v>4684</v>
      </c>
      <c r="E1372" s="16" t="s">
        <v>11421</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45">
      <c r="A1373" s="15" t="s">
        <v>8185</v>
      </c>
      <c r="B1373" s="16" t="s">
        <v>5</v>
      </c>
      <c r="C1373" s="17" t="s">
        <v>4686</v>
      </c>
      <c r="D1373" s="17" t="s">
        <v>4687</v>
      </c>
      <c r="E1373" s="16" t="s">
        <v>11421</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45">
      <c r="A1374" s="15" t="s">
        <v>7810</v>
      </c>
      <c r="B1374" s="16" t="s">
        <v>5</v>
      </c>
      <c r="C1374" s="17" t="s">
        <v>4689</v>
      </c>
      <c r="D1374" s="17" t="s">
        <v>4690</v>
      </c>
      <c r="E1374" s="16" t="s">
        <v>11421</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45">
      <c r="A1375" s="15" t="s">
        <v>8026</v>
      </c>
      <c r="B1375" s="16" t="s">
        <v>5</v>
      </c>
      <c r="C1375" s="17" t="s">
        <v>4692</v>
      </c>
      <c r="D1375" s="17" t="s">
        <v>4693</v>
      </c>
      <c r="E1375" s="16" t="s">
        <v>11421</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45">
      <c r="A1376" s="15" t="s">
        <v>8734</v>
      </c>
      <c r="B1376" s="16" t="s">
        <v>5</v>
      </c>
      <c r="C1376" s="17" t="s">
        <v>4695</v>
      </c>
      <c r="D1376" s="17" t="s">
        <v>4696</v>
      </c>
      <c r="E1376" s="16" t="s">
        <v>11421</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45">
      <c r="A1377" s="15" t="s">
        <v>8737</v>
      </c>
      <c r="B1377" s="16" t="s">
        <v>5</v>
      </c>
      <c r="C1377" s="17" t="s">
        <v>4698</v>
      </c>
      <c r="D1377" s="17" t="s">
        <v>4699</v>
      </c>
      <c r="E1377" s="16" t="s">
        <v>11421</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45">
      <c r="A1378" s="15" t="s">
        <v>8845</v>
      </c>
      <c r="B1378" s="16" t="s">
        <v>5</v>
      </c>
      <c r="C1378" s="17" t="s">
        <v>4701</v>
      </c>
      <c r="D1378" s="17" t="s">
        <v>4702</v>
      </c>
      <c r="E1378" s="16" t="s">
        <v>11421</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45">
      <c r="A1379" s="15" t="s">
        <v>7327</v>
      </c>
      <c r="B1379" s="16" t="s">
        <v>5</v>
      </c>
      <c r="C1379" s="17" t="s">
        <v>4704</v>
      </c>
      <c r="D1379" s="17" t="s">
        <v>4705</v>
      </c>
      <c r="E1379" s="16" t="s">
        <v>11436</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45">
      <c r="A1380" s="15" t="s">
        <v>8593</v>
      </c>
      <c r="B1380" s="16" t="s">
        <v>5</v>
      </c>
      <c r="C1380" s="17" t="s">
        <v>4707</v>
      </c>
      <c r="D1380" s="17" t="s">
        <v>4708</v>
      </c>
      <c r="E1380" s="16" t="s">
        <v>11436</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45">
      <c r="A1381" s="15" t="s">
        <v>8908</v>
      </c>
      <c r="B1381" s="16" t="s">
        <v>5</v>
      </c>
      <c r="C1381" s="17" t="s">
        <v>4710</v>
      </c>
      <c r="D1381" s="17" t="s">
        <v>4711</v>
      </c>
      <c r="E1381" s="16" t="s">
        <v>11431</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x14ac:dyDescent="0.45">
      <c r="A1382" s="15" t="s">
        <v>9067</v>
      </c>
      <c r="B1382" s="16" t="s">
        <v>5</v>
      </c>
      <c r="C1382" s="17" t="s">
        <v>4713</v>
      </c>
      <c r="D1382" s="17" t="s">
        <v>4714</v>
      </c>
      <c r="E1382" s="16" t="s">
        <v>11440</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45">
      <c r="A1383" s="15" t="s">
        <v>8926</v>
      </c>
      <c r="B1383" s="16" t="s">
        <v>5</v>
      </c>
      <c r="C1383" s="17" t="s">
        <v>4716</v>
      </c>
      <c r="D1383" s="17" t="s">
        <v>4717</v>
      </c>
      <c r="E1383" s="16" t="s">
        <v>11431</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x14ac:dyDescent="0.45">
      <c r="A1384" s="15" t="s">
        <v>9070</v>
      </c>
      <c r="B1384" s="16" t="s">
        <v>5</v>
      </c>
      <c r="C1384" s="17" t="s">
        <v>4719</v>
      </c>
      <c r="D1384" s="17" t="s">
        <v>4720</v>
      </c>
      <c r="E1384" s="16" t="s">
        <v>11436</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45">
      <c r="A1385" s="15" t="s">
        <v>9109</v>
      </c>
      <c r="B1385" s="16" t="s">
        <v>5</v>
      </c>
      <c r="C1385" s="17" t="s">
        <v>4722</v>
      </c>
      <c r="D1385" s="17" t="s">
        <v>4723</v>
      </c>
      <c r="E1385" s="16" t="s">
        <v>11436</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45">
      <c r="A1386" s="15" t="s">
        <v>9052</v>
      </c>
      <c r="B1386" s="16" t="s">
        <v>5</v>
      </c>
      <c r="C1386" s="17" t="s">
        <v>4725</v>
      </c>
      <c r="D1386" s="17" t="s">
        <v>4726</v>
      </c>
      <c r="E1386" s="16" t="s">
        <v>11436</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45">
      <c r="A1387" s="15" t="s">
        <v>9160</v>
      </c>
      <c r="B1387" s="16" t="s">
        <v>5</v>
      </c>
      <c r="C1387" s="17" t="s">
        <v>4728</v>
      </c>
      <c r="D1387" s="17" t="s">
        <v>4729</v>
      </c>
      <c r="E1387" s="16" t="s">
        <v>11421</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45">
      <c r="A1388" s="15" t="s">
        <v>9073</v>
      </c>
      <c r="B1388" s="16" t="s">
        <v>5</v>
      </c>
      <c r="C1388" s="17" t="s">
        <v>4731</v>
      </c>
      <c r="D1388" s="17" t="s">
        <v>4732</v>
      </c>
      <c r="E1388" s="16" t="s">
        <v>11430</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45">
      <c r="A1389" s="15" t="s">
        <v>9118</v>
      </c>
      <c r="B1389" s="16" t="s">
        <v>5</v>
      </c>
      <c r="C1389" s="17" t="s">
        <v>4734</v>
      </c>
      <c r="D1389" s="17" t="s">
        <v>4735</v>
      </c>
      <c r="E1389" s="16" t="s">
        <v>11440</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45">
      <c r="A1390" s="15" t="s">
        <v>9145</v>
      </c>
      <c r="B1390" s="16" t="s">
        <v>5</v>
      </c>
      <c r="C1390" s="17" t="s">
        <v>4737</v>
      </c>
      <c r="D1390" s="17" t="s">
        <v>4738</v>
      </c>
      <c r="E1390" s="16" t="s">
        <v>11421</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45">
      <c r="A1391" s="15" t="s">
        <v>9115</v>
      </c>
      <c r="B1391" s="16" t="s">
        <v>5</v>
      </c>
      <c r="C1391" s="17" t="s">
        <v>4740</v>
      </c>
      <c r="D1391" s="17" t="s">
        <v>4741</v>
      </c>
      <c r="E1391" s="16" t="s">
        <v>11436</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45">
      <c r="A1392" s="15" t="s">
        <v>9175</v>
      </c>
      <c r="B1392" s="16" t="s">
        <v>5</v>
      </c>
      <c r="C1392" s="17" t="s">
        <v>4743</v>
      </c>
      <c r="D1392" s="17" t="s">
        <v>4744</v>
      </c>
      <c r="E1392" s="16" t="s">
        <v>11421</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45">
      <c r="A1393" s="15" t="s">
        <v>9130</v>
      </c>
      <c r="B1393" s="16" t="s">
        <v>5</v>
      </c>
      <c r="C1393" s="17" t="s">
        <v>4746</v>
      </c>
      <c r="D1393" s="17" t="s">
        <v>4747</v>
      </c>
      <c r="E1393" s="16" t="s">
        <v>11426</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45">
      <c r="A1394" s="15" t="s">
        <v>9205</v>
      </c>
      <c r="B1394" s="16" t="s">
        <v>5</v>
      </c>
      <c r="C1394" s="17" t="s">
        <v>4749</v>
      </c>
      <c r="D1394" s="17" t="s">
        <v>4750</v>
      </c>
      <c r="E1394" s="16" t="s">
        <v>11440</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45">
      <c r="A1395" s="15" t="s">
        <v>9226</v>
      </c>
      <c r="B1395" s="16" t="s">
        <v>5</v>
      </c>
      <c r="C1395" s="17" t="s">
        <v>4752</v>
      </c>
      <c r="D1395" s="17" t="s">
        <v>4753</v>
      </c>
      <c r="E1395" s="16" t="s">
        <v>11440</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45">
      <c r="A1396" s="15" t="s">
        <v>9247</v>
      </c>
      <c r="B1396" s="16" t="s">
        <v>5</v>
      </c>
      <c r="C1396" s="17" t="s">
        <v>4755</v>
      </c>
      <c r="D1396" s="17" t="s">
        <v>4756</v>
      </c>
      <c r="E1396" s="16" t="s">
        <v>11440</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45">
      <c r="A1397" s="15" t="s">
        <v>9049</v>
      </c>
      <c r="B1397" s="16" t="s">
        <v>5</v>
      </c>
      <c r="C1397" s="17" t="s">
        <v>4758</v>
      </c>
      <c r="D1397" s="17" t="s">
        <v>4759</v>
      </c>
      <c r="E1397" s="16" t="s">
        <v>11436</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45">
      <c r="A1398" s="15" t="s">
        <v>9241</v>
      </c>
      <c r="B1398" s="16" t="s">
        <v>5</v>
      </c>
      <c r="C1398" s="17" t="s">
        <v>4761</v>
      </c>
      <c r="D1398" s="17" t="s">
        <v>4762</v>
      </c>
      <c r="E1398" s="16" t="s">
        <v>11421</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45">
      <c r="A1399" s="15" t="s">
        <v>9250</v>
      </c>
      <c r="B1399" s="16" t="s">
        <v>5</v>
      </c>
      <c r="C1399" s="17" t="s">
        <v>4764</v>
      </c>
      <c r="D1399" s="17" t="s">
        <v>4765</v>
      </c>
      <c r="E1399" s="16" t="s">
        <v>11432</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45">
      <c r="A1400" s="15" t="s">
        <v>9253</v>
      </c>
      <c r="B1400" s="16" t="s">
        <v>5</v>
      </c>
      <c r="C1400" s="17" t="s">
        <v>4767</v>
      </c>
      <c r="D1400" s="17" t="s">
        <v>4768</v>
      </c>
      <c r="E1400" s="16" t="s">
        <v>11426</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45">
      <c r="A1401" s="15" t="s">
        <v>1407</v>
      </c>
      <c r="B1401" s="16" t="s">
        <v>5</v>
      </c>
      <c r="C1401" s="17" t="s">
        <v>4770</v>
      </c>
      <c r="D1401" s="17" t="s">
        <v>4771</v>
      </c>
      <c r="E1401" s="16" t="s">
        <v>11426</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45">
      <c r="A1402" s="15" t="s">
        <v>9019</v>
      </c>
      <c r="B1402" s="16" t="s">
        <v>5</v>
      </c>
      <c r="C1402" s="17" t="s">
        <v>4773</v>
      </c>
      <c r="D1402" s="17" t="s">
        <v>4774</v>
      </c>
      <c r="E1402" s="16" t="s">
        <v>11432</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45">
      <c r="A1403" s="15" t="s">
        <v>1414</v>
      </c>
      <c r="B1403" s="16" t="s">
        <v>5</v>
      </c>
      <c r="C1403" s="17" t="s">
        <v>4776</v>
      </c>
      <c r="D1403" s="17" t="s">
        <v>4777</v>
      </c>
      <c r="E1403" s="16" t="s">
        <v>11421</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45">
      <c r="A1404" s="15" t="s">
        <v>1394</v>
      </c>
      <c r="B1404" s="16" t="s">
        <v>5</v>
      </c>
      <c r="C1404" s="17" t="s">
        <v>4779</v>
      </c>
      <c r="D1404" s="17" t="s">
        <v>4780</v>
      </c>
      <c r="E1404" s="16" t="s">
        <v>11426</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45">
      <c r="A1405" s="15" t="s">
        <v>1452</v>
      </c>
      <c r="B1405" s="16" t="s">
        <v>5</v>
      </c>
      <c r="C1405" s="17" t="s">
        <v>4782</v>
      </c>
      <c r="D1405" s="17" t="s">
        <v>4783</v>
      </c>
      <c r="E1405" s="16" t="s">
        <v>11426</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45">
      <c r="A1406" s="15" t="s">
        <v>1410</v>
      </c>
      <c r="B1406" s="16" t="s">
        <v>5</v>
      </c>
      <c r="C1406" s="17" t="s">
        <v>4785</v>
      </c>
      <c r="D1406" s="17" t="s">
        <v>4786</v>
      </c>
      <c r="E1406" s="16" t="s">
        <v>11432</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45">
      <c r="A1407" s="15" t="s">
        <v>1422</v>
      </c>
      <c r="B1407" s="16" t="s">
        <v>5</v>
      </c>
      <c r="C1407" s="17" t="s">
        <v>4788</v>
      </c>
      <c r="D1407" s="17" t="s">
        <v>4789</v>
      </c>
      <c r="E1407" s="16" t="s">
        <v>11432</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45">
      <c r="A1408" s="15" t="s">
        <v>1439</v>
      </c>
      <c r="B1408" s="16" t="s">
        <v>5</v>
      </c>
      <c r="C1408" s="17" t="s">
        <v>4791</v>
      </c>
      <c r="D1408" s="17" t="s">
        <v>4792</v>
      </c>
      <c r="E1408" s="16" t="s">
        <v>11432</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45">
      <c r="A1409" s="15" t="s">
        <v>1432</v>
      </c>
      <c r="B1409" s="16" t="s">
        <v>5</v>
      </c>
      <c r="C1409" s="17" t="s">
        <v>4794</v>
      </c>
      <c r="D1409" s="17" t="s">
        <v>4795</v>
      </c>
      <c r="E1409" s="16" t="s">
        <v>11430</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45">
      <c r="A1410" s="15" t="s">
        <v>9103</v>
      </c>
      <c r="B1410" s="16" t="s">
        <v>5</v>
      </c>
      <c r="C1410" s="17" t="s">
        <v>4797</v>
      </c>
      <c r="D1410" s="17" t="s">
        <v>4798</v>
      </c>
      <c r="E1410" s="16" t="s">
        <v>11424</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45">
      <c r="A1411" s="15" t="s">
        <v>1429</v>
      </c>
      <c r="B1411" s="16" t="s">
        <v>5</v>
      </c>
      <c r="C1411" s="17" t="s">
        <v>4800</v>
      </c>
      <c r="D1411" s="17" t="s">
        <v>4801</v>
      </c>
      <c r="E1411" s="16" t="s">
        <v>11424</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45">
      <c r="A1412" s="15" t="s">
        <v>1446</v>
      </c>
      <c r="B1412" s="16" t="s">
        <v>5</v>
      </c>
      <c r="C1412" s="17" t="s">
        <v>4803</v>
      </c>
      <c r="D1412" s="17" t="s">
        <v>4804</v>
      </c>
      <c r="E1412" s="16" t="s">
        <v>11432</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45">
      <c r="A1413" s="15" t="s">
        <v>9286</v>
      </c>
      <c r="B1413" s="16" t="s">
        <v>5</v>
      </c>
      <c r="C1413" s="17" t="s">
        <v>4806</v>
      </c>
      <c r="D1413" s="17" t="s">
        <v>4807</v>
      </c>
      <c r="E1413" s="16" t="s">
        <v>11426</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45">
      <c r="A1414" s="15" t="s">
        <v>1487</v>
      </c>
      <c r="B1414" s="16" t="s">
        <v>5</v>
      </c>
      <c r="C1414" s="17" t="s">
        <v>4809</v>
      </c>
      <c r="D1414" s="17" t="s">
        <v>4810</v>
      </c>
      <c r="E1414" s="16" t="s">
        <v>11424</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45">
      <c r="A1415" s="15" t="s">
        <v>1497</v>
      </c>
      <c r="B1415" s="16" t="s">
        <v>5</v>
      </c>
      <c r="C1415" s="17" t="s">
        <v>4812</v>
      </c>
      <c r="D1415" s="17" t="s">
        <v>4813</v>
      </c>
      <c r="E1415" s="16" t="s">
        <v>11417</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45">
      <c r="A1416" s="15" t="s">
        <v>1551</v>
      </c>
      <c r="B1416" s="16" t="s">
        <v>5</v>
      </c>
      <c r="C1416" s="17" t="s">
        <v>4815</v>
      </c>
      <c r="D1416" s="17" t="s">
        <v>4816</v>
      </c>
      <c r="E1416" s="16" t="s">
        <v>11431</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x14ac:dyDescent="0.45">
      <c r="A1417" s="15" t="s">
        <v>1601</v>
      </c>
      <c r="B1417" s="16" t="s">
        <v>5</v>
      </c>
      <c r="C1417" s="17" t="s">
        <v>4818</v>
      </c>
      <c r="D1417" s="17" t="s">
        <v>4819</v>
      </c>
      <c r="E1417" s="16" t="s">
        <v>11430</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45">
      <c r="A1418" s="15" t="s">
        <v>1668</v>
      </c>
      <c r="B1418" s="16" t="s">
        <v>5</v>
      </c>
      <c r="C1418" s="17" t="s">
        <v>4821</v>
      </c>
      <c r="D1418" s="17" t="s">
        <v>4822</v>
      </c>
      <c r="E1418" s="16" t="s">
        <v>11440</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45">
      <c r="A1419" s="15" t="s">
        <v>1604</v>
      </c>
      <c r="B1419" s="16" t="s">
        <v>5</v>
      </c>
      <c r="C1419" s="17" t="s">
        <v>4824</v>
      </c>
      <c r="D1419" s="17" t="s">
        <v>4825</v>
      </c>
      <c r="E1419" s="16" t="s">
        <v>11432</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45">
      <c r="A1420" s="15" t="s">
        <v>1843</v>
      </c>
      <c r="B1420" s="16" t="s">
        <v>5</v>
      </c>
      <c r="C1420" s="17" t="s">
        <v>4827</v>
      </c>
      <c r="D1420" s="17" t="s">
        <v>4828</v>
      </c>
      <c r="E1420" s="16" t="s">
        <v>11432</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45">
      <c r="A1421" s="15" t="s">
        <v>1852</v>
      </c>
      <c r="B1421" s="16" t="s">
        <v>5</v>
      </c>
      <c r="C1421" s="17" t="s">
        <v>4830</v>
      </c>
      <c r="D1421" s="17" t="s">
        <v>4831</v>
      </c>
      <c r="E1421" s="16" t="s">
        <v>11426</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45">
      <c r="A1422" s="15" t="s">
        <v>1665</v>
      </c>
      <c r="B1422" s="16" t="s">
        <v>5</v>
      </c>
      <c r="C1422" s="17" t="s">
        <v>4833</v>
      </c>
      <c r="D1422" s="17" t="s">
        <v>4834</v>
      </c>
      <c r="E1422" s="16" t="s">
        <v>11417</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45">
      <c r="A1423" s="15" t="s">
        <v>1786</v>
      </c>
      <c r="B1423" s="16" t="s">
        <v>5</v>
      </c>
      <c r="C1423" s="17" t="s">
        <v>4836</v>
      </c>
      <c r="D1423" s="17" t="s">
        <v>4837</v>
      </c>
      <c r="E1423" s="16" t="s">
        <v>11430</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45">
      <c r="A1424" s="15" t="s">
        <v>1897</v>
      </c>
      <c r="B1424" s="16" t="s">
        <v>5</v>
      </c>
      <c r="C1424" s="17" t="s">
        <v>4839</v>
      </c>
      <c r="D1424" s="17" t="s">
        <v>4840</v>
      </c>
      <c r="E1424" s="16" t="s">
        <v>11432</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45">
      <c r="A1425" s="15" t="s">
        <v>1948</v>
      </c>
      <c r="B1425" s="16" t="s">
        <v>5</v>
      </c>
      <c r="C1425" s="17" t="s">
        <v>4842</v>
      </c>
      <c r="D1425" s="17" t="s">
        <v>4843</v>
      </c>
      <c r="E1425" s="16" t="s">
        <v>11424</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45">
      <c r="A1426" s="15" t="s">
        <v>9271</v>
      </c>
      <c r="B1426" s="16" t="s">
        <v>5</v>
      </c>
      <c r="C1426" s="17" t="s">
        <v>4845</v>
      </c>
      <c r="D1426" s="17" t="s">
        <v>4846</v>
      </c>
      <c r="E1426" s="16" t="s">
        <v>11426</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45">
      <c r="A1427" s="15" t="s">
        <v>1849</v>
      </c>
      <c r="B1427" s="16" t="s">
        <v>5</v>
      </c>
      <c r="C1427" s="17" t="s">
        <v>4848</v>
      </c>
      <c r="D1427" s="17" t="s">
        <v>4849</v>
      </c>
      <c r="E1427" s="16" t="s">
        <v>11426</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45">
      <c r="A1428" s="15" t="s">
        <v>1891</v>
      </c>
      <c r="B1428" s="16" t="s">
        <v>5</v>
      </c>
      <c r="C1428" s="17" t="s">
        <v>4851</v>
      </c>
      <c r="D1428" s="17" t="s">
        <v>4852</v>
      </c>
      <c r="E1428" s="16" t="s">
        <v>11432</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45">
      <c r="A1429" s="15" t="s">
        <v>1387</v>
      </c>
      <c r="B1429" s="16" t="s">
        <v>5</v>
      </c>
      <c r="C1429" s="17" t="s">
        <v>4854</v>
      </c>
      <c r="D1429" s="17" t="s">
        <v>4855</v>
      </c>
      <c r="E1429" s="15" t="s">
        <v>11430</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45">
      <c r="A1430" s="15" t="s">
        <v>1425</v>
      </c>
      <c r="B1430" s="16" t="s">
        <v>5</v>
      </c>
      <c r="C1430" s="17" t="s">
        <v>4857</v>
      </c>
      <c r="D1430" s="17" t="s">
        <v>4858</v>
      </c>
      <c r="E1430" s="16" t="s">
        <v>11424</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45">
      <c r="A1431" s="15" t="s">
        <v>1945</v>
      </c>
      <c r="B1431" s="16" t="s">
        <v>5</v>
      </c>
      <c r="C1431" s="17" t="s">
        <v>4860</v>
      </c>
      <c r="D1431" s="17" t="s">
        <v>4861</v>
      </c>
      <c r="E1431" s="16" t="s">
        <v>11432</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45">
      <c r="A1432" s="15" t="s">
        <v>1951</v>
      </c>
      <c r="B1432" s="16" t="s">
        <v>5</v>
      </c>
      <c r="C1432" s="17" t="s">
        <v>4863</v>
      </c>
      <c r="D1432" s="17" t="s">
        <v>4864</v>
      </c>
      <c r="E1432" s="16" t="s">
        <v>11432</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45">
      <c r="A1433" s="15" t="s">
        <v>2054</v>
      </c>
      <c r="B1433" s="16" t="s">
        <v>5</v>
      </c>
      <c r="C1433" s="17" t="s">
        <v>4866</v>
      </c>
      <c r="D1433" s="17" t="s">
        <v>4867</v>
      </c>
      <c r="E1433" s="16" t="s">
        <v>11432</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45">
      <c r="A1434" s="15" t="s">
        <v>2159</v>
      </c>
      <c r="B1434" s="16" t="s">
        <v>5</v>
      </c>
      <c r="C1434" s="17" t="s">
        <v>4869</v>
      </c>
      <c r="D1434" s="17" t="s">
        <v>4870</v>
      </c>
      <c r="E1434" s="16" t="s">
        <v>11436</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45">
      <c r="A1435" s="15" t="s">
        <v>2120</v>
      </c>
      <c r="B1435" s="16" t="s">
        <v>5</v>
      </c>
      <c r="C1435" s="17" t="s">
        <v>4872</v>
      </c>
      <c r="D1435" s="17" t="s">
        <v>4873</v>
      </c>
      <c r="E1435" s="16" t="s">
        <v>11432</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45">
      <c r="A1436" s="15" t="s">
        <v>1954</v>
      </c>
      <c r="B1436" s="16" t="s">
        <v>5</v>
      </c>
      <c r="C1436" s="17" t="s">
        <v>4875</v>
      </c>
      <c r="D1436" s="17" t="s">
        <v>4876</v>
      </c>
      <c r="E1436" s="16" t="s">
        <v>11426</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45">
      <c r="A1437" s="15" t="s">
        <v>2210</v>
      </c>
      <c r="B1437" s="16" t="s">
        <v>5</v>
      </c>
      <c r="C1437" s="17" t="s">
        <v>4878</v>
      </c>
      <c r="D1437" s="17" t="s">
        <v>4879</v>
      </c>
      <c r="E1437" s="16" t="s">
        <v>11424</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45">
      <c r="A1438" s="15" t="s">
        <v>2057</v>
      </c>
      <c r="B1438" s="16" t="s">
        <v>5</v>
      </c>
      <c r="C1438" s="17" t="s">
        <v>4881</v>
      </c>
      <c r="D1438" s="17" t="s">
        <v>4882</v>
      </c>
      <c r="E1438" s="16" t="s">
        <v>11436</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45">
      <c r="A1439" s="15" t="s">
        <v>2261</v>
      </c>
      <c r="B1439" s="16" t="s">
        <v>5</v>
      </c>
      <c r="C1439" s="17" t="s">
        <v>4884</v>
      </c>
      <c r="D1439" s="17" t="s">
        <v>4885</v>
      </c>
      <c r="E1439" s="16" t="s">
        <v>11440</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45">
      <c r="A1440" s="15" t="s">
        <v>2276</v>
      </c>
      <c r="B1440" s="16" t="s">
        <v>5</v>
      </c>
      <c r="C1440" s="17" t="s">
        <v>4887</v>
      </c>
      <c r="D1440" s="17" t="s">
        <v>4888</v>
      </c>
      <c r="E1440" s="16" t="s">
        <v>11424</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45">
      <c r="A1441" s="15" t="s">
        <v>2270</v>
      </c>
      <c r="B1441" s="16" t="s">
        <v>5</v>
      </c>
      <c r="C1441" s="17" t="s">
        <v>4890</v>
      </c>
      <c r="D1441" s="17" t="s">
        <v>4891</v>
      </c>
      <c r="E1441" s="16" t="s">
        <v>11432</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45">
      <c r="A1442" s="15" t="s">
        <v>2273</v>
      </c>
      <c r="B1442" s="16" t="s">
        <v>5</v>
      </c>
      <c r="C1442" s="17" t="s">
        <v>4893</v>
      </c>
      <c r="D1442" s="17" t="s">
        <v>4894</v>
      </c>
      <c r="E1442" s="16" t="s">
        <v>11424</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45">
      <c r="A1443" s="15" t="s">
        <v>2313</v>
      </c>
      <c r="B1443" s="16" t="s">
        <v>5</v>
      </c>
      <c r="C1443" s="17" t="s">
        <v>4896</v>
      </c>
      <c r="D1443" s="17" t="s">
        <v>4897</v>
      </c>
      <c r="E1443" s="16" t="s">
        <v>11424</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45">
      <c r="A1444" s="15" t="s">
        <v>2216</v>
      </c>
      <c r="B1444" s="16" t="s">
        <v>5</v>
      </c>
      <c r="C1444" s="17" t="s">
        <v>4899</v>
      </c>
      <c r="D1444" s="17" t="s">
        <v>4900</v>
      </c>
      <c r="E1444" s="16" t="s">
        <v>11436</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45">
      <c r="A1445" s="15" t="s">
        <v>2349</v>
      </c>
      <c r="B1445" s="16" t="s">
        <v>5</v>
      </c>
      <c r="C1445" s="17" t="s">
        <v>4902</v>
      </c>
      <c r="D1445" s="17" t="s">
        <v>4903</v>
      </c>
      <c r="E1445" s="16" t="s">
        <v>11424</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45">
      <c r="A1446" s="15" t="s">
        <v>2267</v>
      </c>
      <c r="B1446" s="16" t="s">
        <v>5</v>
      </c>
      <c r="C1446" s="17" t="s">
        <v>4905</v>
      </c>
      <c r="D1446" s="17" t="s">
        <v>4906</v>
      </c>
      <c r="E1446" s="16" t="s">
        <v>11424</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45">
      <c r="A1447" s="15" t="s">
        <v>2213</v>
      </c>
      <c r="B1447" s="16" t="s">
        <v>5</v>
      </c>
      <c r="C1447" s="17" t="s">
        <v>4908</v>
      </c>
      <c r="D1447" s="17" t="s">
        <v>4909</v>
      </c>
      <c r="E1447" s="16" t="s">
        <v>11424</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45">
      <c r="A1448" s="15" t="s">
        <v>1738</v>
      </c>
      <c r="B1448" s="16" t="s">
        <v>5</v>
      </c>
      <c r="C1448" s="17" t="s">
        <v>4911</v>
      </c>
      <c r="D1448" s="17" t="s">
        <v>4912</v>
      </c>
      <c r="E1448" s="16" t="s">
        <v>11431</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x14ac:dyDescent="0.45">
      <c r="A1449" s="15" t="s">
        <v>2400</v>
      </c>
      <c r="B1449" s="16" t="s">
        <v>5</v>
      </c>
      <c r="C1449" s="17" t="s">
        <v>4914</v>
      </c>
      <c r="D1449" s="17" t="s">
        <v>4915</v>
      </c>
      <c r="E1449" s="16" t="s">
        <v>11432</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45">
      <c r="A1450" s="15" t="s">
        <v>2481</v>
      </c>
      <c r="B1450" s="16" t="s">
        <v>5</v>
      </c>
      <c r="C1450" s="17" t="s">
        <v>4917</v>
      </c>
      <c r="D1450" s="17" t="s">
        <v>4918</v>
      </c>
      <c r="E1450" s="16" t="s">
        <v>11440</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45">
      <c r="A1451" s="15" t="s">
        <v>2545</v>
      </c>
      <c r="B1451" s="16" t="s">
        <v>5</v>
      </c>
      <c r="C1451" s="17" t="s">
        <v>4920</v>
      </c>
      <c r="D1451" s="17" t="s">
        <v>4921</v>
      </c>
      <c r="E1451" s="16" t="s">
        <v>11430</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45">
      <c r="A1452" s="15" t="s">
        <v>2301</v>
      </c>
      <c r="B1452" s="16" t="s">
        <v>5</v>
      </c>
      <c r="C1452" s="17" t="s">
        <v>4923</v>
      </c>
      <c r="D1452" s="17" t="s">
        <v>4924</v>
      </c>
      <c r="E1452" s="16" t="s">
        <v>11432</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45">
      <c r="A1453" s="15" t="s">
        <v>2542</v>
      </c>
      <c r="B1453" s="16" t="s">
        <v>5</v>
      </c>
      <c r="C1453" s="17" t="s">
        <v>4926</v>
      </c>
      <c r="D1453" s="17" t="s">
        <v>4927</v>
      </c>
      <c r="E1453" s="16" t="s">
        <v>11424</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45">
      <c r="A1454" s="15" t="s">
        <v>2632</v>
      </c>
      <c r="B1454" s="16" t="s">
        <v>5</v>
      </c>
      <c r="C1454" s="17" t="s">
        <v>4929</v>
      </c>
      <c r="D1454" s="17" t="s">
        <v>4930</v>
      </c>
      <c r="E1454" s="16" t="s">
        <v>11432</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45">
      <c r="A1455" s="15" t="s">
        <v>2692</v>
      </c>
      <c r="B1455" s="16" t="s">
        <v>5</v>
      </c>
      <c r="C1455" s="17" t="s">
        <v>4932</v>
      </c>
      <c r="D1455" s="17" t="s">
        <v>4933</v>
      </c>
      <c r="E1455" s="16" t="s">
        <v>11424</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45">
      <c r="A1456" s="15" t="s">
        <v>2701</v>
      </c>
      <c r="B1456" s="16" t="s">
        <v>5</v>
      </c>
      <c r="C1456" s="17" t="s">
        <v>4935</v>
      </c>
      <c r="D1456" s="17" t="s">
        <v>4936</v>
      </c>
      <c r="E1456" s="16" t="s">
        <v>11417</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45">
      <c r="A1457" s="15" t="s">
        <v>2704</v>
      </c>
      <c r="B1457" s="16" t="s">
        <v>5</v>
      </c>
      <c r="C1457" s="17" t="s">
        <v>4938</v>
      </c>
      <c r="D1457" s="17" t="s">
        <v>4939</v>
      </c>
      <c r="E1457" s="16" t="s">
        <v>11432</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45">
      <c r="A1458" s="15" t="s">
        <v>2551</v>
      </c>
      <c r="B1458" s="16" t="s">
        <v>5</v>
      </c>
      <c r="C1458" s="17" t="s">
        <v>4941</v>
      </c>
      <c r="D1458" s="17" t="s">
        <v>4942</v>
      </c>
      <c r="E1458" s="16" t="s">
        <v>11424</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45">
      <c r="A1459" s="15" t="s">
        <v>2403</v>
      </c>
      <c r="B1459" s="16" t="s">
        <v>5</v>
      </c>
      <c r="C1459" s="17" t="s">
        <v>4944</v>
      </c>
      <c r="D1459" s="17" t="s">
        <v>4945</v>
      </c>
      <c r="E1459" s="16" t="s">
        <v>11432</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45">
      <c r="A1460" s="15" t="s">
        <v>2728</v>
      </c>
      <c r="B1460" s="16" t="s">
        <v>5</v>
      </c>
      <c r="C1460" s="17" t="s">
        <v>4947</v>
      </c>
      <c r="D1460" s="17" t="s">
        <v>4948</v>
      </c>
      <c r="E1460" s="16" t="s">
        <v>11436</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45">
      <c r="A1461" s="15" t="s">
        <v>2773</v>
      </c>
      <c r="B1461" s="16" t="s">
        <v>5</v>
      </c>
      <c r="C1461" s="17" t="s">
        <v>4950</v>
      </c>
      <c r="D1461" s="17" t="s">
        <v>4951</v>
      </c>
      <c r="E1461" s="16" t="s">
        <v>11421</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45">
      <c r="A1462" s="15" t="s">
        <v>2536</v>
      </c>
      <c r="B1462" s="16" t="s">
        <v>5</v>
      </c>
      <c r="C1462" s="17" t="s">
        <v>4953</v>
      </c>
      <c r="D1462" s="17" t="s">
        <v>4954</v>
      </c>
      <c r="E1462" s="16" t="s">
        <v>11417</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45">
      <c r="A1463" s="15" t="s">
        <v>2830</v>
      </c>
      <c r="B1463" s="16" t="s">
        <v>5</v>
      </c>
      <c r="C1463" s="17" t="s">
        <v>4956</v>
      </c>
      <c r="D1463" s="17" t="s">
        <v>4957</v>
      </c>
      <c r="E1463" s="16" t="s">
        <v>11440</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45">
      <c r="A1464" s="15" t="s">
        <v>2839</v>
      </c>
      <c r="B1464" s="16" t="s">
        <v>5</v>
      </c>
      <c r="C1464" s="17" t="s">
        <v>4959</v>
      </c>
      <c r="D1464" s="17" t="s">
        <v>4960</v>
      </c>
      <c r="E1464" s="16" t="s">
        <v>11426</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45">
      <c r="A1465" s="15" t="s">
        <v>2905</v>
      </c>
      <c r="B1465" s="16" t="s">
        <v>5</v>
      </c>
      <c r="C1465" s="17" t="s">
        <v>4962</v>
      </c>
      <c r="D1465" s="17" t="s">
        <v>4963</v>
      </c>
      <c r="E1465" s="16" t="s">
        <v>11421</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45">
      <c r="A1466" s="15" t="s">
        <v>1520</v>
      </c>
      <c r="B1466" s="16" t="s">
        <v>5</v>
      </c>
      <c r="C1466" s="17" t="s">
        <v>4965</v>
      </c>
      <c r="D1466" s="17" t="s">
        <v>4966</v>
      </c>
      <c r="E1466" s="16" t="s">
        <v>11424</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45">
      <c r="A1467" s="15" t="s">
        <v>1523</v>
      </c>
      <c r="B1467" s="16" t="s">
        <v>5</v>
      </c>
      <c r="C1467" s="17" t="s">
        <v>4968</v>
      </c>
      <c r="D1467" s="17" t="s">
        <v>4969</v>
      </c>
      <c r="E1467" s="16" t="s">
        <v>11424</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45">
      <c r="A1468" s="15" t="s">
        <v>2845</v>
      </c>
      <c r="B1468" s="16" t="s">
        <v>5</v>
      </c>
      <c r="C1468" s="17" t="s">
        <v>4971</v>
      </c>
      <c r="D1468" s="17" t="s">
        <v>4972</v>
      </c>
      <c r="E1468" s="16" t="s">
        <v>11424</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45">
      <c r="A1469" s="15" t="s">
        <v>2893</v>
      </c>
      <c r="B1469" s="16" t="s">
        <v>5</v>
      </c>
      <c r="C1469" s="17" t="s">
        <v>4974</v>
      </c>
      <c r="D1469" s="17" t="s">
        <v>4975</v>
      </c>
      <c r="E1469" s="16" t="s">
        <v>11417</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45">
      <c r="A1470" s="15" t="s">
        <v>1514</v>
      </c>
      <c r="B1470" s="16" t="s">
        <v>5</v>
      </c>
      <c r="C1470" s="17" t="s">
        <v>4977</v>
      </c>
      <c r="D1470" s="17" t="s">
        <v>4978</v>
      </c>
      <c r="E1470" s="16" t="s">
        <v>11421</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45">
      <c r="A1471" s="15" t="s">
        <v>1517</v>
      </c>
      <c r="B1471" s="16" t="s">
        <v>5</v>
      </c>
      <c r="C1471" s="17" t="s">
        <v>4980</v>
      </c>
      <c r="D1471" s="17" t="s">
        <v>4981</v>
      </c>
      <c r="E1471" s="16" t="s">
        <v>11421</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45">
      <c r="A1472" s="15" t="s">
        <v>2554</v>
      </c>
      <c r="B1472" s="16" t="s">
        <v>5</v>
      </c>
      <c r="C1472" s="17" t="s">
        <v>4983</v>
      </c>
      <c r="D1472" s="17" t="s">
        <v>4984</v>
      </c>
      <c r="E1472" s="16" t="s">
        <v>11432</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45">
      <c r="A1473" s="15" t="s">
        <v>1529</v>
      </c>
      <c r="B1473" s="16" t="s">
        <v>5</v>
      </c>
      <c r="C1473" s="17" t="s">
        <v>4986</v>
      </c>
      <c r="D1473" s="17" t="s">
        <v>4987</v>
      </c>
      <c r="E1473" s="16" t="s">
        <v>11432</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45">
      <c r="A1474" s="15" t="s">
        <v>9289</v>
      </c>
      <c r="B1474" s="16" t="s">
        <v>5</v>
      </c>
      <c r="C1474" s="17" t="s">
        <v>4989</v>
      </c>
      <c r="D1474" s="17" t="s">
        <v>4990</v>
      </c>
      <c r="E1474" s="16" t="s">
        <v>11426</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45">
      <c r="A1475" s="15" t="s">
        <v>1542</v>
      </c>
      <c r="B1475" s="16" t="s">
        <v>5</v>
      </c>
      <c r="C1475" s="17" t="s">
        <v>4992</v>
      </c>
      <c r="D1475" s="17" t="s">
        <v>4993</v>
      </c>
      <c r="E1475" s="16" t="s">
        <v>11436</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45">
      <c r="A1476" s="15" t="s">
        <v>1535</v>
      </c>
      <c r="B1476" s="16" t="s">
        <v>5</v>
      </c>
      <c r="C1476" s="17" t="s">
        <v>4995</v>
      </c>
      <c r="D1476" s="17" t="s">
        <v>4996</v>
      </c>
      <c r="E1476" s="16" t="s">
        <v>11440</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45">
      <c r="A1477" s="15" t="s">
        <v>2484</v>
      </c>
      <c r="B1477" s="16" t="s">
        <v>5</v>
      </c>
      <c r="C1477" s="17" t="s">
        <v>4998</v>
      </c>
      <c r="D1477" s="17" t="s">
        <v>4999</v>
      </c>
      <c r="E1477" s="16" t="s">
        <v>11417</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45">
      <c r="A1478" s="15" t="s">
        <v>1573</v>
      </c>
      <c r="B1478" s="16" t="s">
        <v>5</v>
      </c>
      <c r="C1478" s="17" t="s">
        <v>5001</v>
      </c>
      <c r="D1478" s="17" t="s">
        <v>5002</v>
      </c>
      <c r="E1478" s="16" t="s">
        <v>11417</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45">
      <c r="A1479" s="15" t="s">
        <v>1588</v>
      </c>
      <c r="B1479" s="16" t="s">
        <v>5</v>
      </c>
      <c r="C1479" s="17" t="s">
        <v>5004</v>
      </c>
      <c r="D1479" s="17" t="s">
        <v>5005</v>
      </c>
      <c r="E1479" s="16" t="s">
        <v>11430</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45">
      <c r="A1480" s="15" t="s">
        <v>1526</v>
      </c>
      <c r="B1480" s="16" t="s">
        <v>5</v>
      </c>
      <c r="C1480" s="17" t="s">
        <v>5007</v>
      </c>
      <c r="D1480" s="17" t="s">
        <v>5008</v>
      </c>
      <c r="E1480" s="16" t="s">
        <v>11436</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45">
      <c r="A1481" s="15" t="s">
        <v>1567</v>
      </c>
      <c r="B1481" s="16" t="s">
        <v>5</v>
      </c>
      <c r="C1481" s="17" t="s">
        <v>5010</v>
      </c>
      <c r="D1481" s="17" t="s">
        <v>5011</v>
      </c>
      <c r="E1481" s="16" t="s">
        <v>11424</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45">
      <c r="A1482" s="15" t="s">
        <v>1591</v>
      </c>
      <c r="B1482" s="16" t="s">
        <v>5</v>
      </c>
      <c r="C1482" s="17" t="s">
        <v>5013</v>
      </c>
      <c r="D1482" s="17" t="s">
        <v>5014</v>
      </c>
      <c r="E1482" s="16" t="s">
        <v>11424</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45">
      <c r="A1483" s="15" t="s">
        <v>1548</v>
      </c>
      <c r="B1483" s="16" t="s">
        <v>5</v>
      </c>
      <c r="C1483" s="17" t="s">
        <v>5016</v>
      </c>
      <c r="D1483" s="17" t="s">
        <v>5017</v>
      </c>
      <c r="E1483" s="16" t="s">
        <v>11421</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45">
      <c r="A1484" s="15" t="s">
        <v>743</v>
      </c>
      <c r="B1484" s="16" t="s">
        <v>183</v>
      </c>
      <c r="C1484" s="17" t="s">
        <v>5019</v>
      </c>
      <c r="D1484" s="17" t="s">
        <v>5020</v>
      </c>
      <c r="E1484" s="16" t="s">
        <v>11433</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45">
      <c r="A1485" s="15" t="s">
        <v>2896</v>
      </c>
      <c r="B1485" s="16" t="s">
        <v>5</v>
      </c>
      <c r="C1485" s="17" t="s">
        <v>5022</v>
      </c>
      <c r="D1485" s="17" t="s">
        <v>5023</v>
      </c>
      <c r="E1485" s="16" t="s">
        <v>11432</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45">
      <c r="A1486" s="15" t="s">
        <v>1570</v>
      </c>
      <c r="B1486" s="16" t="s">
        <v>5</v>
      </c>
      <c r="C1486" s="17" t="s">
        <v>5025</v>
      </c>
      <c r="D1486" s="17" t="s">
        <v>5026</v>
      </c>
      <c r="E1486" s="16" t="s">
        <v>11424</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45">
      <c r="A1487" s="15" t="s">
        <v>1613</v>
      </c>
      <c r="B1487" s="16" t="s">
        <v>5</v>
      </c>
      <c r="C1487" s="17" t="s">
        <v>5028</v>
      </c>
      <c r="D1487" s="17" t="s">
        <v>5029</v>
      </c>
      <c r="E1487" s="16" t="s">
        <v>11417</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45">
      <c r="A1488" s="15" t="s">
        <v>1625</v>
      </c>
      <c r="B1488" s="16" t="s">
        <v>5</v>
      </c>
      <c r="C1488" s="17" t="s">
        <v>5031</v>
      </c>
      <c r="D1488" s="17" t="s">
        <v>5032</v>
      </c>
      <c r="E1488" s="16" t="s">
        <v>11424</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45">
      <c r="A1489" s="15" t="s">
        <v>1644</v>
      </c>
      <c r="B1489" s="16" t="s">
        <v>5</v>
      </c>
      <c r="C1489" s="17" t="s">
        <v>5034</v>
      </c>
      <c r="D1489" s="17" t="s">
        <v>5035</v>
      </c>
      <c r="E1489" s="16" t="s">
        <v>11440</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45">
      <c r="A1490" s="15" t="s">
        <v>1641</v>
      </c>
      <c r="B1490" s="16" t="s">
        <v>5</v>
      </c>
      <c r="C1490" s="17" t="s">
        <v>5037</v>
      </c>
      <c r="D1490" s="17" t="s">
        <v>5038</v>
      </c>
      <c r="E1490" s="16" t="s">
        <v>11421</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45">
      <c r="A1491" s="15" t="s">
        <v>1650</v>
      </c>
      <c r="B1491" s="16" t="s">
        <v>5</v>
      </c>
      <c r="C1491" s="17" t="s">
        <v>5040</v>
      </c>
      <c r="D1491" s="17" t="s">
        <v>5041</v>
      </c>
      <c r="E1491" s="16" t="s">
        <v>11436</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45">
      <c r="A1492" s="15" t="s">
        <v>1616</v>
      </c>
      <c r="B1492" s="16" t="s">
        <v>5</v>
      </c>
      <c r="C1492" s="17" t="s">
        <v>5043</v>
      </c>
      <c r="D1492" s="17" t="s">
        <v>5044</v>
      </c>
      <c r="E1492" s="16" t="s">
        <v>11430</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45">
      <c r="A1493" s="15" t="s">
        <v>1688</v>
      </c>
      <c r="B1493" s="16" t="s">
        <v>5</v>
      </c>
      <c r="C1493" s="17" t="s">
        <v>5046</v>
      </c>
      <c r="D1493" s="17" t="s">
        <v>5047</v>
      </c>
      <c r="E1493" s="16" t="s">
        <v>11421</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45">
      <c r="A1494" s="15" t="s">
        <v>1631</v>
      </c>
      <c r="B1494" s="16" t="s">
        <v>5</v>
      </c>
      <c r="C1494" s="17" t="s">
        <v>5049</v>
      </c>
      <c r="D1494" s="17" t="s">
        <v>5050</v>
      </c>
      <c r="E1494" s="16" t="s">
        <v>11424</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45">
      <c r="A1495" s="15" t="s">
        <v>1750</v>
      </c>
      <c r="B1495" s="16" t="s">
        <v>5</v>
      </c>
      <c r="C1495" s="17" t="s">
        <v>5052</v>
      </c>
      <c r="D1495" s="17" t="s">
        <v>5053</v>
      </c>
      <c r="E1495" s="16" t="s">
        <v>11424</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45">
      <c r="A1496" s="15" t="s">
        <v>1780</v>
      </c>
      <c r="B1496" s="16" t="s">
        <v>5</v>
      </c>
      <c r="C1496" s="17" t="s">
        <v>5055</v>
      </c>
      <c r="D1496" s="17" t="s">
        <v>5056</v>
      </c>
      <c r="E1496" s="16" t="s">
        <v>11424</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45">
      <c r="A1497" s="15" t="s">
        <v>1759</v>
      </c>
      <c r="B1497" s="16" t="s">
        <v>5</v>
      </c>
      <c r="C1497" s="17" t="s">
        <v>5058</v>
      </c>
      <c r="D1497" s="17" t="s">
        <v>5059</v>
      </c>
      <c r="E1497" s="16" t="s">
        <v>11426</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45">
      <c r="A1498" s="15" t="s">
        <v>1807</v>
      </c>
      <c r="B1498" s="16" t="s">
        <v>5</v>
      </c>
      <c r="C1498" s="17" t="s">
        <v>5061</v>
      </c>
      <c r="D1498" s="17" t="s">
        <v>5062</v>
      </c>
      <c r="E1498" s="16" t="s">
        <v>11432</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45">
      <c r="A1499" s="15" t="s">
        <v>1732</v>
      </c>
      <c r="B1499" s="16" t="s">
        <v>5</v>
      </c>
      <c r="C1499" s="17" t="s">
        <v>5064</v>
      </c>
      <c r="D1499" s="17" t="s">
        <v>5065</v>
      </c>
      <c r="E1499" s="16" t="s">
        <v>11417</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45">
      <c r="A1500" s="15" t="s">
        <v>1810</v>
      </c>
      <c r="B1500" s="16" t="s">
        <v>5</v>
      </c>
      <c r="C1500" s="17" t="s">
        <v>5067</v>
      </c>
      <c r="D1500" s="17" t="s">
        <v>5068</v>
      </c>
      <c r="E1500" s="16" t="s">
        <v>11432</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45">
      <c r="A1501" s="15" t="s">
        <v>1825</v>
      </c>
      <c r="B1501" s="16" t="s">
        <v>5</v>
      </c>
      <c r="C1501" s="17" t="s">
        <v>5070</v>
      </c>
      <c r="D1501" s="17" t="s">
        <v>5071</v>
      </c>
      <c r="E1501" s="16" t="s">
        <v>11432</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45">
      <c r="A1502" s="15" t="s">
        <v>1819</v>
      </c>
      <c r="B1502" s="16" t="s">
        <v>5</v>
      </c>
      <c r="C1502" s="17" t="s">
        <v>5073</v>
      </c>
      <c r="D1502" s="17" t="s">
        <v>5074</v>
      </c>
      <c r="E1502" s="16" t="s">
        <v>11421</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45">
      <c r="A1503" s="15" t="s">
        <v>1753</v>
      </c>
      <c r="B1503" s="16" t="s">
        <v>5</v>
      </c>
      <c r="C1503" s="17" t="s">
        <v>5076</v>
      </c>
      <c r="D1503" s="17" t="s">
        <v>5077</v>
      </c>
      <c r="E1503" s="16" t="s">
        <v>11436</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45">
      <c r="A1504" s="15" t="s">
        <v>1816</v>
      </c>
      <c r="B1504" s="16" t="s">
        <v>5</v>
      </c>
      <c r="C1504" s="17" t="s">
        <v>5079</v>
      </c>
      <c r="D1504" s="17" t="s">
        <v>5080</v>
      </c>
      <c r="E1504" s="16" t="s">
        <v>11436</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45">
      <c r="A1505" s="15" t="s">
        <v>722</v>
      </c>
      <c r="B1505" s="16" t="s">
        <v>183</v>
      </c>
      <c r="C1505" s="17" t="s">
        <v>5082</v>
      </c>
      <c r="D1505" s="17" t="s">
        <v>5083</v>
      </c>
      <c r="E1505" s="16" t="s">
        <v>11431</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x14ac:dyDescent="0.45">
      <c r="A1506" s="15" t="s">
        <v>677</v>
      </c>
      <c r="B1506" s="16" t="s">
        <v>183</v>
      </c>
      <c r="C1506" s="17" t="s">
        <v>5085</v>
      </c>
      <c r="D1506" s="17" t="s">
        <v>5086</v>
      </c>
      <c r="E1506" s="16" t="s">
        <v>11417</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45">
      <c r="A1507" s="15" t="s">
        <v>689</v>
      </c>
      <c r="B1507" s="16" t="s">
        <v>183</v>
      </c>
      <c r="C1507" s="17" t="s">
        <v>5088</v>
      </c>
      <c r="D1507" s="17" t="s">
        <v>5089</v>
      </c>
      <c r="E1507" s="16" t="s">
        <v>11421</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45">
      <c r="A1508" s="15" t="s">
        <v>7045</v>
      </c>
      <c r="B1508" s="16" t="s">
        <v>5</v>
      </c>
      <c r="C1508" s="17" t="s">
        <v>5091</v>
      </c>
      <c r="D1508" s="17" t="s">
        <v>5092</v>
      </c>
      <c r="E1508" s="16" t="s">
        <v>11436</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45">
      <c r="A1509" s="15" t="s">
        <v>7048</v>
      </c>
      <c r="B1509" s="16" t="s">
        <v>5</v>
      </c>
      <c r="C1509" s="17" t="s">
        <v>5094</v>
      </c>
      <c r="D1509" s="17" t="s">
        <v>5095</v>
      </c>
      <c r="E1509" s="16" t="s">
        <v>11436</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45">
      <c r="A1510" s="15" t="s">
        <v>11336</v>
      </c>
      <c r="B1510" s="16" t="s">
        <v>5</v>
      </c>
      <c r="C1510" s="17" t="s">
        <v>5097</v>
      </c>
      <c r="D1510" s="17" t="s">
        <v>5098</v>
      </c>
      <c r="E1510" s="16" t="s">
        <v>11436</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45">
      <c r="A1511" s="15" t="s">
        <v>8053</v>
      </c>
      <c r="B1511" s="16" t="s">
        <v>5</v>
      </c>
      <c r="C1511" s="17" t="s">
        <v>5100</v>
      </c>
      <c r="D1511" s="17" t="s">
        <v>5101</v>
      </c>
      <c r="E1511" s="16" t="s">
        <v>11436</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45">
      <c r="A1512" s="15" t="s">
        <v>773</v>
      </c>
      <c r="B1512" s="16" t="s">
        <v>5</v>
      </c>
      <c r="C1512" s="17" t="s">
        <v>5103</v>
      </c>
      <c r="D1512" s="17" t="s">
        <v>5104</v>
      </c>
      <c r="E1512" s="16" t="s">
        <v>11436</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45">
      <c r="A1513" s="15" t="s">
        <v>782</v>
      </c>
      <c r="B1513" s="16" t="s">
        <v>5</v>
      </c>
      <c r="C1513" s="17" t="s">
        <v>5106</v>
      </c>
      <c r="D1513" s="17" t="s">
        <v>5107</v>
      </c>
      <c r="E1513" s="16" t="s">
        <v>11436</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45">
      <c r="A1514" s="15" t="s">
        <v>785</v>
      </c>
      <c r="B1514" s="16" t="s">
        <v>5</v>
      </c>
      <c r="C1514" s="17" t="s">
        <v>5109</v>
      </c>
      <c r="D1514" s="17" t="s">
        <v>5110</v>
      </c>
      <c r="E1514" s="16" t="s">
        <v>11436</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45">
      <c r="A1515" s="15" t="s">
        <v>830</v>
      </c>
      <c r="B1515" s="16" t="s">
        <v>5</v>
      </c>
      <c r="C1515" s="17" t="s">
        <v>5112</v>
      </c>
      <c r="D1515" s="17" t="s">
        <v>5113</v>
      </c>
      <c r="E1515" s="16" t="s">
        <v>11436</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45">
      <c r="A1516" s="15" t="s">
        <v>911</v>
      </c>
      <c r="B1516" s="16" t="s">
        <v>5</v>
      </c>
      <c r="C1516" s="17" t="s">
        <v>5115</v>
      </c>
      <c r="D1516" s="17" t="s">
        <v>5116</v>
      </c>
      <c r="E1516" s="16" t="s">
        <v>11436</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45">
      <c r="A1517" s="15" t="s">
        <v>920</v>
      </c>
      <c r="B1517" s="16" t="s">
        <v>5</v>
      </c>
      <c r="C1517" s="17" t="s">
        <v>5118</v>
      </c>
      <c r="D1517" s="17" t="s">
        <v>5119</v>
      </c>
      <c r="E1517" s="16" t="s">
        <v>11436</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45">
      <c r="A1518" s="15" t="s">
        <v>923</v>
      </c>
      <c r="B1518" s="16" t="s">
        <v>5</v>
      </c>
      <c r="C1518" s="17" t="s">
        <v>5121</v>
      </c>
      <c r="D1518" s="17" t="s">
        <v>5122</v>
      </c>
      <c r="E1518" s="16" t="s">
        <v>11436</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45">
      <c r="A1519" s="15" t="s">
        <v>1043</v>
      </c>
      <c r="B1519" s="16" t="s">
        <v>5</v>
      </c>
      <c r="C1519" s="17" t="s">
        <v>5124</v>
      </c>
      <c r="D1519" s="17" t="s">
        <v>5125</v>
      </c>
      <c r="E1519" s="16" t="s">
        <v>11436</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45">
      <c r="A1520" s="15" t="s">
        <v>1055</v>
      </c>
      <c r="B1520" s="16" t="s">
        <v>5</v>
      </c>
      <c r="C1520" s="17" t="s">
        <v>5127</v>
      </c>
      <c r="D1520" s="17" t="s">
        <v>5128</v>
      </c>
      <c r="E1520" s="16" t="s">
        <v>11436</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45">
      <c r="A1521" s="15" t="s">
        <v>1082</v>
      </c>
      <c r="B1521" s="16" t="s">
        <v>5</v>
      </c>
      <c r="C1521" s="17" t="s">
        <v>5130</v>
      </c>
      <c r="D1521" s="17" t="s">
        <v>5131</v>
      </c>
      <c r="E1521" s="16" t="s">
        <v>11436</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45">
      <c r="A1522" s="15" t="s">
        <v>1250</v>
      </c>
      <c r="B1522" s="16" t="s">
        <v>5</v>
      </c>
      <c r="C1522" s="17" t="s">
        <v>5133</v>
      </c>
      <c r="D1522" s="17" t="s">
        <v>5134</v>
      </c>
      <c r="E1522" s="16" t="s">
        <v>11436</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45">
      <c r="A1523" s="15" t="s">
        <v>1343</v>
      </c>
      <c r="B1523" s="16" t="s">
        <v>5</v>
      </c>
      <c r="C1523" s="17" t="s">
        <v>5136</v>
      </c>
      <c r="D1523" s="17" t="s">
        <v>5137</v>
      </c>
      <c r="E1523" s="16" t="s">
        <v>11436</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45">
      <c r="A1524" s="15" t="s">
        <v>4331</v>
      </c>
      <c r="B1524" s="16" t="s">
        <v>5</v>
      </c>
      <c r="C1524" s="17" t="s">
        <v>5139</v>
      </c>
      <c r="D1524" s="17" t="s">
        <v>5140</v>
      </c>
      <c r="E1524" s="16" t="s">
        <v>11436</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45">
      <c r="A1525" s="15" t="s">
        <v>4856</v>
      </c>
      <c r="B1525" s="16" t="s">
        <v>5</v>
      </c>
      <c r="C1525" s="17" t="s">
        <v>5142</v>
      </c>
      <c r="D1525" s="17" t="s">
        <v>5143</v>
      </c>
      <c r="E1525" s="16" t="s">
        <v>11436</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45">
      <c r="A1526" s="15" t="s">
        <v>5033</v>
      </c>
      <c r="B1526" s="16" t="s">
        <v>5</v>
      </c>
      <c r="C1526" s="17" t="s">
        <v>5145</v>
      </c>
      <c r="D1526" s="17" t="s">
        <v>5146</v>
      </c>
      <c r="E1526" s="16" t="s">
        <v>11436</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45">
      <c r="A1527" s="15" t="s">
        <v>5297</v>
      </c>
      <c r="B1527" s="16" t="s">
        <v>5</v>
      </c>
      <c r="C1527" s="17" t="s">
        <v>5148</v>
      </c>
      <c r="D1527" s="17" t="s">
        <v>5149</v>
      </c>
      <c r="E1527" s="16" t="s">
        <v>11436</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45">
      <c r="A1528" s="15" t="s">
        <v>5363</v>
      </c>
      <c r="B1528" s="16" t="s">
        <v>5</v>
      </c>
      <c r="C1528" s="17" t="s">
        <v>5151</v>
      </c>
      <c r="D1528" s="17" t="s">
        <v>5152</v>
      </c>
      <c r="E1528" s="16" t="s">
        <v>11436</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45">
      <c r="A1529" s="15" t="s">
        <v>5396</v>
      </c>
      <c r="B1529" s="16" t="s">
        <v>5</v>
      </c>
      <c r="C1529" s="17" t="s">
        <v>5154</v>
      </c>
      <c r="D1529" s="17" t="s">
        <v>5155</v>
      </c>
      <c r="E1529" s="16" t="s">
        <v>11436</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45">
      <c r="A1530" s="15" t="s">
        <v>5597</v>
      </c>
      <c r="B1530" s="16" t="s">
        <v>5</v>
      </c>
      <c r="C1530" s="17" t="s">
        <v>5157</v>
      </c>
      <c r="D1530" s="17" t="s">
        <v>5158</v>
      </c>
      <c r="E1530" s="16" t="s">
        <v>11436</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45">
      <c r="A1531" s="15" t="s">
        <v>11337</v>
      </c>
      <c r="B1531" s="16" t="s">
        <v>5</v>
      </c>
      <c r="C1531" s="17" t="s">
        <v>5160</v>
      </c>
      <c r="D1531" s="17" t="s">
        <v>5161</v>
      </c>
      <c r="E1531" s="16" t="s">
        <v>11436</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45">
      <c r="A1532" s="15" t="s">
        <v>6994</v>
      </c>
      <c r="B1532" s="16" t="s">
        <v>5</v>
      </c>
      <c r="C1532" s="17" t="s">
        <v>5163</v>
      </c>
      <c r="D1532" s="17" t="s">
        <v>5164</v>
      </c>
      <c r="E1532" s="16" t="s">
        <v>11436</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45">
      <c r="A1533" s="15" t="s">
        <v>7444</v>
      </c>
      <c r="B1533" s="16" t="s">
        <v>5</v>
      </c>
      <c r="C1533" s="17" t="s">
        <v>5166</v>
      </c>
      <c r="D1533" s="17" t="s">
        <v>5167</v>
      </c>
      <c r="E1533" s="16" t="s">
        <v>11436</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45">
      <c r="A1534" s="15" t="s">
        <v>8755</v>
      </c>
      <c r="B1534" s="16" t="s">
        <v>5</v>
      </c>
      <c r="C1534" s="17" t="s">
        <v>5169</v>
      </c>
      <c r="D1534" s="17" t="s">
        <v>5170</v>
      </c>
      <c r="E1534" s="16" t="s">
        <v>11436</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45">
      <c r="A1535" s="15" t="s">
        <v>4826</v>
      </c>
      <c r="B1535" s="16" t="s">
        <v>5</v>
      </c>
      <c r="C1535" s="17" t="s">
        <v>5172</v>
      </c>
      <c r="D1535" s="17" t="s">
        <v>5173</v>
      </c>
      <c r="E1535" s="16" t="s">
        <v>11436</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45">
      <c r="A1536" s="15" t="s">
        <v>5408</v>
      </c>
      <c r="B1536" s="16" t="s">
        <v>5</v>
      </c>
      <c r="C1536" s="17" t="s">
        <v>5175</v>
      </c>
      <c r="D1536" s="17" t="s">
        <v>5176</v>
      </c>
      <c r="E1536" s="16" t="s">
        <v>11436</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45">
      <c r="A1537" s="15" t="s">
        <v>5444</v>
      </c>
      <c r="B1537" s="16" t="s">
        <v>5</v>
      </c>
      <c r="C1537" s="17" t="s">
        <v>5178</v>
      </c>
      <c r="D1537" s="17" t="s">
        <v>5179</v>
      </c>
      <c r="E1537" s="16" t="s">
        <v>11436</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45">
      <c r="A1538" s="15" t="s">
        <v>5657</v>
      </c>
      <c r="B1538" s="16" t="s">
        <v>5</v>
      </c>
      <c r="C1538" s="17" t="s">
        <v>5181</v>
      </c>
      <c r="D1538" s="17" t="s">
        <v>5182</v>
      </c>
      <c r="E1538" s="16" t="s">
        <v>11436</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45">
      <c r="A1539" s="15" t="s">
        <v>2051</v>
      </c>
      <c r="B1539" s="16" t="s">
        <v>5</v>
      </c>
      <c r="C1539" s="17" t="s">
        <v>5184</v>
      </c>
      <c r="D1539" s="17" t="s">
        <v>5185</v>
      </c>
      <c r="E1539" s="16" t="s">
        <v>11436</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45">
      <c r="A1540" s="15" t="s">
        <v>559</v>
      </c>
      <c r="B1540" s="16" t="s">
        <v>183</v>
      </c>
      <c r="C1540" s="17" t="s">
        <v>5187</v>
      </c>
      <c r="D1540" s="17" t="s">
        <v>5188</v>
      </c>
      <c r="E1540" s="16" t="s">
        <v>11416</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45">
      <c r="A1541" s="15" t="s">
        <v>643</v>
      </c>
      <c r="B1541" s="16" t="s">
        <v>183</v>
      </c>
      <c r="C1541" s="17" t="s">
        <v>5190</v>
      </c>
      <c r="D1541" s="17" t="s">
        <v>5191</v>
      </c>
      <c r="E1541" s="15" t="s">
        <v>11416</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45">
      <c r="A1542" s="15" t="s">
        <v>4388</v>
      </c>
      <c r="B1542" s="16" t="s">
        <v>5</v>
      </c>
      <c r="C1542" s="17" t="s">
        <v>5193</v>
      </c>
      <c r="D1542" s="17" t="s">
        <v>5194</v>
      </c>
      <c r="E1542" s="16" t="s">
        <v>11436</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45">
      <c r="A1543" s="15" t="s">
        <v>4880</v>
      </c>
      <c r="B1543" s="16" t="s">
        <v>5</v>
      </c>
      <c r="C1543" s="17" t="s">
        <v>5196</v>
      </c>
      <c r="D1543" s="17" t="s">
        <v>5197</v>
      </c>
      <c r="E1543" s="16" t="s">
        <v>11436</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45">
      <c r="A1544" s="15" t="s">
        <v>5012</v>
      </c>
      <c r="B1544" s="16" t="s">
        <v>5</v>
      </c>
      <c r="C1544" s="17" t="s">
        <v>5199</v>
      </c>
      <c r="D1544" s="17" t="s">
        <v>5200</v>
      </c>
      <c r="E1544" s="16" t="s">
        <v>11436</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45">
      <c r="A1545" s="15" t="s">
        <v>5384</v>
      </c>
      <c r="B1545" s="16" t="s">
        <v>5</v>
      </c>
      <c r="C1545" s="17" t="s">
        <v>5202</v>
      </c>
      <c r="D1545" s="17" t="s">
        <v>5203</v>
      </c>
      <c r="E1545" s="16" t="s">
        <v>11436</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45">
      <c r="A1546" s="15" t="s">
        <v>5399</v>
      </c>
      <c r="B1546" s="16" t="s">
        <v>5</v>
      </c>
      <c r="C1546" s="17" t="s">
        <v>5205</v>
      </c>
      <c r="D1546" s="17" t="s">
        <v>5206</v>
      </c>
      <c r="E1546" s="16" t="s">
        <v>11436</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45">
      <c r="A1547" s="15" t="s">
        <v>6556</v>
      </c>
      <c r="B1547" s="16" t="s">
        <v>5</v>
      </c>
      <c r="C1547" s="17" t="s">
        <v>5208</v>
      </c>
      <c r="D1547" s="17" t="s">
        <v>5209</v>
      </c>
      <c r="E1547" s="16" t="s">
        <v>11436</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45">
      <c r="A1548" s="15" t="s">
        <v>7348</v>
      </c>
      <c r="B1548" s="16" t="s">
        <v>5</v>
      </c>
      <c r="C1548" s="17" t="s">
        <v>5211</v>
      </c>
      <c r="D1548" s="17" t="s">
        <v>5212</v>
      </c>
      <c r="E1548" s="16" t="s">
        <v>11436</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45">
      <c r="A1549" s="15" t="s">
        <v>7900</v>
      </c>
      <c r="B1549" s="16" t="s">
        <v>5</v>
      </c>
      <c r="C1549" s="17" t="s">
        <v>5214</v>
      </c>
      <c r="D1549" s="17" t="s">
        <v>5215</v>
      </c>
      <c r="E1549" s="16" t="s">
        <v>11436</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45">
      <c r="A1550" s="15" t="s">
        <v>5504</v>
      </c>
      <c r="B1550" s="16" t="s">
        <v>5</v>
      </c>
      <c r="C1550" s="17" t="s">
        <v>5217</v>
      </c>
      <c r="D1550" s="17" t="s">
        <v>5218</v>
      </c>
      <c r="E1550" s="16" t="s">
        <v>11436</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45">
      <c r="A1551" s="15" t="s">
        <v>4937</v>
      </c>
      <c r="B1551" s="16" t="s">
        <v>5</v>
      </c>
      <c r="C1551" s="17" t="s">
        <v>5220</v>
      </c>
      <c r="D1551" s="17" t="s">
        <v>5221</v>
      </c>
      <c r="E1551" s="16" t="s">
        <v>11436</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45">
      <c r="A1552" s="15" t="s">
        <v>6056</v>
      </c>
      <c r="B1552" s="16" t="s">
        <v>5</v>
      </c>
      <c r="C1552" s="17" t="s">
        <v>5223</v>
      </c>
      <c r="D1552" s="17" t="s">
        <v>5224</v>
      </c>
      <c r="E1552" s="16" t="s">
        <v>11436</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45">
      <c r="A1553" s="15" t="s">
        <v>8731</v>
      </c>
      <c r="B1553" s="16" t="s">
        <v>5</v>
      </c>
      <c r="C1553" s="17" t="s">
        <v>5226</v>
      </c>
      <c r="D1553" s="17" t="s">
        <v>5227</v>
      </c>
      <c r="E1553" s="16" t="s">
        <v>11436</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45">
      <c r="A1554" s="15" t="s">
        <v>8767</v>
      </c>
      <c r="B1554" s="16" t="s">
        <v>5</v>
      </c>
      <c r="C1554" s="17" t="s">
        <v>5229</v>
      </c>
      <c r="D1554" s="17" t="s">
        <v>5230</v>
      </c>
      <c r="E1554" s="16" t="s">
        <v>11436</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45">
      <c r="A1555" s="15" t="s">
        <v>8968</v>
      </c>
      <c r="B1555" s="16" t="s">
        <v>5</v>
      </c>
      <c r="C1555" s="17" t="s">
        <v>5232</v>
      </c>
      <c r="D1555" s="17" t="s">
        <v>5233</v>
      </c>
      <c r="E1555" s="16" t="s">
        <v>11436</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45">
      <c r="A1556" s="15" t="s">
        <v>9169</v>
      </c>
      <c r="B1556" s="16" t="s">
        <v>5</v>
      </c>
      <c r="C1556" s="17" t="s">
        <v>5235</v>
      </c>
      <c r="D1556" s="17" t="s">
        <v>5236</v>
      </c>
      <c r="E1556" s="16" t="s">
        <v>11436</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45">
      <c r="A1557" s="15" t="s">
        <v>791</v>
      </c>
      <c r="B1557" s="16" t="s">
        <v>5</v>
      </c>
      <c r="C1557" s="17" t="s">
        <v>5238</v>
      </c>
      <c r="D1557" s="17" t="s">
        <v>5239</v>
      </c>
      <c r="E1557" s="16" t="s">
        <v>11436</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45">
      <c r="A1558" s="15" t="s">
        <v>1031</v>
      </c>
      <c r="B1558" s="16" t="s">
        <v>5</v>
      </c>
      <c r="C1558" s="17" t="s">
        <v>5241</v>
      </c>
      <c r="D1558" s="17" t="s">
        <v>5242</v>
      </c>
      <c r="E1558" s="16" t="s">
        <v>11436</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45">
      <c r="A1559" s="15" t="s">
        <v>1085</v>
      </c>
      <c r="B1559" s="16" t="s">
        <v>5</v>
      </c>
      <c r="C1559" s="17" t="s">
        <v>5244</v>
      </c>
      <c r="D1559" s="17" t="s">
        <v>5245</v>
      </c>
      <c r="E1559" s="16" t="s">
        <v>11436</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45">
      <c r="A1560" s="15" t="s">
        <v>1196</v>
      </c>
      <c r="B1560" s="16" t="s">
        <v>5</v>
      </c>
      <c r="C1560" s="17" t="s">
        <v>5247</v>
      </c>
      <c r="D1560" s="17" t="s">
        <v>5248</v>
      </c>
      <c r="E1560" s="16" t="s">
        <v>11436</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45">
      <c r="A1561" s="15" t="s">
        <v>1304</v>
      </c>
      <c r="B1561" s="16" t="s">
        <v>5</v>
      </c>
      <c r="C1561" s="17" t="s">
        <v>5250</v>
      </c>
      <c r="D1561" s="17" t="s">
        <v>5251</v>
      </c>
      <c r="E1561" s="16" t="s">
        <v>11436</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45">
      <c r="A1562" s="15" t="s">
        <v>4232</v>
      </c>
      <c r="B1562" s="16" t="s">
        <v>5</v>
      </c>
      <c r="C1562" s="17" t="s">
        <v>5253</v>
      </c>
      <c r="D1562" s="17" t="s">
        <v>5254</v>
      </c>
      <c r="E1562" s="16" t="s">
        <v>11436</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45">
      <c r="A1563" s="15" t="s">
        <v>4358</v>
      </c>
      <c r="B1563" s="16" t="s">
        <v>5</v>
      </c>
      <c r="C1563" s="17" t="s">
        <v>5256</v>
      </c>
      <c r="D1563" s="17" t="s">
        <v>5257</v>
      </c>
      <c r="E1563" s="16" t="s">
        <v>11436</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45">
      <c r="A1564" s="15" t="s">
        <v>4688</v>
      </c>
      <c r="B1564" s="16" t="s">
        <v>5</v>
      </c>
      <c r="C1564" s="17" t="s">
        <v>5259</v>
      </c>
      <c r="D1564" s="17" t="s">
        <v>5260</v>
      </c>
      <c r="E1564" s="16" t="s">
        <v>11436</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45">
      <c r="A1565" s="15" t="s">
        <v>5303</v>
      </c>
      <c r="B1565" s="16" t="s">
        <v>5</v>
      </c>
      <c r="C1565" s="17" t="s">
        <v>5262</v>
      </c>
      <c r="D1565" s="17" t="s">
        <v>5263</v>
      </c>
      <c r="E1565" s="16" t="s">
        <v>11436</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45">
      <c r="A1566" s="15" t="s">
        <v>6901</v>
      </c>
      <c r="B1566" s="16" t="s">
        <v>5</v>
      </c>
      <c r="C1566" s="17" t="s">
        <v>5265</v>
      </c>
      <c r="D1566" s="17" t="s">
        <v>5266</v>
      </c>
      <c r="E1566" s="16" t="s">
        <v>11436</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45">
      <c r="A1567" s="15" t="s">
        <v>827</v>
      </c>
      <c r="B1567" s="16" t="s">
        <v>5</v>
      </c>
      <c r="C1567" s="17" t="s">
        <v>5268</v>
      </c>
      <c r="D1567" s="17" t="s">
        <v>5269</v>
      </c>
      <c r="E1567" s="16" t="s">
        <v>11436</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45">
      <c r="A1568" s="15" t="s">
        <v>854</v>
      </c>
      <c r="B1568" s="16" t="s">
        <v>5</v>
      </c>
      <c r="C1568" s="17" t="s">
        <v>5271</v>
      </c>
      <c r="D1568" s="17" t="s">
        <v>5272</v>
      </c>
      <c r="E1568" s="16" t="s">
        <v>11436</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45">
      <c r="A1569" s="15" t="s">
        <v>11338</v>
      </c>
      <c r="B1569" s="16" t="s">
        <v>5</v>
      </c>
      <c r="C1569" s="17" t="s">
        <v>5274</v>
      </c>
      <c r="D1569" s="17" t="s">
        <v>5275</v>
      </c>
      <c r="E1569" s="16" t="s">
        <v>11436</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45">
      <c r="A1570" s="15" t="s">
        <v>983</v>
      </c>
      <c r="B1570" s="16" t="s">
        <v>5</v>
      </c>
      <c r="C1570" s="17" t="s">
        <v>5277</v>
      </c>
      <c r="D1570" s="17" t="s">
        <v>5278</v>
      </c>
      <c r="E1570" s="16" t="s">
        <v>11436</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45">
      <c r="A1571" s="15" t="s">
        <v>1016</v>
      </c>
      <c r="B1571" s="16" t="s">
        <v>5</v>
      </c>
      <c r="C1571" s="17" t="s">
        <v>5280</v>
      </c>
      <c r="D1571" s="17" t="s">
        <v>5281</v>
      </c>
      <c r="E1571" s="16" t="s">
        <v>11436</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45">
      <c r="A1572" s="15" t="s">
        <v>1025</v>
      </c>
      <c r="B1572" s="16" t="s">
        <v>5</v>
      </c>
      <c r="C1572" s="17" t="s">
        <v>5283</v>
      </c>
      <c r="D1572" s="17" t="s">
        <v>5284</v>
      </c>
      <c r="E1572" s="16" t="s">
        <v>11436</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45">
      <c r="A1573" s="15" t="s">
        <v>1097</v>
      </c>
      <c r="B1573" s="16" t="s">
        <v>5</v>
      </c>
      <c r="C1573" s="17" t="s">
        <v>5286</v>
      </c>
      <c r="D1573" s="17" t="s">
        <v>5287</v>
      </c>
      <c r="E1573" s="16" t="s">
        <v>11436</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45">
      <c r="A1574" s="15" t="s">
        <v>1124</v>
      </c>
      <c r="B1574" s="16" t="s">
        <v>5</v>
      </c>
      <c r="C1574" s="17" t="s">
        <v>5289</v>
      </c>
      <c r="D1574" s="17" t="s">
        <v>5290</v>
      </c>
      <c r="E1574" s="16" t="s">
        <v>11436</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45">
      <c r="A1575" s="15" t="s">
        <v>1127</v>
      </c>
      <c r="B1575" s="16" t="s">
        <v>5</v>
      </c>
      <c r="C1575" s="17" t="s">
        <v>5292</v>
      </c>
      <c r="D1575" s="17" t="s">
        <v>5293</v>
      </c>
      <c r="E1575" s="16" t="s">
        <v>11436</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45">
      <c r="A1576" s="15" t="s">
        <v>1133</v>
      </c>
      <c r="B1576" s="16" t="s">
        <v>5</v>
      </c>
      <c r="C1576" s="17" t="s">
        <v>5295</v>
      </c>
      <c r="D1576" s="17" t="s">
        <v>5296</v>
      </c>
      <c r="E1576" s="16" t="s">
        <v>11436</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45">
      <c r="A1577" s="15" t="s">
        <v>11339</v>
      </c>
      <c r="B1577" s="16" t="s">
        <v>5</v>
      </c>
      <c r="C1577" s="17" t="s">
        <v>5298</v>
      </c>
      <c r="D1577" s="17" t="s">
        <v>5299</v>
      </c>
      <c r="E1577" s="16" t="s">
        <v>11436</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45">
      <c r="A1578" s="15" t="s">
        <v>1205</v>
      </c>
      <c r="B1578" s="16" t="s">
        <v>5</v>
      </c>
      <c r="C1578" s="17" t="s">
        <v>5301</v>
      </c>
      <c r="D1578" s="17" t="s">
        <v>5302</v>
      </c>
      <c r="E1578" s="16" t="s">
        <v>11436</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45">
      <c r="A1579" s="15" t="s">
        <v>1235</v>
      </c>
      <c r="B1579" s="16" t="s">
        <v>5</v>
      </c>
      <c r="C1579" s="17" t="s">
        <v>5304</v>
      </c>
      <c r="D1579" s="17" t="s">
        <v>5305</v>
      </c>
      <c r="E1579" s="16" t="s">
        <v>11436</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45">
      <c r="A1580" s="15" t="s">
        <v>1280</v>
      </c>
      <c r="B1580" s="16" t="s">
        <v>5</v>
      </c>
      <c r="C1580" s="17" t="s">
        <v>5307</v>
      </c>
      <c r="D1580" s="17" t="s">
        <v>5308</v>
      </c>
      <c r="E1580" s="16" t="s">
        <v>11436</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45">
      <c r="A1581" s="15" t="s">
        <v>1283</v>
      </c>
      <c r="B1581" s="16" t="s">
        <v>5</v>
      </c>
      <c r="C1581" s="17" t="s">
        <v>5310</v>
      </c>
      <c r="D1581" s="17" t="s">
        <v>5311</v>
      </c>
      <c r="E1581" s="16" t="s">
        <v>11436</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45">
      <c r="A1582" s="15" t="s">
        <v>1313</v>
      </c>
      <c r="B1582" s="16" t="s">
        <v>5</v>
      </c>
      <c r="C1582" s="17" t="s">
        <v>5313</v>
      </c>
      <c r="D1582" s="17" t="s">
        <v>5314</v>
      </c>
      <c r="E1582" s="16" t="s">
        <v>11436</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45">
      <c r="A1583" s="15" t="s">
        <v>1340</v>
      </c>
      <c r="B1583" s="16" t="s">
        <v>5</v>
      </c>
      <c r="C1583" s="17" t="s">
        <v>5316</v>
      </c>
      <c r="D1583" s="17" t="s">
        <v>5317</v>
      </c>
      <c r="E1583" s="16" t="s">
        <v>11436</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45">
      <c r="A1584" s="15" t="s">
        <v>1369</v>
      </c>
      <c r="B1584" s="16" t="s">
        <v>5</v>
      </c>
      <c r="C1584" s="17" t="s">
        <v>5319</v>
      </c>
      <c r="D1584" s="17" t="s">
        <v>5320</v>
      </c>
      <c r="E1584" s="16" t="s">
        <v>11436</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45">
      <c r="A1585" s="15" t="s">
        <v>4214</v>
      </c>
      <c r="B1585" s="16" t="s">
        <v>5</v>
      </c>
      <c r="C1585" s="17" t="s">
        <v>5322</v>
      </c>
      <c r="D1585" s="17" t="s">
        <v>5323</v>
      </c>
      <c r="E1585" s="16" t="s">
        <v>11436</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45">
      <c r="A1586" s="15" t="s">
        <v>4361</v>
      </c>
      <c r="B1586" s="16" t="s">
        <v>5</v>
      </c>
      <c r="C1586" s="17" t="s">
        <v>5325</v>
      </c>
      <c r="D1586" s="17" t="s">
        <v>5326</v>
      </c>
      <c r="E1586" s="16" t="s">
        <v>11436</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45">
      <c r="A1587" s="15" t="s">
        <v>4853</v>
      </c>
      <c r="B1587" s="16" t="s">
        <v>5</v>
      </c>
      <c r="C1587" s="17" t="s">
        <v>5328</v>
      </c>
      <c r="D1587" s="17" t="s">
        <v>5329</v>
      </c>
      <c r="E1587" s="16" t="s">
        <v>11436</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45">
      <c r="A1588" s="15" t="s">
        <v>5147</v>
      </c>
      <c r="B1588" s="16" t="s">
        <v>5</v>
      </c>
      <c r="C1588" s="17" t="s">
        <v>5331</v>
      </c>
      <c r="D1588" s="17" t="s">
        <v>5332</v>
      </c>
      <c r="E1588" s="16" t="s">
        <v>11436</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45">
      <c r="A1589" s="15" t="s">
        <v>11340</v>
      </c>
      <c r="B1589" s="16" t="s">
        <v>5</v>
      </c>
      <c r="C1589" s="17" t="s">
        <v>5334</v>
      </c>
      <c r="D1589" s="17" t="s">
        <v>5335</v>
      </c>
      <c r="E1589" s="16" t="s">
        <v>11436</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45">
      <c r="A1590" s="15" t="s">
        <v>5486</v>
      </c>
      <c r="B1590" s="16" t="s">
        <v>5</v>
      </c>
      <c r="C1590" s="17" t="s">
        <v>5337</v>
      </c>
      <c r="D1590" s="17" t="s">
        <v>5338</v>
      </c>
      <c r="E1590" s="16" t="s">
        <v>11436</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45">
      <c r="A1591" s="15" t="s">
        <v>11341</v>
      </c>
      <c r="B1591" s="16" t="s">
        <v>5</v>
      </c>
      <c r="C1591" s="17" t="s">
        <v>5340</v>
      </c>
      <c r="D1591" s="17" t="s">
        <v>5341</v>
      </c>
      <c r="E1591" s="16" t="s">
        <v>11436</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45">
      <c r="A1592" s="15" t="s">
        <v>5624</v>
      </c>
      <c r="B1592" s="16" t="s">
        <v>5</v>
      </c>
      <c r="C1592" s="17" t="s">
        <v>5343</v>
      </c>
      <c r="D1592" s="17" t="s">
        <v>5344</v>
      </c>
      <c r="E1592" s="16" t="s">
        <v>11436</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45">
      <c r="A1593" s="15" t="s">
        <v>6080</v>
      </c>
      <c r="B1593" s="16" t="s">
        <v>5</v>
      </c>
      <c r="C1593" s="17" t="s">
        <v>5346</v>
      </c>
      <c r="D1593" s="17" t="s">
        <v>5347</v>
      </c>
      <c r="E1593" s="16" t="s">
        <v>11436</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45">
      <c r="A1594" s="15" t="s">
        <v>6427</v>
      </c>
      <c r="B1594" s="16" t="s">
        <v>5</v>
      </c>
      <c r="C1594" s="17" t="s">
        <v>5349</v>
      </c>
      <c r="D1594" s="17" t="s">
        <v>5350</v>
      </c>
      <c r="E1594" s="16" t="s">
        <v>11436</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45">
      <c r="A1595" s="15" t="s">
        <v>6496</v>
      </c>
      <c r="B1595" s="16" t="s">
        <v>5</v>
      </c>
      <c r="C1595" s="17" t="s">
        <v>5352</v>
      </c>
      <c r="D1595" s="17" t="s">
        <v>5353</v>
      </c>
      <c r="E1595" s="16" t="s">
        <v>11436</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45">
      <c r="A1596" s="15" t="s">
        <v>8056</v>
      </c>
      <c r="B1596" s="16" t="s">
        <v>5</v>
      </c>
      <c r="C1596" s="17" t="s">
        <v>5355</v>
      </c>
      <c r="D1596" s="17" t="s">
        <v>5356</v>
      </c>
      <c r="E1596" s="16" t="s">
        <v>11436</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45">
      <c r="A1597" s="15" t="s">
        <v>1157</v>
      </c>
      <c r="B1597" s="16" t="s">
        <v>5</v>
      </c>
      <c r="C1597" s="17" t="s">
        <v>5358</v>
      </c>
      <c r="D1597" s="17" t="s">
        <v>5359</v>
      </c>
      <c r="E1597" s="16" t="s">
        <v>11436</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45">
      <c r="A1598" s="15" t="s">
        <v>4469</v>
      </c>
      <c r="B1598" s="16" t="s">
        <v>5</v>
      </c>
      <c r="C1598" s="17" t="s">
        <v>5361</v>
      </c>
      <c r="D1598" s="17" t="s">
        <v>5362</v>
      </c>
      <c r="E1598" s="16" t="s">
        <v>11436</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45">
      <c r="A1599" s="15" t="s">
        <v>4922</v>
      </c>
      <c r="B1599" s="16" t="s">
        <v>5</v>
      </c>
      <c r="C1599" s="17" t="s">
        <v>5364</v>
      </c>
      <c r="D1599" s="17" t="s">
        <v>5365</v>
      </c>
      <c r="E1599" s="15" t="s">
        <v>11436</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45">
      <c r="A1600" s="15" t="s">
        <v>1316</v>
      </c>
      <c r="B1600" s="16" t="s">
        <v>5</v>
      </c>
      <c r="C1600" s="17" t="s">
        <v>5367</v>
      </c>
      <c r="D1600" s="17" t="s">
        <v>5368</v>
      </c>
      <c r="E1600" s="16" t="s">
        <v>11436</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45">
      <c r="A1601" s="15" t="s">
        <v>8953</v>
      </c>
      <c r="B1601" s="16" t="s">
        <v>5</v>
      </c>
      <c r="C1601" s="17" t="s">
        <v>5370</v>
      </c>
      <c r="D1601" s="17" t="s">
        <v>5371</v>
      </c>
      <c r="E1601" s="16" t="s">
        <v>11436</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45">
      <c r="A1602" s="15" t="s">
        <v>9133</v>
      </c>
      <c r="B1602" s="16" t="s">
        <v>5</v>
      </c>
      <c r="C1602" s="17" t="s">
        <v>5373</v>
      </c>
      <c r="D1602" s="17" t="s">
        <v>5374</v>
      </c>
      <c r="E1602" s="16" t="s">
        <v>11436</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45">
      <c r="A1603" s="15" t="s">
        <v>1744</v>
      </c>
      <c r="B1603" s="16" t="s">
        <v>5</v>
      </c>
      <c r="C1603" s="17" t="s">
        <v>5376</v>
      </c>
      <c r="D1603" s="17" t="s">
        <v>5377</v>
      </c>
      <c r="E1603" s="16" t="s">
        <v>11436</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45">
      <c r="A1604" s="15" t="s">
        <v>1855</v>
      </c>
      <c r="B1604" s="16" t="s">
        <v>5</v>
      </c>
      <c r="C1604" s="17" t="s">
        <v>5379</v>
      </c>
      <c r="D1604" s="17" t="s">
        <v>5380</v>
      </c>
      <c r="E1604" s="16" t="s">
        <v>11436</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45">
      <c r="A1605" s="15" t="s">
        <v>2162</v>
      </c>
      <c r="B1605" s="16" t="s">
        <v>5</v>
      </c>
      <c r="C1605" s="17" t="s">
        <v>5382</v>
      </c>
      <c r="D1605" s="17" t="s">
        <v>5383</v>
      </c>
      <c r="E1605" s="16" t="s">
        <v>11436</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45">
      <c r="A1606" s="15" t="s">
        <v>2207</v>
      </c>
      <c r="B1606" s="16" t="s">
        <v>5</v>
      </c>
      <c r="C1606" s="17" t="s">
        <v>5385</v>
      </c>
      <c r="D1606" s="17" t="s">
        <v>5386</v>
      </c>
      <c r="E1606" s="16" t="s">
        <v>11436</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45">
      <c r="A1607" s="15" t="s">
        <v>2343</v>
      </c>
      <c r="B1607" s="16" t="s">
        <v>5</v>
      </c>
      <c r="C1607" s="17" t="s">
        <v>5388</v>
      </c>
      <c r="D1607" s="17" t="s">
        <v>5389</v>
      </c>
      <c r="E1607" s="16" t="s">
        <v>11436</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45">
      <c r="A1608" s="15" t="s">
        <v>2346</v>
      </c>
      <c r="B1608" s="16" t="s">
        <v>5</v>
      </c>
      <c r="C1608" s="17" t="s">
        <v>5391</v>
      </c>
      <c r="D1608" s="17" t="s">
        <v>5392</v>
      </c>
      <c r="E1608" s="16" t="s">
        <v>11436</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45">
      <c r="A1609" s="15" t="s">
        <v>619</v>
      </c>
      <c r="B1609" s="16" t="s">
        <v>183</v>
      </c>
      <c r="C1609" s="17" t="s">
        <v>5394</v>
      </c>
      <c r="D1609" s="17" t="s">
        <v>5395</v>
      </c>
      <c r="E1609" s="16" t="s">
        <v>11416</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45">
      <c r="A1610" s="15" t="s">
        <v>646</v>
      </c>
      <c r="B1610" s="16" t="s">
        <v>183</v>
      </c>
      <c r="C1610" s="17" t="s">
        <v>5397</v>
      </c>
      <c r="D1610" s="17" t="s">
        <v>5398</v>
      </c>
      <c r="E1610" s="16" t="s">
        <v>11416</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45">
      <c r="A1611" s="15" t="s">
        <v>552</v>
      </c>
      <c r="B1611" s="16" t="s">
        <v>183</v>
      </c>
      <c r="C1611" s="17" t="s">
        <v>5400</v>
      </c>
      <c r="D1611" s="17" t="s">
        <v>5401</v>
      </c>
      <c r="E1611" s="16" t="s">
        <v>11416</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45">
      <c r="A1612" s="15" t="s">
        <v>574</v>
      </c>
      <c r="B1612" s="16" t="s">
        <v>183</v>
      </c>
      <c r="C1612" s="17" t="s">
        <v>5403</v>
      </c>
      <c r="D1612" s="17" t="s">
        <v>5404</v>
      </c>
      <c r="E1612" s="16" t="s">
        <v>11416</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45">
      <c r="A1613" s="15" t="s">
        <v>625</v>
      </c>
      <c r="B1613" s="16" t="s">
        <v>183</v>
      </c>
      <c r="C1613" s="17" t="s">
        <v>5406</v>
      </c>
      <c r="D1613" s="17" t="s">
        <v>5407</v>
      </c>
      <c r="E1613" s="16" t="s">
        <v>11416</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45">
      <c r="A1614" s="15" t="s">
        <v>989</v>
      </c>
      <c r="B1614" s="16" t="s">
        <v>5</v>
      </c>
      <c r="C1614" s="17" t="s">
        <v>5409</v>
      </c>
      <c r="D1614" s="17" t="s">
        <v>5410</v>
      </c>
      <c r="E1614" s="16" t="s">
        <v>11436</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45">
      <c r="A1615" s="15" t="s">
        <v>1178</v>
      </c>
      <c r="B1615" s="16" t="s">
        <v>5</v>
      </c>
      <c r="C1615" s="17" t="s">
        <v>5412</v>
      </c>
      <c r="D1615" s="17" t="s">
        <v>5413</v>
      </c>
      <c r="E1615" s="16" t="s">
        <v>11436</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45">
      <c r="A1616" s="15" t="s">
        <v>1199</v>
      </c>
      <c r="B1616" s="16" t="s">
        <v>5</v>
      </c>
      <c r="C1616" s="17" t="s">
        <v>5415</v>
      </c>
      <c r="D1616" s="17" t="s">
        <v>5416</v>
      </c>
      <c r="E1616" s="16" t="s">
        <v>11436</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45">
      <c r="A1617" s="15" t="s">
        <v>1331</v>
      </c>
      <c r="B1617" s="16" t="s">
        <v>5</v>
      </c>
      <c r="C1617" s="17" t="s">
        <v>5418</v>
      </c>
      <c r="D1617" s="17" t="s">
        <v>5419</v>
      </c>
      <c r="E1617" s="16" t="s">
        <v>11436</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45">
      <c r="A1618" s="15" t="s">
        <v>4676</v>
      </c>
      <c r="B1618" s="16" t="s">
        <v>5</v>
      </c>
      <c r="C1618" s="17" t="s">
        <v>5421</v>
      </c>
      <c r="D1618" s="17" t="s">
        <v>5422</v>
      </c>
      <c r="E1618" s="16" t="s">
        <v>11436</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45">
      <c r="A1619" s="15" t="s">
        <v>4976</v>
      </c>
      <c r="B1619" s="16" t="s">
        <v>5</v>
      </c>
      <c r="C1619" s="17" t="s">
        <v>5424</v>
      </c>
      <c r="D1619" s="17" t="s">
        <v>5425</v>
      </c>
      <c r="E1619" s="16" t="s">
        <v>11436</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45">
      <c r="A1620" s="15" t="s">
        <v>5027</v>
      </c>
      <c r="B1620" s="16" t="s">
        <v>5</v>
      </c>
      <c r="C1620" s="17" t="s">
        <v>5427</v>
      </c>
      <c r="D1620" s="17" t="s">
        <v>5428</v>
      </c>
      <c r="E1620" s="16" t="s">
        <v>11436</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45">
      <c r="A1621" s="15" t="s">
        <v>5144</v>
      </c>
      <c r="B1621" s="16" t="s">
        <v>5</v>
      </c>
      <c r="C1621" s="17" t="s">
        <v>5430</v>
      </c>
      <c r="D1621" s="17" t="s">
        <v>5431</v>
      </c>
      <c r="E1621" s="16" t="s">
        <v>11436</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45">
      <c r="A1622" s="15" t="s">
        <v>5306</v>
      </c>
      <c r="B1622" s="16" t="s">
        <v>5</v>
      </c>
      <c r="C1622" s="17" t="s">
        <v>5433</v>
      </c>
      <c r="D1622" s="17" t="s">
        <v>5434</v>
      </c>
      <c r="E1622" s="15" t="s">
        <v>11436</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45">
      <c r="A1623" s="15" t="s">
        <v>5690</v>
      </c>
      <c r="B1623" s="16" t="s">
        <v>5</v>
      </c>
      <c r="C1623" s="17" t="s">
        <v>5436</v>
      </c>
      <c r="D1623" s="17" t="s">
        <v>5437</v>
      </c>
      <c r="E1623" s="16" t="s">
        <v>11436</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45">
      <c r="A1624" s="15" t="s">
        <v>6134</v>
      </c>
      <c r="B1624" s="16" t="s">
        <v>5</v>
      </c>
      <c r="C1624" s="17" t="s">
        <v>5439</v>
      </c>
      <c r="D1624" s="17" t="s">
        <v>5440</v>
      </c>
      <c r="E1624" s="16" t="s">
        <v>11436</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45">
      <c r="A1625" s="15" t="s">
        <v>6685</v>
      </c>
      <c r="B1625" s="16" t="s">
        <v>5</v>
      </c>
      <c r="C1625" s="17" t="s">
        <v>5442</v>
      </c>
      <c r="D1625" s="17" t="s">
        <v>5443</v>
      </c>
      <c r="E1625" s="16" t="s">
        <v>11436</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45">
      <c r="A1626" s="15" t="s">
        <v>6799</v>
      </c>
      <c r="B1626" s="16" t="s">
        <v>5</v>
      </c>
      <c r="C1626" s="17" t="s">
        <v>5445</v>
      </c>
      <c r="D1626" s="17" t="s">
        <v>5446</v>
      </c>
      <c r="E1626" s="16" t="s">
        <v>11436</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45">
      <c r="A1627" s="15" t="s">
        <v>6862</v>
      </c>
      <c r="B1627" s="16" t="s">
        <v>5</v>
      </c>
      <c r="C1627" s="17" t="s">
        <v>5448</v>
      </c>
      <c r="D1627" s="17" t="s">
        <v>5449</v>
      </c>
      <c r="E1627" s="16" t="s">
        <v>11436</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45">
      <c r="A1628" s="15" t="s">
        <v>7195</v>
      </c>
      <c r="B1628" s="16" t="s">
        <v>5</v>
      </c>
      <c r="C1628" s="17" t="s">
        <v>5451</v>
      </c>
      <c r="D1628" s="17" t="s">
        <v>5452</v>
      </c>
      <c r="E1628" s="16" t="s">
        <v>11436</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45">
      <c r="A1629" s="15" t="s">
        <v>6922</v>
      </c>
      <c r="B1629" s="16" t="s">
        <v>5</v>
      </c>
      <c r="C1629" s="17" t="s">
        <v>5454</v>
      </c>
      <c r="D1629" s="17" t="s">
        <v>5455</v>
      </c>
      <c r="E1629" s="16" t="s">
        <v>11436</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45">
      <c r="A1630" s="15" t="s">
        <v>5261</v>
      </c>
      <c r="B1630" s="16" t="s">
        <v>5</v>
      </c>
      <c r="C1630" s="17" t="s">
        <v>5457</v>
      </c>
      <c r="D1630" s="17" t="s">
        <v>5458</v>
      </c>
      <c r="E1630" s="16" t="s">
        <v>11436</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45">
      <c r="A1631" s="15" t="s">
        <v>4520</v>
      </c>
      <c r="B1631" s="16" t="s">
        <v>5</v>
      </c>
      <c r="C1631" s="17" t="s">
        <v>5460</v>
      </c>
      <c r="D1631" s="17" t="s">
        <v>5461</v>
      </c>
      <c r="E1631" s="16" t="s">
        <v>11436</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45">
      <c r="A1632" s="15" t="s">
        <v>6706</v>
      </c>
      <c r="B1632" s="16" t="s">
        <v>5</v>
      </c>
      <c r="C1632" s="17" t="s">
        <v>5463</v>
      </c>
      <c r="D1632" s="17" t="s">
        <v>5464</v>
      </c>
      <c r="E1632" s="16" t="s">
        <v>11436</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45">
      <c r="A1633" s="15" t="s">
        <v>4274</v>
      </c>
      <c r="B1633" s="16" t="s">
        <v>5</v>
      </c>
      <c r="C1633" s="17" t="s">
        <v>5466</v>
      </c>
      <c r="D1633" s="17" t="s">
        <v>5467</v>
      </c>
      <c r="E1633" s="16" t="s">
        <v>11436</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45">
      <c r="A1634" s="15" t="s">
        <v>4670</v>
      </c>
      <c r="B1634" s="16" t="s">
        <v>5</v>
      </c>
      <c r="C1634" s="17" t="s">
        <v>5469</v>
      </c>
      <c r="D1634" s="17" t="s">
        <v>5470</v>
      </c>
      <c r="E1634" s="16" t="s">
        <v>11436</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45">
      <c r="A1635" s="15" t="s">
        <v>4703</v>
      </c>
      <c r="B1635" s="16" t="s">
        <v>5</v>
      </c>
      <c r="C1635" s="17" t="s">
        <v>5472</v>
      </c>
      <c r="D1635" s="17" t="s">
        <v>5473</v>
      </c>
      <c r="E1635" s="16" t="s">
        <v>11436</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45">
      <c r="A1636" s="15" t="s">
        <v>5927</v>
      </c>
      <c r="B1636" s="16" t="s">
        <v>5</v>
      </c>
      <c r="C1636" s="17" t="s">
        <v>5475</v>
      </c>
      <c r="D1636" s="17" t="s">
        <v>5476</v>
      </c>
      <c r="E1636" s="16" t="s">
        <v>11436</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45">
      <c r="A1637" s="15" t="s">
        <v>8155</v>
      </c>
      <c r="B1637" s="16" t="s">
        <v>5</v>
      </c>
      <c r="C1637" s="17" t="s">
        <v>5478</v>
      </c>
      <c r="D1637" s="17" t="s">
        <v>5479</v>
      </c>
      <c r="E1637" s="16" t="s">
        <v>11436</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45">
      <c r="A1638" s="15" t="s">
        <v>794</v>
      </c>
      <c r="B1638" s="16" t="s">
        <v>5</v>
      </c>
      <c r="C1638" s="17" t="s">
        <v>5481</v>
      </c>
      <c r="D1638" s="17" t="s">
        <v>5482</v>
      </c>
      <c r="E1638" s="16" t="s">
        <v>11436</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45">
      <c r="A1639" s="15" t="s">
        <v>869</v>
      </c>
      <c r="B1639" s="16" t="s">
        <v>5</v>
      </c>
      <c r="C1639" s="17" t="s">
        <v>5484</v>
      </c>
      <c r="D1639" s="17" t="s">
        <v>5485</v>
      </c>
      <c r="E1639" s="16" t="s">
        <v>11436</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45">
      <c r="A1640" s="15" t="s">
        <v>953</v>
      </c>
      <c r="B1640" s="16" t="s">
        <v>5</v>
      </c>
      <c r="C1640" s="17" t="s">
        <v>5487</v>
      </c>
      <c r="D1640" s="17" t="s">
        <v>5488</v>
      </c>
      <c r="E1640" s="16" t="s">
        <v>11436</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45">
      <c r="A1641" s="15" t="s">
        <v>1064</v>
      </c>
      <c r="B1641" s="16" t="s">
        <v>5</v>
      </c>
      <c r="C1641" s="17" t="s">
        <v>5490</v>
      </c>
      <c r="D1641" s="17" t="s">
        <v>5491</v>
      </c>
      <c r="E1641" s="16" t="s">
        <v>11436</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45">
      <c r="A1642" s="15" t="s">
        <v>1160</v>
      </c>
      <c r="B1642" s="16" t="s">
        <v>5</v>
      </c>
      <c r="C1642" s="17" t="s">
        <v>5493</v>
      </c>
      <c r="D1642" s="17" t="s">
        <v>5494</v>
      </c>
      <c r="E1642" s="16" t="s">
        <v>11436</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45">
      <c r="A1643" s="15" t="s">
        <v>4337</v>
      </c>
      <c r="B1643" s="16" t="s">
        <v>5</v>
      </c>
      <c r="C1643" s="17" t="s">
        <v>5496</v>
      </c>
      <c r="D1643" s="17" t="s">
        <v>5497</v>
      </c>
      <c r="E1643" s="16" t="s">
        <v>11436</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45">
      <c r="A1644" s="15" t="s">
        <v>4349</v>
      </c>
      <c r="B1644" s="16" t="s">
        <v>5</v>
      </c>
      <c r="C1644" s="17" t="s">
        <v>5499</v>
      </c>
      <c r="D1644" s="17" t="s">
        <v>5500</v>
      </c>
      <c r="E1644" s="16" t="s">
        <v>11436</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45">
      <c r="A1645" s="15" t="s">
        <v>4430</v>
      </c>
      <c r="B1645" s="16" t="s">
        <v>5</v>
      </c>
      <c r="C1645" s="17" t="s">
        <v>5502</v>
      </c>
      <c r="D1645" s="17" t="s">
        <v>5503</v>
      </c>
      <c r="E1645" s="16" t="s">
        <v>11436</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45">
      <c r="A1646" s="15" t="s">
        <v>4538</v>
      </c>
      <c r="B1646" s="16" t="s">
        <v>5</v>
      </c>
      <c r="C1646" s="17" t="s">
        <v>5505</v>
      </c>
      <c r="D1646" s="17" t="s">
        <v>5506</v>
      </c>
      <c r="E1646" s="16" t="s">
        <v>11436</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45">
      <c r="A1647" s="15" t="s">
        <v>4763</v>
      </c>
      <c r="B1647" s="16" t="s">
        <v>5</v>
      </c>
      <c r="C1647" s="17" t="s">
        <v>5508</v>
      </c>
      <c r="D1647" s="17" t="s">
        <v>5509</v>
      </c>
      <c r="E1647" s="16" t="s">
        <v>11436</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45">
      <c r="A1648" s="15" t="s">
        <v>5405</v>
      </c>
      <c r="B1648" s="16" t="s">
        <v>5</v>
      </c>
      <c r="C1648" s="17" t="s">
        <v>5511</v>
      </c>
      <c r="D1648" s="17" t="s">
        <v>5512</v>
      </c>
      <c r="E1648" s="16" t="s">
        <v>11436</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45">
      <c r="A1649" s="15" t="s">
        <v>5441</v>
      </c>
      <c r="B1649" s="16" t="s">
        <v>5</v>
      </c>
      <c r="C1649" s="17" t="s">
        <v>5514</v>
      </c>
      <c r="D1649" s="17" t="s">
        <v>5515</v>
      </c>
      <c r="E1649" s="16" t="s">
        <v>11436</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45">
      <c r="A1650" s="15" t="s">
        <v>5447</v>
      </c>
      <c r="B1650" s="16" t="s">
        <v>5</v>
      </c>
      <c r="C1650" s="17" t="s">
        <v>5517</v>
      </c>
      <c r="D1650" s="17" t="s">
        <v>5518</v>
      </c>
      <c r="E1650" s="16" t="s">
        <v>11436</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45">
      <c r="A1651" s="15" t="s">
        <v>5453</v>
      </c>
      <c r="B1651" s="16" t="s">
        <v>5</v>
      </c>
      <c r="C1651" s="17" t="s">
        <v>5520</v>
      </c>
      <c r="D1651" s="17" t="s">
        <v>5521</v>
      </c>
      <c r="E1651" s="16" t="s">
        <v>11436</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45">
      <c r="A1652" s="15" t="s">
        <v>5516</v>
      </c>
      <c r="B1652" s="16" t="s">
        <v>5</v>
      </c>
      <c r="C1652" s="17" t="s">
        <v>5523</v>
      </c>
      <c r="D1652" s="17" t="s">
        <v>5524</v>
      </c>
      <c r="E1652" s="16" t="s">
        <v>11436</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45">
      <c r="A1653" s="15" t="s">
        <v>6559</v>
      </c>
      <c r="B1653" s="16" t="s">
        <v>5</v>
      </c>
      <c r="C1653" s="17" t="s">
        <v>5526</v>
      </c>
      <c r="D1653" s="17" t="s">
        <v>5527</v>
      </c>
      <c r="E1653" s="16" t="s">
        <v>11436</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45">
      <c r="A1654" s="15" t="s">
        <v>6631</v>
      </c>
      <c r="B1654" s="16" t="s">
        <v>5</v>
      </c>
      <c r="C1654" s="17" t="s">
        <v>5529</v>
      </c>
      <c r="D1654" s="17" t="s">
        <v>5530</v>
      </c>
      <c r="E1654" s="16" t="s">
        <v>11436</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45">
      <c r="A1655" s="15" t="s">
        <v>11342</v>
      </c>
      <c r="B1655" s="16" t="s">
        <v>5</v>
      </c>
      <c r="C1655" s="17" t="s">
        <v>5532</v>
      </c>
      <c r="D1655" s="17" t="s">
        <v>5533</v>
      </c>
      <c r="E1655" s="16" t="s">
        <v>11436</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45">
      <c r="A1656" s="15" t="s">
        <v>1187</v>
      </c>
      <c r="B1656" s="16" t="s">
        <v>5</v>
      </c>
      <c r="C1656" s="17" t="s">
        <v>5535</v>
      </c>
      <c r="D1656" s="17" t="s">
        <v>5536</v>
      </c>
      <c r="E1656" s="16" t="s">
        <v>11436</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45">
      <c r="A1657" s="15" t="s">
        <v>7945</v>
      </c>
      <c r="B1657" s="16" t="s">
        <v>5</v>
      </c>
      <c r="C1657" s="17" t="s">
        <v>5538</v>
      </c>
      <c r="D1657" s="17" t="s">
        <v>5539</v>
      </c>
      <c r="E1657" s="16" t="s">
        <v>11436</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45">
      <c r="A1658" s="15" t="s">
        <v>649</v>
      </c>
      <c r="B1658" s="16" t="s">
        <v>183</v>
      </c>
      <c r="C1658" s="17" t="s">
        <v>5541</v>
      </c>
      <c r="D1658" s="17" t="s">
        <v>5542</v>
      </c>
      <c r="E1658" s="16" t="s">
        <v>11416</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45">
      <c r="A1659" s="15" t="s">
        <v>11343</v>
      </c>
      <c r="B1659" s="16" t="s">
        <v>183</v>
      </c>
      <c r="C1659" s="17" t="s">
        <v>5544</v>
      </c>
      <c r="D1659" s="17" t="s">
        <v>5545</v>
      </c>
      <c r="E1659" s="16" t="s">
        <v>11416</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45">
      <c r="A1660" s="15" t="s">
        <v>610</v>
      </c>
      <c r="B1660" s="16" t="s">
        <v>183</v>
      </c>
      <c r="C1660" s="17" t="s">
        <v>5547</v>
      </c>
      <c r="D1660" s="17" t="s">
        <v>5548</v>
      </c>
      <c r="E1660" s="16" t="s">
        <v>11416</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45">
      <c r="A1661" s="15" t="s">
        <v>562</v>
      </c>
      <c r="B1661" s="16" t="s">
        <v>183</v>
      </c>
      <c r="C1661" s="17" t="s">
        <v>5550</v>
      </c>
      <c r="D1661" s="17" t="s">
        <v>5551</v>
      </c>
      <c r="E1661" s="16" t="s">
        <v>11416</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45">
      <c r="A1662" s="15" t="s">
        <v>613</v>
      </c>
      <c r="B1662" s="16" t="s">
        <v>183</v>
      </c>
      <c r="C1662" s="17" t="s">
        <v>5553</v>
      </c>
      <c r="D1662" s="17" t="s">
        <v>5554</v>
      </c>
      <c r="E1662" s="16" t="s">
        <v>11416</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45">
      <c r="A1663" s="15" t="s">
        <v>670</v>
      </c>
      <c r="B1663" s="16" t="s">
        <v>183</v>
      </c>
      <c r="C1663" s="17" t="s">
        <v>5556</v>
      </c>
      <c r="D1663" s="17" t="s">
        <v>5557</v>
      </c>
      <c r="E1663" s="16" t="s">
        <v>11416</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45">
      <c r="A1664" s="15" t="s">
        <v>788</v>
      </c>
      <c r="B1664" s="16" t="s">
        <v>5</v>
      </c>
      <c r="C1664" s="17" t="s">
        <v>5559</v>
      </c>
      <c r="D1664" s="17" t="s">
        <v>5560</v>
      </c>
      <c r="E1664" s="16" t="s">
        <v>11436</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45">
      <c r="A1665" s="15" t="s">
        <v>806</v>
      </c>
      <c r="B1665" s="16" t="s">
        <v>5</v>
      </c>
      <c r="C1665" s="17" t="s">
        <v>5562</v>
      </c>
      <c r="D1665" s="17" t="s">
        <v>5563</v>
      </c>
      <c r="E1665" s="16" t="s">
        <v>11436</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45">
      <c r="A1666" s="15" t="s">
        <v>821</v>
      </c>
      <c r="B1666" s="16" t="s">
        <v>5</v>
      </c>
      <c r="C1666" s="17" t="s">
        <v>5565</v>
      </c>
      <c r="D1666" s="17" t="s">
        <v>5566</v>
      </c>
      <c r="E1666" s="16" t="s">
        <v>11436</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45">
      <c r="A1667" s="15" t="s">
        <v>4271</v>
      </c>
      <c r="B1667" s="16" t="s">
        <v>5</v>
      </c>
      <c r="C1667" s="17" t="s">
        <v>5568</v>
      </c>
      <c r="D1667" s="17" t="s">
        <v>5569</v>
      </c>
      <c r="E1667" s="16" t="s">
        <v>11436</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45">
      <c r="A1668" s="15" t="s">
        <v>4220</v>
      </c>
      <c r="B1668" s="16" t="s">
        <v>5</v>
      </c>
      <c r="C1668" s="17" t="s">
        <v>5571</v>
      </c>
      <c r="D1668" s="17" t="s">
        <v>5572</v>
      </c>
      <c r="E1668" s="16" t="s">
        <v>11436</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45">
      <c r="A1669" s="15" t="s">
        <v>4238</v>
      </c>
      <c r="B1669" s="16" t="s">
        <v>5</v>
      </c>
      <c r="C1669" s="17" t="s">
        <v>5574</v>
      </c>
      <c r="D1669" s="17" t="s">
        <v>5575</v>
      </c>
      <c r="E1669" s="16" t="s">
        <v>11436</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45">
      <c r="A1670" s="15" t="s">
        <v>4286</v>
      </c>
      <c r="B1670" s="16" t="s">
        <v>5</v>
      </c>
      <c r="C1670" s="17" t="s">
        <v>5577</v>
      </c>
      <c r="D1670" s="17" t="s">
        <v>5578</v>
      </c>
      <c r="E1670" s="16" t="s">
        <v>11436</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45">
      <c r="A1671" s="15" t="s">
        <v>11344</v>
      </c>
      <c r="B1671" s="16" t="s">
        <v>5</v>
      </c>
      <c r="C1671" s="17" t="s">
        <v>5580</v>
      </c>
      <c r="D1671" s="17" t="s">
        <v>5581</v>
      </c>
      <c r="E1671" s="16" t="s">
        <v>11436</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45">
      <c r="A1672" s="15" t="s">
        <v>1148</v>
      </c>
      <c r="B1672" s="16" t="s">
        <v>5</v>
      </c>
      <c r="C1672" s="17" t="s">
        <v>5583</v>
      </c>
      <c r="D1672" s="17" t="s">
        <v>5584</v>
      </c>
      <c r="E1672" s="16" t="s">
        <v>11436</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45">
      <c r="A1673" s="15" t="s">
        <v>1172</v>
      </c>
      <c r="B1673" s="16" t="s">
        <v>5</v>
      </c>
      <c r="C1673" s="17" t="s">
        <v>5586</v>
      </c>
      <c r="D1673" s="17" t="s">
        <v>5587</v>
      </c>
      <c r="E1673" s="16" t="s">
        <v>11436</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45">
      <c r="A1674" s="15" t="s">
        <v>4493</v>
      </c>
      <c r="B1674" s="16" t="s">
        <v>5</v>
      </c>
      <c r="C1674" s="17" t="s">
        <v>5589</v>
      </c>
      <c r="D1674" s="17" t="s">
        <v>5590</v>
      </c>
      <c r="E1674" s="16" t="s">
        <v>11436</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45">
      <c r="A1675" s="15" t="s">
        <v>4508</v>
      </c>
      <c r="B1675" s="16" t="s">
        <v>5</v>
      </c>
      <c r="C1675" s="17" t="s">
        <v>5592</v>
      </c>
      <c r="D1675" s="17" t="s">
        <v>5593</v>
      </c>
      <c r="E1675" s="16" t="s">
        <v>11436</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45">
      <c r="A1676" s="15" t="s">
        <v>4673</v>
      </c>
      <c r="B1676" s="16" t="s">
        <v>5</v>
      </c>
      <c r="C1676" s="17" t="s">
        <v>5595</v>
      </c>
      <c r="D1676" s="17" t="s">
        <v>5596</v>
      </c>
      <c r="E1676" s="16" t="s">
        <v>11436</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45">
      <c r="A1677" s="15" t="s">
        <v>5387</v>
      </c>
      <c r="B1677" s="16" t="s">
        <v>5</v>
      </c>
      <c r="C1677" s="17" t="s">
        <v>5598</v>
      </c>
      <c r="D1677" s="17" t="s">
        <v>5599</v>
      </c>
      <c r="E1677" s="16" t="s">
        <v>11436</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45">
      <c r="A1678" s="15" t="s">
        <v>6164</v>
      </c>
      <c r="B1678" s="16" t="s">
        <v>5</v>
      </c>
      <c r="C1678" s="17" t="s">
        <v>5601</v>
      </c>
      <c r="D1678" s="17" t="s">
        <v>5602</v>
      </c>
      <c r="E1678" s="16" t="s">
        <v>11436</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45">
      <c r="A1679" s="15" t="s">
        <v>6871</v>
      </c>
      <c r="B1679" s="16" t="s">
        <v>5</v>
      </c>
      <c r="C1679" s="17" t="s">
        <v>5604</v>
      </c>
      <c r="D1679" s="17" t="s">
        <v>5605</v>
      </c>
      <c r="E1679" s="16" t="s">
        <v>11436</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45">
      <c r="A1680" s="15" t="s">
        <v>6907</v>
      </c>
      <c r="B1680" s="16" t="s">
        <v>5</v>
      </c>
      <c r="C1680" s="17" t="s">
        <v>5607</v>
      </c>
      <c r="D1680" s="17" t="s">
        <v>5608</v>
      </c>
      <c r="E1680" s="16" t="s">
        <v>11436</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45">
      <c r="A1681" s="15" t="s">
        <v>7129</v>
      </c>
      <c r="B1681" s="16" t="s">
        <v>5</v>
      </c>
      <c r="C1681" s="17" t="s">
        <v>5610</v>
      </c>
      <c r="D1681" s="17" t="s">
        <v>5611</v>
      </c>
      <c r="E1681" s="16" t="s">
        <v>11436</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45">
      <c r="A1682" s="15" t="s">
        <v>7645</v>
      </c>
      <c r="B1682" s="16" t="s">
        <v>5</v>
      </c>
      <c r="C1682" s="17" t="s">
        <v>5613</v>
      </c>
      <c r="D1682" s="17" t="s">
        <v>5614</v>
      </c>
      <c r="E1682" s="16" t="s">
        <v>11436</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45">
      <c r="A1683" s="15" t="s">
        <v>914</v>
      </c>
      <c r="B1683" s="16" t="s">
        <v>5</v>
      </c>
      <c r="C1683" s="17" t="s">
        <v>5616</v>
      </c>
      <c r="D1683" s="17" t="s">
        <v>5617</v>
      </c>
      <c r="E1683" s="16" t="s">
        <v>11436</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45">
      <c r="A1684" s="15" t="s">
        <v>1208</v>
      </c>
      <c r="B1684" s="16" t="s">
        <v>5</v>
      </c>
      <c r="C1684" s="17" t="s">
        <v>5619</v>
      </c>
      <c r="D1684" s="17" t="s">
        <v>5620</v>
      </c>
      <c r="E1684" s="16" t="s">
        <v>11436</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45">
      <c r="A1685" s="15" t="s">
        <v>4517</v>
      </c>
      <c r="B1685" s="16" t="s">
        <v>5</v>
      </c>
      <c r="C1685" s="17" t="s">
        <v>5622</v>
      </c>
      <c r="D1685" s="17" t="s">
        <v>5623</v>
      </c>
      <c r="E1685" s="16" t="s">
        <v>11436</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45">
      <c r="A1686" s="15" t="s">
        <v>4739</v>
      </c>
      <c r="B1686" s="16" t="s">
        <v>5</v>
      </c>
      <c r="C1686" s="17" t="s">
        <v>5625</v>
      </c>
      <c r="D1686" s="17" t="s">
        <v>5626</v>
      </c>
      <c r="E1686" s="16" t="s">
        <v>11436</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45">
      <c r="A1687" s="15" t="s">
        <v>4769</v>
      </c>
      <c r="B1687" s="16" t="s">
        <v>5</v>
      </c>
      <c r="C1687" s="17" t="s">
        <v>5628</v>
      </c>
      <c r="D1687" s="17" t="s">
        <v>5629</v>
      </c>
      <c r="E1687" s="16" t="s">
        <v>11436</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45">
      <c r="A1688" s="15" t="s">
        <v>4913</v>
      </c>
      <c r="B1688" s="16" t="s">
        <v>5</v>
      </c>
      <c r="C1688" s="17" t="s">
        <v>5631</v>
      </c>
      <c r="D1688" s="17" t="s">
        <v>5632</v>
      </c>
      <c r="E1688" s="16" t="s">
        <v>11436</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45">
      <c r="A1689" s="15" t="s">
        <v>5702</v>
      </c>
      <c r="B1689" s="16" t="s">
        <v>5</v>
      </c>
      <c r="C1689" s="17" t="s">
        <v>5634</v>
      </c>
      <c r="D1689" s="17" t="s">
        <v>5635</v>
      </c>
      <c r="E1689" s="16" t="s">
        <v>11436</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45">
      <c r="A1690" s="15" t="s">
        <v>7744</v>
      </c>
      <c r="B1690" s="16" t="s">
        <v>5</v>
      </c>
      <c r="C1690" s="17" t="s">
        <v>5637</v>
      </c>
      <c r="D1690" s="17" t="s">
        <v>5638</v>
      </c>
      <c r="E1690" s="16" t="s">
        <v>11436</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45">
      <c r="A1691" s="15" t="s">
        <v>7936</v>
      </c>
      <c r="B1691" s="16" t="s">
        <v>5</v>
      </c>
      <c r="C1691" s="17" t="s">
        <v>5640</v>
      </c>
      <c r="D1691" s="17" t="s">
        <v>5641</v>
      </c>
      <c r="E1691" s="16" t="s">
        <v>11436</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45">
      <c r="A1692" s="15" t="s">
        <v>7969</v>
      </c>
      <c r="B1692" s="16" t="s">
        <v>5</v>
      </c>
      <c r="C1692" s="17" t="s">
        <v>5643</v>
      </c>
      <c r="D1692" s="17" t="s">
        <v>5644</v>
      </c>
      <c r="E1692" s="16" t="s">
        <v>11436</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45">
      <c r="A1693" s="15" t="s">
        <v>7981</v>
      </c>
      <c r="B1693" s="16" t="s">
        <v>5</v>
      </c>
      <c r="C1693" s="17" t="s">
        <v>5646</v>
      </c>
      <c r="D1693" s="17" t="s">
        <v>5647</v>
      </c>
      <c r="E1693" s="16" t="s">
        <v>11436</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45">
      <c r="A1694" s="15" t="s">
        <v>8305</v>
      </c>
      <c r="B1694" s="16" t="s">
        <v>5</v>
      </c>
      <c r="C1694" s="17" t="s">
        <v>5649</v>
      </c>
      <c r="D1694" s="17" t="s">
        <v>5650</v>
      </c>
      <c r="E1694" s="16" t="s">
        <v>11436</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45">
      <c r="A1695" s="15" t="s">
        <v>4403</v>
      </c>
      <c r="B1695" s="16" t="s">
        <v>5</v>
      </c>
      <c r="C1695" s="17" t="s">
        <v>5652</v>
      </c>
      <c r="D1695" s="17" t="s">
        <v>5653</v>
      </c>
      <c r="E1695" s="16" t="s">
        <v>11436</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45">
      <c r="A1696" s="15" t="s">
        <v>5762</v>
      </c>
      <c r="B1696" s="16" t="s">
        <v>5</v>
      </c>
      <c r="C1696" s="17" t="s">
        <v>5655</v>
      </c>
      <c r="D1696" s="17" t="s">
        <v>5656</v>
      </c>
      <c r="E1696" s="16" t="s">
        <v>11436</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45">
      <c r="A1697" s="15" t="s">
        <v>1049</v>
      </c>
      <c r="B1697" s="16" t="s">
        <v>5</v>
      </c>
      <c r="C1697" s="17" t="s">
        <v>5658</v>
      </c>
      <c r="D1697" s="17" t="s">
        <v>5659</v>
      </c>
      <c r="E1697" s="16" t="s">
        <v>11436</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45">
      <c r="A1698" s="15" t="s">
        <v>9037</v>
      </c>
      <c r="B1698" s="16" t="s">
        <v>5</v>
      </c>
      <c r="C1698" s="17" t="s">
        <v>5661</v>
      </c>
      <c r="D1698" s="17" t="s">
        <v>5662</v>
      </c>
      <c r="E1698" s="16" t="s">
        <v>11436</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45">
      <c r="A1699" s="15" t="s">
        <v>1118</v>
      </c>
      <c r="B1699" s="16" t="s">
        <v>5</v>
      </c>
      <c r="C1699" s="17" t="s">
        <v>5664</v>
      </c>
      <c r="D1699" s="17" t="s">
        <v>5665</v>
      </c>
      <c r="E1699" s="16" t="s">
        <v>11436</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45">
      <c r="A1700" s="15" t="s">
        <v>7402</v>
      </c>
      <c r="B1700" s="16" t="s">
        <v>5</v>
      </c>
      <c r="C1700" s="17" t="s">
        <v>5667</v>
      </c>
      <c r="D1700" s="17" t="s">
        <v>5668</v>
      </c>
      <c r="E1700" s="16" t="s">
        <v>11436</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45">
      <c r="A1701" s="15" t="s">
        <v>971</v>
      </c>
      <c r="B1701" s="16" t="s">
        <v>5</v>
      </c>
      <c r="C1701" s="17" t="s">
        <v>5670</v>
      </c>
      <c r="D1701" s="17" t="s">
        <v>5671</v>
      </c>
      <c r="E1701" s="16" t="s">
        <v>11436</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45">
      <c r="A1702" s="15" t="s">
        <v>992</v>
      </c>
      <c r="B1702" s="16" t="s">
        <v>5</v>
      </c>
      <c r="C1702" s="17" t="s">
        <v>5673</v>
      </c>
      <c r="D1702" s="17" t="s">
        <v>5674</v>
      </c>
      <c r="E1702" s="16" t="s">
        <v>11436</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45">
      <c r="A1703" s="15" t="s">
        <v>1193</v>
      </c>
      <c r="B1703" s="16" t="s">
        <v>5</v>
      </c>
      <c r="C1703" s="17" t="s">
        <v>5676</v>
      </c>
      <c r="D1703" s="17" t="s">
        <v>5677</v>
      </c>
      <c r="E1703" s="16" t="s">
        <v>11436</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45">
      <c r="A1704" s="15" t="s">
        <v>4235</v>
      </c>
      <c r="B1704" s="16" t="s">
        <v>5</v>
      </c>
      <c r="C1704" s="17" t="s">
        <v>5679</v>
      </c>
      <c r="D1704" s="17" t="s">
        <v>5680</v>
      </c>
      <c r="E1704" s="16" t="s">
        <v>11436</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45">
      <c r="A1705" s="15" t="s">
        <v>4694</v>
      </c>
      <c r="B1705" s="16" t="s">
        <v>5</v>
      </c>
      <c r="C1705" s="17" t="s">
        <v>5682</v>
      </c>
      <c r="D1705" s="17" t="s">
        <v>5683</v>
      </c>
      <c r="E1705" s="16" t="s">
        <v>11436</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45">
      <c r="A1706" s="15" t="s">
        <v>4751</v>
      </c>
      <c r="B1706" s="16" t="s">
        <v>5</v>
      </c>
      <c r="C1706" s="17" t="s">
        <v>5685</v>
      </c>
      <c r="D1706" s="17" t="s">
        <v>5686</v>
      </c>
      <c r="E1706" s="16" t="s">
        <v>11436</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45">
      <c r="A1707" s="15" t="s">
        <v>4898</v>
      </c>
      <c r="B1707" s="16" t="s">
        <v>5</v>
      </c>
      <c r="C1707" s="17" t="s">
        <v>5688</v>
      </c>
      <c r="D1707" s="17" t="s">
        <v>5689</v>
      </c>
      <c r="E1707" s="16" t="s">
        <v>11436</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45">
      <c r="A1708" s="15" t="s">
        <v>5207</v>
      </c>
      <c r="B1708" s="16" t="s">
        <v>5</v>
      </c>
      <c r="C1708" s="17" t="s">
        <v>5691</v>
      </c>
      <c r="D1708" s="17" t="s">
        <v>5692</v>
      </c>
      <c r="E1708" s="16" t="s">
        <v>11436</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45">
      <c r="A1709" s="15" t="s">
        <v>5294</v>
      </c>
      <c r="B1709" s="16" t="s">
        <v>5</v>
      </c>
      <c r="C1709" s="17" t="s">
        <v>5694</v>
      </c>
      <c r="D1709" s="17" t="s">
        <v>5695</v>
      </c>
      <c r="E1709" s="16" t="s">
        <v>11436</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45">
      <c r="A1710" s="15" t="s">
        <v>5312</v>
      </c>
      <c r="B1710" s="16" t="s">
        <v>5</v>
      </c>
      <c r="C1710" s="17" t="s">
        <v>5697</v>
      </c>
      <c r="D1710" s="17" t="s">
        <v>5698</v>
      </c>
      <c r="E1710" s="16" t="s">
        <v>11436</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45">
      <c r="A1711" s="15" t="s">
        <v>5324</v>
      </c>
      <c r="B1711" s="16" t="s">
        <v>5</v>
      </c>
      <c r="C1711" s="17" t="s">
        <v>5700</v>
      </c>
      <c r="D1711" s="17" t="s">
        <v>5701</v>
      </c>
      <c r="E1711" s="16" t="s">
        <v>11436</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45">
      <c r="A1712" s="15" t="s">
        <v>11345</v>
      </c>
      <c r="B1712" s="16" t="s">
        <v>5</v>
      </c>
      <c r="C1712" s="17" t="s">
        <v>5703</v>
      </c>
      <c r="D1712" s="17" t="s">
        <v>5704</v>
      </c>
      <c r="E1712" s="15" t="s">
        <v>11436</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45">
      <c r="A1713" s="15" t="s">
        <v>7846</v>
      </c>
      <c r="B1713" s="16" t="s">
        <v>5</v>
      </c>
      <c r="C1713" s="17" t="s">
        <v>5706</v>
      </c>
      <c r="D1713" s="17" t="s">
        <v>5707</v>
      </c>
      <c r="E1713" s="16" t="s">
        <v>11436</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45">
      <c r="A1714" s="15" t="s">
        <v>7930</v>
      </c>
      <c r="B1714" s="16" t="s">
        <v>5</v>
      </c>
      <c r="C1714" s="17" t="s">
        <v>5709</v>
      </c>
      <c r="D1714" s="17" t="s">
        <v>5710</v>
      </c>
      <c r="E1714" s="16" t="s">
        <v>11436</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45">
      <c r="A1715" s="15" t="s">
        <v>935</v>
      </c>
      <c r="B1715" s="16" t="s">
        <v>5</v>
      </c>
      <c r="C1715" s="17" t="s">
        <v>5712</v>
      </c>
      <c r="D1715" s="17" t="s">
        <v>5713</v>
      </c>
      <c r="E1715" s="16" t="s">
        <v>11436</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45">
      <c r="A1716" s="15" t="s">
        <v>4283</v>
      </c>
      <c r="B1716" s="16" t="s">
        <v>5</v>
      </c>
      <c r="C1716" s="17" t="s">
        <v>5715</v>
      </c>
      <c r="D1716" s="17" t="s">
        <v>5716</v>
      </c>
      <c r="E1716" s="16" t="s">
        <v>11436</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45">
      <c r="A1717" s="15" t="s">
        <v>4307</v>
      </c>
      <c r="B1717" s="16" t="s">
        <v>5</v>
      </c>
      <c r="C1717" s="17" t="s">
        <v>5718</v>
      </c>
      <c r="D1717" s="17" t="s">
        <v>5719</v>
      </c>
      <c r="E1717" s="16" t="s">
        <v>11436</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45">
      <c r="A1718" s="15" t="s">
        <v>4373</v>
      </c>
      <c r="B1718" s="16" t="s">
        <v>5</v>
      </c>
      <c r="C1718" s="17" t="s">
        <v>5721</v>
      </c>
      <c r="D1718" s="17" t="s">
        <v>5722</v>
      </c>
      <c r="E1718" s="16" t="s">
        <v>11436</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45">
      <c r="A1719" s="15" t="s">
        <v>6227</v>
      </c>
      <c r="B1719" s="16" t="s">
        <v>5</v>
      </c>
      <c r="C1719" s="17" t="s">
        <v>5724</v>
      </c>
      <c r="D1719" s="17" t="s">
        <v>5725</v>
      </c>
      <c r="E1719" s="16" t="s">
        <v>11436</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45">
      <c r="A1720" s="15" t="s">
        <v>6242</v>
      </c>
      <c r="B1720" s="16" t="s">
        <v>5</v>
      </c>
      <c r="C1720" s="17" t="s">
        <v>5727</v>
      </c>
      <c r="D1720" s="17" t="s">
        <v>5728</v>
      </c>
      <c r="E1720" s="16" t="s">
        <v>11436</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45">
      <c r="A1721" s="15" t="s">
        <v>11346</v>
      </c>
      <c r="B1721" s="16" t="s">
        <v>5</v>
      </c>
      <c r="C1721" s="17" t="s">
        <v>5730</v>
      </c>
      <c r="D1721" s="17" t="s">
        <v>5731</v>
      </c>
      <c r="E1721" s="16" t="s">
        <v>11436</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45">
      <c r="A1722" s="15" t="s">
        <v>1220</v>
      </c>
      <c r="B1722" s="16" t="s">
        <v>5</v>
      </c>
      <c r="C1722" s="17" t="s">
        <v>5733</v>
      </c>
      <c r="D1722" s="17" t="s">
        <v>5734</v>
      </c>
      <c r="E1722" s="16" t="s">
        <v>11436</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45">
      <c r="A1723" s="15" t="s">
        <v>6035</v>
      </c>
      <c r="B1723" s="16" t="s">
        <v>5</v>
      </c>
      <c r="C1723" s="17" t="s">
        <v>5736</v>
      </c>
      <c r="D1723" s="17" t="s">
        <v>5737</v>
      </c>
      <c r="E1723" s="16" t="s">
        <v>11436</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45">
      <c r="A1724" s="15" t="s">
        <v>6284</v>
      </c>
      <c r="B1724" s="16" t="s">
        <v>5</v>
      </c>
      <c r="C1724" s="17" t="s">
        <v>5739</v>
      </c>
      <c r="D1724" s="17" t="s">
        <v>5740</v>
      </c>
      <c r="E1724" s="16" t="s">
        <v>11436</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45">
      <c r="A1725" s="15" t="s">
        <v>8443</v>
      </c>
      <c r="B1725" s="16" t="s">
        <v>5</v>
      </c>
      <c r="C1725" s="17" t="s">
        <v>5742</v>
      </c>
      <c r="D1725" s="17" t="s">
        <v>5743</v>
      </c>
      <c r="E1725" s="16" t="s">
        <v>11436</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45">
      <c r="A1726" s="15" t="s">
        <v>8590</v>
      </c>
      <c r="B1726" s="16" t="s">
        <v>5</v>
      </c>
      <c r="C1726" s="17" t="s">
        <v>5745</v>
      </c>
      <c r="D1726" s="17" t="s">
        <v>5746</v>
      </c>
      <c r="E1726" s="16" t="s">
        <v>11436</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45">
      <c r="A1727" s="15" t="s">
        <v>8809</v>
      </c>
      <c r="B1727" s="16" t="s">
        <v>5</v>
      </c>
      <c r="C1727" s="17" t="s">
        <v>5748</v>
      </c>
      <c r="D1727" s="17" t="s">
        <v>5749</v>
      </c>
      <c r="E1727" s="16" t="s">
        <v>11436</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45">
      <c r="A1728" s="15" t="s">
        <v>8848</v>
      </c>
      <c r="B1728" s="16" t="s">
        <v>5</v>
      </c>
      <c r="C1728" s="17" t="s">
        <v>5751</v>
      </c>
      <c r="D1728" s="17" t="s">
        <v>5752</v>
      </c>
      <c r="E1728" s="16" t="s">
        <v>11436</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45">
      <c r="A1729" s="15" t="s">
        <v>8944</v>
      </c>
      <c r="B1729" s="16" t="s">
        <v>5</v>
      </c>
      <c r="C1729" s="17" t="s">
        <v>5754</v>
      </c>
      <c r="D1729" s="17" t="s">
        <v>5755</v>
      </c>
      <c r="E1729" s="16" t="s">
        <v>11436</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45">
      <c r="A1730" s="15" t="s">
        <v>4379</v>
      </c>
      <c r="B1730" s="16" t="s">
        <v>5</v>
      </c>
      <c r="C1730" s="17" t="s">
        <v>5757</v>
      </c>
      <c r="D1730" s="17" t="s">
        <v>5758</v>
      </c>
      <c r="E1730" s="16" t="s">
        <v>11436</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45">
      <c r="A1731" s="15" t="s">
        <v>4634</v>
      </c>
      <c r="B1731" s="16" t="s">
        <v>5</v>
      </c>
      <c r="C1731" s="17" t="s">
        <v>5760</v>
      </c>
      <c r="D1731" s="17" t="s">
        <v>5761</v>
      </c>
      <c r="E1731" s="16" t="s">
        <v>11436</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45">
      <c r="A1732" s="15" t="s">
        <v>5285</v>
      </c>
      <c r="B1732" s="16" t="s">
        <v>5</v>
      </c>
      <c r="C1732" s="17" t="s">
        <v>5763</v>
      </c>
      <c r="D1732" s="17" t="s">
        <v>5764</v>
      </c>
      <c r="E1732" s="16" t="s">
        <v>11436</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45">
      <c r="A1733" s="15" t="s">
        <v>5510</v>
      </c>
      <c r="B1733" s="16" t="s">
        <v>5</v>
      </c>
      <c r="C1733" s="17" t="s">
        <v>5766</v>
      </c>
      <c r="D1733" s="17" t="s">
        <v>5767</v>
      </c>
      <c r="E1733" s="16" t="s">
        <v>11436</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45">
      <c r="A1734" s="15" t="s">
        <v>11347</v>
      </c>
      <c r="B1734" s="16" t="s">
        <v>5</v>
      </c>
      <c r="C1734" s="17" t="s">
        <v>5769</v>
      </c>
      <c r="D1734" s="17" t="s">
        <v>5770</v>
      </c>
      <c r="E1734" s="16" t="s">
        <v>11436</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45">
      <c r="A1735" s="15" t="s">
        <v>1067</v>
      </c>
      <c r="B1735" s="16" t="s">
        <v>5</v>
      </c>
      <c r="C1735" s="17" t="s">
        <v>5772</v>
      </c>
      <c r="D1735" s="17" t="s">
        <v>5773</v>
      </c>
      <c r="E1735" s="16" t="s">
        <v>11436</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45">
      <c r="A1736" s="15" t="s">
        <v>1073</v>
      </c>
      <c r="B1736" s="16" t="s">
        <v>5</v>
      </c>
      <c r="C1736" s="17" t="s">
        <v>5775</v>
      </c>
      <c r="D1736" s="17" t="s">
        <v>5776</v>
      </c>
      <c r="E1736" s="16" t="s">
        <v>11436</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45">
      <c r="A1737" s="15" t="s">
        <v>1295</v>
      </c>
      <c r="B1737" s="16" t="s">
        <v>5</v>
      </c>
      <c r="C1737" s="17" t="s">
        <v>5778</v>
      </c>
      <c r="D1737" s="17" t="s">
        <v>5779</v>
      </c>
      <c r="E1737" s="16" t="s">
        <v>11436</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45">
      <c r="A1738" s="15" t="s">
        <v>1346</v>
      </c>
      <c r="B1738" s="16" t="s">
        <v>5</v>
      </c>
      <c r="C1738" s="17" t="s">
        <v>5781</v>
      </c>
      <c r="D1738" s="17" t="s">
        <v>5782</v>
      </c>
      <c r="E1738" s="16" t="s">
        <v>11436</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45">
      <c r="A1739" s="15" t="s">
        <v>1375</v>
      </c>
      <c r="B1739" s="16" t="s">
        <v>5</v>
      </c>
      <c r="C1739" s="17" t="s">
        <v>5784</v>
      </c>
      <c r="D1739" s="17" t="s">
        <v>5785</v>
      </c>
      <c r="E1739" s="16" t="s">
        <v>11436</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45">
      <c r="A1740" s="15" t="s">
        <v>4313</v>
      </c>
      <c r="B1740" s="16" t="s">
        <v>5</v>
      </c>
      <c r="C1740" s="17" t="s">
        <v>5787</v>
      </c>
      <c r="D1740" s="17" t="s">
        <v>5788</v>
      </c>
      <c r="E1740" s="16" t="s">
        <v>11436</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45">
      <c r="A1741" s="15" t="s">
        <v>4616</v>
      </c>
      <c r="B1741" s="16" t="s">
        <v>5</v>
      </c>
      <c r="C1741" s="17" t="s">
        <v>5790</v>
      </c>
      <c r="D1741" s="17" t="s">
        <v>5791</v>
      </c>
      <c r="E1741" s="16" t="s">
        <v>11436</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45">
      <c r="A1742" s="15" t="s">
        <v>4709</v>
      </c>
      <c r="B1742" s="16" t="s">
        <v>5</v>
      </c>
      <c r="C1742" s="17" t="s">
        <v>5793</v>
      </c>
      <c r="D1742" s="17" t="s">
        <v>5794</v>
      </c>
      <c r="E1742" s="16" t="s">
        <v>11436</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45">
      <c r="A1743" s="15" t="s">
        <v>4892</v>
      </c>
      <c r="B1743" s="16" t="s">
        <v>5</v>
      </c>
      <c r="C1743" s="17" t="s">
        <v>5796</v>
      </c>
      <c r="D1743" s="17" t="s">
        <v>5797</v>
      </c>
      <c r="E1743" s="16" t="s">
        <v>11436</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45">
      <c r="A1744" s="15" t="s">
        <v>4904</v>
      </c>
      <c r="B1744" s="16" t="s">
        <v>5</v>
      </c>
      <c r="C1744" s="17" t="s">
        <v>5799</v>
      </c>
      <c r="D1744" s="17" t="s">
        <v>5800</v>
      </c>
      <c r="E1744" s="16" t="s">
        <v>11436</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45">
      <c r="A1745" s="15" t="s">
        <v>4988</v>
      </c>
      <c r="B1745" s="16" t="s">
        <v>5</v>
      </c>
      <c r="C1745" s="17" t="s">
        <v>5802</v>
      </c>
      <c r="D1745" s="17" t="s">
        <v>5803</v>
      </c>
      <c r="E1745" s="16" t="s">
        <v>11436</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45">
      <c r="A1746" s="15" t="s">
        <v>5000</v>
      </c>
      <c r="B1746" s="16" t="s">
        <v>5</v>
      </c>
      <c r="C1746" s="17" t="s">
        <v>5805</v>
      </c>
      <c r="D1746" s="17" t="s">
        <v>5806</v>
      </c>
      <c r="E1746" s="16" t="s">
        <v>11436</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45">
      <c r="A1747" s="15" t="s">
        <v>5084</v>
      </c>
      <c r="B1747" s="16" t="s">
        <v>5</v>
      </c>
      <c r="C1747" s="17" t="s">
        <v>5808</v>
      </c>
      <c r="D1747" s="17" t="s">
        <v>5809</v>
      </c>
      <c r="E1747" s="16" t="s">
        <v>11436</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45">
      <c r="A1748" s="15" t="s">
        <v>5156</v>
      </c>
      <c r="B1748" s="16" t="s">
        <v>5</v>
      </c>
      <c r="C1748" s="17" t="s">
        <v>5811</v>
      </c>
      <c r="D1748" s="17" t="s">
        <v>5812</v>
      </c>
      <c r="E1748" s="16" t="s">
        <v>11436</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45">
      <c r="A1749" s="15" t="s">
        <v>5255</v>
      </c>
      <c r="B1749" s="16" t="s">
        <v>5</v>
      </c>
      <c r="C1749" s="17" t="s">
        <v>5814</v>
      </c>
      <c r="D1749" s="17" t="s">
        <v>5815</v>
      </c>
      <c r="E1749" s="16" t="s">
        <v>11436</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45">
      <c r="A1750" s="15" t="s">
        <v>5663</v>
      </c>
      <c r="B1750" s="16" t="s">
        <v>5</v>
      </c>
      <c r="C1750" s="17" t="s">
        <v>5817</v>
      </c>
      <c r="D1750" s="17" t="s">
        <v>5818</v>
      </c>
      <c r="E1750" s="16" t="s">
        <v>11436</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45">
      <c r="A1751" s="15" t="s">
        <v>5801</v>
      </c>
      <c r="B1751" s="16" t="s">
        <v>5</v>
      </c>
      <c r="C1751" s="17" t="s">
        <v>5820</v>
      </c>
      <c r="D1751" s="17" t="s">
        <v>5821</v>
      </c>
      <c r="E1751" s="16" t="s">
        <v>11436</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45">
      <c r="A1752" s="15" t="s">
        <v>6391</v>
      </c>
      <c r="B1752" s="16" t="s">
        <v>5</v>
      </c>
      <c r="C1752" s="17" t="s">
        <v>5823</v>
      </c>
      <c r="D1752" s="17" t="s">
        <v>5824</v>
      </c>
      <c r="E1752" s="16" t="s">
        <v>11436</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45">
      <c r="A1753" s="15" t="s">
        <v>11348</v>
      </c>
      <c r="B1753" s="16" t="s">
        <v>5</v>
      </c>
      <c r="C1753" s="17" t="s">
        <v>5826</v>
      </c>
      <c r="D1753" s="17" t="s">
        <v>5827</v>
      </c>
      <c r="E1753" s="16" t="s">
        <v>11436</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45">
      <c r="A1754" s="15" t="s">
        <v>6475</v>
      </c>
      <c r="B1754" s="16" t="s">
        <v>5</v>
      </c>
      <c r="C1754" s="17" t="s">
        <v>5829</v>
      </c>
      <c r="D1754" s="17" t="s">
        <v>5830</v>
      </c>
      <c r="E1754" s="16" t="s">
        <v>11436</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45">
      <c r="A1755" s="15" t="s">
        <v>6859</v>
      </c>
      <c r="B1755" s="16" t="s">
        <v>5</v>
      </c>
      <c r="C1755" s="17" t="s">
        <v>5832</v>
      </c>
      <c r="D1755" s="17" t="s">
        <v>5833</v>
      </c>
      <c r="E1755" s="16" t="s">
        <v>11436</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45">
      <c r="A1756" s="15" t="s">
        <v>7294</v>
      </c>
      <c r="B1756" s="16" t="s">
        <v>5</v>
      </c>
      <c r="C1756" s="17" t="s">
        <v>5835</v>
      </c>
      <c r="D1756" s="17" t="s">
        <v>5836</v>
      </c>
      <c r="E1756" s="16" t="s">
        <v>11436</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45">
      <c r="A1757" s="15" t="s">
        <v>7396</v>
      </c>
      <c r="B1757" s="16" t="s">
        <v>5</v>
      </c>
      <c r="C1757" s="17" t="s">
        <v>5838</v>
      </c>
      <c r="D1757" s="17" t="s">
        <v>5839</v>
      </c>
      <c r="E1757" s="16" t="s">
        <v>11436</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45">
      <c r="A1758" s="15" t="s">
        <v>4460</v>
      </c>
      <c r="B1758" s="16" t="s">
        <v>5</v>
      </c>
      <c r="C1758" s="17" t="s">
        <v>5841</v>
      </c>
      <c r="D1758" s="17" t="s">
        <v>5842</v>
      </c>
      <c r="E1758" s="16" t="s">
        <v>11436</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45">
      <c r="A1759" s="15" t="s">
        <v>4646</v>
      </c>
      <c r="B1759" s="16" t="s">
        <v>5</v>
      </c>
      <c r="C1759" s="17" t="s">
        <v>5844</v>
      </c>
      <c r="D1759" s="17" t="s">
        <v>5845</v>
      </c>
      <c r="E1759" s="16" t="s">
        <v>11436</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45">
      <c r="A1760" s="15" t="s">
        <v>4700</v>
      </c>
      <c r="B1760" s="16" t="s">
        <v>5</v>
      </c>
      <c r="C1760" s="17" t="s">
        <v>5847</v>
      </c>
      <c r="D1760" s="17" t="s">
        <v>5848</v>
      </c>
      <c r="E1760" s="16" t="s">
        <v>11436</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45">
      <c r="A1761" s="15" t="s">
        <v>4919</v>
      </c>
      <c r="B1761" s="16" t="s">
        <v>5</v>
      </c>
      <c r="C1761" s="17" t="s">
        <v>5850</v>
      </c>
      <c r="D1761" s="17" t="s">
        <v>5851</v>
      </c>
      <c r="E1761" s="16" t="s">
        <v>11436</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45">
      <c r="A1762" s="15" t="s">
        <v>5087</v>
      </c>
      <c r="B1762" s="16" t="s">
        <v>5</v>
      </c>
      <c r="C1762" s="17" t="s">
        <v>5853</v>
      </c>
      <c r="D1762" s="17" t="s">
        <v>5854</v>
      </c>
      <c r="E1762" s="16" t="s">
        <v>11436</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45">
      <c r="A1763" s="15" t="s">
        <v>5141</v>
      </c>
      <c r="B1763" s="16" t="s">
        <v>5</v>
      </c>
      <c r="C1763" s="17" t="s">
        <v>5856</v>
      </c>
      <c r="D1763" s="17" t="s">
        <v>5857</v>
      </c>
      <c r="E1763" s="16" t="s">
        <v>11436</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45">
      <c r="A1764" s="15" t="s">
        <v>5210</v>
      </c>
      <c r="B1764" s="16" t="s">
        <v>5</v>
      </c>
      <c r="C1764" s="17" t="s">
        <v>5859</v>
      </c>
      <c r="D1764" s="17" t="s">
        <v>5860</v>
      </c>
      <c r="E1764" s="16" t="s">
        <v>11436</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45">
      <c r="A1765" s="15" t="s">
        <v>5249</v>
      </c>
      <c r="B1765" s="16" t="s">
        <v>5</v>
      </c>
      <c r="C1765" s="17" t="s">
        <v>5862</v>
      </c>
      <c r="D1765" s="17" t="s">
        <v>5863</v>
      </c>
      <c r="E1765" s="16" t="s">
        <v>11436</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45">
      <c r="A1766" s="15" t="s">
        <v>5345</v>
      </c>
      <c r="B1766" s="16" t="s">
        <v>5</v>
      </c>
      <c r="C1766" s="17" t="s">
        <v>5865</v>
      </c>
      <c r="D1766" s="17" t="s">
        <v>5866</v>
      </c>
      <c r="E1766" s="16" t="s">
        <v>11436</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45">
      <c r="A1767" s="15" t="s">
        <v>5660</v>
      </c>
      <c r="B1767" s="16" t="s">
        <v>5</v>
      </c>
      <c r="C1767" s="17" t="s">
        <v>5868</v>
      </c>
      <c r="D1767" s="17" t="s">
        <v>5869</v>
      </c>
      <c r="E1767" s="16" t="s">
        <v>11436</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45">
      <c r="A1768" s="15" t="s">
        <v>5720</v>
      </c>
      <c r="B1768" s="16" t="s">
        <v>5</v>
      </c>
      <c r="C1768" s="17" t="s">
        <v>5871</v>
      </c>
      <c r="D1768" s="17" t="s">
        <v>5872</v>
      </c>
      <c r="E1768" s="16" t="s">
        <v>11436</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45">
      <c r="A1769" s="15" t="s">
        <v>5765</v>
      </c>
      <c r="B1769" s="16" t="s">
        <v>5</v>
      </c>
      <c r="C1769" s="17" t="s">
        <v>5874</v>
      </c>
      <c r="D1769" s="17" t="s">
        <v>5875</v>
      </c>
      <c r="E1769" s="16" t="s">
        <v>11436</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45">
      <c r="A1770" s="15" t="s">
        <v>5813</v>
      </c>
      <c r="B1770" s="16" t="s">
        <v>5</v>
      </c>
      <c r="C1770" s="17" t="s">
        <v>5877</v>
      </c>
      <c r="D1770" s="17" t="s">
        <v>5878</v>
      </c>
      <c r="E1770" s="16" t="s">
        <v>11436</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45">
      <c r="A1771" s="15" t="s">
        <v>6346</v>
      </c>
      <c r="B1771" s="16" t="s">
        <v>5</v>
      </c>
      <c r="C1771" s="17" t="s">
        <v>5880</v>
      </c>
      <c r="D1771" s="17" t="s">
        <v>5881</v>
      </c>
      <c r="E1771" s="16" t="s">
        <v>11436</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45">
      <c r="A1772" s="15" t="s">
        <v>6589</v>
      </c>
      <c r="B1772" s="16" t="s">
        <v>5</v>
      </c>
      <c r="C1772" s="17" t="s">
        <v>5883</v>
      </c>
      <c r="D1772" s="17" t="s">
        <v>5884</v>
      </c>
      <c r="E1772" s="16" t="s">
        <v>11436</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45">
      <c r="A1773" s="15" t="s">
        <v>6730</v>
      </c>
      <c r="B1773" s="16" t="s">
        <v>5</v>
      </c>
      <c r="C1773" s="17" t="s">
        <v>5886</v>
      </c>
      <c r="D1773" s="17" t="s">
        <v>5887</v>
      </c>
      <c r="E1773" s="16" t="s">
        <v>11436</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45">
      <c r="A1774" s="15" t="s">
        <v>6823</v>
      </c>
      <c r="B1774" s="16" t="s">
        <v>5</v>
      </c>
      <c r="C1774" s="17" t="s">
        <v>5889</v>
      </c>
      <c r="D1774" s="17" t="s">
        <v>5890</v>
      </c>
      <c r="E1774" s="16" t="s">
        <v>11436</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45">
      <c r="A1775" s="15" t="s">
        <v>7198</v>
      </c>
      <c r="B1775" s="16" t="s">
        <v>5</v>
      </c>
      <c r="C1775" s="17" t="s">
        <v>5892</v>
      </c>
      <c r="D1775" s="17" t="s">
        <v>5893</v>
      </c>
      <c r="E1775" s="16" t="s">
        <v>11436</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45">
      <c r="A1776" s="15" t="s">
        <v>8203</v>
      </c>
      <c r="B1776" s="16" t="s">
        <v>5</v>
      </c>
      <c r="C1776" s="17" t="s">
        <v>5895</v>
      </c>
      <c r="D1776" s="17" t="s">
        <v>5896</v>
      </c>
      <c r="E1776" s="16" t="s">
        <v>11436</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45">
      <c r="A1777" s="15" t="s">
        <v>8521</v>
      </c>
      <c r="B1777" s="16" t="s">
        <v>5</v>
      </c>
      <c r="C1777" s="17" t="s">
        <v>5898</v>
      </c>
      <c r="D1777" s="17" t="s">
        <v>5899</v>
      </c>
      <c r="E1777" s="16" t="s">
        <v>11436</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45">
      <c r="A1778" s="15" t="s">
        <v>8941</v>
      </c>
      <c r="B1778" s="16" t="s">
        <v>5</v>
      </c>
      <c r="C1778" s="17" t="s">
        <v>5901</v>
      </c>
      <c r="D1778" s="17" t="s">
        <v>5902</v>
      </c>
      <c r="E1778" s="16" t="s">
        <v>11436</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45">
      <c r="A1779" s="15" t="s">
        <v>1381</v>
      </c>
      <c r="B1779" s="16" t="s">
        <v>5</v>
      </c>
      <c r="C1779" s="17" t="s">
        <v>5904</v>
      </c>
      <c r="D1779" s="17" t="s">
        <v>5905</v>
      </c>
      <c r="E1779" s="16" t="s">
        <v>11436</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45">
      <c r="A1780" s="15" t="s">
        <v>1653</v>
      </c>
      <c r="B1780" s="16" t="s">
        <v>5</v>
      </c>
      <c r="C1780" s="17" t="s">
        <v>5907</v>
      </c>
      <c r="D1780" s="17" t="s">
        <v>5908</v>
      </c>
      <c r="E1780" s="16" t="s">
        <v>11436</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45">
      <c r="A1781" s="15" t="s">
        <v>1903</v>
      </c>
      <c r="B1781" s="16" t="s">
        <v>5</v>
      </c>
      <c r="C1781" s="17" t="s">
        <v>5910</v>
      </c>
      <c r="D1781" s="17" t="s">
        <v>5911</v>
      </c>
      <c r="E1781" s="16" t="s">
        <v>11436</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45">
      <c r="A1782" s="15" t="s">
        <v>1607</v>
      </c>
      <c r="B1782" s="16" t="s">
        <v>5</v>
      </c>
      <c r="C1782" s="17" t="s">
        <v>5913</v>
      </c>
      <c r="D1782" s="17" t="s">
        <v>5914</v>
      </c>
      <c r="E1782" s="16" t="s">
        <v>11436</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45">
      <c r="A1783" s="15" t="s">
        <v>607</v>
      </c>
      <c r="B1783" s="16" t="s">
        <v>183</v>
      </c>
      <c r="C1783" s="17" t="s">
        <v>5916</v>
      </c>
      <c r="D1783" s="17" t="s">
        <v>5917</v>
      </c>
      <c r="E1783" s="16" t="s">
        <v>11416</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45">
      <c r="A1784" s="15" t="s">
        <v>8803</v>
      </c>
      <c r="B1784" s="16" t="s">
        <v>5</v>
      </c>
      <c r="C1784" s="17" t="s">
        <v>5919</v>
      </c>
      <c r="D1784" s="17" t="s">
        <v>5920</v>
      </c>
      <c r="E1784" s="16" t="s">
        <v>11436</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45">
      <c r="A1785" s="15" t="s">
        <v>848</v>
      </c>
      <c r="B1785" s="16" t="s">
        <v>5</v>
      </c>
      <c r="C1785" s="17" t="s">
        <v>5922</v>
      </c>
      <c r="D1785" s="17" t="s">
        <v>5923</v>
      </c>
      <c r="E1785" s="16" t="s">
        <v>11436</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45">
      <c r="A1786" s="15" t="s">
        <v>884</v>
      </c>
      <c r="B1786" s="16" t="s">
        <v>5</v>
      </c>
      <c r="C1786" s="17" t="s">
        <v>5925</v>
      </c>
      <c r="D1786" s="17" t="s">
        <v>5926</v>
      </c>
      <c r="E1786" s="16" t="s">
        <v>11436</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45">
      <c r="A1787" s="15" t="s">
        <v>917</v>
      </c>
      <c r="B1787" s="16" t="s">
        <v>5</v>
      </c>
      <c r="C1787" s="17" t="s">
        <v>5928</v>
      </c>
      <c r="D1787" s="17" t="s">
        <v>5929</v>
      </c>
      <c r="E1787" s="16" t="s">
        <v>11436</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45">
      <c r="A1788" s="15" t="s">
        <v>929</v>
      </c>
      <c r="B1788" s="16" t="s">
        <v>5</v>
      </c>
      <c r="C1788" s="17" t="s">
        <v>5931</v>
      </c>
      <c r="D1788" s="17" t="s">
        <v>5932</v>
      </c>
      <c r="E1788" s="16" t="s">
        <v>11436</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45">
      <c r="A1789" s="15" t="s">
        <v>974</v>
      </c>
      <c r="B1789" s="16" t="s">
        <v>5</v>
      </c>
      <c r="C1789" s="17" t="s">
        <v>5934</v>
      </c>
      <c r="D1789" s="17" t="s">
        <v>5935</v>
      </c>
      <c r="E1789" s="16" t="s">
        <v>11436</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45">
      <c r="A1790" s="15" t="s">
        <v>977</v>
      </c>
      <c r="B1790" s="16" t="s">
        <v>5</v>
      </c>
      <c r="C1790" s="17" t="s">
        <v>5937</v>
      </c>
      <c r="D1790" s="17" t="s">
        <v>5938</v>
      </c>
      <c r="E1790" s="16" t="s">
        <v>11436</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45">
      <c r="A1791" s="15" t="s">
        <v>11349</v>
      </c>
      <c r="B1791" s="16" t="s">
        <v>5</v>
      </c>
      <c r="C1791" s="17" t="s">
        <v>5940</v>
      </c>
      <c r="D1791" s="17" t="s">
        <v>5941</v>
      </c>
      <c r="E1791" s="16" t="s">
        <v>11436</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45">
      <c r="A1792" s="15" t="s">
        <v>1022</v>
      </c>
      <c r="B1792" s="16" t="s">
        <v>5</v>
      </c>
      <c r="C1792" s="17" t="s">
        <v>5943</v>
      </c>
      <c r="D1792" s="17" t="s">
        <v>5944</v>
      </c>
      <c r="E1792" s="16" t="s">
        <v>11436</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45">
      <c r="A1793" s="15" t="s">
        <v>1046</v>
      </c>
      <c r="B1793" s="16" t="s">
        <v>5</v>
      </c>
      <c r="C1793" s="17" t="s">
        <v>5946</v>
      </c>
      <c r="D1793" s="17" t="s">
        <v>5947</v>
      </c>
      <c r="E1793" s="16" t="s">
        <v>11436</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45">
      <c r="A1794" s="15" t="s">
        <v>1088</v>
      </c>
      <c r="B1794" s="16" t="s">
        <v>5</v>
      </c>
      <c r="C1794" s="17" t="s">
        <v>5949</v>
      </c>
      <c r="D1794" s="17" t="s">
        <v>5950</v>
      </c>
      <c r="E1794" s="16" t="s">
        <v>11436</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45">
      <c r="A1795" s="15" t="s">
        <v>1109</v>
      </c>
      <c r="B1795" s="16" t="s">
        <v>5</v>
      </c>
      <c r="C1795" s="17" t="s">
        <v>5952</v>
      </c>
      <c r="D1795" s="17" t="s">
        <v>5953</v>
      </c>
      <c r="E1795" s="16" t="s">
        <v>11436</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45">
      <c r="A1796" s="15" t="s">
        <v>1136</v>
      </c>
      <c r="B1796" s="16" t="s">
        <v>5</v>
      </c>
      <c r="C1796" s="17" t="s">
        <v>5955</v>
      </c>
      <c r="D1796" s="17" t="s">
        <v>5956</v>
      </c>
      <c r="E1796" s="16" t="s">
        <v>11436</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45">
      <c r="A1797" s="15" t="s">
        <v>1166</v>
      </c>
      <c r="B1797" s="16" t="s">
        <v>5</v>
      </c>
      <c r="C1797" s="17" t="s">
        <v>5958</v>
      </c>
      <c r="D1797" s="17" t="s">
        <v>5959</v>
      </c>
      <c r="E1797" s="16" t="s">
        <v>11436</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45">
      <c r="A1798" s="15" t="s">
        <v>1181</v>
      </c>
      <c r="B1798" s="16" t="s">
        <v>5</v>
      </c>
      <c r="C1798" s="17" t="s">
        <v>5961</v>
      </c>
      <c r="D1798" s="17" t="s">
        <v>5962</v>
      </c>
      <c r="E1798" s="16" t="s">
        <v>11436</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45">
      <c r="A1799" s="15" t="s">
        <v>11350</v>
      </c>
      <c r="B1799" s="16" t="s">
        <v>5</v>
      </c>
      <c r="C1799" s="17" t="s">
        <v>5964</v>
      </c>
      <c r="D1799" s="17" t="s">
        <v>5965</v>
      </c>
      <c r="E1799" s="16" t="s">
        <v>11436</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45">
      <c r="A1800" s="15" t="s">
        <v>1247</v>
      </c>
      <c r="B1800" s="16" t="s">
        <v>5</v>
      </c>
      <c r="C1800" s="17" t="s">
        <v>5967</v>
      </c>
      <c r="D1800" s="17" t="s">
        <v>5968</v>
      </c>
      <c r="E1800" s="16" t="s">
        <v>11436</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45">
      <c r="A1801" s="15" t="s">
        <v>1253</v>
      </c>
      <c r="B1801" s="16" t="s">
        <v>5</v>
      </c>
      <c r="C1801" s="17" t="s">
        <v>5970</v>
      </c>
      <c r="D1801" s="17" t="s">
        <v>5971</v>
      </c>
      <c r="E1801" s="16" t="s">
        <v>11436</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45">
      <c r="A1802" s="15" t="s">
        <v>1256</v>
      </c>
      <c r="B1802" s="16" t="s">
        <v>5</v>
      </c>
      <c r="C1802" s="17" t="s">
        <v>5973</v>
      </c>
      <c r="D1802" s="17" t="s">
        <v>5974</v>
      </c>
      <c r="E1802" s="16" t="s">
        <v>11436</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45">
      <c r="A1803" s="15" t="s">
        <v>1310</v>
      </c>
      <c r="B1803" s="16" t="s">
        <v>5</v>
      </c>
      <c r="C1803" s="17" t="s">
        <v>5976</v>
      </c>
      <c r="D1803" s="17" t="s">
        <v>5977</v>
      </c>
      <c r="E1803" s="16" t="s">
        <v>11436</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45">
      <c r="A1804" s="15" t="s">
        <v>4748</v>
      </c>
      <c r="B1804" s="16" t="s">
        <v>5</v>
      </c>
      <c r="C1804" s="17" t="s">
        <v>5979</v>
      </c>
      <c r="D1804" s="17" t="s">
        <v>5980</v>
      </c>
      <c r="E1804" s="16" t="s">
        <v>11436</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45">
      <c r="A1805" s="15" t="s">
        <v>4970</v>
      </c>
      <c r="B1805" s="16" t="s">
        <v>5</v>
      </c>
      <c r="C1805" s="17" t="s">
        <v>5982</v>
      </c>
      <c r="D1805" s="17" t="s">
        <v>5983</v>
      </c>
      <c r="E1805" s="16" t="s">
        <v>11436</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45">
      <c r="A1806" s="15" t="s">
        <v>5054</v>
      </c>
      <c r="B1806" s="16" t="s">
        <v>5</v>
      </c>
      <c r="C1806" s="17" t="s">
        <v>5985</v>
      </c>
      <c r="D1806" s="17" t="s">
        <v>5986</v>
      </c>
      <c r="E1806" s="16" t="s">
        <v>11436</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45">
      <c r="A1807" s="15" t="s">
        <v>5069</v>
      </c>
      <c r="B1807" s="16" t="s">
        <v>5</v>
      </c>
      <c r="C1807" s="17" t="s">
        <v>5988</v>
      </c>
      <c r="D1807" s="17" t="s">
        <v>5989</v>
      </c>
      <c r="E1807" s="16" t="s">
        <v>11436</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45">
      <c r="A1808" s="15" t="s">
        <v>5390</v>
      </c>
      <c r="B1808" s="16" t="s">
        <v>5</v>
      </c>
      <c r="C1808" s="17" t="s">
        <v>5991</v>
      </c>
      <c r="D1808" s="17" t="s">
        <v>5992</v>
      </c>
      <c r="E1808" s="16" t="s">
        <v>11436</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45">
      <c r="A1809" s="15" t="s">
        <v>11351</v>
      </c>
      <c r="B1809" s="16" t="s">
        <v>5</v>
      </c>
      <c r="C1809" s="17" t="s">
        <v>5994</v>
      </c>
      <c r="D1809" s="17" t="s">
        <v>5995</v>
      </c>
      <c r="E1809" s="16" t="s">
        <v>11436</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45">
      <c r="A1810" s="15" t="s">
        <v>5588</v>
      </c>
      <c r="B1810" s="16" t="s">
        <v>5</v>
      </c>
      <c r="C1810" s="17" t="s">
        <v>5997</v>
      </c>
      <c r="D1810" s="17" t="s">
        <v>5998</v>
      </c>
      <c r="E1810" s="16" t="s">
        <v>11436</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45">
      <c r="A1811" s="15" t="s">
        <v>6044</v>
      </c>
      <c r="B1811" s="16" t="s">
        <v>5</v>
      </c>
      <c r="C1811" s="17" t="s">
        <v>6000</v>
      </c>
      <c r="D1811" s="17" t="s">
        <v>6001</v>
      </c>
      <c r="E1811" s="16" t="s">
        <v>11436</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45">
      <c r="A1812" s="15" t="s">
        <v>6490</v>
      </c>
      <c r="B1812" s="16" t="s">
        <v>5</v>
      </c>
      <c r="C1812" s="17" t="s">
        <v>6003</v>
      </c>
      <c r="D1812" s="17" t="s">
        <v>6004</v>
      </c>
      <c r="E1812" s="16" t="s">
        <v>11436</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45">
      <c r="A1813" s="15" t="s">
        <v>6664</v>
      </c>
      <c r="B1813" s="16" t="s">
        <v>5</v>
      </c>
      <c r="C1813" s="17" t="s">
        <v>6006</v>
      </c>
      <c r="D1813" s="17" t="s">
        <v>6007</v>
      </c>
      <c r="E1813" s="16" t="s">
        <v>11436</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45">
      <c r="A1814" s="15" t="s">
        <v>6673</v>
      </c>
      <c r="B1814" s="16" t="s">
        <v>5</v>
      </c>
      <c r="C1814" s="17" t="s">
        <v>6009</v>
      </c>
      <c r="D1814" s="17" t="s">
        <v>6010</v>
      </c>
      <c r="E1814" s="16" t="s">
        <v>11436</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45">
      <c r="A1815" s="15" t="s">
        <v>6688</v>
      </c>
      <c r="B1815" s="16" t="s">
        <v>5</v>
      </c>
      <c r="C1815" s="17" t="s">
        <v>6012</v>
      </c>
      <c r="D1815" s="17" t="s">
        <v>6013</v>
      </c>
      <c r="E1815" s="16" t="s">
        <v>11436</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45">
      <c r="A1816" s="15" t="s">
        <v>6691</v>
      </c>
      <c r="B1816" s="16" t="s">
        <v>5</v>
      </c>
      <c r="C1816" s="17" t="s">
        <v>6015</v>
      </c>
      <c r="D1816" s="17" t="s">
        <v>6016</v>
      </c>
      <c r="E1816" s="16" t="s">
        <v>11436</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45">
      <c r="A1817" s="15" t="s">
        <v>7621</v>
      </c>
      <c r="B1817" s="16" t="s">
        <v>5</v>
      </c>
      <c r="C1817" s="17" t="s">
        <v>6018</v>
      </c>
      <c r="D1817" s="17" t="s">
        <v>6019</v>
      </c>
      <c r="E1817" s="16" t="s">
        <v>11436</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45">
      <c r="A1818" s="15" t="s">
        <v>7693</v>
      </c>
      <c r="B1818" s="16" t="s">
        <v>5</v>
      </c>
      <c r="C1818" s="17" t="s">
        <v>6021</v>
      </c>
      <c r="D1818" s="17" t="s">
        <v>6022</v>
      </c>
      <c r="E1818" s="16" t="s">
        <v>11436</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45">
      <c r="A1819" s="15" t="s">
        <v>7957</v>
      </c>
      <c r="B1819" s="16" t="s">
        <v>5</v>
      </c>
      <c r="C1819" s="17" t="s">
        <v>6024</v>
      </c>
      <c r="D1819" s="17" t="s">
        <v>6025</v>
      </c>
      <c r="E1819" s="16" t="s">
        <v>11436</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45">
      <c r="A1820" s="15" t="s">
        <v>8104</v>
      </c>
      <c r="B1820" s="16" t="s">
        <v>5</v>
      </c>
      <c r="C1820" s="17" t="s">
        <v>6027</v>
      </c>
      <c r="D1820" s="17" t="s">
        <v>6028</v>
      </c>
      <c r="E1820" s="16" t="s">
        <v>11436</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45">
      <c r="A1821" s="15" t="s">
        <v>8449</v>
      </c>
      <c r="B1821" s="16" t="s">
        <v>5</v>
      </c>
      <c r="C1821" s="17" t="s">
        <v>6030</v>
      </c>
      <c r="D1821" s="17" t="s">
        <v>6031</v>
      </c>
      <c r="E1821" s="16" t="s">
        <v>11436</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45">
      <c r="A1822" s="15" t="s">
        <v>565</v>
      </c>
      <c r="B1822" s="16" t="s">
        <v>183</v>
      </c>
      <c r="C1822" s="17" t="s">
        <v>6033</v>
      </c>
      <c r="D1822" s="17" t="s">
        <v>6034</v>
      </c>
      <c r="E1822" s="16" t="s">
        <v>11416</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45">
      <c r="A1823" s="15" t="s">
        <v>577</v>
      </c>
      <c r="B1823" s="16" t="s">
        <v>183</v>
      </c>
      <c r="C1823" s="17" t="s">
        <v>6036</v>
      </c>
      <c r="D1823" s="17" t="s">
        <v>6037</v>
      </c>
      <c r="E1823" s="16" t="s">
        <v>11416</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45">
      <c r="A1824" s="15" t="s">
        <v>589</v>
      </c>
      <c r="B1824" s="16" t="s">
        <v>183</v>
      </c>
      <c r="C1824" s="17" t="s">
        <v>6039</v>
      </c>
      <c r="D1824" s="17" t="s">
        <v>6040</v>
      </c>
      <c r="E1824" s="16" t="s">
        <v>11416</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45">
      <c r="A1825" s="15" t="s">
        <v>595</v>
      </c>
      <c r="B1825" s="16" t="s">
        <v>183</v>
      </c>
      <c r="C1825" s="17" t="s">
        <v>6042</v>
      </c>
      <c r="D1825" s="17" t="s">
        <v>6043</v>
      </c>
      <c r="E1825" s="16" t="s">
        <v>11416</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45">
      <c r="A1826" s="15" t="s">
        <v>637</v>
      </c>
      <c r="B1826" s="16" t="s">
        <v>183</v>
      </c>
      <c r="C1826" s="17" t="s">
        <v>6045</v>
      </c>
      <c r="D1826" s="17" t="s">
        <v>6046</v>
      </c>
      <c r="E1826" s="16" t="s">
        <v>11416</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45">
      <c r="A1827" s="15" t="s">
        <v>4499</v>
      </c>
      <c r="B1827" s="16" t="s">
        <v>5</v>
      </c>
      <c r="C1827" s="17" t="s">
        <v>6048</v>
      </c>
      <c r="D1827" s="17" t="s">
        <v>6049</v>
      </c>
      <c r="E1827" s="16" t="s">
        <v>11436</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45">
      <c r="A1828" s="15" t="s">
        <v>6757</v>
      </c>
      <c r="B1828" s="16" t="s">
        <v>5</v>
      </c>
      <c r="C1828" s="17" t="s">
        <v>6051</v>
      </c>
      <c r="D1828" s="17" t="s">
        <v>6052</v>
      </c>
      <c r="E1828" s="16" t="s">
        <v>11436</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45">
      <c r="A1829" s="15" t="s">
        <v>6484</v>
      </c>
      <c r="B1829" s="16" t="s">
        <v>5</v>
      </c>
      <c r="C1829" s="17" t="s">
        <v>6054</v>
      </c>
      <c r="D1829" s="17" t="s">
        <v>6055</v>
      </c>
      <c r="E1829" s="16" t="s">
        <v>11436</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45">
      <c r="A1830" s="15" t="s">
        <v>6649</v>
      </c>
      <c r="B1830" s="16" t="s">
        <v>5</v>
      </c>
      <c r="C1830" s="17" t="s">
        <v>6057</v>
      </c>
      <c r="D1830" s="17" t="s">
        <v>6058</v>
      </c>
      <c r="E1830" s="16" t="s">
        <v>11436</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45">
      <c r="A1831" s="15" t="s">
        <v>7072</v>
      </c>
      <c r="B1831" s="16" t="s">
        <v>5</v>
      </c>
      <c r="C1831" s="17" t="s">
        <v>6060</v>
      </c>
      <c r="D1831" s="17" t="s">
        <v>6061</v>
      </c>
      <c r="E1831" s="16" t="s">
        <v>11436</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45">
      <c r="A1832" s="15" t="s">
        <v>7291</v>
      </c>
      <c r="B1832" s="16" t="s">
        <v>5</v>
      </c>
      <c r="C1832" s="17" t="s">
        <v>6063</v>
      </c>
      <c r="D1832" s="17" t="s">
        <v>6064</v>
      </c>
      <c r="E1832" s="16" t="s">
        <v>11436</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45">
      <c r="A1833" s="15" t="s">
        <v>7492</v>
      </c>
      <c r="B1833" s="16" t="s">
        <v>5</v>
      </c>
      <c r="C1833" s="17" t="s">
        <v>6066</v>
      </c>
      <c r="D1833" s="17" t="s">
        <v>6067</v>
      </c>
      <c r="E1833" s="16" t="s">
        <v>11436</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45">
      <c r="A1834" s="15" t="s">
        <v>5759</v>
      </c>
      <c r="B1834" s="16" t="s">
        <v>5</v>
      </c>
      <c r="C1834" s="17" t="s">
        <v>6069</v>
      </c>
      <c r="D1834" s="17" t="s">
        <v>6070</v>
      </c>
      <c r="E1834" s="16" t="s">
        <v>11436</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45">
      <c r="A1835" s="15" t="s">
        <v>5816</v>
      </c>
      <c r="B1835" s="16" t="s">
        <v>5</v>
      </c>
      <c r="C1835" s="17" t="s">
        <v>6072</v>
      </c>
      <c r="D1835" s="17" t="s">
        <v>6073</v>
      </c>
      <c r="E1835" s="16" t="s">
        <v>11436</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45">
      <c r="A1836" s="15" t="s">
        <v>5819</v>
      </c>
      <c r="B1836" s="16" t="s">
        <v>5</v>
      </c>
      <c r="C1836" s="17" t="s">
        <v>6075</v>
      </c>
      <c r="D1836" s="17" t="s">
        <v>6076</v>
      </c>
      <c r="E1836" s="16" t="s">
        <v>11436</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45">
      <c r="A1837" s="15" t="s">
        <v>5897</v>
      </c>
      <c r="B1837" s="16" t="s">
        <v>5</v>
      </c>
      <c r="C1837" s="17" t="s">
        <v>6078</v>
      </c>
      <c r="D1837" s="17" t="s">
        <v>6079</v>
      </c>
      <c r="E1837" s="16" t="s">
        <v>11436</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45">
      <c r="A1838" s="15" t="s">
        <v>5906</v>
      </c>
      <c r="B1838" s="16" t="s">
        <v>5</v>
      </c>
      <c r="C1838" s="17" t="s">
        <v>6081</v>
      </c>
      <c r="D1838" s="17" t="s">
        <v>6082</v>
      </c>
      <c r="E1838" s="16" t="s">
        <v>11436</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45">
      <c r="A1839" s="15" t="s">
        <v>6215</v>
      </c>
      <c r="B1839" s="16" t="s">
        <v>5</v>
      </c>
      <c r="C1839" s="17" t="s">
        <v>6084</v>
      </c>
      <c r="D1839" s="17" t="s">
        <v>6085</v>
      </c>
      <c r="E1839" s="16" t="s">
        <v>11436</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45">
      <c r="A1840" s="15" t="s">
        <v>6251</v>
      </c>
      <c r="B1840" s="16" t="s">
        <v>5</v>
      </c>
      <c r="C1840" s="17" t="s">
        <v>6087</v>
      </c>
      <c r="D1840" s="17" t="s">
        <v>6088</v>
      </c>
      <c r="E1840" s="16" t="s">
        <v>11436</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45">
      <c r="A1841" s="15" t="s">
        <v>6709</v>
      </c>
      <c r="B1841" s="16" t="s">
        <v>5</v>
      </c>
      <c r="C1841" s="17" t="s">
        <v>6090</v>
      </c>
      <c r="D1841" s="17" t="s">
        <v>6091</v>
      </c>
      <c r="E1841" s="16" t="s">
        <v>11436</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45">
      <c r="A1842" s="15" t="s">
        <v>6985</v>
      </c>
      <c r="B1842" s="16" t="s">
        <v>5</v>
      </c>
      <c r="C1842" s="17" t="s">
        <v>6093</v>
      </c>
      <c r="D1842" s="17" t="s">
        <v>6094</v>
      </c>
      <c r="E1842" s="16" t="s">
        <v>11436</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45">
      <c r="A1843" s="15" t="s">
        <v>7252</v>
      </c>
      <c r="B1843" s="16" t="s">
        <v>5</v>
      </c>
      <c r="C1843" s="17" t="s">
        <v>6096</v>
      </c>
      <c r="D1843" s="17" t="s">
        <v>6097</v>
      </c>
      <c r="E1843" s="16" t="s">
        <v>11436</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45">
      <c r="A1844" s="15" t="s">
        <v>7315</v>
      </c>
      <c r="B1844" s="16" t="s">
        <v>5</v>
      </c>
      <c r="C1844" s="17" t="s">
        <v>6099</v>
      </c>
      <c r="D1844" s="17" t="s">
        <v>6100</v>
      </c>
      <c r="E1844" s="16" t="s">
        <v>11436</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45">
      <c r="A1845" s="15" t="s">
        <v>7414</v>
      </c>
      <c r="B1845" s="16" t="s">
        <v>5</v>
      </c>
      <c r="C1845" s="17" t="s">
        <v>6102</v>
      </c>
      <c r="D1845" s="17" t="s">
        <v>6103</v>
      </c>
      <c r="E1845" s="16" t="s">
        <v>11436</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45">
      <c r="A1846" s="15" t="s">
        <v>7237</v>
      </c>
      <c r="B1846" s="16" t="s">
        <v>5</v>
      </c>
      <c r="C1846" s="17" t="s">
        <v>6105</v>
      </c>
      <c r="D1846" s="17" t="s">
        <v>6106</v>
      </c>
      <c r="E1846" s="16" t="s">
        <v>11443</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45">
      <c r="A1847" s="15" t="s">
        <v>7240</v>
      </c>
      <c r="B1847" s="16" t="s">
        <v>5</v>
      </c>
      <c r="C1847" s="17" t="s">
        <v>6108</v>
      </c>
      <c r="D1847" s="17" t="s">
        <v>6109</v>
      </c>
      <c r="E1847" s="16" t="s">
        <v>11443</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45">
      <c r="A1848" s="15" t="s">
        <v>7474</v>
      </c>
      <c r="B1848" s="16" t="s">
        <v>5</v>
      </c>
      <c r="C1848" s="17" t="s">
        <v>6111</v>
      </c>
      <c r="D1848" s="17" t="s">
        <v>6112</v>
      </c>
      <c r="E1848" s="16" t="s">
        <v>11443</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45">
      <c r="A1849" s="15" t="s">
        <v>11352</v>
      </c>
      <c r="B1849" s="16" t="s">
        <v>5</v>
      </c>
      <c r="C1849" s="17" t="s">
        <v>6114</v>
      </c>
      <c r="D1849" s="17" t="s">
        <v>6115</v>
      </c>
      <c r="E1849" s="16" t="s">
        <v>11443</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45">
      <c r="A1850" s="15" t="s">
        <v>8323</v>
      </c>
      <c r="B1850" s="16" t="s">
        <v>5</v>
      </c>
      <c r="C1850" s="17" t="s">
        <v>6117</v>
      </c>
      <c r="D1850" s="17" t="s">
        <v>6118</v>
      </c>
      <c r="E1850" s="16" t="s">
        <v>11443</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45">
      <c r="A1851" s="15" t="s">
        <v>8572</v>
      </c>
      <c r="B1851" s="16" t="s">
        <v>5</v>
      </c>
      <c r="C1851" s="17" t="s">
        <v>6120</v>
      </c>
      <c r="D1851" s="17" t="s">
        <v>6121</v>
      </c>
      <c r="E1851" s="16" t="s">
        <v>11443</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45">
      <c r="A1852" s="15" t="s">
        <v>8149</v>
      </c>
      <c r="B1852" s="16" t="s">
        <v>5</v>
      </c>
      <c r="C1852" s="17" t="s">
        <v>6123</v>
      </c>
      <c r="D1852" s="17" t="s">
        <v>6124</v>
      </c>
      <c r="E1852" s="16" t="s">
        <v>11442</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45">
      <c r="A1853" s="15" t="s">
        <v>8161</v>
      </c>
      <c r="B1853" s="16" t="s">
        <v>5</v>
      </c>
      <c r="C1853" s="17" t="s">
        <v>6126</v>
      </c>
      <c r="D1853" s="17" t="s">
        <v>6127</v>
      </c>
      <c r="E1853" s="16" t="s">
        <v>11442</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45">
      <c r="A1854" s="15" t="s">
        <v>8167</v>
      </c>
      <c r="B1854" s="16" t="s">
        <v>5</v>
      </c>
      <c r="C1854" s="17" t="s">
        <v>6129</v>
      </c>
      <c r="D1854" s="17" t="s">
        <v>6130</v>
      </c>
      <c r="E1854" s="16" t="s">
        <v>11442</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45">
      <c r="A1855" s="15" t="s">
        <v>8176</v>
      </c>
      <c r="B1855" s="16" t="s">
        <v>5</v>
      </c>
      <c r="C1855" s="17" t="s">
        <v>6132</v>
      </c>
      <c r="D1855" s="17" t="s">
        <v>6133</v>
      </c>
      <c r="E1855" s="16" t="s">
        <v>11442</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45">
      <c r="A1856" s="15" t="s">
        <v>8188</v>
      </c>
      <c r="B1856" s="16" t="s">
        <v>5</v>
      </c>
      <c r="C1856" s="17" t="s">
        <v>6135</v>
      </c>
      <c r="D1856" s="17" t="s">
        <v>6136</v>
      </c>
      <c r="E1856" s="16" t="s">
        <v>11442</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45">
      <c r="A1857" s="15" t="s">
        <v>8170</v>
      </c>
      <c r="B1857" s="16" t="s">
        <v>5</v>
      </c>
      <c r="C1857" s="17" t="s">
        <v>6138</v>
      </c>
      <c r="D1857" s="17" t="s">
        <v>6139</v>
      </c>
      <c r="E1857" s="16" t="s">
        <v>11442</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45">
      <c r="A1858" s="15" t="s">
        <v>8644</v>
      </c>
      <c r="B1858" s="16" t="s">
        <v>5</v>
      </c>
      <c r="C1858" s="17" t="s">
        <v>6141</v>
      </c>
      <c r="D1858" s="17" t="s">
        <v>6142</v>
      </c>
      <c r="E1858" s="16" t="s">
        <v>11442</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45">
      <c r="A1859" s="15" t="s">
        <v>8854</v>
      </c>
      <c r="B1859" s="16" t="s">
        <v>5</v>
      </c>
      <c r="C1859" s="17" t="s">
        <v>6144</v>
      </c>
      <c r="D1859" s="17" t="s">
        <v>6145</v>
      </c>
      <c r="E1859" s="16" t="s">
        <v>11442</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45">
      <c r="A1860" s="15" t="s">
        <v>7612</v>
      </c>
      <c r="B1860" s="16" t="s">
        <v>5</v>
      </c>
      <c r="C1860" s="17" t="s">
        <v>6147</v>
      </c>
      <c r="D1860" s="17" t="s">
        <v>6148</v>
      </c>
      <c r="E1860" s="16" t="s">
        <v>11441</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45">
      <c r="A1861" s="15" t="s">
        <v>6697</v>
      </c>
      <c r="B1861" s="16" t="s">
        <v>5</v>
      </c>
      <c r="C1861" s="17" t="s">
        <v>6150</v>
      </c>
      <c r="D1861" s="17" t="s">
        <v>6151</v>
      </c>
      <c r="E1861" s="16" t="s">
        <v>11441</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45">
      <c r="A1862" s="15" t="s">
        <v>7339</v>
      </c>
      <c r="B1862" s="16" t="s">
        <v>5</v>
      </c>
      <c r="C1862" s="17" t="s">
        <v>6153</v>
      </c>
      <c r="D1862" s="17" t="s">
        <v>6154</v>
      </c>
      <c r="E1862" s="16" t="s">
        <v>11441</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45">
      <c r="A1863" s="15" t="s">
        <v>7162</v>
      </c>
      <c r="B1863" s="16" t="s">
        <v>5</v>
      </c>
      <c r="C1863" s="17" t="s">
        <v>6156</v>
      </c>
      <c r="D1863" s="17" t="s">
        <v>6157</v>
      </c>
      <c r="E1863" s="16" t="s">
        <v>11441</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45">
      <c r="A1864" s="15" t="s">
        <v>6574</v>
      </c>
      <c r="B1864" s="16" t="s">
        <v>5</v>
      </c>
      <c r="C1864" s="17" t="s">
        <v>6159</v>
      </c>
      <c r="D1864" s="17" t="s">
        <v>6160</v>
      </c>
      <c r="E1864" s="16" t="s">
        <v>11441</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45">
      <c r="A1865" s="15" t="s">
        <v>6424</v>
      </c>
      <c r="B1865" s="16" t="s">
        <v>5</v>
      </c>
      <c r="C1865" s="17" t="s">
        <v>6162</v>
      </c>
      <c r="D1865" s="17" t="s">
        <v>6163</v>
      </c>
      <c r="E1865" s="16" t="s">
        <v>11441</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45">
      <c r="A1866" s="15" t="s">
        <v>7099</v>
      </c>
      <c r="B1866" s="16" t="s">
        <v>5</v>
      </c>
      <c r="C1866" s="17" t="s">
        <v>6165</v>
      </c>
      <c r="D1866" s="17" t="s">
        <v>6166</v>
      </c>
      <c r="E1866" s="16" t="s">
        <v>11441</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45">
      <c r="A1867" s="15" t="s">
        <v>6400</v>
      </c>
      <c r="B1867" s="16" t="s">
        <v>5</v>
      </c>
      <c r="C1867" s="17" t="s">
        <v>6168</v>
      </c>
      <c r="D1867" s="17" t="s">
        <v>6169</v>
      </c>
      <c r="E1867" s="16" t="s">
        <v>11441</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45">
      <c r="A1868" s="15" t="s">
        <v>7066</v>
      </c>
      <c r="B1868" s="16" t="s">
        <v>5</v>
      </c>
      <c r="C1868" s="17" t="s">
        <v>6171</v>
      </c>
      <c r="D1868" s="17" t="s">
        <v>6172</v>
      </c>
      <c r="E1868" s="16" t="s">
        <v>11441</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45">
      <c r="A1869" s="15" t="s">
        <v>7105</v>
      </c>
      <c r="B1869" s="16" t="s">
        <v>5</v>
      </c>
      <c r="C1869" s="17" t="s">
        <v>6174</v>
      </c>
      <c r="D1869" s="17" t="s">
        <v>6175</v>
      </c>
      <c r="E1869" s="16" t="s">
        <v>11441</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45">
      <c r="A1870" s="15" t="s">
        <v>6397</v>
      </c>
      <c r="B1870" s="16" t="s">
        <v>5</v>
      </c>
      <c r="C1870" s="17" t="s">
        <v>6177</v>
      </c>
      <c r="D1870" s="17" t="s">
        <v>6178</v>
      </c>
      <c r="E1870" s="16" t="s">
        <v>11441</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45">
      <c r="A1871" s="15" t="s">
        <v>6328</v>
      </c>
      <c r="B1871" s="16" t="s">
        <v>5</v>
      </c>
      <c r="C1871" s="17" t="s">
        <v>6180</v>
      </c>
      <c r="D1871" s="17" t="s">
        <v>6181</v>
      </c>
      <c r="E1871" s="16" t="s">
        <v>11441</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45">
      <c r="A1872" s="15" t="s">
        <v>6331</v>
      </c>
      <c r="B1872" s="16" t="s">
        <v>5</v>
      </c>
      <c r="C1872" s="17" t="s">
        <v>6183</v>
      </c>
      <c r="D1872" s="17" t="s">
        <v>6184</v>
      </c>
      <c r="E1872" s="16" t="s">
        <v>11441</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45">
      <c r="A1873" s="15" t="s">
        <v>7207</v>
      </c>
      <c r="B1873" s="16" t="s">
        <v>5</v>
      </c>
      <c r="C1873" s="17" t="s">
        <v>6186</v>
      </c>
      <c r="D1873" s="17" t="s">
        <v>6187</v>
      </c>
      <c r="E1873" s="16" t="s">
        <v>11441</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45">
      <c r="A1874" s="15" t="s">
        <v>8080</v>
      </c>
      <c r="B1874" s="16" t="s">
        <v>5</v>
      </c>
      <c r="C1874" s="17" t="s">
        <v>6189</v>
      </c>
      <c r="D1874" s="17" t="s">
        <v>6190</v>
      </c>
      <c r="E1874" s="16" t="s">
        <v>11441</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45">
      <c r="A1875" s="15" t="s">
        <v>7336</v>
      </c>
      <c r="B1875" s="16" t="s">
        <v>5</v>
      </c>
      <c r="C1875" s="17" t="s">
        <v>6192</v>
      </c>
      <c r="D1875" s="17" t="s">
        <v>6193</v>
      </c>
      <c r="E1875" s="16" t="s">
        <v>11441</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45">
      <c r="A1876" s="15" t="s">
        <v>6385</v>
      </c>
      <c r="B1876" s="16" t="s">
        <v>5</v>
      </c>
      <c r="C1876" s="17" t="s">
        <v>6195</v>
      </c>
      <c r="D1876" s="17" t="s">
        <v>6196</v>
      </c>
      <c r="E1876" s="16" t="s">
        <v>11441</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45">
      <c r="A1877" s="15" t="s">
        <v>11353</v>
      </c>
      <c r="B1877" s="16" t="s">
        <v>5</v>
      </c>
      <c r="C1877" s="17" t="s">
        <v>6198</v>
      </c>
      <c r="D1877" s="17" t="s">
        <v>6199</v>
      </c>
      <c r="E1877" s="16" t="s">
        <v>11436</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45">
      <c r="A1878" s="15" t="s">
        <v>6287</v>
      </c>
      <c r="B1878" s="16" t="s">
        <v>5</v>
      </c>
      <c r="C1878" s="17" t="s">
        <v>6201</v>
      </c>
      <c r="D1878" s="17" t="s">
        <v>6202</v>
      </c>
      <c r="E1878" s="16" t="s">
        <v>11436</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45">
      <c r="A1879" s="15" t="s">
        <v>6514</v>
      </c>
      <c r="B1879" s="16" t="s">
        <v>5</v>
      </c>
      <c r="C1879" s="17" t="s">
        <v>6204</v>
      </c>
      <c r="D1879" s="17" t="s">
        <v>6205</v>
      </c>
      <c r="E1879" s="16" t="s">
        <v>11436</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45">
      <c r="A1880" s="15" t="s">
        <v>4256</v>
      </c>
      <c r="B1880" s="16" t="s">
        <v>5</v>
      </c>
      <c r="C1880" s="17" t="s">
        <v>6207</v>
      </c>
      <c r="D1880" s="17" t="s">
        <v>6208</v>
      </c>
      <c r="E1880" s="16" t="s">
        <v>11436</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45">
      <c r="A1881" s="15" t="s">
        <v>4259</v>
      </c>
      <c r="B1881" s="16" t="s">
        <v>5</v>
      </c>
      <c r="C1881" s="17" t="s">
        <v>6210</v>
      </c>
      <c r="D1881" s="17" t="s">
        <v>6211</v>
      </c>
      <c r="E1881" s="16" t="s">
        <v>11436</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45">
      <c r="A1882" s="15" t="s">
        <v>4637</v>
      </c>
      <c r="B1882" s="16" t="s">
        <v>5</v>
      </c>
      <c r="C1882" s="17" t="s">
        <v>6213</v>
      </c>
      <c r="D1882" s="17" t="s">
        <v>6214</v>
      </c>
      <c r="E1882" s="16" t="s">
        <v>11436</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45">
      <c r="A1883" s="15" t="s">
        <v>4997</v>
      </c>
      <c r="B1883" s="16" t="s">
        <v>5</v>
      </c>
      <c r="C1883" s="17" t="s">
        <v>6216</v>
      </c>
      <c r="D1883" s="17" t="s">
        <v>6217</v>
      </c>
      <c r="E1883" s="16" t="s">
        <v>11436</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45">
      <c r="A1884" s="15" t="s">
        <v>5108</v>
      </c>
      <c r="B1884" s="16" t="s">
        <v>5</v>
      </c>
      <c r="C1884" s="17" t="s">
        <v>6219</v>
      </c>
      <c r="D1884" s="17" t="s">
        <v>6220</v>
      </c>
      <c r="E1884" s="16" t="s">
        <v>11436</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45">
      <c r="A1885" s="15" t="s">
        <v>11354</v>
      </c>
      <c r="B1885" s="16" t="s">
        <v>5</v>
      </c>
      <c r="C1885" s="17" t="s">
        <v>6222</v>
      </c>
      <c r="D1885" s="17" t="s">
        <v>6223</v>
      </c>
      <c r="E1885" s="16" t="s">
        <v>11436</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45">
      <c r="A1886" s="15" t="s">
        <v>6403</v>
      </c>
      <c r="B1886" s="16" t="s">
        <v>5</v>
      </c>
      <c r="C1886" s="17" t="s">
        <v>6225</v>
      </c>
      <c r="D1886" s="17" t="s">
        <v>6226</v>
      </c>
      <c r="E1886" s="16" t="s">
        <v>11436</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45">
      <c r="A1887" s="15" t="s">
        <v>6137</v>
      </c>
      <c r="B1887" s="16" t="s">
        <v>5</v>
      </c>
      <c r="C1887" s="17" t="s">
        <v>6228</v>
      </c>
      <c r="D1887" s="17" t="s">
        <v>6229</v>
      </c>
      <c r="E1887" s="16" t="s">
        <v>11436</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45">
      <c r="A1888" s="15" t="s">
        <v>6379</v>
      </c>
      <c r="B1888" s="16" t="s">
        <v>5</v>
      </c>
      <c r="C1888" s="17" t="s">
        <v>6231</v>
      </c>
      <c r="D1888" s="17" t="s">
        <v>6232</v>
      </c>
      <c r="E1888" s="16" t="s">
        <v>11436</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45">
      <c r="A1889" s="15" t="s">
        <v>6388</v>
      </c>
      <c r="B1889" s="16" t="s">
        <v>5</v>
      </c>
      <c r="C1889" s="17" t="s">
        <v>6234</v>
      </c>
      <c r="D1889" s="17" t="s">
        <v>6235</v>
      </c>
      <c r="E1889" s="16" t="s">
        <v>11436</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45">
      <c r="A1890" s="15" t="s">
        <v>6592</v>
      </c>
      <c r="B1890" s="16" t="s">
        <v>5</v>
      </c>
      <c r="C1890" s="17" t="s">
        <v>6237</v>
      </c>
      <c r="D1890" s="17" t="s">
        <v>6238</v>
      </c>
      <c r="E1890" s="16" t="s">
        <v>11436</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45">
      <c r="A1891" s="15" t="s">
        <v>6607</v>
      </c>
      <c r="B1891" s="16" t="s">
        <v>5</v>
      </c>
      <c r="C1891" s="17" t="s">
        <v>6240</v>
      </c>
      <c r="D1891" s="17" t="s">
        <v>6241</v>
      </c>
      <c r="E1891" s="16" t="s">
        <v>11436</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45">
      <c r="A1892" s="15" t="s">
        <v>6736</v>
      </c>
      <c r="B1892" s="16" t="s">
        <v>5</v>
      </c>
      <c r="C1892" s="17" t="s">
        <v>6243</v>
      </c>
      <c r="D1892" s="17" t="s">
        <v>6244</v>
      </c>
      <c r="E1892" s="16" t="s">
        <v>11436</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45">
      <c r="A1893" s="15" t="s">
        <v>6934</v>
      </c>
      <c r="B1893" s="16" t="s">
        <v>5</v>
      </c>
      <c r="C1893" s="17" t="s">
        <v>6246</v>
      </c>
      <c r="D1893" s="17" t="s">
        <v>6247</v>
      </c>
      <c r="E1893" s="16" t="s">
        <v>11436</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45">
      <c r="A1894" s="15" t="s">
        <v>7273</v>
      </c>
      <c r="B1894" s="16" t="s">
        <v>5</v>
      </c>
      <c r="C1894" s="17" t="s">
        <v>6249</v>
      </c>
      <c r="D1894" s="17" t="s">
        <v>6250</v>
      </c>
      <c r="E1894" s="16" t="s">
        <v>11436</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45">
      <c r="A1895" s="15" t="s">
        <v>7516</v>
      </c>
      <c r="B1895" s="16" t="s">
        <v>5</v>
      </c>
      <c r="C1895" s="17" t="s">
        <v>6252</v>
      </c>
      <c r="D1895" s="17" t="s">
        <v>6253</v>
      </c>
      <c r="E1895" s="16" t="s">
        <v>11436</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45">
      <c r="A1896" s="15" t="s">
        <v>7588</v>
      </c>
      <c r="B1896" s="16" t="s">
        <v>5</v>
      </c>
      <c r="C1896" s="17" t="s">
        <v>6255</v>
      </c>
      <c r="D1896" s="17" t="s">
        <v>6256</v>
      </c>
      <c r="E1896" s="16" t="s">
        <v>11436</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45">
      <c r="A1897" s="15" t="s">
        <v>7909</v>
      </c>
      <c r="B1897" s="16" t="s">
        <v>5</v>
      </c>
      <c r="C1897" s="17" t="s">
        <v>6258</v>
      </c>
      <c r="D1897" s="17" t="s">
        <v>6259</v>
      </c>
      <c r="E1897" s="16" t="s">
        <v>11436</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45">
      <c r="A1898" s="15" t="s">
        <v>7948</v>
      </c>
      <c r="B1898" s="16" t="s">
        <v>5</v>
      </c>
      <c r="C1898" s="17" t="s">
        <v>6261</v>
      </c>
      <c r="D1898" s="17" t="s">
        <v>6262</v>
      </c>
      <c r="E1898" s="16" t="s">
        <v>11436</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45">
      <c r="A1899" s="15" t="s">
        <v>8194</v>
      </c>
      <c r="B1899" s="16" t="s">
        <v>5</v>
      </c>
      <c r="C1899" s="17" t="s">
        <v>6264</v>
      </c>
      <c r="D1899" s="17" t="s">
        <v>6265</v>
      </c>
      <c r="E1899" s="16" t="s">
        <v>11436</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45">
      <c r="A1900" s="15" t="s">
        <v>4289</v>
      </c>
      <c r="B1900" s="16" t="s">
        <v>5</v>
      </c>
      <c r="C1900" s="17" t="s">
        <v>6267</v>
      </c>
      <c r="D1900" s="17" t="s">
        <v>6268</v>
      </c>
      <c r="E1900" s="16" t="s">
        <v>11436</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45">
      <c r="A1901" s="15" t="s">
        <v>4292</v>
      </c>
      <c r="B1901" s="16" t="s">
        <v>5</v>
      </c>
      <c r="C1901" s="17" t="s">
        <v>6270</v>
      </c>
      <c r="D1901" s="17" t="s">
        <v>6271</v>
      </c>
      <c r="E1901" s="16" t="s">
        <v>11436</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45">
      <c r="A1902" s="15" t="s">
        <v>4451</v>
      </c>
      <c r="B1902" s="16" t="s">
        <v>5</v>
      </c>
      <c r="C1902" s="17" t="s">
        <v>6273</v>
      </c>
      <c r="D1902" s="17" t="s">
        <v>6274</v>
      </c>
      <c r="E1902" s="16" t="s">
        <v>11436</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45">
      <c r="A1903" s="15" t="s">
        <v>4466</v>
      </c>
      <c r="B1903" s="16" t="s">
        <v>5</v>
      </c>
      <c r="C1903" s="17" t="s">
        <v>6276</v>
      </c>
      <c r="D1903" s="17" t="s">
        <v>6277</v>
      </c>
      <c r="E1903" s="16" t="s">
        <v>11436</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45">
      <c r="A1904" s="15" t="s">
        <v>4760</v>
      </c>
      <c r="B1904" s="16" t="s">
        <v>5</v>
      </c>
      <c r="C1904" s="17" t="s">
        <v>6279</v>
      </c>
      <c r="D1904" s="17" t="s">
        <v>6280</v>
      </c>
      <c r="E1904" s="16" t="s">
        <v>11436</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45">
      <c r="A1905" s="15" t="s">
        <v>4916</v>
      </c>
      <c r="B1905" s="16" t="s">
        <v>5</v>
      </c>
      <c r="C1905" s="17" t="s">
        <v>6282</v>
      </c>
      <c r="D1905" s="17" t="s">
        <v>6283</v>
      </c>
      <c r="E1905" s="16" t="s">
        <v>11436</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45">
      <c r="A1906" s="15" t="s">
        <v>5024</v>
      </c>
      <c r="B1906" s="16" t="s">
        <v>5</v>
      </c>
      <c r="C1906" s="17" t="s">
        <v>6285</v>
      </c>
      <c r="D1906" s="17" t="s">
        <v>6286</v>
      </c>
      <c r="E1906" s="16" t="s">
        <v>11436</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45">
      <c r="A1907" s="15" t="s">
        <v>5096</v>
      </c>
      <c r="B1907" s="16" t="s">
        <v>5</v>
      </c>
      <c r="C1907" s="17" t="s">
        <v>6288</v>
      </c>
      <c r="D1907" s="17" t="s">
        <v>6289</v>
      </c>
      <c r="E1907" s="16" t="s">
        <v>11436</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45">
      <c r="A1908" s="15" t="s">
        <v>5243</v>
      </c>
      <c r="B1908" s="16" t="s">
        <v>5</v>
      </c>
      <c r="C1908" s="17" t="s">
        <v>6291</v>
      </c>
      <c r="D1908" s="17" t="s">
        <v>6292</v>
      </c>
      <c r="E1908" s="16" t="s">
        <v>11436</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45">
      <c r="A1909" s="15" t="s">
        <v>5264</v>
      </c>
      <c r="B1909" s="16" t="s">
        <v>5</v>
      </c>
      <c r="C1909" s="17" t="s">
        <v>6294</v>
      </c>
      <c r="D1909" s="17" t="s">
        <v>6295</v>
      </c>
      <c r="E1909" s="16" t="s">
        <v>11436</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45">
      <c r="A1910" s="15" t="s">
        <v>5339</v>
      </c>
      <c r="B1910" s="16" t="s">
        <v>5</v>
      </c>
      <c r="C1910" s="17" t="s">
        <v>6297</v>
      </c>
      <c r="D1910" s="17" t="s">
        <v>6298</v>
      </c>
      <c r="E1910" s="16" t="s">
        <v>11436</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45">
      <c r="A1911" s="15" t="s">
        <v>5426</v>
      </c>
      <c r="B1911" s="16" t="s">
        <v>5</v>
      </c>
      <c r="C1911" s="17" t="s">
        <v>6300</v>
      </c>
      <c r="D1911" s="17" t="s">
        <v>6301</v>
      </c>
      <c r="E1911" s="16" t="s">
        <v>11436</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45">
      <c r="A1912" s="15" t="s">
        <v>5564</v>
      </c>
      <c r="B1912" s="16" t="s">
        <v>5</v>
      </c>
      <c r="C1912" s="17" t="s">
        <v>6303</v>
      </c>
      <c r="D1912" s="17" t="s">
        <v>6304</v>
      </c>
      <c r="E1912" s="16" t="s">
        <v>11436</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45">
      <c r="A1913" s="15" t="s">
        <v>8359</v>
      </c>
      <c r="B1913" s="16" t="s">
        <v>5</v>
      </c>
      <c r="C1913" s="17" t="s">
        <v>6306</v>
      </c>
      <c r="D1913" s="17" t="s">
        <v>6307</v>
      </c>
      <c r="E1913" s="16" t="s">
        <v>11436</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45">
      <c r="A1914" s="15" t="s">
        <v>5996</v>
      </c>
      <c r="B1914" s="16" t="s">
        <v>5</v>
      </c>
      <c r="C1914" s="17" t="s">
        <v>6309</v>
      </c>
      <c r="D1914" s="17" t="s">
        <v>6310</v>
      </c>
      <c r="E1914" s="16" t="s">
        <v>11436</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45">
      <c r="A1915" s="15" t="s">
        <v>6095</v>
      </c>
      <c r="B1915" s="16" t="s">
        <v>5</v>
      </c>
      <c r="C1915" s="17" t="s">
        <v>6312</v>
      </c>
      <c r="D1915" s="17" t="s">
        <v>6313</v>
      </c>
      <c r="E1915" s="16" t="s">
        <v>11436</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45">
      <c r="A1916" s="15" t="s">
        <v>11355</v>
      </c>
      <c r="B1916" s="16" t="s">
        <v>5</v>
      </c>
      <c r="C1916" s="17" t="s">
        <v>6315</v>
      </c>
      <c r="D1916" s="17" t="s">
        <v>6316</v>
      </c>
      <c r="E1916" s="16" t="s">
        <v>11436</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45">
      <c r="A1917" s="15" t="s">
        <v>6448</v>
      </c>
      <c r="B1917" s="16" t="s">
        <v>5</v>
      </c>
      <c r="C1917" s="17" t="s">
        <v>6318</v>
      </c>
      <c r="D1917" s="17" t="s">
        <v>6319</v>
      </c>
      <c r="E1917" s="16" t="s">
        <v>11436</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45">
      <c r="A1918" s="15" t="s">
        <v>11356</v>
      </c>
      <c r="B1918" s="16" t="s">
        <v>5</v>
      </c>
      <c r="C1918" s="17" t="s">
        <v>6321</v>
      </c>
      <c r="D1918" s="17" t="s">
        <v>6322</v>
      </c>
      <c r="E1918" s="16" t="s">
        <v>11436</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45">
      <c r="A1919" s="15" t="s">
        <v>7027</v>
      </c>
      <c r="B1919" s="16" t="s">
        <v>5</v>
      </c>
      <c r="C1919" s="17" t="s">
        <v>6234</v>
      </c>
      <c r="D1919" s="17" t="s">
        <v>6324</v>
      </c>
      <c r="E1919" s="16" t="s">
        <v>11436</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45">
      <c r="A1920" s="15" t="s">
        <v>5348</v>
      </c>
      <c r="B1920" s="16" t="s">
        <v>5</v>
      </c>
      <c r="C1920" s="17" t="s">
        <v>6326</v>
      </c>
      <c r="D1920" s="17" t="s">
        <v>6327</v>
      </c>
      <c r="E1920" s="16" t="s">
        <v>11436</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45">
      <c r="A1921" s="15" t="s">
        <v>5480</v>
      </c>
      <c r="B1921" s="16" t="s">
        <v>5</v>
      </c>
      <c r="C1921" s="17" t="s">
        <v>6329</v>
      </c>
      <c r="D1921" s="17" t="s">
        <v>6330</v>
      </c>
      <c r="E1921" s="16" t="s">
        <v>11436</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45">
      <c r="A1922" s="15" t="s">
        <v>5507</v>
      </c>
      <c r="B1922" s="16" t="s">
        <v>5</v>
      </c>
      <c r="C1922" s="17" t="s">
        <v>6332</v>
      </c>
      <c r="D1922" s="17" t="s">
        <v>6333</v>
      </c>
      <c r="E1922" s="16" t="s">
        <v>11436</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45">
      <c r="A1923" s="15" t="s">
        <v>6451</v>
      </c>
      <c r="B1923" s="16" t="s">
        <v>5</v>
      </c>
      <c r="C1923" s="17" t="s">
        <v>6335</v>
      </c>
      <c r="D1923" s="17" t="s">
        <v>6336</v>
      </c>
      <c r="E1923" s="16" t="s">
        <v>11436</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45">
      <c r="A1924" s="15" t="s">
        <v>8119</v>
      </c>
      <c r="B1924" s="16" t="s">
        <v>5</v>
      </c>
      <c r="C1924" s="17" t="s">
        <v>6338</v>
      </c>
      <c r="D1924" s="17" t="s">
        <v>6339</v>
      </c>
      <c r="E1924" s="16" t="s">
        <v>11436</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45">
      <c r="A1925" s="15" t="s">
        <v>8476</v>
      </c>
      <c r="B1925" s="16" t="s">
        <v>5</v>
      </c>
      <c r="C1925" s="17" t="s">
        <v>6341</v>
      </c>
      <c r="D1925" s="17" t="s">
        <v>6342</v>
      </c>
      <c r="E1925" s="16" t="s">
        <v>11436</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45">
      <c r="A1926" s="15" t="s">
        <v>5981</v>
      </c>
      <c r="B1926" s="16" t="s">
        <v>5</v>
      </c>
      <c r="C1926" s="17" t="s">
        <v>6344</v>
      </c>
      <c r="D1926" s="17" t="s">
        <v>6345</v>
      </c>
      <c r="E1926" s="16" t="s">
        <v>11436</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45">
      <c r="A1927" s="15" t="s">
        <v>5993</v>
      </c>
      <c r="B1927" s="16" t="s">
        <v>5</v>
      </c>
      <c r="C1927" s="17" t="s">
        <v>6347</v>
      </c>
      <c r="D1927" s="17" t="s">
        <v>6348</v>
      </c>
      <c r="E1927" s="16" t="s">
        <v>11436</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45">
      <c r="A1928" s="15" t="s">
        <v>6146</v>
      </c>
      <c r="B1928" s="16" t="s">
        <v>5</v>
      </c>
      <c r="C1928" s="17" t="s">
        <v>6350</v>
      </c>
      <c r="D1928" s="17" t="s">
        <v>6351</v>
      </c>
      <c r="E1928" s="16" t="s">
        <v>11436</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45">
      <c r="A1929" s="15" t="s">
        <v>6406</v>
      </c>
      <c r="B1929" s="16" t="s">
        <v>5</v>
      </c>
      <c r="C1929" s="17" t="s">
        <v>6353</v>
      </c>
      <c r="D1929" s="17" t="s">
        <v>6354</v>
      </c>
      <c r="E1929" s="16" t="s">
        <v>11436</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45">
      <c r="A1930" s="15" t="s">
        <v>6457</v>
      </c>
      <c r="B1930" s="16" t="s">
        <v>5</v>
      </c>
      <c r="C1930" s="17" t="s">
        <v>6356</v>
      </c>
      <c r="D1930" s="17" t="s">
        <v>6357</v>
      </c>
      <c r="E1930" s="16" t="s">
        <v>11436</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45">
      <c r="A1931" s="15" t="s">
        <v>6565</v>
      </c>
      <c r="B1931" s="16" t="s">
        <v>5</v>
      </c>
      <c r="C1931" s="17" t="s">
        <v>6359</v>
      </c>
      <c r="D1931" s="17" t="s">
        <v>6360</v>
      </c>
      <c r="E1931" s="16" t="s">
        <v>11436</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45">
      <c r="A1932" s="15" t="s">
        <v>6676</v>
      </c>
      <c r="B1932" s="16" t="s">
        <v>5</v>
      </c>
      <c r="C1932" s="17" t="s">
        <v>6362</v>
      </c>
      <c r="D1932" s="17" t="s">
        <v>6363</v>
      </c>
      <c r="E1932" s="16" t="s">
        <v>11436</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45">
      <c r="A1933" s="15" t="s">
        <v>6679</v>
      </c>
      <c r="B1933" s="16" t="s">
        <v>5</v>
      </c>
      <c r="C1933" s="17" t="s">
        <v>6365</v>
      </c>
      <c r="D1933" s="17" t="s">
        <v>6366</v>
      </c>
      <c r="E1933" s="16" t="s">
        <v>11436</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45">
      <c r="A1934" s="15" t="s">
        <v>6820</v>
      </c>
      <c r="B1934" s="16" t="s">
        <v>5</v>
      </c>
      <c r="C1934" s="17" t="s">
        <v>6368</v>
      </c>
      <c r="D1934" s="17" t="s">
        <v>6369</v>
      </c>
      <c r="E1934" s="16" t="s">
        <v>11436</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45">
      <c r="A1935" s="15" t="s">
        <v>6826</v>
      </c>
      <c r="B1935" s="16" t="s">
        <v>5</v>
      </c>
      <c r="C1935" s="17" t="s">
        <v>6371</v>
      </c>
      <c r="D1935" s="17" t="s">
        <v>6372</v>
      </c>
      <c r="E1935" s="16" t="s">
        <v>11436</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45">
      <c r="A1936" s="15" t="s">
        <v>6853</v>
      </c>
      <c r="B1936" s="16" t="s">
        <v>5</v>
      </c>
      <c r="C1936" s="17" t="s">
        <v>6374</v>
      </c>
      <c r="D1936" s="17" t="s">
        <v>6375</v>
      </c>
      <c r="E1936" s="16" t="s">
        <v>11436</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45">
      <c r="A1937" s="15" t="s">
        <v>7018</v>
      </c>
      <c r="B1937" s="16" t="s">
        <v>5</v>
      </c>
      <c r="C1937" s="17" t="s">
        <v>6377</v>
      </c>
      <c r="D1937" s="17" t="s">
        <v>6378</v>
      </c>
      <c r="E1937" s="16" t="s">
        <v>11436</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45">
      <c r="A1938" s="15" t="s">
        <v>7204</v>
      </c>
      <c r="B1938" s="16" t="s">
        <v>5</v>
      </c>
      <c r="C1938" s="17" t="s">
        <v>6380</v>
      </c>
      <c r="D1938" s="17" t="s">
        <v>6381</v>
      </c>
      <c r="E1938" s="16" t="s">
        <v>11436</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45">
      <c r="A1939" s="15" t="s">
        <v>7231</v>
      </c>
      <c r="B1939" s="16" t="s">
        <v>5</v>
      </c>
      <c r="C1939" s="17" t="s">
        <v>6383</v>
      </c>
      <c r="D1939" s="17" t="s">
        <v>6384</v>
      </c>
      <c r="E1939" s="16" t="s">
        <v>11436</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45">
      <c r="A1940" s="15" t="s">
        <v>7267</v>
      </c>
      <c r="B1940" s="16" t="s">
        <v>5</v>
      </c>
      <c r="C1940" s="17" t="s">
        <v>6386</v>
      </c>
      <c r="D1940" s="17" t="s">
        <v>6387</v>
      </c>
      <c r="E1940" s="16" t="s">
        <v>11436</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45">
      <c r="A1941" s="15" t="s">
        <v>7300</v>
      </c>
      <c r="B1941" s="16" t="s">
        <v>5</v>
      </c>
      <c r="C1941" s="17" t="s">
        <v>6389</v>
      </c>
      <c r="D1941" s="17" t="s">
        <v>6390</v>
      </c>
      <c r="E1941" s="16" t="s">
        <v>11436</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45">
      <c r="A1942" s="15" t="s">
        <v>7309</v>
      </c>
      <c r="B1942" s="16" t="s">
        <v>5</v>
      </c>
      <c r="C1942" s="17" t="s">
        <v>6392</v>
      </c>
      <c r="D1942" s="17" t="s">
        <v>6393</v>
      </c>
      <c r="E1942" s="16" t="s">
        <v>11436</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45">
      <c r="A1943" s="15" t="s">
        <v>7324</v>
      </c>
      <c r="B1943" s="16" t="s">
        <v>5</v>
      </c>
      <c r="C1943" s="17" t="s">
        <v>6395</v>
      </c>
      <c r="D1943" s="17" t="s">
        <v>6396</v>
      </c>
      <c r="E1943" s="16" t="s">
        <v>11436</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45">
      <c r="A1944" s="15" t="s">
        <v>7345</v>
      </c>
      <c r="B1944" s="16" t="s">
        <v>5</v>
      </c>
      <c r="C1944" s="17" t="s">
        <v>6398</v>
      </c>
      <c r="D1944" s="17" t="s">
        <v>6399</v>
      </c>
      <c r="E1944" s="16" t="s">
        <v>11436</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45">
      <c r="A1945" s="15" t="s">
        <v>7351</v>
      </c>
      <c r="B1945" s="16" t="s">
        <v>5</v>
      </c>
      <c r="C1945" s="17" t="s">
        <v>6401</v>
      </c>
      <c r="D1945" s="17" t="s">
        <v>6402</v>
      </c>
      <c r="E1945" s="16" t="s">
        <v>11436</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45">
      <c r="A1946" s="15" t="s">
        <v>7447</v>
      </c>
      <c r="B1946" s="16" t="s">
        <v>5</v>
      </c>
      <c r="C1946" s="17" t="s">
        <v>6404</v>
      </c>
      <c r="D1946" s="17" t="s">
        <v>6405</v>
      </c>
      <c r="E1946" s="16" t="s">
        <v>11436</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45">
      <c r="A1947" s="15" t="s">
        <v>7675</v>
      </c>
      <c r="B1947" s="16" t="s">
        <v>5</v>
      </c>
      <c r="C1947" s="17" t="s">
        <v>6407</v>
      </c>
      <c r="D1947" s="17" t="s">
        <v>6408</v>
      </c>
      <c r="E1947" s="16" t="s">
        <v>11436</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45">
      <c r="A1948" s="15" t="s">
        <v>7708</v>
      </c>
      <c r="B1948" s="16" t="s">
        <v>5</v>
      </c>
      <c r="C1948" s="17" t="s">
        <v>6410</v>
      </c>
      <c r="D1948" s="17" t="s">
        <v>6411</v>
      </c>
      <c r="E1948" s="16" t="s">
        <v>11436</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45">
      <c r="A1949" s="15" t="s">
        <v>7741</v>
      </c>
      <c r="B1949" s="16" t="s">
        <v>5</v>
      </c>
      <c r="C1949" s="17" t="s">
        <v>6413</v>
      </c>
      <c r="D1949" s="17" t="s">
        <v>6414</v>
      </c>
      <c r="E1949" s="16" t="s">
        <v>11436</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45">
      <c r="A1950" s="15" t="s">
        <v>7990</v>
      </c>
      <c r="B1950" s="16" t="s">
        <v>5</v>
      </c>
      <c r="C1950" s="17" t="s">
        <v>6416</v>
      </c>
      <c r="D1950" s="17" t="s">
        <v>6417</v>
      </c>
      <c r="E1950" s="16" t="s">
        <v>11436</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45">
      <c r="A1951" s="15" t="s">
        <v>5330</v>
      </c>
      <c r="B1951" s="16" t="s">
        <v>5</v>
      </c>
      <c r="C1951" s="17" t="s">
        <v>6419</v>
      </c>
      <c r="D1951" s="17" t="s">
        <v>6420</v>
      </c>
      <c r="E1951" s="16" t="s">
        <v>11436</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45">
      <c r="A1952" s="15" t="s">
        <v>5333</v>
      </c>
      <c r="B1952" s="16" t="s">
        <v>5</v>
      </c>
      <c r="C1952" s="17" t="s">
        <v>6422</v>
      </c>
      <c r="D1952" s="17" t="s">
        <v>6423</v>
      </c>
      <c r="E1952" s="16" t="s">
        <v>11436</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45">
      <c r="A1953" s="15" t="s">
        <v>5369</v>
      </c>
      <c r="B1953" s="16" t="s">
        <v>5</v>
      </c>
      <c r="C1953" s="17" t="s">
        <v>6425</v>
      </c>
      <c r="D1953" s="17" t="s">
        <v>6426</v>
      </c>
      <c r="E1953" s="16" t="s">
        <v>11436</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45">
      <c r="A1954" s="15" t="s">
        <v>5378</v>
      </c>
      <c r="B1954" s="16" t="s">
        <v>5</v>
      </c>
      <c r="C1954" s="17" t="s">
        <v>6428</v>
      </c>
      <c r="D1954" s="17" t="s">
        <v>6429</v>
      </c>
      <c r="E1954" s="16" t="s">
        <v>11436</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45">
      <c r="A1955" s="15" t="s">
        <v>5414</v>
      </c>
      <c r="B1955" s="16" t="s">
        <v>5</v>
      </c>
      <c r="C1955" s="17" t="s">
        <v>6431</v>
      </c>
      <c r="D1955" s="17" t="s">
        <v>6432</v>
      </c>
      <c r="E1955" s="16" t="s">
        <v>11436</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45">
      <c r="A1956" s="15" t="s">
        <v>5471</v>
      </c>
      <c r="B1956" s="16" t="s">
        <v>5</v>
      </c>
      <c r="C1956" s="17" t="s">
        <v>6434</v>
      </c>
      <c r="D1956" s="17" t="s">
        <v>6435</v>
      </c>
      <c r="E1956" s="16" t="s">
        <v>11436</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45">
      <c r="A1957" s="15" t="s">
        <v>5531</v>
      </c>
      <c r="B1957" s="16" t="s">
        <v>5</v>
      </c>
      <c r="C1957" s="17" t="s">
        <v>6437</v>
      </c>
      <c r="D1957" s="17" t="s">
        <v>6438</v>
      </c>
      <c r="E1957" s="16" t="s">
        <v>11436</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45">
      <c r="A1958" s="15" t="s">
        <v>5642</v>
      </c>
      <c r="B1958" s="16" t="s">
        <v>5</v>
      </c>
      <c r="C1958" s="17" t="s">
        <v>6440</v>
      </c>
      <c r="D1958" s="17" t="s">
        <v>6441</v>
      </c>
      <c r="E1958" s="16" t="s">
        <v>11436</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45">
      <c r="A1959" s="15" t="s">
        <v>5750</v>
      </c>
      <c r="B1959" s="16" t="s">
        <v>5</v>
      </c>
      <c r="C1959" s="17" t="s">
        <v>6443</v>
      </c>
      <c r="D1959" s="17" t="s">
        <v>6444</v>
      </c>
      <c r="E1959" s="16" t="s">
        <v>11436</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45">
      <c r="A1960" s="15" t="s">
        <v>5912</v>
      </c>
      <c r="B1960" s="16" t="s">
        <v>5</v>
      </c>
      <c r="C1960" s="17" t="s">
        <v>6446</v>
      </c>
      <c r="D1960" s="17" t="s">
        <v>6447</v>
      </c>
      <c r="E1960" s="16" t="s">
        <v>11436</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45">
      <c r="A1961" s="15" t="s">
        <v>8392</v>
      </c>
      <c r="B1961" s="16" t="s">
        <v>5</v>
      </c>
      <c r="C1961" s="17" t="s">
        <v>6449</v>
      </c>
      <c r="D1961" s="17" t="s">
        <v>6450</v>
      </c>
      <c r="E1961" s="16" t="s">
        <v>11436</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45">
      <c r="A1962" s="15" t="s">
        <v>8500</v>
      </c>
      <c r="B1962" s="16" t="s">
        <v>5</v>
      </c>
      <c r="C1962" s="17" t="s">
        <v>6452</v>
      </c>
      <c r="D1962" s="17" t="s">
        <v>6453</v>
      </c>
      <c r="E1962" s="16" t="s">
        <v>11436</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45">
      <c r="A1963" s="15" t="s">
        <v>8455</v>
      </c>
      <c r="B1963" s="16" t="s">
        <v>5</v>
      </c>
      <c r="C1963" s="17" t="s">
        <v>6455</v>
      </c>
      <c r="D1963" s="17" t="s">
        <v>6456</v>
      </c>
      <c r="E1963" s="16" t="s">
        <v>11436</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45">
      <c r="A1964" s="15" t="s">
        <v>8626</v>
      </c>
      <c r="B1964" s="16" t="s">
        <v>5</v>
      </c>
      <c r="C1964" s="17" t="s">
        <v>6458</v>
      </c>
      <c r="D1964" s="17" t="s">
        <v>6459</v>
      </c>
      <c r="E1964" s="16" t="s">
        <v>11436</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45">
      <c r="A1965" s="15" t="s">
        <v>8656</v>
      </c>
      <c r="B1965" s="16" t="s">
        <v>5</v>
      </c>
      <c r="C1965" s="17" t="s">
        <v>6461</v>
      </c>
      <c r="D1965" s="17" t="s">
        <v>6462</v>
      </c>
      <c r="E1965" s="16" t="s">
        <v>11436</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45">
      <c r="A1966" s="15" t="s">
        <v>8785</v>
      </c>
      <c r="B1966" s="16" t="s">
        <v>5</v>
      </c>
      <c r="C1966" s="17" t="s">
        <v>6464</v>
      </c>
      <c r="D1966" s="17" t="s">
        <v>6465</v>
      </c>
      <c r="E1966" s="16" t="s">
        <v>11436</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45">
      <c r="A1967" s="15" t="s">
        <v>8719</v>
      </c>
      <c r="B1967" s="16" t="s">
        <v>5</v>
      </c>
      <c r="C1967" s="17" t="s">
        <v>6467</v>
      </c>
      <c r="D1967" s="17" t="s">
        <v>6468</v>
      </c>
      <c r="E1967" s="16" t="s">
        <v>11436</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45">
      <c r="A1968" s="15" t="s">
        <v>8875</v>
      </c>
      <c r="B1968" s="16" t="s">
        <v>5</v>
      </c>
      <c r="C1968" s="17" t="s">
        <v>6470</v>
      </c>
      <c r="D1968" s="17" t="s">
        <v>6471</v>
      </c>
      <c r="E1968" s="16" t="s">
        <v>11436</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45">
      <c r="A1969" s="15" t="s">
        <v>1637</v>
      </c>
      <c r="B1969" s="16" t="s">
        <v>5</v>
      </c>
      <c r="C1969" s="17" t="s">
        <v>6473</v>
      </c>
      <c r="D1969" s="17" t="s">
        <v>6474</v>
      </c>
      <c r="E1969" s="16" t="s">
        <v>11433</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45">
      <c r="A1970" s="15" t="s">
        <v>6550</v>
      </c>
      <c r="B1970" s="16" t="s">
        <v>5</v>
      </c>
      <c r="C1970" s="17" t="s">
        <v>6476</v>
      </c>
      <c r="D1970" s="17" t="s">
        <v>6477</v>
      </c>
      <c r="E1970" s="16" t="s">
        <v>11433</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45">
      <c r="A1971" s="15" t="s">
        <v>6580</v>
      </c>
      <c r="B1971" s="16" t="s">
        <v>5</v>
      </c>
      <c r="C1971" s="17" t="s">
        <v>6479</v>
      </c>
      <c r="D1971" s="17" t="s">
        <v>6480</v>
      </c>
      <c r="E1971" s="16" t="s">
        <v>11433</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45">
      <c r="A1972" s="15" t="s">
        <v>7903</v>
      </c>
      <c r="B1972" s="16" t="s">
        <v>5</v>
      </c>
      <c r="C1972" s="17" t="s">
        <v>6482</v>
      </c>
      <c r="D1972" s="17" t="s">
        <v>6483</v>
      </c>
      <c r="E1972" s="16" t="s">
        <v>11433</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45">
      <c r="A1973" s="15" t="s">
        <v>6508</v>
      </c>
      <c r="B1973" s="16" t="s">
        <v>5</v>
      </c>
      <c r="C1973" s="17" t="s">
        <v>6485</v>
      </c>
      <c r="D1973" s="17" t="s">
        <v>6486</v>
      </c>
      <c r="E1973" s="16" t="s">
        <v>11433</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45">
      <c r="A1974" s="15" t="s">
        <v>1723</v>
      </c>
      <c r="B1974" s="16" t="s">
        <v>5</v>
      </c>
      <c r="C1974" s="17" t="s">
        <v>6488</v>
      </c>
      <c r="D1974" s="17" t="s">
        <v>6489</v>
      </c>
      <c r="E1974" s="16" t="s">
        <v>11433</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45">
      <c r="A1975" s="15" t="s">
        <v>6547</v>
      </c>
      <c r="B1975" s="16" t="s">
        <v>5</v>
      </c>
      <c r="C1975" s="17" t="s">
        <v>6491</v>
      </c>
      <c r="D1975" s="17" t="s">
        <v>6492</v>
      </c>
      <c r="E1975" s="16" t="s">
        <v>11433</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45">
      <c r="A1976" s="15" t="s">
        <v>6733</v>
      </c>
      <c r="B1976" s="16" t="s">
        <v>5</v>
      </c>
      <c r="C1976" s="17" t="s">
        <v>6494</v>
      </c>
      <c r="D1976" s="17" t="s">
        <v>6495</v>
      </c>
      <c r="E1976" s="16" t="s">
        <v>11433</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45">
      <c r="A1977" s="15" t="s">
        <v>6517</v>
      </c>
      <c r="B1977" s="16" t="s">
        <v>5</v>
      </c>
      <c r="C1977" s="17" t="s">
        <v>6497</v>
      </c>
      <c r="D1977" s="17" t="s">
        <v>6498</v>
      </c>
      <c r="E1977" s="16" t="s">
        <v>11433</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45">
      <c r="A1978" s="15" t="s">
        <v>1846</v>
      </c>
      <c r="B1978" s="16" t="s">
        <v>5</v>
      </c>
      <c r="C1978" s="17" t="s">
        <v>6500</v>
      </c>
      <c r="D1978" s="17" t="s">
        <v>6501</v>
      </c>
      <c r="E1978" s="16" t="s">
        <v>11433</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45">
      <c r="A1979" s="15" t="s">
        <v>2848</v>
      </c>
      <c r="B1979" s="16" t="s">
        <v>5</v>
      </c>
      <c r="C1979" s="17" t="s">
        <v>6503</v>
      </c>
      <c r="D1979" s="17" t="s">
        <v>6504</v>
      </c>
      <c r="E1979" s="16" t="s">
        <v>11433</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45">
      <c r="A1980" s="15" t="s">
        <v>8089</v>
      </c>
      <c r="B1980" s="16" t="s">
        <v>5</v>
      </c>
      <c r="C1980" s="17" t="s">
        <v>6506</v>
      </c>
      <c r="D1980" s="17" t="s">
        <v>6507</v>
      </c>
      <c r="E1980" s="16" t="s">
        <v>11433</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45">
      <c r="A1981" s="15" t="s">
        <v>8905</v>
      </c>
      <c r="B1981" s="16" t="s">
        <v>5</v>
      </c>
      <c r="C1981" s="17" t="s">
        <v>6509</v>
      </c>
      <c r="D1981" s="17" t="s">
        <v>6510</v>
      </c>
      <c r="E1981" s="16" t="s">
        <v>11433</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45">
      <c r="A1982" s="15" t="s">
        <v>8458</v>
      </c>
      <c r="B1982" s="16" t="s">
        <v>5</v>
      </c>
      <c r="C1982" s="17" t="s">
        <v>6512</v>
      </c>
      <c r="D1982" s="17" t="s">
        <v>6513</v>
      </c>
      <c r="E1982" s="16" t="s">
        <v>11435</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45">
      <c r="A1983" s="15" t="s">
        <v>8503</v>
      </c>
      <c r="B1983" s="16" t="s">
        <v>5</v>
      </c>
      <c r="C1983" s="17" t="s">
        <v>6515</v>
      </c>
      <c r="D1983" s="17" t="s">
        <v>6516</v>
      </c>
      <c r="E1983" s="16" t="s">
        <v>11435</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45">
      <c r="A1984" s="15" t="s">
        <v>6334</v>
      </c>
      <c r="B1984" s="16" t="s">
        <v>5</v>
      </c>
      <c r="C1984" s="17" t="s">
        <v>6518</v>
      </c>
      <c r="D1984" s="17" t="s">
        <v>6519</v>
      </c>
      <c r="E1984" s="16" t="s">
        <v>11439</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45">
      <c r="A1985" s="15" t="s">
        <v>6248</v>
      </c>
      <c r="B1985" s="16" t="s">
        <v>5</v>
      </c>
      <c r="C1985" s="17" t="s">
        <v>6521</v>
      </c>
      <c r="D1985" s="17" t="s">
        <v>6522</v>
      </c>
      <c r="E1985" s="16" t="s">
        <v>11439</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45">
      <c r="A1986" s="15" t="s">
        <v>6643</v>
      </c>
      <c r="B1986" s="16" t="s">
        <v>5</v>
      </c>
      <c r="C1986" s="17" t="s">
        <v>6524</v>
      </c>
      <c r="D1986" s="17" t="s">
        <v>6525</v>
      </c>
      <c r="E1986" s="16" t="s">
        <v>11439</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45">
      <c r="A1987" s="15" t="s">
        <v>6595</v>
      </c>
      <c r="B1987" s="16" t="s">
        <v>5</v>
      </c>
      <c r="C1987" s="17" t="s">
        <v>6527</v>
      </c>
      <c r="D1987" s="17" t="s">
        <v>6528</v>
      </c>
      <c r="E1987" s="16" t="s">
        <v>11439</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45">
      <c r="A1988" s="15" t="s">
        <v>6206</v>
      </c>
      <c r="B1988" s="16" t="s">
        <v>5</v>
      </c>
      <c r="C1988" s="17" t="s">
        <v>6530</v>
      </c>
      <c r="D1988" s="17" t="s">
        <v>6531</v>
      </c>
      <c r="E1988" s="16" t="s">
        <v>11439</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45">
      <c r="A1989" s="15" t="s">
        <v>7255</v>
      </c>
      <c r="B1989" s="16" t="s">
        <v>5</v>
      </c>
      <c r="C1989" s="17" t="s">
        <v>6533</v>
      </c>
      <c r="D1989" s="17" t="s">
        <v>6534</v>
      </c>
      <c r="E1989" s="16" t="s">
        <v>11439</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45">
      <c r="A1990" s="15" t="s">
        <v>6128</v>
      </c>
      <c r="B1990" s="16" t="s">
        <v>5</v>
      </c>
      <c r="C1990" s="17" t="s">
        <v>6536</v>
      </c>
      <c r="D1990" s="17" t="s">
        <v>6537</v>
      </c>
      <c r="E1990" s="16" t="s">
        <v>11439</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45">
      <c r="A1991" s="15" t="s">
        <v>6598</v>
      </c>
      <c r="B1991" s="16" t="s">
        <v>5</v>
      </c>
      <c r="C1991" s="17" t="s">
        <v>6539</v>
      </c>
      <c r="D1991" s="17" t="s">
        <v>6540</v>
      </c>
      <c r="E1991" s="16" t="s">
        <v>11439</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45">
      <c r="A1992" s="15" t="s">
        <v>6257</v>
      </c>
      <c r="B1992" s="16" t="s">
        <v>5</v>
      </c>
      <c r="C1992" s="17" t="s">
        <v>6542</v>
      </c>
      <c r="D1992" s="17" t="s">
        <v>6543</v>
      </c>
      <c r="E1992" s="16" t="s">
        <v>11439</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45">
      <c r="A1993" s="15" t="s">
        <v>8206</v>
      </c>
      <c r="B1993" s="16" t="s">
        <v>5</v>
      </c>
      <c r="C1993" s="17" t="s">
        <v>6545</v>
      </c>
      <c r="D1993" s="17" t="s">
        <v>6546</v>
      </c>
      <c r="E1993" s="16" t="s">
        <v>11439</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45">
      <c r="A1994" s="15" t="s">
        <v>8197</v>
      </c>
      <c r="B1994" s="16" t="s">
        <v>5</v>
      </c>
      <c r="C1994" s="17" t="s">
        <v>6548</v>
      </c>
      <c r="D1994" s="17" t="s">
        <v>6549</v>
      </c>
      <c r="E1994" s="16" t="s">
        <v>11439</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45">
      <c r="A1995" s="15" t="s">
        <v>8491</v>
      </c>
      <c r="B1995" s="16" t="s">
        <v>5</v>
      </c>
      <c r="C1995" s="17" t="s">
        <v>6551</v>
      </c>
      <c r="D1995" s="17" t="s">
        <v>6552</v>
      </c>
      <c r="E1995" s="16" t="s">
        <v>11435</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45">
      <c r="A1996" s="15" t="s">
        <v>8698</v>
      </c>
      <c r="B1996" s="16" t="s">
        <v>5</v>
      </c>
      <c r="C1996" s="17" t="s">
        <v>6554</v>
      </c>
      <c r="D1996" s="17" t="s">
        <v>6555</v>
      </c>
      <c r="E1996" s="16" t="s">
        <v>11435</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45">
      <c r="A1997" s="15" t="s">
        <v>7873</v>
      </c>
      <c r="B1997" s="16" t="s">
        <v>5</v>
      </c>
      <c r="C1997" s="17" t="s">
        <v>6557</v>
      </c>
      <c r="D1997" s="17" t="s">
        <v>6558</v>
      </c>
      <c r="E1997" s="16" t="s">
        <v>11427</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45">
      <c r="A1998" s="15" t="s">
        <v>7864</v>
      </c>
      <c r="B1998" s="16" t="s">
        <v>5</v>
      </c>
      <c r="C1998" s="17" t="s">
        <v>6560</v>
      </c>
      <c r="D1998" s="17" t="s">
        <v>6561</v>
      </c>
      <c r="E1998" s="16" t="s">
        <v>11427</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45">
      <c r="A1999" s="15" t="s">
        <v>7951</v>
      </c>
      <c r="B1999" s="16" t="s">
        <v>5</v>
      </c>
      <c r="C1999" s="17" t="s">
        <v>6563</v>
      </c>
      <c r="D1999" s="17" t="s">
        <v>6564</v>
      </c>
      <c r="E1999" s="16" t="s">
        <v>11427</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45">
      <c r="A2000" s="15" t="s">
        <v>6487</v>
      </c>
      <c r="B2000" s="16" t="s">
        <v>5</v>
      </c>
      <c r="C2000" s="17" t="s">
        <v>6566</v>
      </c>
      <c r="D2000" s="17" t="s">
        <v>6567</v>
      </c>
      <c r="E2000" s="16" t="s">
        <v>11427</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45">
      <c r="A2001" s="15" t="s">
        <v>6727</v>
      </c>
      <c r="B2001" s="16" t="s">
        <v>5</v>
      </c>
      <c r="C2001" s="17" t="s">
        <v>6569</v>
      </c>
      <c r="D2001" s="17" t="s">
        <v>6570</v>
      </c>
      <c r="E2001" s="16" t="s">
        <v>11427</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45">
      <c r="A2002" s="15" t="s">
        <v>6478</v>
      </c>
      <c r="B2002" s="16" t="s">
        <v>5</v>
      </c>
      <c r="C2002" s="17" t="s">
        <v>6572</v>
      </c>
      <c r="D2002" s="17" t="s">
        <v>6573</v>
      </c>
      <c r="E2002" s="16" t="s">
        <v>11427</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45">
      <c r="A2003" s="15" t="s">
        <v>6712</v>
      </c>
      <c r="B2003" s="16" t="s">
        <v>5</v>
      </c>
      <c r="C2003" s="17" t="s">
        <v>6575</v>
      </c>
      <c r="D2003" s="17" t="s">
        <v>6576</v>
      </c>
      <c r="E2003" s="16" t="s">
        <v>11427</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45">
      <c r="A2004" s="15" t="s">
        <v>6511</v>
      </c>
      <c r="B2004" s="16" t="s">
        <v>5</v>
      </c>
      <c r="C2004" s="17" t="s">
        <v>6578</v>
      </c>
      <c r="D2004" s="17" t="s">
        <v>6579</v>
      </c>
      <c r="E2004" s="16" t="s">
        <v>11427</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45">
      <c r="A2005" s="15" t="s">
        <v>6571</v>
      </c>
      <c r="B2005" s="16" t="s">
        <v>5</v>
      </c>
      <c r="C2005" s="17" t="s">
        <v>6581</v>
      </c>
      <c r="D2005" s="17" t="s">
        <v>6582</v>
      </c>
      <c r="E2005" s="16" t="s">
        <v>11427</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45">
      <c r="A2006" s="15" t="s">
        <v>6541</v>
      </c>
      <c r="B2006" s="16" t="s">
        <v>5</v>
      </c>
      <c r="C2006" s="17" t="s">
        <v>6584</v>
      </c>
      <c r="D2006" s="17" t="s">
        <v>6585</v>
      </c>
      <c r="E2006" s="16" t="s">
        <v>11427</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45">
      <c r="A2007" s="15" t="s">
        <v>11357</v>
      </c>
      <c r="B2007" s="16" t="s">
        <v>5</v>
      </c>
      <c r="C2007" s="17" t="s">
        <v>6587</v>
      </c>
      <c r="D2007" s="17" t="s">
        <v>6588</v>
      </c>
      <c r="E2007" s="16" t="s">
        <v>11427</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45">
      <c r="A2008" s="15" t="s">
        <v>6553</v>
      </c>
      <c r="B2008" s="16" t="s">
        <v>5</v>
      </c>
      <c r="C2008" s="17" t="s">
        <v>6590</v>
      </c>
      <c r="D2008" s="17" t="s">
        <v>6591</v>
      </c>
      <c r="E2008" s="16" t="s">
        <v>11427</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45">
      <c r="A2009" s="15" t="s">
        <v>8353</v>
      </c>
      <c r="B2009" s="16" t="s">
        <v>5</v>
      </c>
      <c r="C2009" s="17" t="s">
        <v>6593</v>
      </c>
      <c r="D2009" s="17" t="s">
        <v>6594</v>
      </c>
      <c r="E2009" s="16" t="s">
        <v>11427</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45">
      <c r="A2010" s="15" t="s">
        <v>8041</v>
      </c>
      <c r="B2010" s="16" t="s">
        <v>5</v>
      </c>
      <c r="C2010" s="17" t="s">
        <v>6596</v>
      </c>
      <c r="D2010" s="17" t="s">
        <v>6597</v>
      </c>
      <c r="E2010" s="16" t="s">
        <v>11427</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45">
      <c r="A2011" s="15" t="s">
        <v>8560</v>
      </c>
      <c r="B2011" s="16" t="s">
        <v>5</v>
      </c>
      <c r="C2011" s="17" t="s">
        <v>6599</v>
      </c>
      <c r="D2011" s="17" t="s">
        <v>6600</v>
      </c>
      <c r="E2011" s="16" t="s">
        <v>11427</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45">
      <c r="A2012" s="15" t="s">
        <v>5867</v>
      </c>
      <c r="B2012" s="16" t="s">
        <v>5</v>
      </c>
      <c r="C2012" s="17" t="s">
        <v>6602</v>
      </c>
      <c r="D2012" s="17" t="s">
        <v>6603</v>
      </c>
      <c r="E2012" s="16" t="s">
        <v>11428</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45">
      <c r="A2013" s="15" t="s">
        <v>5828</v>
      </c>
      <c r="B2013" s="16" t="s">
        <v>5</v>
      </c>
      <c r="C2013" s="17" t="s">
        <v>6605</v>
      </c>
      <c r="D2013" s="17" t="s">
        <v>6606</v>
      </c>
      <c r="E2013" s="16" t="s">
        <v>11428</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45">
      <c r="A2014" s="15" t="s">
        <v>7423</v>
      </c>
      <c r="B2014" s="16" t="s">
        <v>5</v>
      </c>
      <c r="C2014" s="17" t="s">
        <v>6608</v>
      </c>
      <c r="D2014" s="17" t="s">
        <v>6609</v>
      </c>
      <c r="E2014" s="16" t="s">
        <v>11428</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45">
      <c r="A2015" s="15" t="s">
        <v>7996</v>
      </c>
      <c r="B2015" s="16" t="s">
        <v>5</v>
      </c>
      <c r="C2015" s="17" t="s">
        <v>6611</v>
      </c>
      <c r="D2015" s="17" t="s">
        <v>6612</v>
      </c>
      <c r="E2015" s="16" t="s">
        <v>11428</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45">
      <c r="A2016" s="15" t="s">
        <v>8095</v>
      </c>
      <c r="B2016" s="16" t="s">
        <v>5</v>
      </c>
      <c r="C2016" s="17" t="s">
        <v>6614</v>
      </c>
      <c r="D2016" s="17" t="s">
        <v>6615</v>
      </c>
      <c r="E2016" s="16" t="s">
        <v>11428</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45">
      <c r="A2017" s="15" t="s">
        <v>8131</v>
      </c>
      <c r="B2017" s="16" t="s">
        <v>5</v>
      </c>
      <c r="C2017" s="17" t="s">
        <v>6617</v>
      </c>
      <c r="D2017" s="17" t="s">
        <v>6618</v>
      </c>
      <c r="E2017" s="16" t="s">
        <v>11428</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45">
      <c r="A2018" s="15" t="s">
        <v>8140</v>
      </c>
      <c r="B2018" s="16" t="s">
        <v>5</v>
      </c>
      <c r="C2018" s="17" t="s">
        <v>6620</v>
      </c>
      <c r="D2018" s="17" t="s">
        <v>6621</v>
      </c>
      <c r="E2018" s="16" t="s">
        <v>11428</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45">
      <c r="A2019" s="15" t="s">
        <v>5984</v>
      </c>
      <c r="B2019" s="16" t="s">
        <v>5</v>
      </c>
      <c r="C2019" s="17" t="s">
        <v>6623</v>
      </c>
      <c r="D2019" s="17" t="s">
        <v>6624</v>
      </c>
      <c r="E2019" s="16" t="s">
        <v>11428</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45">
      <c r="A2020" s="15" t="s">
        <v>6442</v>
      </c>
      <c r="B2020" s="16" t="s">
        <v>5</v>
      </c>
      <c r="C2020" s="17" t="s">
        <v>6626</v>
      </c>
      <c r="D2020" s="17" t="s">
        <v>6627</v>
      </c>
      <c r="E2020" s="16" t="s">
        <v>11428</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45">
      <c r="A2021" s="15" t="s">
        <v>7216</v>
      </c>
      <c r="B2021" s="16" t="s">
        <v>5</v>
      </c>
      <c r="C2021" s="17" t="s">
        <v>6629</v>
      </c>
      <c r="D2021" s="17" t="s">
        <v>6630</v>
      </c>
      <c r="E2021" s="16" t="s">
        <v>11428</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45">
      <c r="A2022" s="15" t="s">
        <v>6092</v>
      </c>
      <c r="B2022" s="16" t="s">
        <v>5</v>
      </c>
      <c r="C2022" s="17" t="s">
        <v>6632</v>
      </c>
      <c r="D2022" s="17" t="s">
        <v>6633</v>
      </c>
      <c r="E2022" s="16" t="s">
        <v>11428</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45">
      <c r="A2023" s="15" t="s">
        <v>6152</v>
      </c>
      <c r="B2023" s="16" t="s">
        <v>5</v>
      </c>
      <c r="C2023" s="17" t="s">
        <v>6635</v>
      </c>
      <c r="D2023" s="17" t="s">
        <v>6636</v>
      </c>
      <c r="E2023" s="16" t="s">
        <v>11428</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45">
      <c r="A2024" s="15" t="s">
        <v>6370</v>
      </c>
      <c r="B2024" s="16" t="s">
        <v>5</v>
      </c>
      <c r="C2024" s="17" t="s">
        <v>6638</v>
      </c>
      <c r="D2024" s="17" t="s">
        <v>6639</v>
      </c>
      <c r="E2024" s="16" t="s">
        <v>11428</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45">
      <c r="A2025" s="15" t="s">
        <v>5918</v>
      </c>
      <c r="B2025" s="16" t="s">
        <v>5</v>
      </c>
      <c r="C2025" s="17" t="s">
        <v>6641</v>
      </c>
      <c r="D2025" s="17" t="s">
        <v>6642</v>
      </c>
      <c r="E2025" s="16" t="s">
        <v>11428</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45">
      <c r="A2026" s="15" t="s">
        <v>6023</v>
      </c>
      <c r="B2026" s="16" t="s">
        <v>5</v>
      </c>
      <c r="C2026" s="17" t="s">
        <v>6644</v>
      </c>
      <c r="D2026" s="17" t="s">
        <v>6645</v>
      </c>
      <c r="E2026" s="16" t="s">
        <v>11428</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45">
      <c r="A2027" s="15" t="s">
        <v>7219</v>
      </c>
      <c r="B2027" s="16" t="s">
        <v>5</v>
      </c>
      <c r="C2027" s="17" t="s">
        <v>6647</v>
      </c>
      <c r="D2027" s="17" t="s">
        <v>6648</v>
      </c>
      <c r="E2027" s="16" t="s">
        <v>11428</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45">
      <c r="A2028" s="15" t="s">
        <v>7417</v>
      </c>
      <c r="B2028" s="16" t="s">
        <v>5</v>
      </c>
      <c r="C2028" s="17" t="s">
        <v>6650</v>
      </c>
      <c r="D2028" s="17" t="s">
        <v>6651</v>
      </c>
      <c r="E2028" s="16" t="s">
        <v>11428</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45">
      <c r="A2029" s="15" t="s">
        <v>6062</v>
      </c>
      <c r="B2029" s="16" t="s">
        <v>5</v>
      </c>
      <c r="C2029" s="17" t="s">
        <v>6653</v>
      </c>
      <c r="D2029" s="17" t="s">
        <v>6654</v>
      </c>
      <c r="E2029" s="16" t="s">
        <v>11428</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45">
      <c r="A2030" s="15" t="s">
        <v>6026</v>
      </c>
      <c r="B2030" s="16" t="s">
        <v>5</v>
      </c>
      <c r="C2030" s="17" t="s">
        <v>6656</v>
      </c>
      <c r="D2030" s="17" t="s">
        <v>6657</v>
      </c>
      <c r="E2030" s="16" t="s">
        <v>11428</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45">
      <c r="A2031" s="15" t="s">
        <v>6889</v>
      </c>
      <c r="B2031" s="16" t="s">
        <v>5</v>
      </c>
      <c r="C2031" s="17" t="s">
        <v>6659</v>
      </c>
      <c r="D2031" s="17" t="s">
        <v>6660</v>
      </c>
      <c r="E2031" s="16" t="s">
        <v>11428</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45">
      <c r="A2032" s="15" t="s">
        <v>6562</v>
      </c>
      <c r="B2032" s="16" t="s">
        <v>5</v>
      </c>
      <c r="C2032" s="17" t="s">
        <v>6662</v>
      </c>
      <c r="D2032" s="17" t="s">
        <v>6663</v>
      </c>
      <c r="E2032" s="16" t="s">
        <v>11428</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45">
      <c r="A2033" s="15" t="s">
        <v>8146</v>
      </c>
      <c r="B2033" s="16" t="s">
        <v>5</v>
      </c>
      <c r="C2033" s="17" t="s">
        <v>6665</v>
      </c>
      <c r="D2033" s="17" t="s">
        <v>6666</v>
      </c>
      <c r="E2033" s="16" t="s">
        <v>11428</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45">
      <c r="A2034" s="15" t="s">
        <v>8689</v>
      </c>
      <c r="B2034" s="16" t="s">
        <v>5</v>
      </c>
      <c r="C2034" s="17" t="s">
        <v>6668</v>
      </c>
      <c r="D2034" s="17" t="s">
        <v>6669</v>
      </c>
      <c r="E2034" s="16" t="s">
        <v>11428</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45">
      <c r="A2035" s="15" t="s">
        <v>8728</v>
      </c>
      <c r="B2035" s="16" t="s">
        <v>5</v>
      </c>
      <c r="C2035" s="17" t="s">
        <v>6671</v>
      </c>
      <c r="D2035" s="17" t="s">
        <v>6672</v>
      </c>
      <c r="E2035" s="16" t="s">
        <v>11428</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45">
      <c r="A2036" s="15" t="s">
        <v>8641</v>
      </c>
      <c r="B2036" s="16" t="s">
        <v>5</v>
      </c>
      <c r="C2036" s="17" t="s">
        <v>6674</v>
      </c>
      <c r="D2036" s="17" t="s">
        <v>6675</v>
      </c>
      <c r="E2036" s="16" t="s">
        <v>11428</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45">
      <c r="A2037" s="15" t="s">
        <v>8308</v>
      </c>
      <c r="B2037" s="16" t="s">
        <v>5</v>
      </c>
      <c r="C2037" s="17" t="s">
        <v>6677</v>
      </c>
      <c r="D2037" s="17" t="s">
        <v>6678</v>
      </c>
      <c r="E2037" s="16" t="s">
        <v>11428</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45">
      <c r="A2038" s="15" t="s">
        <v>8752</v>
      </c>
      <c r="B2038" s="16" t="s">
        <v>5</v>
      </c>
      <c r="C2038" s="17" t="s">
        <v>6680</v>
      </c>
      <c r="D2038" s="17" t="s">
        <v>6681</v>
      </c>
      <c r="E2038" s="16" t="s">
        <v>11428</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45">
      <c r="A2039" s="15" t="s">
        <v>8920</v>
      </c>
      <c r="B2039" s="16" t="s">
        <v>5</v>
      </c>
      <c r="C2039" s="17" t="s">
        <v>6683</v>
      </c>
      <c r="D2039" s="17" t="s">
        <v>6684</v>
      </c>
      <c r="E2039" s="16" t="s">
        <v>11428</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45">
      <c r="A2040" s="15" t="s">
        <v>8047</v>
      </c>
      <c r="B2040" s="16" t="s">
        <v>5</v>
      </c>
      <c r="C2040" s="17" t="s">
        <v>6686</v>
      </c>
      <c r="D2040" s="17" t="s">
        <v>6687</v>
      </c>
      <c r="E2040" s="16" t="s">
        <v>11425</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45">
      <c r="A2041" s="15" t="s">
        <v>8245</v>
      </c>
      <c r="B2041" s="16" t="s">
        <v>5</v>
      </c>
      <c r="C2041" s="17" t="s">
        <v>6689</v>
      </c>
      <c r="D2041" s="17" t="s">
        <v>6690</v>
      </c>
      <c r="E2041" s="16" t="s">
        <v>11425</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45">
      <c r="A2042" s="15" t="s">
        <v>8101</v>
      </c>
      <c r="B2042" s="16" t="s">
        <v>5</v>
      </c>
      <c r="C2042" s="17" t="s">
        <v>6692</v>
      </c>
      <c r="D2042" s="17" t="s">
        <v>6693</v>
      </c>
      <c r="E2042" s="16" t="s">
        <v>11425</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45">
      <c r="A2043" s="15" t="s">
        <v>5972</v>
      </c>
      <c r="B2043" s="16" t="s">
        <v>5</v>
      </c>
      <c r="C2043" s="17" t="s">
        <v>6695</v>
      </c>
      <c r="D2043" s="17" t="s">
        <v>6696</v>
      </c>
      <c r="E2043" s="16" t="s">
        <v>11425</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45">
      <c r="A2044" s="15" t="s">
        <v>7768</v>
      </c>
      <c r="B2044" s="16" t="s">
        <v>5</v>
      </c>
      <c r="C2044" s="17" t="s">
        <v>6698</v>
      </c>
      <c r="D2044" s="17" t="s">
        <v>6699</v>
      </c>
      <c r="E2044" s="16" t="s">
        <v>11425</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45">
      <c r="A2045" s="15" t="s">
        <v>8005</v>
      </c>
      <c r="B2045" s="16" t="s">
        <v>5</v>
      </c>
      <c r="C2045" s="17" t="s">
        <v>6701</v>
      </c>
      <c r="D2045" s="17" t="s">
        <v>6702</v>
      </c>
      <c r="E2045" s="16" t="s">
        <v>11425</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45">
      <c r="A2046" s="15" t="s">
        <v>6892</v>
      </c>
      <c r="B2046" s="16" t="s">
        <v>5</v>
      </c>
      <c r="C2046" s="17" t="s">
        <v>6704</v>
      </c>
      <c r="D2046" s="17" t="s">
        <v>6705</v>
      </c>
      <c r="E2046" s="16" t="s">
        <v>11425</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45">
      <c r="A2047" s="15" t="s">
        <v>5951</v>
      </c>
      <c r="B2047" s="16" t="s">
        <v>5</v>
      </c>
      <c r="C2047" s="17" t="s">
        <v>6707</v>
      </c>
      <c r="D2047" s="17" t="s">
        <v>6708</v>
      </c>
      <c r="E2047" s="16" t="s">
        <v>11425</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45">
      <c r="A2048" s="15" t="s">
        <v>5708</v>
      </c>
      <c r="B2048" s="16" t="s">
        <v>5</v>
      </c>
      <c r="C2048" s="17" t="s">
        <v>6710</v>
      </c>
      <c r="D2048" s="17" t="s">
        <v>6711</v>
      </c>
      <c r="E2048" s="16" t="s">
        <v>11425</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45">
      <c r="A2049" s="15" t="s">
        <v>5798</v>
      </c>
      <c r="B2049" s="16" t="s">
        <v>5</v>
      </c>
      <c r="C2049" s="17" t="s">
        <v>6713</v>
      </c>
      <c r="D2049" s="17" t="s">
        <v>6714</v>
      </c>
      <c r="E2049" s="16" t="s">
        <v>11425</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45">
      <c r="A2050" s="15" t="s">
        <v>7276</v>
      </c>
      <c r="B2050" s="16" t="s">
        <v>5</v>
      </c>
      <c r="C2050" s="17" t="s">
        <v>6716</v>
      </c>
      <c r="D2050" s="17" t="s">
        <v>6717</v>
      </c>
      <c r="E2050" s="16" t="s">
        <v>11425</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45">
      <c r="A2051" s="15" t="s">
        <v>5825</v>
      </c>
      <c r="B2051" s="16" t="s">
        <v>5</v>
      </c>
      <c r="C2051" s="17" t="s">
        <v>6719</v>
      </c>
      <c r="D2051" s="17" t="s">
        <v>6720</v>
      </c>
      <c r="E2051" s="16" t="s">
        <v>11425</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45">
      <c r="A2052" s="15" t="s">
        <v>7729</v>
      </c>
      <c r="B2052" s="16" t="s">
        <v>5</v>
      </c>
      <c r="C2052" s="17" t="s">
        <v>6722</v>
      </c>
      <c r="D2052" s="17" t="s">
        <v>6723</v>
      </c>
      <c r="E2052" s="16" t="s">
        <v>11425</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45">
      <c r="A2053" s="15" t="s">
        <v>7360</v>
      </c>
      <c r="B2053" s="16" t="s">
        <v>5</v>
      </c>
      <c r="C2053" s="17" t="s">
        <v>6725</v>
      </c>
      <c r="D2053" s="17" t="s">
        <v>6726</v>
      </c>
      <c r="E2053" s="16" t="s">
        <v>11425</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45">
      <c r="A2054" s="15" t="s">
        <v>7258</v>
      </c>
      <c r="B2054" s="16" t="s">
        <v>5</v>
      </c>
      <c r="C2054" s="17" t="s">
        <v>6728</v>
      </c>
      <c r="D2054" s="17" t="s">
        <v>6729</v>
      </c>
      <c r="E2054" s="16" t="s">
        <v>11425</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45">
      <c r="A2055" s="15" t="s">
        <v>5858</v>
      </c>
      <c r="B2055" s="16" t="s">
        <v>5</v>
      </c>
      <c r="C2055" s="17" t="s">
        <v>6731</v>
      </c>
      <c r="D2055" s="17" t="s">
        <v>6732</v>
      </c>
      <c r="E2055" s="16" t="s">
        <v>11425</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45">
      <c r="A2056" s="15" t="s">
        <v>7381</v>
      </c>
      <c r="B2056" s="16" t="s">
        <v>5</v>
      </c>
      <c r="C2056" s="17" t="s">
        <v>6734</v>
      </c>
      <c r="D2056" s="17" t="s">
        <v>6735</v>
      </c>
      <c r="E2056" s="16" t="s">
        <v>11425</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45">
      <c r="A2057" s="15" t="s">
        <v>5693</v>
      </c>
      <c r="B2057" s="16" t="s">
        <v>5</v>
      </c>
      <c r="C2057" s="17" t="s">
        <v>6737</v>
      </c>
      <c r="D2057" s="17" t="s">
        <v>6738</v>
      </c>
      <c r="E2057" s="16" t="s">
        <v>11425</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45">
      <c r="A2058" s="15" t="s">
        <v>6895</v>
      </c>
      <c r="B2058" s="16" t="s">
        <v>5</v>
      </c>
      <c r="C2058" s="17" t="s">
        <v>6740</v>
      </c>
      <c r="D2058" s="17" t="s">
        <v>6741</v>
      </c>
      <c r="E2058" s="16" t="s">
        <v>11425</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45">
      <c r="A2059" s="15" t="s">
        <v>7804</v>
      </c>
      <c r="B2059" s="16" t="s">
        <v>5</v>
      </c>
      <c r="C2059" s="17" t="s">
        <v>6743</v>
      </c>
      <c r="D2059" s="17" t="s">
        <v>6744</v>
      </c>
      <c r="E2059" s="16" t="s">
        <v>11425</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45">
      <c r="A2060" s="15" t="s">
        <v>7681</v>
      </c>
      <c r="B2060" s="16" t="s">
        <v>5</v>
      </c>
      <c r="C2060" s="17" t="s">
        <v>6746</v>
      </c>
      <c r="D2060" s="17" t="s">
        <v>6747</v>
      </c>
      <c r="E2060" s="16" t="s">
        <v>11425</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45">
      <c r="A2061" s="15" t="s">
        <v>7684</v>
      </c>
      <c r="B2061" s="16" t="s">
        <v>5</v>
      </c>
      <c r="C2061" s="17" t="s">
        <v>6749</v>
      </c>
      <c r="D2061" s="17" t="s">
        <v>6750</v>
      </c>
      <c r="E2061" s="16" t="s">
        <v>11425</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45">
      <c r="A2062" s="15" t="s">
        <v>7723</v>
      </c>
      <c r="B2062" s="16" t="s">
        <v>5</v>
      </c>
      <c r="C2062" s="17" t="s">
        <v>6752</v>
      </c>
      <c r="D2062" s="17" t="s">
        <v>6753</v>
      </c>
      <c r="E2062" s="16" t="s">
        <v>11425</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45">
      <c r="A2063" s="15" t="s">
        <v>8113</v>
      </c>
      <c r="B2063" s="16" t="s">
        <v>5</v>
      </c>
      <c r="C2063" s="17" t="s">
        <v>6755</v>
      </c>
      <c r="D2063" s="17" t="s">
        <v>6756</v>
      </c>
      <c r="E2063" s="16" t="s">
        <v>11415</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45">
      <c r="A2064" s="15" t="s">
        <v>7843</v>
      </c>
      <c r="B2064" s="16" t="s">
        <v>5</v>
      </c>
      <c r="C2064" s="17" t="s">
        <v>6758</v>
      </c>
      <c r="D2064" s="17" t="s">
        <v>6759</v>
      </c>
      <c r="E2064" s="16" t="s">
        <v>11415</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45">
      <c r="A2065" s="15" t="s">
        <v>8152</v>
      </c>
      <c r="B2065" s="16" t="s">
        <v>5</v>
      </c>
      <c r="C2065" s="17" t="s">
        <v>6761</v>
      </c>
      <c r="D2065" s="17" t="s">
        <v>6762</v>
      </c>
      <c r="E2065" s="16" t="s">
        <v>11415</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45">
      <c r="A2066" s="15" t="s">
        <v>8269</v>
      </c>
      <c r="B2066" s="16" t="s">
        <v>5</v>
      </c>
      <c r="C2066" s="17" t="s">
        <v>6764</v>
      </c>
      <c r="D2066" s="17" t="s">
        <v>6765</v>
      </c>
      <c r="E2066" s="16" t="s">
        <v>11415</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45">
      <c r="A2067" s="15" t="s">
        <v>5963</v>
      </c>
      <c r="B2067" s="16" t="s">
        <v>5</v>
      </c>
      <c r="C2067" s="17" t="s">
        <v>6767</v>
      </c>
      <c r="D2067" s="17" t="s">
        <v>6768</v>
      </c>
      <c r="E2067" s="16" t="s">
        <v>11415</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45">
      <c r="A2068" s="15" t="s">
        <v>6323</v>
      </c>
      <c r="B2068" s="16" t="s">
        <v>5</v>
      </c>
      <c r="C2068" s="17" t="s">
        <v>6770</v>
      </c>
      <c r="D2068" s="17" t="s">
        <v>6771</v>
      </c>
      <c r="E2068" s="16" t="s">
        <v>11415</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45">
      <c r="A2069" s="15" t="s">
        <v>8128</v>
      </c>
      <c r="B2069" s="16" t="s">
        <v>5</v>
      </c>
      <c r="C2069" s="17" t="s">
        <v>6773</v>
      </c>
      <c r="D2069" s="17" t="s">
        <v>6774</v>
      </c>
      <c r="E2069" s="16" t="s">
        <v>11415</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45">
      <c r="A2070" s="15" t="s">
        <v>7927</v>
      </c>
      <c r="B2070" s="16" t="s">
        <v>5</v>
      </c>
      <c r="C2070" s="17" t="s">
        <v>6776</v>
      </c>
      <c r="D2070" s="17" t="s">
        <v>6777</v>
      </c>
      <c r="E2070" s="16" t="s">
        <v>11415</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45">
      <c r="A2071" s="15" t="s">
        <v>6988</v>
      </c>
      <c r="B2071" s="16" t="s">
        <v>5</v>
      </c>
      <c r="C2071" s="17" t="s">
        <v>6779</v>
      </c>
      <c r="D2071" s="17" t="s">
        <v>6780</v>
      </c>
      <c r="E2071" s="16" t="s">
        <v>11415</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45">
      <c r="A2072" s="15" t="s">
        <v>6131</v>
      </c>
      <c r="B2072" s="16" t="s">
        <v>5</v>
      </c>
      <c r="C2072" s="17" t="s">
        <v>6782</v>
      </c>
      <c r="D2072" s="17" t="s">
        <v>6783</v>
      </c>
      <c r="E2072" s="16" t="s">
        <v>11415</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45">
      <c r="A2073" s="15" t="s">
        <v>5555</v>
      </c>
      <c r="B2073" s="16" t="s">
        <v>5</v>
      </c>
      <c r="C2073" s="17" t="s">
        <v>6785</v>
      </c>
      <c r="D2073" s="17" t="s">
        <v>6786</v>
      </c>
      <c r="E2073" s="16" t="s">
        <v>11415</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45">
      <c r="A2074" s="15" t="s">
        <v>5558</v>
      </c>
      <c r="B2074" s="16" t="s">
        <v>5</v>
      </c>
      <c r="C2074" s="17" t="s">
        <v>6788</v>
      </c>
      <c r="D2074" s="17" t="s">
        <v>6789</v>
      </c>
      <c r="E2074" s="16" t="s">
        <v>11415</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45">
      <c r="A2075" s="15" t="s">
        <v>8014</v>
      </c>
      <c r="B2075" s="16" t="s">
        <v>5</v>
      </c>
      <c r="C2075" s="17" t="s">
        <v>6791</v>
      </c>
      <c r="D2075" s="17" t="s">
        <v>6792</v>
      </c>
      <c r="E2075" s="16" t="s">
        <v>11415</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45">
      <c r="A2076" s="15" t="s">
        <v>5570</v>
      </c>
      <c r="B2076" s="16" t="s">
        <v>5</v>
      </c>
      <c r="C2076" s="17" t="s">
        <v>6794</v>
      </c>
      <c r="D2076" s="17" t="s">
        <v>6795</v>
      </c>
      <c r="E2076" s="16" t="s">
        <v>11415</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45">
      <c r="A2077" s="15" t="s">
        <v>5576</v>
      </c>
      <c r="B2077" s="16" t="s">
        <v>5</v>
      </c>
      <c r="C2077" s="17" t="s">
        <v>6797</v>
      </c>
      <c r="D2077" s="17" t="s">
        <v>6798</v>
      </c>
      <c r="E2077" s="16" t="s">
        <v>11415</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45">
      <c r="A2078" s="15" t="s">
        <v>5783</v>
      </c>
      <c r="B2078" s="16" t="s">
        <v>5</v>
      </c>
      <c r="C2078" s="17" t="s">
        <v>6800</v>
      </c>
      <c r="D2078" s="17" t="s">
        <v>6801</v>
      </c>
      <c r="E2078" s="16" t="s">
        <v>11415</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45">
      <c r="A2079" s="15" t="s">
        <v>6116</v>
      </c>
      <c r="B2079" s="16" t="s">
        <v>5</v>
      </c>
      <c r="C2079" s="17" t="s">
        <v>6803</v>
      </c>
      <c r="D2079" s="17" t="s">
        <v>6804</v>
      </c>
      <c r="E2079" s="16" t="s">
        <v>11415</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45">
      <c r="A2080" s="15" t="s">
        <v>5618</v>
      </c>
      <c r="B2080" s="16" t="s">
        <v>5</v>
      </c>
      <c r="C2080" s="17" t="s">
        <v>6806</v>
      </c>
      <c r="D2080" s="17" t="s">
        <v>6807</v>
      </c>
      <c r="E2080" s="15" t="s">
        <v>11415</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45">
      <c r="A2081" s="15" t="s">
        <v>5621</v>
      </c>
      <c r="B2081" s="16" t="s">
        <v>5</v>
      </c>
      <c r="C2081" s="17" t="s">
        <v>6809</v>
      </c>
      <c r="D2081" s="17" t="s">
        <v>6810</v>
      </c>
      <c r="E2081" s="16" t="s">
        <v>11415</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45">
      <c r="A2082" s="15" t="s">
        <v>5573</v>
      </c>
      <c r="B2082" s="16" t="s">
        <v>5</v>
      </c>
      <c r="C2082" s="17" t="s">
        <v>6812</v>
      </c>
      <c r="D2082" s="17" t="s">
        <v>6813</v>
      </c>
      <c r="E2082" s="16" t="s">
        <v>11415</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45">
      <c r="A2083" s="15" t="s">
        <v>5792</v>
      </c>
      <c r="B2083" s="16" t="s">
        <v>5</v>
      </c>
      <c r="C2083" s="17" t="s">
        <v>6815</v>
      </c>
      <c r="D2083" s="17" t="s">
        <v>6816</v>
      </c>
      <c r="E2083" s="16" t="s">
        <v>11415</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45">
      <c r="A2084" s="15" t="s">
        <v>7411</v>
      </c>
      <c r="B2084" s="16" t="s">
        <v>5</v>
      </c>
      <c r="C2084" s="17" t="s">
        <v>6818</v>
      </c>
      <c r="D2084" s="17" t="s">
        <v>6819</v>
      </c>
      <c r="E2084" s="16" t="s">
        <v>11415</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45">
      <c r="A2085" s="15" t="s">
        <v>7711</v>
      </c>
      <c r="B2085" s="16" t="s">
        <v>5</v>
      </c>
      <c r="C2085" s="17" t="s">
        <v>6821</v>
      </c>
      <c r="D2085" s="17" t="s">
        <v>6822</v>
      </c>
      <c r="E2085" s="16" t="s">
        <v>11415</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45">
      <c r="A2086" s="15" t="s">
        <v>5582</v>
      </c>
      <c r="B2086" s="16" t="s">
        <v>5</v>
      </c>
      <c r="C2086" s="17" t="s">
        <v>6824</v>
      </c>
      <c r="D2086" s="17" t="s">
        <v>6825</v>
      </c>
      <c r="E2086" s="16" t="s">
        <v>11415</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45">
      <c r="A2087" s="15" t="s">
        <v>6233</v>
      </c>
      <c r="B2087" s="16" t="s">
        <v>5</v>
      </c>
      <c r="C2087" s="17" t="s">
        <v>6827</v>
      </c>
      <c r="D2087" s="17" t="s">
        <v>6828</v>
      </c>
      <c r="E2087" s="16" t="s">
        <v>11415</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45">
      <c r="A2088" s="15" t="s">
        <v>7042</v>
      </c>
      <c r="B2088" s="16" t="s">
        <v>5</v>
      </c>
      <c r="C2088" s="17" t="s">
        <v>6830</v>
      </c>
      <c r="D2088" s="17" t="s">
        <v>6831</v>
      </c>
      <c r="E2088" s="16" t="s">
        <v>11415</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45">
      <c r="A2089" s="15" t="s">
        <v>7354</v>
      </c>
      <c r="B2089" s="16" t="s">
        <v>5</v>
      </c>
      <c r="C2089" s="17" t="s">
        <v>6833</v>
      </c>
      <c r="D2089" s="17" t="s">
        <v>6834</v>
      </c>
      <c r="E2089" s="16" t="s">
        <v>11415</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45">
      <c r="A2090" s="15" t="s">
        <v>7342</v>
      </c>
      <c r="B2090" s="16" t="s">
        <v>5</v>
      </c>
      <c r="C2090" s="17" t="s">
        <v>6836</v>
      </c>
      <c r="D2090" s="17" t="s">
        <v>6837</v>
      </c>
      <c r="E2090" s="16" t="s">
        <v>11415</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45">
      <c r="A2091" s="15" t="s">
        <v>548</v>
      </c>
      <c r="B2091" s="16" t="s">
        <v>5</v>
      </c>
      <c r="C2091" s="17" t="s">
        <v>6839</v>
      </c>
      <c r="D2091" s="17" t="s">
        <v>6840</v>
      </c>
      <c r="E2091" s="16" t="s">
        <v>11415</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45">
      <c r="A2092" s="15" t="s">
        <v>7057</v>
      </c>
      <c r="B2092" s="16" t="s">
        <v>5</v>
      </c>
      <c r="C2092" s="17" t="s">
        <v>6842</v>
      </c>
      <c r="D2092" s="17" t="s">
        <v>6843</v>
      </c>
      <c r="E2092" s="16" t="s">
        <v>11415</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45">
      <c r="A2093" s="15" t="s">
        <v>5633</v>
      </c>
      <c r="B2093" s="16" t="s">
        <v>5</v>
      </c>
      <c r="C2093" s="17" t="s">
        <v>6845</v>
      </c>
      <c r="D2093" s="17" t="s">
        <v>6846</v>
      </c>
      <c r="E2093" s="16" t="s">
        <v>11415</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45">
      <c r="A2094" s="15" t="s">
        <v>7438</v>
      </c>
      <c r="B2094" s="16" t="s">
        <v>5</v>
      </c>
      <c r="C2094" s="17" t="s">
        <v>6848</v>
      </c>
      <c r="D2094" s="17" t="s">
        <v>6849</v>
      </c>
      <c r="E2094" s="16" t="s">
        <v>11415</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45">
      <c r="A2095" s="15" t="s">
        <v>7648</v>
      </c>
      <c r="B2095" s="16" t="s">
        <v>5</v>
      </c>
      <c r="C2095" s="17" t="s">
        <v>6851</v>
      </c>
      <c r="D2095" s="17" t="s">
        <v>6852</v>
      </c>
      <c r="E2095" s="16" t="s">
        <v>11415</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45">
      <c r="A2096" s="15" t="s">
        <v>7747</v>
      </c>
      <c r="B2096" s="16" t="s">
        <v>5</v>
      </c>
      <c r="C2096" s="17" t="s">
        <v>6854</v>
      </c>
      <c r="D2096" s="17" t="s">
        <v>6855</v>
      </c>
      <c r="E2096" s="16" t="s">
        <v>11415</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45">
      <c r="A2097" s="15" t="s">
        <v>7795</v>
      </c>
      <c r="B2097" s="16" t="s">
        <v>5</v>
      </c>
      <c r="C2097" s="17" t="s">
        <v>6857</v>
      </c>
      <c r="D2097" s="17" t="s">
        <v>6858</v>
      </c>
      <c r="E2097" s="16" t="s">
        <v>11415</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45">
      <c r="A2098" s="15" t="s">
        <v>7933</v>
      </c>
      <c r="B2098" s="16" t="s">
        <v>5</v>
      </c>
      <c r="C2098" s="17" t="s">
        <v>6860</v>
      </c>
      <c r="D2098" s="17" t="s">
        <v>6861</v>
      </c>
      <c r="E2098" s="16" t="s">
        <v>11415</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45">
      <c r="A2099" s="15" t="s">
        <v>5600</v>
      </c>
      <c r="B2099" s="16" t="s">
        <v>5</v>
      </c>
      <c r="C2099" s="17" t="s">
        <v>6863</v>
      </c>
      <c r="D2099" s="17" t="s">
        <v>6864</v>
      </c>
      <c r="E2099" s="16" t="s">
        <v>11415</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45">
      <c r="A2100" s="15" t="s">
        <v>8263</v>
      </c>
      <c r="B2100" s="16" t="s">
        <v>5</v>
      </c>
      <c r="C2100" s="17" t="s">
        <v>6866</v>
      </c>
      <c r="D2100" s="17" t="s">
        <v>6867</v>
      </c>
      <c r="E2100" s="16" t="s">
        <v>11415</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45">
      <c r="A2101" s="15" t="s">
        <v>8470</v>
      </c>
      <c r="B2101" s="16" t="s">
        <v>5</v>
      </c>
      <c r="C2101" s="17" t="s">
        <v>6869</v>
      </c>
      <c r="D2101" s="17" t="s">
        <v>6870</v>
      </c>
      <c r="E2101" s="16" t="s">
        <v>11415</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45">
      <c r="A2102" s="15" t="s">
        <v>8482</v>
      </c>
      <c r="B2102" s="16" t="s">
        <v>5</v>
      </c>
      <c r="C2102" s="17" t="s">
        <v>6872</v>
      </c>
      <c r="D2102" s="17" t="s">
        <v>6873</v>
      </c>
      <c r="E2102" s="16" t="s">
        <v>11415</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45">
      <c r="A2103" s="15" t="s">
        <v>8242</v>
      </c>
      <c r="B2103" s="16" t="s">
        <v>5</v>
      </c>
      <c r="C2103" s="17" t="s">
        <v>6875</v>
      </c>
      <c r="D2103" s="17" t="s">
        <v>6876</v>
      </c>
      <c r="E2103" s="16" t="s">
        <v>11415</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45">
      <c r="A2104" s="15" t="s">
        <v>8551</v>
      </c>
      <c r="B2104" s="16" t="s">
        <v>5</v>
      </c>
      <c r="C2104" s="17" t="s">
        <v>6878</v>
      </c>
      <c r="D2104" s="17" t="s">
        <v>6879</v>
      </c>
      <c r="E2104" s="16" t="s">
        <v>11415</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45">
      <c r="A2105" s="15" t="s">
        <v>8515</v>
      </c>
      <c r="B2105" s="16" t="s">
        <v>5</v>
      </c>
      <c r="C2105" s="17" t="s">
        <v>6881</v>
      </c>
      <c r="D2105" s="17" t="s">
        <v>6882</v>
      </c>
      <c r="E2105" s="16" t="s">
        <v>11415</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45">
      <c r="A2106" s="15" t="s">
        <v>8665</v>
      </c>
      <c r="B2106" s="16" t="s">
        <v>5</v>
      </c>
      <c r="C2106" s="17" t="s">
        <v>6884</v>
      </c>
      <c r="D2106" s="17" t="s">
        <v>6885</v>
      </c>
      <c r="E2106" s="16" t="s">
        <v>11415</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45">
      <c r="A2107" s="15" t="s">
        <v>8266</v>
      </c>
      <c r="B2107" s="16" t="s">
        <v>5</v>
      </c>
      <c r="C2107" s="17" t="s">
        <v>6887</v>
      </c>
      <c r="D2107" s="17" t="s">
        <v>6888</v>
      </c>
      <c r="E2107" s="16" t="s">
        <v>11415</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45">
      <c r="A2108" s="15" t="s">
        <v>8701</v>
      </c>
      <c r="B2108" s="16" t="s">
        <v>5</v>
      </c>
      <c r="C2108" s="17" t="s">
        <v>6890</v>
      </c>
      <c r="D2108" s="17" t="s">
        <v>6891</v>
      </c>
      <c r="E2108" s="16" t="s">
        <v>11415</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45">
      <c r="A2109" s="15" t="s">
        <v>8617</v>
      </c>
      <c r="B2109" s="16" t="s">
        <v>5</v>
      </c>
      <c r="C2109" s="17" t="s">
        <v>6893</v>
      </c>
      <c r="D2109" s="17" t="s">
        <v>6894</v>
      </c>
      <c r="E2109" s="16" t="s">
        <v>11415</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45">
      <c r="A2110" s="15" t="s">
        <v>7885</v>
      </c>
      <c r="B2110" s="16" t="s">
        <v>5</v>
      </c>
      <c r="C2110" s="17" t="s">
        <v>6896</v>
      </c>
      <c r="D2110" s="17" t="s">
        <v>6897</v>
      </c>
      <c r="E2110" s="16" t="s">
        <v>11415</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45">
      <c r="A2111" s="15" t="s">
        <v>8773</v>
      </c>
      <c r="B2111" s="16" t="s">
        <v>5</v>
      </c>
      <c r="C2111" s="17" t="s">
        <v>6899</v>
      </c>
      <c r="D2111" s="17" t="s">
        <v>6900</v>
      </c>
      <c r="E2111" s="16" t="s">
        <v>11415</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45">
      <c r="A2112" s="15" t="s">
        <v>8842</v>
      </c>
      <c r="B2112" s="16" t="s">
        <v>5</v>
      </c>
      <c r="C2112" s="17" t="s">
        <v>6902</v>
      </c>
      <c r="D2112" s="17" t="s">
        <v>6903</v>
      </c>
      <c r="E2112" s="16" t="s">
        <v>11415</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45">
      <c r="A2113" s="15" t="s">
        <v>8977</v>
      </c>
      <c r="B2113" s="16" t="s">
        <v>5</v>
      </c>
      <c r="C2113" s="17" t="s">
        <v>6905</v>
      </c>
      <c r="D2113" s="17" t="s">
        <v>6906</v>
      </c>
      <c r="E2113" s="16" t="s">
        <v>11415</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45">
      <c r="A2114" s="15" t="s">
        <v>6191</v>
      </c>
      <c r="B2114" s="16" t="s">
        <v>5</v>
      </c>
      <c r="C2114" s="17" t="s">
        <v>6908</v>
      </c>
      <c r="D2114" s="17" t="s">
        <v>6909</v>
      </c>
      <c r="E2114" s="16" t="s">
        <v>11423</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45">
      <c r="A2115" s="15" t="s">
        <v>8173</v>
      </c>
      <c r="B2115" s="16" t="s">
        <v>5</v>
      </c>
      <c r="C2115" s="17" t="s">
        <v>6911</v>
      </c>
      <c r="D2115" s="17" t="s">
        <v>6912</v>
      </c>
      <c r="E2115" s="16" t="s">
        <v>11423</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45">
      <c r="A2116" s="15" t="s">
        <v>8275</v>
      </c>
      <c r="B2116" s="16" t="s">
        <v>5</v>
      </c>
      <c r="C2116" s="17" t="s">
        <v>6914</v>
      </c>
      <c r="D2116" s="17" t="s">
        <v>6915</v>
      </c>
      <c r="E2116" s="16" t="s">
        <v>11423</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45">
      <c r="A2117" s="15" t="s">
        <v>8473</v>
      </c>
      <c r="B2117" s="16" t="s">
        <v>5</v>
      </c>
      <c r="C2117" s="17" t="s">
        <v>6917</v>
      </c>
      <c r="D2117" s="17" t="s">
        <v>6918</v>
      </c>
      <c r="E2117" s="16" t="s">
        <v>11423</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45">
      <c r="A2118" s="15" t="s">
        <v>6305</v>
      </c>
      <c r="B2118" s="16" t="s">
        <v>5</v>
      </c>
      <c r="C2118" s="17" t="s">
        <v>6920</v>
      </c>
      <c r="D2118" s="17" t="s">
        <v>6921</v>
      </c>
      <c r="E2118" s="16" t="s">
        <v>11423</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45">
      <c r="A2119" s="15" t="s">
        <v>6077</v>
      </c>
      <c r="B2119" s="16" t="s">
        <v>5</v>
      </c>
      <c r="C2119" s="17" t="s">
        <v>6923</v>
      </c>
      <c r="D2119" s="17" t="s">
        <v>6924</v>
      </c>
      <c r="E2119" s="16" t="s">
        <v>11423</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45">
      <c r="A2120" s="15" t="s">
        <v>6065</v>
      </c>
      <c r="B2120" s="16" t="s">
        <v>5</v>
      </c>
      <c r="C2120" s="17" t="s">
        <v>6926</v>
      </c>
      <c r="D2120" s="17" t="s">
        <v>6927</v>
      </c>
      <c r="E2120" s="16" t="s">
        <v>11423</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45">
      <c r="A2121" s="15" t="s">
        <v>11358</v>
      </c>
      <c r="B2121" s="16" t="s">
        <v>5</v>
      </c>
      <c r="C2121" s="17" t="s">
        <v>6929</v>
      </c>
      <c r="D2121" s="17" t="s">
        <v>6930</v>
      </c>
      <c r="E2121" s="16" t="s">
        <v>11423</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45">
      <c r="A2122" s="15" t="s">
        <v>7777</v>
      </c>
      <c r="B2122" s="16" t="s">
        <v>5</v>
      </c>
      <c r="C2122" s="17" t="s">
        <v>6932</v>
      </c>
      <c r="D2122" s="17" t="s">
        <v>6933</v>
      </c>
      <c r="E2122" s="16" t="s">
        <v>11423</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45">
      <c r="A2123" s="15" t="s">
        <v>7150</v>
      </c>
      <c r="B2123" s="16" t="s">
        <v>5</v>
      </c>
      <c r="C2123" s="17" t="s">
        <v>6935</v>
      </c>
      <c r="D2123" s="17" t="s">
        <v>6936</v>
      </c>
      <c r="E2123" s="16" t="s">
        <v>11423</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45">
      <c r="A2124" s="15" t="s">
        <v>6188</v>
      </c>
      <c r="B2124" s="16" t="s">
        <v>5</v>
      </c>
      <c r="C2124" s="17" t="s">
        <v>6938</v>
      </c>
      <c r="D2124" s="17" t="s">
        <v>6939</v>
      </c>
      <c r="E2124" s="16" t="s">
        <v>11423</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45">
      <c r="A2125" s="15" t="s">
        <v>7498</v>
      </c>
      <c r="B2125" s="16" t="s">
        <v>5</v>
      </c>
      <c r="C2125" s="17" t="s">
        <v>6941</v>
      </c>
      <c r="D2125" s="17" t="s">
        <v>6942</v>
      </c>
      <c r="E2125" s="16" t="s">
        <v>11423</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45">
      <c r="A2126" s="15" t="s">
        <v>6197</v>
      </c>
      <c r="B2126" s="16" t="s">
        <v>5</v>
      </c>
      <c r="C2126" s="17" t="s">
        <v>6944</v>
      </c>
      <c r="D2126" s="17" t="s">
        <v>6945</v>
      </c>
      <c r="E2126" s="16" t="s">
        <v>11423</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45">
      <c r="A2127" s="15" t="s">
        <v>7144</v>
      </c>
      <c r="B2127" s="16" t="s">
        <v>5</v>
      </c>
      <c r="C2127" s="17" t="s">
        <v>6947</v>
      </c>
      <c r="D2127" s="17" t="s">
        <v>6948</v>
      </c>
      <c r="E2127" s="16" t="s">
        <v>11423</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45">
      <c r="A2128" s="15" t="s">
        <v>6212</v>
      </c>
      <c r="B2128" s="16" t="s">
        <v>5</v>
      </c>
      <c r="C2128" s="17" t="s">
        <v>6950</v>
      </c>
      <c r="D2128" s="17" t="s">
        <v>6951</v>
      </c>
      <c r="E2128" s="16" t="s">
        <v>11423</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45">
      <c r="A2129" s="15" t="s">
        <v>8602</v>
      </c>
      <c r="B2129" s="16" t="s">
        <v>5</v>
      </c>
      <c r="C2129" s="17" t="s">
        <v>6953</v>
      </c>
      <c r="D2129" s="17" t="s">
        <v>6954</v>
      </c>
      <c r="E2129" s="16" t="s">
        <v>11423</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45">
      <c r="A2130" s="15" t="s">
        <v>8548</v>
      </c>
      <c r="B2130" s="16" t="s">
        <v>5</v>
      </c>
      <c r="C2130" s="17" t="s">
        <v>6956</v>
      </c>
      <c r="D2130" s="17" t="s">
        <v>6957</v>
      </c>
      <c r="E2130" s="16" t="s">
        <v>11423</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45">
      <c r="A2131" s="15" t="s">
        <v>8758</v>
      </c>
      <c r="B2131" s="16" t="s">
        <v>5</v>
      </c>
      <c r="C2131" s="17" t="s">
        <v>6959</v>
      </c>
      <c r="D2131" s="17" t="s">
        <v>6960</v>
      </c>
      <c r="E2131" s="16" t="s">
        <v>11423</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45">
      <c r="A2132" s="15" t="s">
        <v>8917</v>
      </c>
      <c r="B2132" s="16" t="s">
        <v>5</v>
      </c>
      <c r="C2132" s="17" t="s">
        <v>6962</v>
      </c>
      <c r="D2132" s="17" t="s">
        <v>6963</v>
      </c>
      <c r="E2132" s="16" t="s">
        <v>11428</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45">
      <c r="A2133" s="15" t="s">
        <v>9010</v>
      </c>
      <c r="B2133" s="16" t="s">
        <v>5</v>
      </c>
      <c r="C2133" s="17" t="s">
        <v>6965</v>
      </c>
      <c r="D2133" s="17" t="s">
        <v>6966</v>
      </c>
      <c r="E2133" s="16" t="s">
        <v>11425</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45">
      <c r="A2134" s="15" t="s">
        <v>9446</v>
      </c>
      <c r="B2134" s="16" t="s">
        <v>5</v>
      </c>
      <c r="C2134" s="17" t="s">
        <v>6968</v>
      </c>
      <c r="D2134" s="17" t="s">
        <v>6969</v>
      </c>
      <c r="E2134" s="16" t="s">
        <v>11428</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45">
      <c r="A2135" s="15" t="s">
        <v>9064</v>
      </c>
      <c r="B2135" s="16" t="s">
        <v>5</v>
      </c>
      <c r="C2135" s="17" t="s">
        <v>6971</v>
      </c>
      <c r="D2135" s="17" t="s">
        <v>6972</v>
      </c>
      <c r="E2135" s="16" t="s">
        <v>11441</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45">
      <c r="A2136" s="15" t="s">
        <v>11359</v>
      </c>
      <c r="B2136" s="16" t="s">
        <v>5</v>
      </c>
      <c r="C2136" s="17" t="s">
        <v>6974</v>
      </c>
      <c r="D2136" s="17" t="s">
        <v>6975</v>
      </c>
      <c r="E2136" s="16" t="s">
        <v>11423</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45">
      <c r="A2137" s="15" t="s">
        <v>9148</v>
      </c>
      <c r="B2137" s="16" t="s">
        <v>5</v>
      </c>
      <c r="C2137" s="17" t="s">
        <v>6977</v>
      </c>
      <c r="D2137" s="17" t="s">
        <v>6978</v>
      </c>
      <c r="E2137" s="16" t="s">
        <v>11439</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45">
      <c r="A2138" s="15" t="s">
        <v>9151</v>
      </c>
      <c r="B2138" s="16" t="s">
        <v>5</v>
      </c>
      <c r="C2138" s="17" t="s">
        <v>6980</v>
      </c>
      <c r="D2138" s="17" t="s">
        <v>6981</v>
      </c>
      <c r="E2138" s="16" t="s">
        <v>11427</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45">
      <c r="A2139" s="15" t="s">
        <v>9154</v>
      </c>
      <c r="B2139" s="16" t="s">
        <v>5</v>
      </c>
      <c r="C2139" s="17" t="s">
        <v>6983</v>
      </c>
      <c r="D2139" s="17" t="s">
        <v>6984</v>
      </c>
      <c r="E2139" s="16" t="s">
        <v>11423</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45">
      <c r="A2140" s="15" t="s">
        <v>9190</v>
      </c>
      <c r="B2140" s="16" t="s">
        <v>5</v>
      </c>
      <c r="C2140" s="17" t="s">
        <v>6986</v>
      </c>
      <c r="D2140" s="17" t="s">
        <v>6987</v>
      </c>
      <c r="E2140" s="16" t="s">
        <v>11439</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45">
      <c r="A2141" s="15" t="s">
        <v>9208</v>
      </c>
      <c r="B2141" s="16" t="s">
        <v>5</v>
      </c>
      <c r="C2141" s="17" t="s">
        <v>6989</v>
      </c>
      <c r="D2141" s="17" t="s">
        <v>6990</v>
      </c>
      <c r="E2141" s="16" t="s">
        <v>11415</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45">
      <c r="A2142" s="15" t="s">
        <v>9034</v>
      </c>
      <c r="B2142" s="16" t="s">
        <v>5</v>
      </c>
      <c r="C2142" s="17" t="s">
        <v>6992</v>
      </c>
      <c r="D2142" s="17" t="s">
        <v>6993</v>
      </c>
      <c r="E2142" s="16" t="s">
        <v>11443</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45">
      <c r="A2143" s="15" t="s">
        <v>9079</v>
      </c>
      <c r="B2143" s="16" t="s">
        <v>5</v>
      </c>
      <c r="C2143" s="17" t="s">
        <v>6995</v>
      </c>
      <c r="D2143" s="17" t="s">
        <v>6996</v>
      </c>
      <c r="E2143" s="16" t="s">
        <v>11443</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45">
      <c r="A2144" s="15" t="s">
        <v>9199</v>
      </c>
      <c r="B2144" s="16" t="s">
        <v>5</v>
      </c>
      <c r="C2144" s="17" t="s">
        <v>6998</v>
      </c>
      <c r="D2144" s="17" t="s">
        <v>6999</v>
      </c>
      <c r="E2144" s="16" t="s">
        <v>11428</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45">
      <c r="A2145" s="15" t="s">
        <v>9187</v>
      </c>
      <c r="B2145" s="16" t="s">
        <v>5</v>
      </c>
      <c r="C2145" s="17" t="s">
        <v>7001</v>
      </c>
      <c r="D2145" s="17" t="s">
        <v>7002</v>
      </c>
      <c r="E2145" s="16" t="s">
        <v>11415</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45">
      <c r="A2146" s="15" t="s">
        <v>9235</v>
      </c>
      <c r="B2146" s="16" t="s">
        <v>5</v>
      </c>
      <c r="C2146" s="17" t="s">
        <v>7004</v>
      </c>
      <c r="D2146" s="17" t="s">
        <v>7005</v>
      </c>
      <c r="E2146" s="16" t="s">
        <v>11415</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45">
      <c r="A2147" s="15" t="s">
        <v>9229</v>
      </c>
      <c r="B2147" s="16" t="s">
        <v>5</v>
      </c>
      <c r="C2147" s="17" t="s">
        <v>7007</v>
      </c>
      <c r="D2147" s="17" t="s">
        <v>7008</v>
      </c>
      <c r="E2147" s="16" t="s">
        <v>11423</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45">
      <c r="A2148" s="15" t="s">
        <v>9268</v>
      </c>
      <c r="B2148" s="16" t="s">
        <v>5</v>
      </c>
      <c r="C2148" s="17" t="s">
        <v>7010</v>
      </c>
      <c r="D2148" s="17" t="s">
        <v>7011</v>
      </c>
      <c r="E2148" s="16" t="s">
        <v>11436</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45">
      <c r="A2149" s="15" t="s">
        <v>9238</v>
      </c>
      <c r="B2149" s="16" t="s">
        <v>5</v>
      </c>
      <c r="C2149" s="17" t="s">
        <v>7013</v>
      </c>
      <c r="D2149" s="17" t="s">
        <v>7014</v>
      </c>
      <c r="E2149" s="16" t="s">
        <v>11415</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45">
      <c r="A2150" s="15" t="s">
        <v>1384</v>
      </c>
      <c r="B2150" s="16" t="s">
        <v>5</v>
      </c>
      <c r="C2150" s="17" t="s">
        <v>7016</v>
      </c>
      <c r="D2150" s="17" t="s">
        <v>7017</v>
      </c>
      <c r="E2150" s="16" t="s">
        <v>11415</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45">
      <c r="A2151" s="15" t="s">
        <v>1435</v>
      </c>
      <c r="B2151" s="16" t="s">
        <v>5</v>
      </c>
      <c r="C2151" s="17" t="s">
        <v>7019</v>
      </c>
      <c r="D2151" s="17" t="s">
        <v>7020</v>
      </c>
      <c r="E2151" s="16" t="s">
        <v>11428</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45">
      <c r="A2152" s="15" t="s">
        <v>1442</v>
      </c>
      <c r="B2152" s="16" t="s">
        <v>5</v>
      </c>
      <c r="C2152" s="17" t="s">
        <v>7022</v>
      </c>
      <c r="D2152" s="17" t="s">
        <v>7023</v>
      </c>
      <c r="E2152" s="16" t="s">
        <v>11423</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45">
      <c r="A2153" s="15" t="s">
        <v>1404</v>
      </c>
      <c r="B2153" s="16" t="s">
        <v>5</v>
      </c>
      <c r="C2153" s="17" t="s">
        <v>7025</v>
      </c>
      <c r="D2153" s="17" t="s">
        <v>7026</v>
      </c>
      <c r="E2153" s="16" t="s">
        <v>11436</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45">
      <c r="A2154" s="15" t="s">
        <v>1449</v>
      </c>
      <c r="B2154" s="16" t="s">
        <v>5</v>
      </c>
      <c r="C2154" s="17" t="s">
        <v>7028</v>
      </c>
      <c r="D2154" s="17" t="s">
        <v>7029</v>
      </c>
      <c r="E2154" s="16" t="s">
        <v>11415</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45">
      <c r="A2155" s="15" t="s">
        <v>1455</v>
      </c>
      <c r="B2155" s="16" t="s">
        <v>5</v>
      </c>
      <c r="C2155" s="17" t="s">
        <v>7031</v>
      </c>
      <c r="D2155" s="17" t="s">
        <v>7032</v>
      </c>
      <c r="E2155" s="16" t="s">
        <v>11428</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45">
      <c r="A2156" s="15" t="s">
        <v>1504</v>
      </c>
      <c r="B2156" s="16" t="s">
        <v>5</v>
      </c>
      <c r="C2156" s="17" t="s">
        <v>7034</v>
      </c>
      <c r="D2156" s="17" t="s">
        <v>7035</v>
      </c>
      <c r="E2156" s="16" t="s">
        <v>11432</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45">
      <c r="A2157" s="15" t="s">
        <v>1472</v>
      </c>
      <c r="B2157" s="16" t="s">
        <v>5</v>
      </c>
      <c r="C2157" s="17" t="s">
        <v>7037</v>
      </c>
      <c r="D2157" s="17" t="s">
        <v>7038</v>
      </c>
      <c r="E2157" s="16" t="s">
        <v>11436</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45">
      <c r="A2158" s="15" t="s">
        <v>1484</v>
      </c>
      <c r="B2158" s="16" t="s">
        <v>5</v>
      </c>
      <c r="C2158" s="17" t="s">
        <v>7040</v>
      </c>
      <c r="D2158" s="17" t="s">
        <v>7041</v>
      </c>
      <c r="E2158" s="16" t="s">
        <v>11423</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45">
      <c r="A2159" s="15" t="s">
        <v>1656</v>
      </c>
      <c r="B2159" s="16" t="s">
        <v>5</v>
      </c>
      <c r="C2159" s="17" t="s">
        <v>7043</v>
      </c>
      <c r="D2159" s="17" t="s">
        <v>7044</v>
      </c>
      <c r="E2159" s="16" t="s">
        <v>11415</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45">
      <c r="A2160" s="15" t="s">
        <v>1490</v>
      </c>
      <c r="B2160" s="16" t="s">
        <v>5</v>
      </c>
      <c r="C2160" s="17" t="s">
        <v>7046</v>
      </c>
      <c r="D2160" s="17" t="s">
        <v>7047</v>
      </c>
      <c r="E2160" s="16" t="s">
        <v>11436</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45">
      <c r="A2161" s="15" t="s">
        <v>1510</v>
      </c>
      <c r="B2161" s="16" t="s">
        <v>5</v>
      </c>
      <c r="C2161" s="17" t="s">
        <v>7049</v>
      </c>
      <c r="D2161" s="17" t="s">
        <v>7050</v>
      </c>
      <c r="E2161" s="16" t="s">
        <v>11439</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45">
      <c r="A2162" s="15" t="s">
        <v>1783</v>
      </c>
      <c r="B2162" s="16" t="s">
        <v>5</v>
      </c>
      <c r="C2162" s="17" t="s">
        <v>7052</v>
      </c>
      <c r="D2162" s="17" t="s">
        <v>7053</v>
      </c>
      <c r="E2162" s="16" t="s">
        <v>11436</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45">
      <c r="A2163" s="15" t="s">
        <v>1507</v>
      </c>
      <c r="B2163" s="16" t="s">
        <v>5</v>
      </c>
      <c r="C2163" s="17" t="s">
        <v>7055</v>
      </c>
      <c r="D2163" s="17" t="s">
        <v>7056</v>
      </c>
      <c r="E2163" s="16" t="s">
        <v>11436</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45">
      <c r="A2164" s="15" t="s">
        <v>1900</v>
      </c>
      <c r="B2164" s="16" t="s">
        <v>5</v>
      </c>
      <c r="C2164" s="17" t="s">
        <v>7058</v>
      </c>
      <c r="D2164" s="17" t="s">
        <v>7059</v>
      </c>
      <c r="E2164" s="16" t="s">
        <v>11415</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45">
      <c r="A2165" s="15" t="s">
        <v>1662</v>
      </c>
      <c r="B2165" s="16" t="s">
        <v>5</v>
      </c>
      <c r="C2165" s="17" t="s">
        <v>7061</v>
      </c>
      <c r="D2165" s="17" t="s">
        <v>7062</v>
      </c>
      <c r="E2165" s="16" t="s">
        <v>11415</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45">
      <c r="A2166" s="15" t="s">
        <v>1957</v>
      </c>
      <c r="B2166" s="16" t="s">
        <v>5</v>
      </c>
      <c r="C2166" s="17" t="s">
        <v>7064</v>
      </c>
      <c r="D2166" s="17" t="s">
        <v>7065</v>
      </c>
      <c r="E2166" s="16" t="s">
        <v>11423</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45">
      <c r="A2167" s="15" t="s">
        <v>2114</v>
      </c>
      <c r="B2167" s="16" t="s">
        <v>5</v>
      </c>
      <c r="C2167" s="17" t="s">
        <v>7067</v>
      </c>
      <c r="D2167" s="17" t="s">
        <v>7068</v>
      </c>
      <c r="E2167" s="16" t="s">
        <v>11415</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45">
      <c r="A2168" s="15" t="s">
        <v>8422</v>
      </c>
      <c r="B2168" s="16" t="s">
        <v>5</v>
      </c>
      <c r="C2168" s="17" t="s">
        <v>7070</v>
      </c>
      <c r="D2168" s="17" t="s">
        <v>7071</v>
      </c>
      <c r="E2168" s="16" t="s">
        <v>11433</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45">
      <c r="A2169" s="15" t="s">
        <v>2165</v>
      </c>
      <c r="B2169" s="16" t="s">
        <v>5</v>
      </c>
      <c r="C2169" s="17" t="s">
        <v>7073</v>
      </c>
      <c r="D2169" s="17" t="s">
        <v>7074</v>
      </c>
      <c r="E2169" s="16" t="s">
        <v>11415</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45">
      <c r="A2170" s="15" t="s">
        <v>2307</v>
      </c>
      <c r="B2170" s="16" t="s">
        <v>5</v>
      </c>
      <c r="C2170" s="17" t="s">
        <v>7076</v>
      </c>
      <c r="D2170" s="17" t="s">
        <v>7077</v>
      </c>
      <c r="E2170" s="16" t="s">
        <v>11423</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45">
      <c r="A2171" s="15" t="s">
        <v>2304</v>
      </c>
      <c r="B2171" s="16" t="s">
        <v>5</v>
      </c>
      <c r="C2171" s="17" t="s">
        <v>7079</v>
      </c>
      <c r="D2171" s="17" t="s">
        <v>7080</v>
      </c>
      <c r="E2171" s="16" t="s">
        <v>11436</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45">
      <c r="A2172" s="15" t="s">
        <v>2626</v>
      </c>
      <c r="B2172" s="16" t="s">
        <v>5</v>
      </c>
      <c r="C2172" s="17" t="s">
        <v>7082</v>
      </c>
      <c r="D2172" s="17" t="s">
        <v>7083</v>
      </c>
      <c r="E2172" s="16" t="s">
        <v>11436</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45">
      <c r="A2173" s="15" t="s">
        <v>2548</v>
      </c>
      <c r="B2173" s="16" t="s">
        <v>5</v>
      </c>
      <c r="C2173" s="17" t="s">
        <v>7085</v>
      </c>
      <c r="D2173" s="17" t="s">
        <v>7086</v>
      </c>
      <c r="E2173" s="16" t="s">
        <v>11415</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45">
      <c r="A2174" s="15" t="s">
        <v>2487</v>
      </c>
      <c r="B2174" s="16" t="s">
        <v>5</v>
      </c>
      <c r="C2174" s="17" t="s">
        <v>7088</v>
      </c>
      <c r="D2174" s="17" t="s">
        <v>7089</v>
      </c>
      <c r="E2174" s="16" t="s">
        <v>11436</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45">
      <c r="A2175" s="15" t="s">
        <v>2833</v>
      </c>
      <c r="B2175" s="16" t="s">
        <v>5</v>
      </c>
      <c r="C2175" s="17" t="s">
        <v>7091</v>
      </c>
      <c r="D2175" s="17" t="s">
        <v>7092</v>
      </c>
      <c r="E2175" s="16" t="s">
        <v>11436</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45">
      <c r="A2176" s="15" t="s">
        <v>8074</v>
      </c>
      <c r="B2176" s="16" t="s">
        <v>5</v>
      </c>
      <c r="C2176" s="17" t="s">
        <v>7094</v>
      </c>
      <c r="D2176" s="17" t="s">
        <v>7095</v>
      </c>
      <c r="E2176" s="16" t="s">
        <v>11433</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45">
      <c r="A2177" s="15" t="s">
        <v>1582</v>
      </c>
      <c r="B2177" s="16" t="s">
        <v>5</v>
      </c>
      <c r="C2177" s="17" t="s">
        <v>7097</v>
      </c>
      <c r="D2177" s="17" t="s">
        <v>7098</v>
      </c>
      <c r="E2177" s="16" t="s">
        <v>11439</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45">
      <c r="A2178" s="15" t="s">
        <v>1594</v>
      </c>
      <c r="B2178" s="16" t="s">
        <v>5</v>
      </c>
      <c r="C2178" s="17" t="s">
        <v>7100</v>
      </c>
      <c r="D2178" s="17" t="s">
        <v>7101</v>
      </c>
      <c r="E2178" s="16" t="s">
        <v>11441</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45">
      <c r="A2179" s="15" t="s">
        <v>1619</v>
      </c>
      <c r="B2179" s="16" t="s">
        <v>5</v>
      </c>
      <c r="C2179" s="17" t="s">
        <v>7103</v>
      </c>
      <c r="D2179" s="17" t="s">
        <v>7104</v>
      </c>
      <c r="E2179" s="16" t="s">
        <v>11439</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45">
      <c r="A2180" s="15" t="s">
        <v>1634</v>
      </c>
      <c r="B2180" s="16" t="s">
        <v>5</v>
      </c>
      <c r="C2180" s="17" t="s">
        <v>7106</v>
      </c>
      <c r="D2180" s="17" t="s">
        <v>7107</v>
      </c>
      <c r="E2180" s="16" t="s">
        <v>11415</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45">
      <c r="A2181" s="15" t="s">
        <v>1610</v>
      </c>
      <c r="B2181" s="16" t="s">
        <v>5</v>
      </c>
      <c r="C2181" s="17" t="s">
        <v>7109</v>
      </c>
      <c r="D2181" s="17" t="s">
        <v>7110</v>
      </c>
      <c r="E2181" s="16" t="s">
        <v>11439</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45">
      <c r="A2182" s="15" t="s">
        <v>1677</v>
      </c>
      <c r="B2182" s="16" t="s">
        <v>5</v>
      </c>
      <c r="C2182" s="17" t="s">
        <v>7112</v>
      </c>
      <c r="D2182" s="17" t="s">
        <v>7113</v>
      </c>
      <c r="E2182" s="16" t="s">
        <v>11434</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45">
      <c r="A2183" s="15" t="s">
        <v>1713</v>
      </c>
      <c r="B2183" s="16" t="s">
        <v>5</v>
      </c>
      <c r="C2183" s="17" t="s">
        <v>7115</v>
      </c>
      <c r="D2183" s="17" t="s">
        <v>7116</v>
      </c>
      <c r="E2183" s="16" t="s">
        <v>11434</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45">
      <c r="A2184" s="15" t="s">
        <v>1726</v>
      </c>
      <c r="B2184" s="16" t="s">
        <v>5</v>
      </c>
      <c r="C2184" s="17" t="s">
        <v>7118</v>
      </c>
      <c r="D2184" s="17" t="s">
        <v>7119</v>
      </c>
      <c r="E2184" s="16" t="s">
        <v>11434</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45">
      <c r="A2185" s="15" t="s">
        <v>1539</v>
      </c>
      <c r="B2185" s="16" t="s">
        <v>5</v>
      </c>
      <c r="C2185" s="17" t="s">
        <v>7121</v>
      </c>
      <c r="D2185" s="17" t="s">
        <v>7122</v>
      </c>
      <c r="E2185" s="16" t="s">
        <v>11436</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45">
      <c r="A2186" s="15" t="s">
        <v>1681</v>
      </c>
      <c r="B2186" s="16" t="s">
        <v>5</v>
      </c>
      <c r="C2186" s="17" t="s">
        <v>7124</v>
      </c>
      <c r="D2186" s="17" t="s">
        <v>7125</v>
      </c>
      <c r="E2186" s="16" t="s">
        <v>11441</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45">
      <c r="A2187" s="15" t="s">
        <v>1716</v>
      </c>
      <c r="B2187" s="16" t="s">
        <v>5</v>
      </c>
      <c r="C2187" s="17" t="s">
        <v>7127</v>
      </c>
      <c r="D2187" s="17" t="s">
        <v>7128</v>
      </c>
      <c r="E2187" s="16" t="s">
        <v>11435</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45">
      <c r="A2188" s="15" t="s">
        <v>1735</v>
      </c>
      <c r="B2188" s="16" t="s">
        <v>5</v>
      </c>
      <c r="C2188" s="17" t="s">
        <v>7130</v>
      </c>
      <c r="D2188" s="17" t="s">
        <v>7131</v>
      </c>
      <c r="E2188" s="16" t="s">
        <v>11435</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45">
      <c r="A2189" s="15" t="s">
        <v>8653</v>
      </c>
      <c r="B2189" s="16" t="s">
        <v>5</v>
      </c>
      <c r="C2189" s="17" t="s">
        <v>7133</v>
      </c>
      <c r="D2189" s="17" t="s">
        <v>7134</v>
      </c>
      <c r="E2189" s="16" t="s">
        <v>11433</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45">
      <c r="A2190" s="15" t="s">
        <v>1695</v>
      </c>
      <c r="B2190" s="16" t="s">
        <v>5</v>
      </c>
      <c r="C2190" s="17" t="s">
        <v>7136</v>
      </c>
      <c r="D2190" s="17" t="s">
        <v>7137</v>
      </c>
      <c r="E2190" s="16" t="s">
        <v>11442</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45">
      <c r="A2191" s="15" t="s">
        <v>1691</v>
      </c>
      <c r="B2191" s="16" t="s">
        <v>5</v>
      </c>
      <c r="C2191" s="17" t="s">
        <v>7139</v>
      </c>
      <c r="D2191" s="17" t="s">
        <v>7140</v>
      </c>
      <c r="E2191" s="16" t="s">
        <v>11442</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45">
      <c r="A2192" s="15" t="s">
        <v>1684</v>
      </c>
      <c r="B2192" s="16" t="s">
        <v>5</v>
      </c>
      <c r="C2192" s="17" t="s">
        <v>7142</v>
      </c>
      <c r="D2192" s="17" t="s">
        <v>7143</v>
      </c>
      <c r="E2192" s="16" t="s">
        <v>11427</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45">
      <c r="A2193" s="15" t="s">
        <v>1747</v>
      </c>
      <c r="B2193" s="16" t="s">
        <v>5</v>
      </c>
      <c r="C2193" s="17" t="s">
        <v>7145</v>
      </c>
      <c r="D2193" s="17" t="s">
        <v>7146</v>
      </c>
      <c r="E2193" s="16" t="s">
        <v>11435</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45">
      <c r="A2194" s="15" t="s">
        <v>1720</v>
      </c>
      <c r="B2194" s="16" t="s">
        <v>5</v>
      </c>
      <c r="C2194" s="17" t="s">
        <v>7148</v>
      </c>
      <c r="D2194" s="17" t="s">
        <v>7149</v>
      </c>
      <c r="E2194" s="16" t="s">
        <v>11427</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45">
      <c r="A2195" s="15" t="s">
        <v>1774</v>
      </c>
      <c r="B2195" s="16" t="s">
        <v>5</v>
      </c>
      <c r="C2195" s="17" t="s">
        <v>7151</v>
      </c>
      <c r="D2195" s="17" t="s">
        <v>7152</v>
      </c>
      <c r="E2195" s="16" t="s">
        <v>11423</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45">
      <c r="A2196" s="15" t="s">
        <v>1777</v>
      </c>
      <c r="B2196" s="16" t="s">
        <v>5</v>
      </c>
      <c r="C2196" s="17" t="s">
        <v>7154</v>
      </c>
      <c r="D2196" s="17" t="s">
        <v>7155</v>
      </c>
      <c r="E2196" s="16" t="s">
        <v>11439</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45">
      <c r="A2197" s="15" t="s">
        <v>1822</v>
      </c>
      <c r="B2197" s="16" t="s">
        <v>5</v>
      </c>
      <c r="C2197" s="17" t="s">
        <v>7157</v>
      </c>
      <c r="D2197" s="17" t="s">
        <v>7158</v>
      </c>
      <c r="E2197" s="16" t="s">
        <v>11415</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45">
      <c r="A2198" s="15" t="s">
        <v>1795</v>
      </c>
      <c r="B2198" s="16" t="s">
        <v>5</v>
      </c>
      <c r="C2198" s="17" t="s">
        <v>7160</v>
      </c>
      <c r="D2198" s="17" t="s">
        <v>7161</v>
      </c>
      <c r="E2198" s="16" t="s">
        <v>11420</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45">
      <c r="A2199" s="15" t="s">
        <v>749</v>
      </c>
      <c r="B2199" s="16" t="s">
        <v>183</v>
      </c>
      <c r="C2199" s="17" t="s">
        <v>7163</v>
      </c>
      <c r="D2199" s="17" t="s">
        <v>7164</v>
      </c>
      <c r="E2199" s="16" t="s">
        <v>11434</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45">
      <c r="A2200" s="15" t="s">
        <v>6667</v>
      </c>
      <c r="B2200" s="16" t="s">
        <v>5</v>
      </c>
      <c r="C2200" s="17" t="s">
        <v>7166</v>
      </c>
      <c r="D2200" s="17" t="s">
        <v>7167</v>
      </c>
      <c r="E2200" s="16" t="s">
        <v>11433</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45">
      <c r="A2201" s="15" t="s">
        <v>758</v>
      </c>
      <c r="B2201" s="16" t="s">
        <v>183</v>
      </c>
      <c r="C2201" s="17" t="s">
        <v>7169</v>
      </c>
      <c r="D2201" s="17" t="s">
        <v>7170</v>
      </c>
      <c r="E2201" s="16" t="s">
        <v>11435</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45">
      <c r="A2202" s="15" t="s">
        <v>710</v>
      </c>
      <c r="B2202" s="16" t="s">
        <v>183</v>
      </c>
      <c r="C2202" s="17" t="s">
        <v>7172</v>
      </c>
      <c r="D2202" s="17" t="s">
        <v>7173</v>
      </c>
      <c r="E2202" s="16" t="s">
        <v>11427</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45">
      <c r="A2203" s="15" t="s">
        <v>713</v>
      </c>
      <c r="B2203" s="16" t="s">
        <v>183</v>
      </c>
      <c r="C2203" s="17" t="s">
        <v>7175</v>
      </c>
      <c r="D2203" s="17" t="s">
        <v>7176</v>
      </c>
      <c r="E2203" s="16" t="s">
        <v>11428</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45">
      <c r="A2204" s="15" t="s">
        <v>701</v>
      </c>
      <c r="B2204" s="16" t="s">
        <v>183</v>
      </c>
      <c r="C2204" s="17" t="s">
        <v>7178</v>
      </c>
      <c r="D2204" s="17" t="s">
        <v>7179</v>
      </c>
      <c r="E2204" s="16" t="s">
        <v>11425</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45">
      <c r="A2205" s="15" t="s">
        <v>695</v>
      </c>
      <c r="B2205" s="16" t="s">
        <v>183</v>
      </c>
      <c r="C2205" s="17" t="s">
        <v>7181</v>
      </c>
      <c r="D2205" s="17" t="s">
        <v>7182</v>
      </c>
      <c r="E2205" s="16" t="s">
        <v>11423</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45">
      <c r="A2206" s="15" t="s">
        <v>7069</v>
      </c>
      <c r="B2206" s="16" t="s">
        <v>5</v>
      </c>
      <c r="C2206" s="17" t="s">
        <v>7184</v>
      </c>
      <c r="D2206" s="17" t="s">
        <v>7185</v>
      </c>
      <c r="E2206" s="16" t="s">
        <v>11420</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45">
      <c r="A2207" s="15" t="s">
        <v>7378</v>
      </c>
      <c r="B2207" s="16" t="s">
        <v>5</v>
      </c>
      <c r="C2207" s="17" t="s">
        <v>7187</v>
      </c>
      <c r="D2207" s="17" t="s">
        <v>7188</v>
      </c>
      <c r="E2207" s="16" t="s">
        <v>11420</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45">
      <c r="A2208" s="15" t="s">
        <v>7312</v>
      </c>
      <c r="B2208" s="16" t="s">
        <v>5</v>
      </c>
      <c r="C2208" s="17" t="s">
        <v>7190</v>
      </c>
      <c r="D2208" s="17" t="s">
        <v>7191</v>
      </c>
      <c r="E2208" s="16" t="s">
        <v>11420</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45">
      <c r="A2209" s="15" t="s">
        <v>7513</v>
      </c>
      <c r="B2209" s="16" t="s">
        <v>5</v>
      </c>
      <c r="C2209" s="17" t="s">
        <v>7193</v>
      </c>
      <c r="D2209" s="17" t="s">
        <v>7194</v>
      </c>
      <c r="E2209" s="16" t="s">
        <v>11420</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45">
      <c r="A2210" s="15" t="s">
        <v>7606</v>
      </c>
      <c r="B2210" s="16" t="s">
        <v>5</v>
      </c>
      <c r="C2210" s="17" t="s">
        <v>7196</v>
      </c>
      <c r="D2210" s="17" t="s">
        <v>7197</v>
      </c>
      <c r="E2210" s="16" t="s">
        <v>11420</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45">
      <c r="A2211" s="15" t="s">
        <v>7375</v>
      </c>
      <c r="B2211" s="16" t="s">
        <v>5</v>
      </c>
      <c r="C2211" s="17" t="s">
        <v>7199</v>
      </c>
      <c r="D2211" s="17" t="s">
        <v>7200</v>
      </c>
      <c r="E2211" s="16" t="s">
        <v>11420</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45">
      <c r="A2212" s="15" t="s">
        <v>4487</v>
      </c>
      <c r="B2212" s="16" t="s">
        <v>5</v>
      </c>
      <c r="C2212" s="17" t="s">
        <v>7202</v>
      </c>
      <c r="D2212" s="17" t="s">
        <v>7203</v>
      </c>
      <c r="E2212" s="16" t="s">
        <v>11420</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45">
      <c r="A2213" s="15" t="s">
        <v>4511</v>
      </c>
      <c r="B2213" s="16" t="s">
        <v>5</v>
      </c>
      <c r="C2213" s="17" t="s">
        <v>7205</v>
      </c>
      <c r="D2213" s="17" t="s">
        <v>7206</v>
      </c>
      <c r="E2213" s="16" t="s">
        <v>11420</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45">
      <c r="A2214" s="15" t="s">
        <v>4514</v>
      </c>
      <c r="B2214" s="16" t="s">
        <v>5</v>
      </c>
      <c r="C2214" s="17" t="s">
        <v>7208</v>
      </c>
      <c r="D2214" s="17" t="s">
        <v>7209</v>
      </c>
      <c r="E2214" s="16" t="s">
        <v>11420</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45">
      <c r="A2215" s="15" t="s">
        <v>4559</v>
      </c>
      <c r="B2215" s="16" t="s">
        <v>5</v>
      </c>
      <c r="C2215" s="17" t="s">
        <v>7211</v>
      </c>
      <c r="D2215" s="17" t="s">
        <v>7212</v>
      </c>
      <c r="E2215" s="16" t="s">
        <v>11420</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45">
      <c r="A2216" s="15" t="s">
        <v>4571</v>
      </c>
      <c r="B2216" s="16" t="s">
        <v>5</v>
      </c>
      <c r="C2216" s="17" t="s">
        <v>7214</v>
      </c>
      <c r="D2216" s="17" t="s">
        <v>7215</v>
      </c>
      <c r="E2216" s="16" t="s">
        <v>11420</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45">
      <c r="A2217" s="15" t="s">
        <v>4604</v>
      </c>
      <c r="B2217" s="16" t="s">
        <v>5</v>
      </c>
      <c r="C2217" s="17" t="s">
        <v>7217</v>
      </c>
      <c r="D2217" s="17" t="s">
        <v>7218</v>
      </c>
      <c r="E2217" s="16" t="s">
        <v>11420</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45">
      <c r="A2218" s="15" t="s">
        <v>4652</v>
      </c>
      <c r="B2218" s="16" t="s">
        <v>5</v>
      </c>
      <c r="C2218" s="17" t="s">
        <v>7220</v>
      </c>
      <c r="D2218" s="17" t="s">
        <v>7221</v>
      </c>
      <c r="E2218" s="16" t="s">
        <v>11420</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45">
      <c r="A2219" s="15" t="s">
        <v>4682</v>
      </c>
      <c r="B2219" s="16" t="s">
        <v>5</v>
      </c>
      <c r="C2219" s="17" t="s">
        <v>7223</v>
      </c>
      <c r="D2219" s="17" t="s">
        <v>7224</v>
      </c>
      <c r="E2219" s="16" t="s">
        <v>11420</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45">
      <c r="A2220" s="15" t="s">
        <v>4718</v>
      </c>
      <c r="B2220" s="16" t="s">
        <v>5</v>
      </c>
      <c r="C2220" s="17" t="s">
        <v>7226</v>
      </c>
      <c r="D2220" s="17" t="s">
        <v>7227</v>
      </c>
      <c r="E2220" s="16" t="s">
        <v>11420</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45">
      <c r="A2221" s="15" t="s">
        <v>4772</v>
      </c>
      <c r="B2221" s="16" t="s">
        <v>5</v>
      </c>
      <c r="C2221" s="17" t="s">
        <v>7229</v>
      </c>
      <c r="D2221" s="17" t="s">
        <v>7230</v>
      </c>
      <c r="E2221" s="16" t="s">
        <v>11420</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45">
      <c r="A2222" s="15" t="s">
        <v>4796</v>
      </c>
      <c r="B2222" s="16" t="s">
        <v>5</v>
      </c>
      <c r="C2222" s="17" t="s">
        <v>7232</v>
      </c>
      <c r="D2222" s="17" t="s">
        <v>7233</v>
      </c>
      <c r="E2222" s="16" t="s">
        <v>11420</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45">
      <c r="A2223" s="15" t="s">
        <v>4799</v>
      </c>
      <c r="B2223" s="16" t="s">
        <v>5</v>
      </c>
      <c r="C2223" s="17" t="s">
        <v>7235</v>
      </c>
      <c r="D2223" s="17" t="s">
        <v>7236</v>
      </c>
      <c r="E2223" s="16" t="s">
        <v>11420</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45">
      <c r="A2224" s="15" t="s">
        <v>4820</v>
      </c>
      <c r="B2224" s="16" t="s">
        <v>5</v>
      </c>
      <c r="C2224" s="17" t="s">
        <v>7238</v>
      </c>
      <c r="D2224" s="17" t="s">
        <v>7239</v>
      </c>
      <c r="E2224" s="16" t="s">
        <v>11420</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45">
      <c r="A2225" s="15" t="s">
        <v>4838</v>
      </c>
      <c r="B2225" s="16" t="s">
        <v>5</v>
      </c>
      <c r="C2225" s="17" t="s">
        <v>7241</v>
      </c>
      <c r="D2225" s="17" t="s">
        <v>7242</v>
      </c>
      <c r="E2225" s="16" t="s">
        <v>11420</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45">
      <c r="A2226" s="15" t="s">
        <v>7480</v>
      </c>
      <c r="B2226" s="16" t="s">
        <v>5</v>
      </c>
      <c r="C2226" s="17" t="s">
        <v>7244</v>
      </c>
      <c r="D2226" s="17" t="s">
        <v>7245</v>
      </c>
      <c r="E2226" s="15" t="s">
        <v>11420</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45">
      <c r="A2227" s="15" t="s">
        <v>7609</v>
      </c>
      <c r="B2227" s="16" t="s">
        <v>5</v>
      </c>
      <c r="C2227" s="17" t="s">
        <v>7247</v>
      </c>
      <c r="D2227" s="17" t="s">
        <v>7248</v>
      </c>
      <c r="E2227" s="16" t="s">
        <v>11420</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45">
      <c r="A2228" s="15" t="s">
        <v>7615</v>
      </c>
      <c r="B2228" s="16" t="s">
        <v>5</v>
      </c>
      <c r="C2228" s="17" t="s">
        <v>7250</v>
      </c>
      <c r="D2228" s="17" t="s">
        <v>7251</v>
      </c>
      <c r="E2228" s="16" t="s">
        <v>11420</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45">
      <c r="A2229" s="15" t="s">
        <v>7858</v>
      </c>
      <c r="B2229" s="16" t="s">
        <v>5</v>
      </c>
      <c r="C2229" s="17" t="s">
        <v>7253</v>
      </c>
      <c r="D2229" s="17" t="s">
        <v>7254</v>
      </c>
      <c r="E2229" s="16" t="s">
        <v>11420</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45">
      <c r="A2230" s="15" t="s">
        <v>7897</v>
      </c>
      <c r="B2230" s="16" t="s">
        <v>5</v>
      </c>
      <c r="C2230" s="17" t="s">
        <v>7256</v>
      </c>
      <c r="D2230" s="17" t="s">
        <v>7257</v>
      </c>
      <c r="E2230" s="16" t="s">
        <v>11420</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45">
      <c r="A2231" s="15" t="s">
        <v>7789</v>
      </c>
      <c r="B2231" s="16" t="s">
        <v>5</v>
      </c>
      <c r="C2231" s="17" t="s">
        <v>7259</v>
      </c>
      <c r="D2231" s="17" t="s">
        <v>7260</v>
      </c>
      <c r="E2231" s="16" t="s">
        <v>11420</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45">
      <c r="A2232" s="15" t="s">
        <v>8083</v>
      </c>
      <c r="B2232" s="16" t="s">
        <v>5</v>
      </c>
      <c r="C2232" s="17" t="s">
        <v>7262</v>
      </c>
      <c r="D2232" s="17" t="s">
        <v>7263</v>
      </c>
      <c r="E2232" s="16" t="s">
        <v>11420</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45">
      <c r="A2233" s="15" t="s">
        <v>8134</v>
      </c>
      <c r="B2233" s="16" t="s">
        <v>5</v>
      </c>
      <c r="C2233" s="17" t="s">
        <v>7265</v>
      </c>
      <c r="D2233" s="17" t="s">
        <v>7266</v>
      </c>
      <c r="E2233" s="16" t="s">
        <v>11420</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45">
      <c r="A2234" s="15" t="s">
        <v>7549</v>
      </c>
      <c r="B2234" s="16" t="s">
        <v>5</v>
      </c>
      <c r="C2234" s="17" t="s">
        <v>7268</v>
      </c>
      <c r="D2234" s="17" t="s">
        <v>7269</v>
      </c>
      <c r="E2234" s="16" t="s">
        <v>11420</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45">
      <c r="A2235" s="15" t="s">
        <v>7801</v>
      </c>
      <c r="B2235" s="16" t="s">
        <v>5</v>
      </c>
      <c r="C2235" s="17" t="s">
        <v>7271</v>
      </c>
      <c r="D2235" s="17" t="s">
        <v>7272</v>
      </c>
      <c r="E2235" s="16" t="s">
        <v>11420</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45">
      <c r="A2236" s="15" t="s">
        <v>8002</v>
      </c>
      <c r="B2236" s="16" t="s">
        <v>5</v>
      </c>
      <c r="C2236" s="17" t="s">
        <v>7274</v>
      </c>
      <c r="D2236" s="17" t="s">
        <v>7275</v>
      </c>
      <c r="E2236" s="16" t="s">
        <v>11420</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45">
      <c r="A2237" s="15" t="s">
        <v>5360</v>
      </c>
      <c r="B2237" s="16" t="s">
        <v>5</v>
      </c>
      <c r="C2237" s="17" t="s">
        <v>7277</v>
      </c>
      <c r="D2237" s="17" t="s">
        <v>7278</v>
      </c>
      <c r="E2237" s="16" t="s">
        <v>11420</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45">
      <c r="A2238" s="15" t="s">
        <v>5102</v>
      </c>
      <c r="B2238" s="16" t="s">
        <v>5</v>
      </c>
      <c r="C2238" s="17" t="s">
        <v>7280</v>
      </c>
      <c r="D2238" s="17" t="s">
        <v>7281</v>
      </c>
      <c r="E2238" s="16" t="s">
        <v>11420</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45">
      <c r="A2239" s="15" t="s">
        <v>5288</v>
      </c>
      <c r="B2239" s="16" t="s">
        <v>5</v>
      </c>
      <c r="C2239" s="17" t="s">
        <v>7283</v>
      </c>
      <c r="D2239" s="17" t="s">
        <v>7284</v>
      </c>
      <c r="E2239" s="16" t="s">
        <v>11420</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45">
      <c r="A2240" s="15" t="s">
        <v>5234</v>
      </c>
      <c r="B2240" s="16" t="s">
        <v>5</v>
      </c>
      <c r="C2240" s="17" t="s">
        <v>7286</v>
      </c>
      <c r="D2240" s="17" t="s">
        <v>7287</v>
      </c>
      <c r="E2240" s="16" t="s">
        <v>11420</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45">
      <c r="A2241" s="15" t="s">
        <v>5219</v>
      </c>
      <c r="B2241" s="16" t="s">
        <v>5</v>
      </c>
      <c r="C2241" s="17" t="s">
        <v>7289</v>
      </c>
      <c r="D2241" s="17" t="s">
        <v>7290</v>
      </c>
      <c r="E2241" s="16" t="s">
        <v>11420</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45">
      <c r="A2242" s="15" t="s">
        <v>8254</v>
      </c>
      <c r="B2242" s="16" t="s">
        <v>5</v>
      </c>
      <c r="C2242" s="17" t="s">
        <v>7292</v>
      </c>
      <c r="D2242" s="17" t="s">
        <v>7293</v>
      </c>
      <c r="E2242" s="16" t="s">
        <v>11420</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45">
      <c r="A2243" s="15" t="s">
        <v>8125</v>
      </c>
      <c r="B2243" s="16" t="s">
        <v>5</v>
      </c>
      <c r="C2243" s="17" t="s">
        <v>7295</v>
      </c>
      <c r="D2243" s="17" t="s">
        <v>7296</v>
      </c>
      <c r="E2243" s="16" t="s">
        <v>11420</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45">
      <c r="A2244" s="15" t="s">
        <v>8158</v>
      </c>
      <c r="B2244" s="16" t="s">
        <v>5</v>
      </c>
      <c r="C2244" s="17" t="s">
        <v>7298</v>
      </c>
      <c r="D2244" s="17" t="s">
        <v>7299</v>
      </c>
      <c r="E2244" s="16" t="s">
        <v>11420</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45">
      <c r="A2245" s="15" t="s">
        <v>8356</v>
      </c>
      <c r="B2245" s="16" t="s">
        <v>5</v>
      </c>
      <c r="C2245" s="17" t="s">
        <v>7301</v>
      </c>
      <c r="D2245" s="17" t="s">
        <v>7302</v>
      </c>
      <c r="E2245" s="16" t="s">
        <v>11420</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45">
      <c r="A2246" s="15" t="s">
        <v>8452</v>
      </c>
      <c r="B2246" s="16" t="s">
        <v>5</v>
      </c>
      <c r="C2246" s="17" t="s">
        <v>7304</v>
      </c>
      <c r="D2246" s="17" t="s">
        <v>7305</v>
      </c>
      <c r="E2246" s="16" t="s">
        <v>11420</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45">
      <c r="A2247" s="15" t="s">
        <v>8278</v>
      </c>
      <c r="B2247" s="16" t="s">
        <v>5</v>
      </c>
      <c r="C2247" s="17" t="s">
        <v>7307</v>
      </c>
      <c r="D2247" s="17" t="s">
        <v>7308</v>
      </c>
      <c r="E2247" s="16" t="s">
        <v>11420</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45">
      <c r="A2248" s="15" t="s">
        <v>8395</v>
      </c>
      <c r="B2248" s="16" t="s">
        <v>5</v>
      </c>
      <c r="C2248" s="17" t="s">
        <v>7310</v>
      </c>
      <c r="D2248" s="17" t="s">
        <v>7311</v>
      </c>
      <c r="E2248" s="16" t="s">
        <v>11420</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45">
      <c r="A2249" s="15" t="s">
        <v>8401</v>
      </c>
      <c r="B2249" s="16" t="s">
        <v>5</v>
      </c>
      <c r="C2249" s="17" t="s">
        <v>7313</v>
      </c>
      <c r="D2249" s="17" t="s">
        <v>7314</v>
      </c>
      <c r="E2249" s="16" t="s">
        <v>11420</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45">
      <c r="A2250" s="15" t="s">
        <v>8533</v>
      </c>
      <c r="B2250" s="16" t="s">
        <v>5</v>
      </c>
      <c r="C2250" s="17" t="s">
        <v>7316</v>
      </c>
      <c r="D2250" s="17" t="s">
        <v>7317</v>
      </c>
      <c r="E2250" s="16" t="s">
        <v>11420</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45">
      <c r="A2251" s="15" t="s">
        <v>8563</v>
      </c>
      <c r="B2251" s="16" t="s">
        <v>5</v>
      </c>
      <c r="C2251" s="17" t="s">
        <v>7319</v>
      </c>
      <c r="D2251" s="17" t="s">
        <v>7320</v>
      </c>
      <c r="E2251" s="16" t="s">
        <v>11420</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45">
      <c r="A2252" s="15" t="s">
        <v>8143</v>
      </c>
      <c r="B2252" s="16" t="s">
        <v>5</v>
      </c>
      <c r="C2252" s="17" t="s">
        <v>7322</v>
      </c>
      <c r="D2252" s="17" t="s">
        <v>7323</v>
      </c>
      <c r="E2252" s="16" t="s">
        <v>11420</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45">
      <c r="A2253" s="15" t="s">
        <v>8578</v>
      </c>
      <c r="B2253" s="16" t="s">
        <v>5</v>
      </c>
      <c r="C2253" s="17" t="s">
        <v>7325</v>
      </c>
      <c r="D2253" s="17" t="s">
        <v>7326</v>
      </c>
      <c r="E2253" s="16" t="s">
        <v>11420</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45">
      <c r="A2254" s="15" t="s">
        <v>8614</v>
      </c>
      <c r="B2254" s="16" t="s">
        <v>5</v>
      </c>
      <c r="C2254" s="17" t="s">
        <v>7328</v>
      </c>
      <c r="D2254" s="17" t="s">
        <v>7329</v>
      </c>
      <c r="E2254" s="16" t="s">
        <v>11420</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45">
      <c r="A2255" s="15" t="s">
        <v>8890</v>
      </c>
      <c r="B2255" s="16" t="s">
        <v>5</v>
      </c>
      <c r="C2255" s="17" t="s">
        <v>7331</v>
      </c>
      <c r="D2255" s="17" t="s">
        <v>7332</v>
      </c>
      <c r="E2255" s="16" t="s">
        <v>11420</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45">
      <c r="A2256" s="15" t="s">
        <v>8794</v>
      </c>
      <c r="B2256" s="16" t="s">
        <v>5</v>
      </c>
      <c r="C2256" s="17" t="s">
        <v>7334</v>
      </c>
      <c r="D2256" s="17" t="s">
        <v>7335</v>
      </c>
      <c r="E2256" s="16" t="s">
        <v>11420</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45">
      <c r="A2257" s="15" t="s">
        <v>9082</v>
      </c>
      <c r="B2257" s="16" t="s">
        <v>5</v>
      </c>
      <c r="C2257" s="17" t="s">
        <v>7337</v>
      </c>
      <c r="D2257" s="17" t="s">
        <v>7338</v>
      </c>
      <c r="E2257" s="16" t="s">
        <v>11420</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45">
      <c r="A2258" s="15" t="s">
        <v>1462</v>
      </c>
      <c r="B2258" s="16" t="s">
        <v>5</v>
      </c>
      <c r="C2258" s="17" t="s">
        <v>7340</v>
      </c>
      <c r="D2258" s="17" t="s">
        <v>7341</v>
      </c>
      <c r="E2258" s="16" t="s">
        <v>11420</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45">
      <c r="A2259" s="15" t="s">
        <v>1659</v>
      </c>
      <c r="B2259" s="16" t="s">
        <v>5</v>
      </c>
      <c r="C2259" s="17" t="s">
        <v>7343</v>
      </c>
      <c r="D2259" s="17" t="s">
        <v>7344</v>
      </c>
      <c r="E2259" s="16" t="s">
        <v>11420</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45">
      <c r="A2260" s="15" t="s">
        <v>1558</v>
      </c>
      <c r="B2260" s="16" t="s">
        <v>5</v>
      </c>
      <c r="C2260" s="17" t="s">
        <v>7346</v>
      </c>
      <c r="D2260" s="17" t="s">
        <v>7347</v>
      </c>
      <c r="E2260" s="16" t="s">
        <v>11420</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45">
      <c r="A2261" s="15" t="s">
        <v>2635</v>
      </c>
      <c r="B2261" s="16" t="s">
        <v>5</v>
      </c>
      <c r="C2261" s="17" t="s">
        <v>7349</v>
      </c>
      <c r="D2261" s="17" t="s">
        <v>7350</v>
      </c>
      <c r="E2261" s="16" t="s">
        <v>11420</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45">
      <c r="A2262" s="15" t="s">
        <v>2842</v>
      </c>
      <c r="B2262" s="16" t="s">
        <v>5</v>
      </c>
      <c r="C2262" s="17" t="s">
        <v>7352</v>
      </c>
      <c r="D2262" s="17" t="s">
        <v>7353</v>
      </c>
      <c r="E2262" s="16" t="s">
        <v>11420</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45">
      <c r="A2263" s="15" t="s">
        <v>686</v>
      </c>
      <c r="B2263" s="16" t="s">
        <v>183</v>
      </c>
      <c r="C2263" s="17" t="s">
        <v>7355</v>
      </c>
      <c r="D2263" s="17" t="s">
        <v>7356</v>
      </c>
      <c r="E2263" s="16" t="s">
        <v>11420</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45">
      <c r="A2264" s="15" t="s">
        <v>746</v>
      </c>
      <c r="B2264" s="16" t="s">
        <v>183</v>
      </c>
      <c r="C2264" s="17" t="s">
        <v>7358</v>
      </c>
      <c r="D2264" s="17" t="s">
        <v>7359</v>
      </c>
      <c r="E2264" s="16" t="s">
        <v>11420</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45">
      <c r="A2265" s="15" t="s">
        <v>1837</v>
      </c>
      <c r="B2265" s="16" t="s">
        <v>5</v>
      </c>
      <c r="C2265" s="17" t="s">
        <v>7361</v>
      </c>
      <c r="D2265" s="17" t="s">
        <v>7362</v>
      </c>
      <c r="E2265" s="16" t="s">
        <v>11438</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45">
      <c r="A2266" s="15" t="s">
        <v>9449</v>
      </c>
      <c r="B2266" s="16" t="s">
        <v>5</v>
      </c>
      <c r="C2266" s="17" t="s">
        <v>7364</v>
      </c>
      <c r="D2266" s="17" t="s">
        <v>7365</v>
      </c>
      <c r="E2266" s="16" t="s">
        <v>11424</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45">
      <c r="A2267" s="15" t="s">
        <v>1867</v>
      </c>
      <c r="B2267" s="16" t="s">
        <v>5</v>
      </c>
      <c r="C2267" s="17" t="s">
        <v>7367</v>
      </c>
      <c r="D2267" s="17" t="s">
        <v>7368</v>
      </c>
      <c r="E2267" s="16" t="s">
        <v>11436</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45">
      <c r="A2268" s="15" t="s">
        <v>9520</v>
      </c>
      <c r="B2268" s="16" t="s">
        <v>5</v>
      </c>
      <c r="C2268" s="17" t="s">
        <v>7370</v>
      </c>
      <c r="D2268" s="17" t="s">
        <v>7371</v>
      </c>
      <c r="E2268" s="16" t="s">
        <v>11419</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45">
      <c r="A2269" s="15" t="s">
        <v>1710</v>
      </c>
      <c r="B2269" s="16" t="s">
        <v>5</v>
      </c>
      <c r="C2269" s="17" t="s">
        <v>7373</v>
      </c>
      <c r="D2269" s="17" t="s">
        <v>7374</v>
      </c>
      <c r="E2269" s="16" t="s">
        <v>11427</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45">
      <c r="A2270" s="15" t="s">
        <v>5549</v>
      </c>
      <c r="B2270" s="16" t="s">
        <v>5</v>
      </c>
      <c r="C2270" s="17" t="s">
        <v>7376</v>
      </c>
      <c r="D2270" s="17" t="s">
        <v>7377</v>
      </c>
      <c r="E2270" s="16" t="s">
        <v>11419</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45">
      <c r="A2271" s="15" t="s">
        <v>1885</v>
      </c>
      <c r="B2271" s="16" t="s">
        <v>5</v>
      </c>
      <c r="C2271" s="17" t="s">
        <v>7379</v>
      </c>
      <c r="D2271" s="17" t="s">
        <v>7380</v>
      </c>
      <c r="E2271" s="16" t="s">
        <v>11436</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45">
      <c r="A2272" s="15" t="s">
        <v>9292</v>
      </c>
      <c r="B2272" s="16" t="s">
        <v>5</v>
      </c>
      <c r="C2272" s="17" t="s">
        <v>7382</v>
      </c>
      <c r="D2272" s="17" t="s">
        <v>7383</v>
      </c>
      <c r="E2272" s="16" t="s">
        <v>11426</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45">
      <c r="A2273" s="15" t="s">
        <v>1876</v>
      </c>
      <c r="B2273" s="16" t="s">
        <v>5</v>
      </c>
      <c r="C2273" s="17" t="s">
        <v>7385</v>
      </c>
      <c r="D2273" s="17" t="s">
        <v>7386</v>
      </c>
      <c r="E2273" s="16" t="s">
        <v>11424</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45">
      <c r="A2274" s="15" t="s">
        <v>1834</v>
      </c>
      <c r="B2274" s="16" t="s">
        <v>5</v>
      </c>
      <c r="C2274" s="17" t="s">
        <v>7388</v>
      </c>
      <c r="D2274" s="17" t="s">
        <v>7389</v>
      </c>
      <c r="E2274" s="16" t="s">
        <v>11436</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45">
      <c r="A2275" s="15" t="s">
        <v>1906</v>
      </c>
      <c r="B2275" s="16" t="s">
        <v>5</v>
      </c>
      <c r="C2275" s="17" t="s">
        <v>7391</v>
      </c>
      <c r="D2275" s="17" t="s">
        <v>7392</v>
      </c>
      <c r="E2275" s="16" t="s">
        <v>11438</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45">
      <c r="A2276" s="15" t="s">
        <v>1915</v>
      </c>
      <c r="B2276" s="16" t="s">
        <v>5</v>
      </c>
      <c r="C2276" s="17" t="s">
        <v>7394</v>
      </c>
      <c r="D2276" s="17" t="s">
        <v>7395</v>
      </c>
      <c r="E2276" s="16" t="s">
        <v>11436</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45">
      <c r="A2277" s="15" t="s">
        <v>1933</v>
      </c>
      <c r="B2277" s="16" t="s">
        <v>5</v>
      </c>
      <c r="C2277" s="17" t="s">
        <v>7397</v>
      </c>
      <c r="D2277" s="17" t="s">
        <v>7398</v>
      </c>
      <c r="E2277" s="16" t="s">
        <v>11421</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45">
      <c r="A2278" s="15" t="s">
        <v>1930</v>
      </c>
      <c r="B2278" s="16" t="s">
        <v>5</v>
      </c>
      <c r="C2278" s="17" t="s">
        <v>7400</v>
      </c>
      <c r="D2278" s="17" t="s">
        <v>7401</v>
      </c>
      <c r="E2278" s="16" t="s">
        <v>11440</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45">
      <c r="A2279" s="15" t="s">
        <v>1936</v>
      </c>
      <c r="B2279" s="16" t="s">
        <v>5</v>
      </c>
      <c r="C2279" s="17" t="s">
        <v>7403</v>
      </c>
      <c r="D2279" s="17" t="s">
        <v>7404</v>
      </c>
      <c r="E2279" s="16" t="s">
        <v>11438</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45">
      <c r="A2280" s="15" t="s">
        <v>1966</v>
      </c>
      <c r="B2280" s="16" t="s">
        <v>5</v>
      </c>
      <c r="C2280" s="17" t="s">
        <v>7406</v>
      </c>
      <c r="D2280" s="17" t="s">
        <v>7407</v>
      </c>
      <c r="E2280" s="16" t="s">
        <v>11424</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45">
      <c r="A2281" s="15" t="s">
        <v>1963</v>
      </c>
      <c r="B2281" s="16" t="s">
        <v>5</v>
      </c>
      <c r="C2281" s="17" t="s">
        <v>7409</v>
      </c>
      <c r="D2281" s="17" t="s">
        <v>7410</v>
      </c>
      <c r="E2281" s="16" t="s">
        <v>11424</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45">
      <c r="A2282" s="15" t="s">
        <v>1969</v>
      </c>
      <c r="B2282" s="16" t="s">
        <v>5</v>
      </c>
      <c r="C2282" s="17" t="s">
        <v>7412</v>
      </c>
      <c r="D2282" s="17" t="s">
        <v>7413</v>
      </c>
      <c r="E2282" s="16" t="s">
        <v>11424</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45">
      <c r="A2283" s="15" t="s">
        <v>1975</v>
      </c>
      <c r="B2283" s="16" t="s">
        <v>5</v>
      </c>
      <c r="C2283" s="17" t="s">
        <v>7415</v>
      </c>
      <c r="D2283" s="17" t="s">
        <v>7416</v>
      </c>
      <c r="E2283" s="16" t="s">
        <v>11421</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45">
      <c r="A2284" s="15" t="s">
        <v>1972</v>
      </c>
      <c r="B2284" s="16" t="s">
        <v>5</v>
      </c>
      <c r="C2284" s="17" t="s">
        <v>7418</v>
      </c>
      <c r="D2284" s="17" t="s">
        <v>7419</v>
      </c>
      <c r="E2284" s="16" t="s">
        <v>11421</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45">
      <c r="A2285" s="15" t="s">
        <v>1987</v>
      </c>
      <c r="B2285" s="16" t="s">
        <v>5</v>
      </c>
      <c r="C2285" s="17" t="s">
        <v>7421</v>
      </c>
      <c r="D2285" s="17" t="s">
        <v>7422</v>
      </c>
      <c r="E2285" s="16" t="s">
        <v>11421</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45">
      <c r="A2286" s="15" t="s">
        <v>2008</v>
      </c>
      <c r="B2286" s="16" t="s">
        <v>5</v>
      </c>
      <c r="C2286" s="17" t="s">
        <v>7424</v>
      </c>
      <c r="D2286" s="17" t="s">
        <v>7425</v>
      </c>
      <c r="E2286" s="16" t="s">
        <v>11421</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45">
      <c r="A2287" s="15" t="s">
        <v>1984</v>
      </c>
      <c r="B2287" s="16" t="s">
        <v>5</v>
      </c>
      <c r="C2287" s="17" t="s">
        <v>7427</v>
      </c>
      <c r="D2287" s="17" t="s">
        <v>7428</v>
      </c>
      <c r="E2287" s="16" t="s">
        <v>11415</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45">
      <c r="A2288" s="15" t="s">
        <v>2002</v>
      </c>
      <c r="B2288" s="16" t="s">
        <v>5</v>
      </c>
      <c r="C2288" s="17" t="s">
        <v>7430</v>
      </c>
      <c r="D2288" s="17" t="s">
        <v>7431</v>
      </c>
      <c r="E2288" s="16" t="s">
        <v>11419</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45">
      <c r="A2289" s="15" t="s">
        <v>2017</v>
      </c>
      <c r="B2289" s="16" t="s">
        <v>5</v>
      </c>
      <c r="C2289" s="17" t="s">
        <v>7433</v>
      </c>
      <c r="D2289" s="17" t="s">
        <v>7434</v>
      </c>
      <c r="E2289" s="16" t="s">
        <v>11432</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45">
      <c r="A2290" s="15" t="s">
        <v>4844</v>
      </c>
      <c r="B2290" s="16" t="s">
        <v>5</v>
      </c>
      <c r="C2290" s="17" t="s">
        <v>7436</v>
      </c>
      <c r="D2290" s="17" t="s">
        <v>7437</v>
      </c>
      <c r="E2290" s="16" t="s">
        <v>11419</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45">
      <c r="A2291" s="15" t="s">
        <v>4868</v>
      </c>
      <c r="B2291" s="16" t="s">
        <v>5</v>
      </c>
      <c r="C2291" s="17" t="s">
        <v>7439</v>
      </c>
      <c r="D2291" s="17" t="s">
        <v>7440</v>
      </c>
      <c r="E2291" s="16" t="s">
        <v>11419</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45">
      <c r="A2292" s="15" t="s">
        <v>1729</v>
      </c>
      <c r="B2292" s="16" t="s">
        <v>5</v>
      </c>
      <c r="C2292" s="17" t="s">
        <v>7442</v>
      </c>
      <c r="D2292" s="17" t="s">
        <v>7443</v>
      </c>
      <c r="E2292" s="16" t="s">
        <v>11441</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45">
      <c r="A2293" s="15" t="s">
        <v>1981</v>
      </c>
      <c r="B2293" s="16" t="s">
        <v>5</v>
      </c>
      <c r="C2293" s="17" t="s">
        <v>7445</v>
      </c>
      <c r="D2293" s="17" t="s">
        <v>7446</v>
      </c>
      <c r="E2293" s="16" t="s">
        <v>11418</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45">
      <c r="A2294" s="15" t="s">
        <v>1873</v>
      </c>
      <c r="B2294" s="16" t="s">
        <v>5</v>
      </c>
      <c r="C2294" s="17" t="s">
        <v>7448</v>
      </c>
      <c r="D2294" s="17" t="s">
        <v>7449</v>
      </c>
      <c r="E2294" s="16" t="s">
        <v>11436</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45">
      <c r="A2295" s="15" t="s">
        <v>1879</v>
      </c>
      <c r="B2295" s="16" t="s">
        <v>5</v>
      </c>
      <c r="C2295" s="17" t="s">
        <v>7451</v>
      </c>
      <c r="D2295" s="17" t="s">
        <v>7452</v>
      </c>
      <c r="E2295" s="16" t="s">
        <v>11436</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45">
      <c r="A2296" s="15" t="s">
        <v>1801</v>
      </c>
      <c r="B2296" s="16" t="s">
        <v>5</v>
      </c>
      <c r="C2296" s="17" t="s">
        <v>7454</v>
      </c>
      <c r="D2296" s="17" t="s">
        <v>7455</v>
      </c>
      <c r="E2296" s="16" t="s">
        <v>11417</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45">
      <c r="A2297" s="15" t="s">
        <v>1628</v>
      </c>
      <c r="B2297" s="16" t="s">
        <v>5</v>
      </c>
      <c r="C2297" s="17" t="s">
        <v>7457</v>
      </c>
      <c r="D2297" s="17" t="s">
        <v>7458</v>
      </c>
      <c r="E2297" s="16" t="s">
        <v>11414</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45">
      <c r="A2298" s="15" t="s">
        <v>4757</v>
      </c>
      <c r="B2298" s="16" t="s">
        <v>5</v>
      </c>
      <c r="C2298" s="17" t="s">
        <v>7460</v>
      </c>
      <c r="D2298" s="17" t="s">
        <v>7461</v>
      </c>
      <c r="E2298" s="16" t="s">
        <v>11419</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45">
      <c r="A2299" s="15" t="s">
        <v>4925</v>
      </c>
      <c r="B2299" s="16" t="s">
        <v>5</v>
      </c>
      <c r="C2299" s="17" t="s">
        <v>7463</v>
      </c>
      <c r="D2299" s="17" t="s">
        <v>7464</v>
      </c>
      <c r="E2299" s="16" t="s">
        <v>11419</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45">
      <c r="A2300" s="15" t="s">
        <v>5201</v>
      </c>
      <c r="B2300" s="16" t="s">
        <v>5</v>
      </c>
      <c r="C2300" s="17" t="s">
        <v>7466</v>
      </c>
      <c r="D2300" s="17" t="s">
        <v>7467</v>
      </c>
      <c r="E2300" s="16" t="s">
        <v>11419</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45">
      <c r="A2301" s="15" t="s">
        <v>9538</v>
      </c>
      <c r="B2301" s="16" t="s">
        <v>5</v>
      </c>
      <c r="C2301" s="17" t="s">
        <v>7469</v>
      </c>
      <c r="D2301" s="17" t="s">
        <v>7470</v>
      </c>
      <c r="E2301" s="16" t="s">
        <v>11419</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45">
      <c r="A2302" s="15" t="s">
        <v>1999</v>
      </c>
      <c r="B2302" s="16" t="s">
        <v>5</v>
      </c>
      <c r="C2302" s="17" t="s">
        <v>7472</v>
      </c>
      <c r="D2302" s="17" t="s">
        <v>7473</v>
      </c>
      <c r="E2302" s="16" t="s">
        <v>11424</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45">
      <c r="A2303" s="15" t="s">
        <v>2005</v>
      </c>
      <c r="B2303" s="16" t="s">
        <v>5</v>
      </c>
      <c r="C2303" s="17" t="s">
        <v>7475</v>
      </c>
      <c r="D2303" s="17" t="s">
        <v>7476</v>
      </c>
      <c r="E2303" s="16" t="s">
        <v>11437</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45">
      <c r="A2304" s="15" t="s">
        <v>1990</v>
      </c>
      <c r="B2304" s="16" t="s">
        <v>5</v>
      </c>
      <c r="C2304" s="17" t="s">
        <v>7478</v>
      </c>
      <c r="D2304" s="17" t="s">
        <v>7479</v>
      </c>
      <c r="E2304" s="16" t="s">
        <v>11420</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45">
      <c r="A2305" s="15" t="s">
        <v>1870</v>
      </c>
      <c r="B2305" s="16" t="s">
        <v>5</v>
      </c>
      <c r="C2305" s="17" t="s">
        <v>7481</v>
      </c>
      <c r="D2305" s="17" t="s">
        <v>7482</v>
      </c>
      <c r="E2305" s="16" t="s">
        <v>11414</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45">
      <c r="A2306" s="15" t="s">
        <v>2023</v>
      </c>
      <c r="B2306" s="16" t="s">
        <v>5</v>
      </c>
      <c r="C2306" s="17" t="s">
        <v>7484</v>
      </c>
      <c r="D2306" s="17" t="s">
        <v>7485</v>
      </c>
      <c r="E2306" s="16" t="s">
        <v>11438</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45">
      <c r="A2307" s="15" t="s">
        <v>2014</v>
      </c>
      <c r="B2307" s="16" t="s">
        <v>5</v>
      </c>
      <c r="C2307" s="17" t="s">
        <v>7487</v>
      </c>
      <c r="D2307" s="17" t="s">
        <v>7488</v>
      </c>
      <c r="E2307" s="16" t="s">
        <v>11436</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45">
      <c r="A2308" s="15" t="s">
        <v>2026</v>
      </c>
      <c r="B2308" s="16" t="s">
        <v>5</v>
      </c>
      <c r="C2308" s="17" t="s">
        <v>7490</v>
      </c>
      <c r="D2308" s="17" t="s">
        <v>7491</v>
      </c>
      <c r="E2308" s="16" t="s">
        <v>11436</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45">
      <c r="A2309" s="15" t="s">
        <v>1993</v>
      </c>
      <c r="B2309" s="16" t="s">
        <v>5</v>
      </c>
      <c r="C2309" s="17" t="s">
        <v>7493</v>
      </c>
      <c r="D2309" s="17" t="s">
        <v>7494</v>
      </c>
      <c r="E2309" s="16" t="s">
        <v>11423</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45">
      <c r="A2310" s="15" t="s">
        <v>1918</v>
      </c>
      <c r="B2310" s="16" t="s">
        <v>5</v>
      </c>
      <c r="C2310" s="17" t="s">
        <v>7496</v>
      </c>
      <c r="D2310" s="17" t="s">
        <v>7497</v>
      </c>
      <c r="E2310" s="16" t="s">
        <v>11436</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45">
      <c r="A2311" s="15" t="s">
        <v>1888</v>
      </c>
      <c r="B2311" s="16" t="s">
        <v>5</v>
      </c>
      <c r="C2311" s="17" t="s">
        <v>7499</v>
      </c>
      <c r="D2311" s="17" t="s">
        <v>7500</v>
      </c>
      <c r="E2311" s="16" t="s">
        <v>11436</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45">
      <c r="A2312" s="15" t="s">
        <v>2731</v>
      </c>
      <c r="B2312" s="16" t="s">
        <v>5</v>
      </c>
      <c r="C2312" s="17" t="s">
        <v>7502</v>
      </c>
      <c r="D2312" s="17" t="s">
        <v>7503</v>
      </c>
      <c r="E2312" s="16" t="s">
        <v>11436</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45">
      <c r="A2313" s="15" t="s">
        <v>2011</v>
      </c>
      <c r="B2313" s="16" t="s">
        <v>5</v>
      </c>
      <c r="C2313" s="17" t="s">
        <v>7505</v>
      </c>
      <c r="D2313" s="17" t="s">
        <v>7506</v>
      </c>
      <c r="E2313" s="16" t="s">
        <v>11441</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45">
      <c r="A2314" s="15" t="s">
        <v>2620</v>
      </c>
      <c r="B2314" s="16" t="s">
        <v>5</v>
      </c>
      <c r="C2314" s="17" t="s">
        <v>7508</v>
      </c>
      <c r="D2314" s="17" t="s">
        <v>7509</v>
      </c>
      <c r="E2314" s="16" t="s">
        <v>11432</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45">
      <c r="A2315" s="15" t="s">
        <v>2020</v>
      </c>
      <c r="B2315" s="16" t="s">
        <v>5</v>
      </c>
      <c r="C2315" s="17" t="s">
        <v>7511</v>
      </c>
      <c r="D2315" s="17" t="s">
        <v>7512</v>
      </c>
      <c r="E2315" s="16" t="s">
        <v>11435</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45">
      <c r="A2316" s="15" t="s">
        <v>1789</v>
      </c>
      <c r="B2316" s="16" t="s">
        <v>5</v>
      </c>
      <c r="C2316" s="17" t="s">
        <v>7514</v>
      </c>
      <c r="D2316" s="17" t="s">
        <v>7515</v>
      </c>
      <c r="E2316" s="16" t="s">
        <v>11424</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45">
      <c r="A2317" s="15" t="s">
        <v>1924</v>
      </c>
      <c r="B2317" s="16" t="s">
        <v>5</v>
      </c>
      <c r="C2317" s="17" t="s">
        <v>7517</v>
      </c>
      <c r="D2317" s="17" t="s">
        <v>7518</v>
      </c>
      <c r="E2317" s="16" t="s">
        <v>11421</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45">
      <c r="A2318" s="15" t="s">
        <v>2044</v>
      </c>
      <c r="B2318" s="16" t="s">
        <v>5</v>
      </c>
      <c r="C2318" s="17" t="s">
        <v>7520</v>
      </c>
      <c r="D2318" s="17" t="s">
        <v>7521</v>
      </c>
      <c r="E2318" s="16" t="s">
        <v>11432</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45">
      <c r="A2319" s="15" t="s">
        <v>9419</v>
      </c>
      <c r="B2319" s="16" t="s">
        <v>5</v>
      </c>
      <c r="C2319" s="17" t="s">
        <v>7523</v>
      </c>
      <c r="D2319" s="17" t="s">
        <v>7524</v>
      </c>
      <c r="E2319" s="16" t="s">
        <v>11420</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45">
      <c r="A2320" s="15" t="s">
        <v>11360</v>
      </c>
      <c r="B2320" s="16" t="s">
        <v>5</v>
      </c>
      <c r="C2320" s="17" t="s">
        <v>7526</v>
      </c>
      <c r="D2320" s="17" t="s">
        <v>7527</v>
      </c>
      <c r="E2320" s="16" t="s">
        <v>11419</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45">
      <c r="A2321" s="15" t="s">
        <v>1768</v>
      </c>
      <c r="B2321" s="16" t="s">
        <v>5</v>
      </c>
      <c r="C2321" s="17" t="s">
        <v>7529</v>
      </c>
      <c r="D2321" s="17" t="s">
        <v>7530</v>
      </c>
      <c r="E2321" s="16" t="s">
        <v>11418</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45">
      <c r="A2322" s="15" t="s">
        <v>1828</v>
      </c>
      <c r="B2322" s="16" t="s">
        <v>5</v>
      </c>
      <c r="C2322" s="17" t="s">
        <v>7532</v>
      </c>
      <c r="D2322" s="17" t="s">
        <v>7533</v>
      </c>
      <c r="E2322" s="16" t="s">
        <v>11437</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45">
      <c r="A2323" s="15" t="s">
        <v>1831</v>
      </c>
      <c r="B2323" s="16" t="s">
        <v>5</v>
      </c>
      <c r="C2323" s="17" t="s">
        <v>7535</v>
      </c>
      <c r="D2323" s="17" t="s">
        <v>7536</v>
      </c>
      <c r="E2323" s="16" t="s">
        <v>11421</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45">
      <c r="A2324" s="15" t="s">
        <v>1882</v>
      </c>
      <c r="B2324" s="16" t="s">
        <v>5</v>
      </c>
      <c r="C2324" s="17" t="s">
        <v>7538</v>
      </c>
      <c r="D2324" s="17" t="s">
        <v>7539</v>
      </c>
      <c r="E2324" s="16" t="s">
        <v>11431</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x14ac:dyDescent="0.45">
      <c r="A2325" s="15" t="s">
        <v>1864</v>
      </c>
      <c r="B2325" s="16" t="s">
        <v>5</v>
      </c>
      <c r="C2325" s="17" t="s">
        <v>7541</v>
      </c>
      <c r="D2325" s="17" t="s">
        <v>7542</v>
      </c>
      <c r="E2325" s="16" t="s">
        <v>11431</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x14ac:dyDescent="0.45">
      <c r="A2326" s="15" t="s">
        <v>1912</v>
      </c>
      <c r="B2326" s="16" t="s">
        <v>5</v>
      </c>
      <c r="C2326" s="17" t="s">
        <v>7544</v>
      </c>
      <c r="D2326" s="17" t="s">
        <v>7545</v>
      </c>
      <c r="E2326" s="16" t="s">
        <v>11440</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45">
      <c r="A2327" s="15" t="s">
        <v>1909</v>
      </c>
      <c r="B2327" s="16" t="s">
        <v>5</v>
      </c>
      <c r="C2327" s="17" t="s">
        <v>7547</v>
      </c>
      <c r="D2327" s="17" t="s">
        <v>7548</v>
      </c>
      <c r="E2327" s="16" t="s">
        <v>11414</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45">
      <c r="A2328" s="15" t="s">
        <v>1921</v>
      </c>
      <c r="B2328" s="16" t="s">
        <v>5</v>
      </c>
      <c r="C2328" s="17" t="s">
        <v>7550</v>
      </c>
      <c r="D2328" s="17" t="s">
        <v>7551</v>
      </c>
      <c r="E2328" s="16" t="s">
        <v>11421</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45">
      <c r="A2329" s="15" t="s">
        <v>2135</v>
      </c>
      <c r="B2329" s="16" t="s">
        <v>5</v>
      </c>
      <c r="C2329" s="17" t="s">
        <v>7553</v>
      </c>
      <c r="D2329" s="17" t="s">
        <v>7554</v>
      </c>
      <c r="E2329" s="16" t="s">
        <v>11421</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45">
      <c r="A2330" s="15" t="s">
        <v>2038</v>
      </c>
      <c r="B2330" s="16" t="s">
        <v>5</v>
      </c>
      <c r="C2330" s="17" t="s">
        <v>7556</v>
      </c>
      <c r="D2330" s="17" t="s">
        <v>7557</v>
      </c>
      <c r="E2330" s="16" t="s">
        <v>11421</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45">
      <c r="A2331" s="15" t="s">
        <v>2032</v>
      </c>
      <c r="B2331" s="16" t="s">
        <v>5</v>
      </c>
      <c r="C2331" s="17" t="s">
        <v>7559</v>
      </c>
      <c r="D2331" s="17" t="s">
        <v>7560</v>
      </c>
      <c r="E2331" s="16" t="s">
        <v>11431</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x14ac:dyDescent="0.45">
      <c r="A2332" s="15" t="s">
        <v>2041</v>
      </c>
      <c r="B2332" s="16" t="s">
        <v>5</v>
      </c>
      <c r="C2332" s="17" t="s">
        <v>7562</v>
      </c>
      <c r="D2332" s="17" t="s">
        <v>7563</v>
      </c>
      <c r="E2332" s="16" t="s">
        <v>11415</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45">
      <c r="A2333" s="15" t="s">
        <v>2081</v>
      </c>
      <c r="B2333" s="16" t="s">
        <v>5</v>
      </c>
      <c r="C2333" s="17" t="s">
        <v>7565</v>
      </c>
      <c r="D2333" s="17" t="s">
        <v>7566</v>
      </c>
      <c r="E2333" s="16" t="s">
        <v>11420</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45">
      <c r="A2334" s="15" t="s">
        <v>2096</v>
      </c>
      <c r="B2334" s="16" t="s">
        <v>5</v>
      </c>
      <c r="C2334" s="17" t="s">
        <v>7568</v>
      </c>
      <c r="D2334" s="17" t="s">
        <v>7569</v>
      </c>
      <c r="E2334" s="16" t="s">
        <v>11432</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45">
      <c r="A2335" s="15" t="s">
        <v>1861</v>
      </c>
      <c r="B2335" s="16" t="s">
        <v>5</v>
      </c>
      <c r="C2335" s="17" t="s">
        <v>7571</v>
      </c>
      <c r="D2335" s="17" t="s">
        <v>7572</v>
      </c>
      <c r="E2335" s="16" t="s">
        <v>11418</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45">
      <c r="A2336" s="15" t="s">
        <v>1858</v>
      </c>
      <c r="B2336" s="16" t="s">
        <v>5</v>
      </c>
      <c r="C2336" s="17" t="s">
        <v>7574</v>
      </c>
      <c r="D2336" s="17" t="s">
        <v>7575</v>
      </c>
      <c r="E2336" s="16" t="s">
        <v>11438</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45">
      <c r="A2337" s="15" t="s">
        <v>1840</v>
      </c>
      <c r="B2337" s="16" t="s">
        <v>5</v>
      </c>
      <c r="C2337" s="17" t="s">
        <v>7577</v>
      </c>
      <c r="D2337" s="17" t="s">
        <v>7578</v>
      </c>
      <c r="E2337" s="16" t="s">
        <v>11438</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45">
      <c r="A2338" s="15" t="s">
        <v>2776</v>
      </c>
      <c r="B2338" s="16" t="s">
        <v>5</v>
      </c>
      <c r="C2338" s="17" t="s">
        <v>7580</v>
      </c>
      <c r="D2338" s="17" t="s">
        <v>7581</v>
      </c>
      <c r="E2338" s="16" t="s">
        <v>11438</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45">
      <c r="A2339" s="15" t="s">
        <v>2029</v>
      </c>
      <c r="B2339" s="16" t="s">
        <v>5</v>
      </c>
      <c r="C2339" s="17" t="s">
        <v>7583</v>
      </c>
      <c r="D2339" s="17" t="s">
        <v>7584</v>
      </c>
      <c r="E2339" s="16" t="s">
        <v>11436</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45">
      <c r="A2340" s="15" t="s">
        <v>2063</v>
      </c>
      <c r="B2340" s="16" t="s">
        <v>5</v>
      </c>
      <c r="C2340" s="17" t="s">
        <v>7586</v>
      </c>
      <c r="D2340" s="17" t="s">
        <v>7587</v>
      </c>
      <c r="E2340" s="16" t="s">
        <v>11442</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45">
      <c r="A2341" s="15" t="s">
        <v>2066</v>
      </c>
      <c r="B2341" s="16" t="s">
        <v>5</v>
      </c>
      <c r="C2341" s="17" t="s">
        <v>7589</v>
      </c>
      <c r="D2341" s="17" t="s">
        <v>7590</v>
      </c>
      <c r="E2341" s="16" t="s">
        <v>11438</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45">
      <c r="A2342" s="15" t="s">
        <v>2084</v>
      </c>
      <c r="B2342" s="16" t="s">
        <v>5</v>
      </c>
      <c r="C2342" s="17" t="s">
        <v>7592</v>
      </c>
      <c r="D2342" s="17" t="s">
        <v>7593</v>
      </c>
      <c r="E2342" s="16" t="s">
        <v>11415</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45">
      <c r="A2343" s="15" t="s">
        <v>2090</v>
      </c>
      <c r="B2343" s="16" t="s">
        <v>5</v>
      </c>
      <c r="C2343" s="17" t="s">
        <v>7595</v>
      </c>
      <c r="D2343" s="17" t="s">
        <v>7596</v>
      </c>
      <c r="E2343" s="16" t="s">
        <v>11424</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45">
      <c r="A2344" s="15" t="s">
        <v>2093</v>
      </c>
      <c r="B2344" s="16" t="s">
        <v>5</v>
      </c>
      <c r="C2344" s="17" t="s">
        <v>7598</v>
      </c>
      <c r="D2344" s="17" t="s">
        <v>7599</v>
      </c>
      <c r="E2344" s="16" t="s">
        <v>11415</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45">
      <c r="A2345" s="15" t="s">
        <v>2108</v>
      </c>
      <c r="B2345" s="16" t="s">
        <v>5</v>
      </c>
      <c r="C2345" s="17" t="s">
        <v>7601</v>
      </c>
      <c r="D2345" s="17" t="s">
        <v>7602</v>
      </c>
      <c r="E2345" s="16" t="s">
        <v>11436</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45">
      <c r="A2346" s="15" t="s">
        <v>2138</v>
      </c>
      <c r="B2346" s="16" t="s">
        <v>5</v>
      </c>
      <c r="C2346" s="17" t="s">
        <v>7604</v>
      </c>
      <c r="D2346" s="17" t="s">
        <v>7605</v>
      </c>
      <c r="E2346" s="16" t="s">
        <v>11424</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45">
      <c r="A2347" s="15" t="s">
        <v>1939</v>
      </c>
      <c r="B2347" s="16" t="s">
        <v>5</v>
      </c>
      <c r="C2347" s="17" t="s">
        <v>7607</v>
      </c>
      <c r="D2347" s="17" t="s">
        <v>7608</v>
      </c>
      <c r="E2347" s="16" t="s">
        <v>11419</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45">
      <c r="A2348" s="15" t="s">
        <v>1960</v>
      </c>
      <c r="B2348" s="16" t="s">
        <v>5</v>
      </c>
      <c r="C2348" s="17" t="s">
        <v>7610</v>
      </c>
      <c r="D2348" s="17" t="s">
        <v>7611</v>
      </c>
      <c r="E2348" s="16" t="s">
        <v>11414</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45">
      <c r="A2349" s="15" t="s">
        <v>2099</v>
      </c>
      <c r="B2349" s="16" t="s">
        <v>5</v>
      </c>
      <c r="C2349" s="17" t="s">
        <v>7613</v>
      </c>
      <c r="D2349" s="17" t="s">
        <v>7614</v>
      </c>
      <c r="E2349" s="16" t="s">
        <v>11419</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45">
      <c r="A2350" s="15" t="s">
        <v>2072</v>
      </c>
      <c r="B2350" s="16" t="s">
        <v>5</v>
      </c>
      <c r="C2350" s="17" t="s">
        <v>7616</v>
      </c>
      <c r="D2350" s="17" t="s">
        <v>7617</v>
      </c>
      <c r="E2350" s="16" t="s">
        <v>11418</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45">
      <c r="A2351" s="15" t="s">
        <v>2035</v>
      </c>
      <c r="B2351" s="16" t="s">
        <v>5</v>
      </c>
      <c r="C2351" s="17" t="s">
        <v>7619</v>
      </c>
      <c r="D2351" s="17" t="s">
        <v>7620</v>
      </c>
      <c r="E2351" s="16" t="s">
        <v>11432</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45">
      <c r="A2352" s="15" t="s">
        <v>1927</v>
      </c>
      <c r="B2352" s="16" t="s">
        <v>5</v>
      </c>
      <c r="C2352" s="17" t="s">
        <v>7622</v>
      </c>
      <c r="D2352" s="17" t="s">
        <v>7623</v>
      </c>
      <c r="E2352" s="16" t="s">
        <v>11421</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45">
      <c r="A2353" s="15" t="s">
        <v>2075</v>
      </c>
      <c r="B2353" s="16" t="s">
        <v>5</v>
      </c>
      <c r="C2353" s="17" t="s">
        <v>7625</v>
      </c>
      <c r="D2353" s="17" t="s">
        <v>7626</v>
      </c>
      <c r="E2353" s="16" t="s">
        <v>11420</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45">
      <c r="A2354" s="15" t="s">
        <v>2087</v>
      </c>
      <c r="B2354" s="16" t="s">
        <v>5</v>
      </c>
      <c r="C2354" s="17" t="s">
        <v>7628</v>
      </c>
      <c r="D2354" s="17" t="s">
        <v>7629</v>
      </c>
      <c r="E2354" s="16" t="s">
        <v>11440</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45">
      <c r="A2355" s="15" t="s">
        <v>2102</v>
      </c>
      <c r="B2355" s="16" t="s">
        <v>5</v>
      </c>
      <c r="C2355" s="17" t="s">
        <v>7631</v>
      </c>
      <c r="D2355" s="17" t="s">
        <v>7632</v>
      </c>
      <c r="E2355" s="16" t="s">
        <v>11436</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45">
      <c r="A2356" s="15" t="s">
        <v>2132</v>
      </c>
      <c r="B2356" s="16" t="s">
        <v>5</v>
      </c>
      <c r="C2356" s="17" t="s">
        <v>7634</v>
      </c>
      <c r="D2356" s="17" t="s">
        <v>7635</v>
      </c>
      <c r="E2356" s="16" t="s">
        <v>11426</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45">
      <c r="A2357" s="15" t="s">
        <v>2150</v>
      </c>
      <c r="B2357" s="16" t="s">
        <v>5</v>
      </c>
      <c r="C2357" s="17" t="s">
        <v>7637</v>
      </c>
      <c r="D2357" s="17" t="s">
        <v>7638</v>
      </c>
      <c r="E2357" s="16" t="s">
        <v>11420</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45">
      <c r="A2358" s="15" t="s">
        <v>2153</v>
      </c>
      <c r="B2358" s="16" t="s">
        <v>5</v>
      </c>
      <c r="C2358" s="17" t="s">
        <v>7640</v>
      </c>
      <c r="D2358" s="17" t="s">
        <v>7641</v>
      </c>
      <c r="E2358" s="16" t="s">
        <v>11421</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45">
      <c r="A2359" s="15" t="s">
        <v>2174</v>
      </c>
      <c r="B2359" s="16" t="s">
        <v>5</v>
      </c>
      <c r="C2359" s="17" t="s">
        <v>7643</v>
      </c>
      <c r="D2359" s="17" t="s">
        <v>7644</v>
      </c>
      <c r="E2359" s="16" t="s">
        <v>11419</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45">
      <c r="A2360" s="15" t="s">
        <v>2180</v>
      </c>
      <c r="B2360" s="16" t="s">
        <v>5</v>
      </c>
      <c r="C2360" s="17" t="s">
        <v>7646</v>
      </c>
      <c r="D2360" s="17" t="s">
        <v>7647</v>
      </c>
      <c r="E2360" s="16" t="s">
        <v>11419</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45">
      <c r="A2361" s="15" t="s">
        <v>2186</v>
      </c>
      <c r="B2361" s="16" t="s">
        <v>5</v>
      </c>
      <c r="C2361" s="17" t="s">
        <v>7649</v>
      </c>
      <c r="D2361" s="17" t="s">
        <v>7650</v>
      </c>
      <c r="E2361" s="16" t="s">
        <v>11424</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45">
      <c r="A2362" s="15" t="s">
        <v>2189</v>
      </c>
      <c r="B2362" s="16" t="s">
        <v>5</v>
      </c>
      <c r="C2362" s="17" t="s">
        <v>7652</v>
      </c>
      <c r="D2362" s="17" t="s">
        <v>7653</v>
      </c>
      <c r="E2362" s="16" t="s">
        <v>11424</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45">
      <c r="A2363" s="15" t="s">
        <v>2204</v>
      </c>
      <c r="B2363" s="16" t="s">
        <v>5</v>
      </c>
      <c r="C2363" s="17" t="s">
        <v>7655</v>
      </c>
      <c r="D2363" s="17" t="s">
        <v>7656</v>
      </c>
      <c r="E2363" s="16" t="s">
        <v>11432</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45">
      <c r="A2364" s="15" t="s">
        <v>2222</v>
      </c>
      <c r="B2364" s="16" t="s">
        <v>5</v>
      </c>
      <c r="C2364" s="17" t="s">
        <v>7658</v>
      </c>
      <c r="D2364" s="17" t="s">
        <v>7659</v>
      </c>
      <c r="E2364" s="16" t="s">
        <v>11420</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45">
      <c r="A2365" s="15" t="s">
        <v>2228</v>
      </c>
      <c r="B2365" s="16" t="s">
        <v>5</v>
      </c>
      <c r="C2365" s="17" t="s">
        <v>7661</v>
      </c>
      <c r="D2365" s="17" t="s">
        <v>7662</v>
      </c>
      <c r="E2365" s="16" t="s">
        <v>11426</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45">
      <c r="A2366" s="15" t="s">
        <v>2231</v>
      </c>
      <c r="B2366" s="16" t="s">
        <v>5</v>
      </c>
      <c r="C2366" s="17" t="s">
        <v>7664</v>
      </c>
      <c r="D2366" s="17" t="s">
        <v>7665</v>
      </c>
      <c r="E2366" s="16" t="s">
        <v>11428</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45">
      <c r="A2367" s="15" t="s">
        <v>2078</v>
      </c>
      <c r="B2367" s="16" t="s">
        <v>5</v>
      </c>
      <c r="C2367" s="17" t="s">
        <v>7667</v>
      </c>
      <c r="D2367" s="17" t="s">
        <v>7668</v>
      </c>
      <c r="E2367" s="16" t="s">
        <v>11436</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45">
      <c r="A2368" s="15" t="s">
        <v>2219</v>
      </c>
      <c r="B2368" s="16" t="s">
        <v>5</v>
      </c>
      <c r="C2368" s="17" t="s">
        <v>7670</v>
      </c>
      <c r="D2368" s="17" t="s">
        <v>7671</v>
      </c>
      <c r="E2368" s="16" t="s">
        <v>11418</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45">
      <c r="A2369" s="15" t="s">
        <v>1978</v>
      </c>
      <c r="B2369" s="16" t="s">
        <v>5</v>
      </c>
      <c r="C2369" s="17" t="s">
        <v>7673</v>
      </c>
      <c r="D2369" s="17" t="s">
        <v>7674</v>
      </c>
      <c r="E2369" s="16" t="s">
        <v>11437</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45">
      <c r="A2370" s="15" t="s">
        <v>2069</v>
      </c>
      <c r="B2370" s="16" t="s">
        <v>5</v>
      </c>
      <c r="C2370" s="17" t="s">
        <v>7676</v>
      </c>
      <c r="D2370" s="17" t="s">
        <v>7677</v>
      </c>
      <c r="E2370" s="16" t="s">
        <v>11418</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45">
      <c r="A2371" s="15" t="s">
        <v>2243</v>
      </c>
      <c r="B2371" s="16" t="s">
        <v>5</v>
      </c>
      <c r="C2371" s="17" t="s">
        <v>7679</v>
      </c>
      <c r="D2371" s="17" t="s">
        <v>7680</v>
      </c>
      <c r="E2371" s="16" t="s">
        <v>11424</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45">
      <c r="A2372" s="15" t="s">
        <v>1704</v>
      </c>
      <c r="B2372" s="16" t="s">
        <v>5</v>
      </c>
      <c r="C2372" s="17" t="s">
        <v>7682</v>
      </c>
      <c r="D2372" s="17" t="s">
        <v>7683</v>
      </c>
      <c r="E2372" s="16" t="s">
        <v>11414</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45">
      <c r="A2373" s="15" t="s">
        <v>2475</v>
      </c>
      <c r="B2373" s="16" t="s">
        <v>5</v>
      </c>
      <c r="C2373" s="17" t="s">
        <v>7685</v>
      </c>
      <c r="D2373" s="17" t="s">
        <v>7686</v>
      </c>
      <c r="E2373" s="16" t="s">
        <v>11436</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45">
      <c r="A2374" s="15" t="s">
        <v>2177</v>
      </c>
      <c r="B2374" s="16" t="s">
        <v>5</v>
      </c>
      <c r="C2374" s="17" t="s">
        <v>7688</v>
      </c>
      <c r="D2374" s="17" t="s">
        <v>7689</v>
      </c>
      <c r="E2374" s="16" t="s">
        <v>11424</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45">
      <c r="A2375" s="15" t="s">
        <v>2240</v>
      </c>
      <c r="B2375" s="16" t="s">
        <v>5</v>
      </c>
      <c r="C2375" s="17" t="s">
        <v>7691</v>
      </c>
      <c r="D2375" s="17" t="s">
        <v>7692</v>
      </c>
      <c r="E2375" s="16" t="s">
        <v>11436</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45">
      <c r="A2376" s="15" t="s">
        <v>1756</v>
      </c>
      <c r="B2376" s="16" t="s">
        <v>5</v>
      </c>
      <c r="C2376" s="17" t="s">
        <v>7694</v>
      </c>
      <c r="D2376" s="17" t="s">
        <v>7695</v>
      </c>
      <c r="E2376" s="16" t="s">
        <v>11418</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45">
      <c r="A2377" s="15" t="s">
        <v>2195</v>
      </c>
      <c r="B2377" s="16" t="s">
        <v>5</v>
      </c>
      <c r="C2377" s="17" t="s">
        <v>7697</v>
      </c>
      <c r="D2377" s="17" t="s">
        <v>7698</v>
      </c>
      <c r="E2377" s="16" t="s">
        <v>11422</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45">
      <c r="A2378" s="15" t="s">
        <v>2192</v>
      </c>
      <c r="B2378" s="16" t="s">
        <v>5</v>
      </c>
      <c r="C2378" s="17" t="s">
        <v>7700</v>
      </c>
      <c r="D2378" s="17" t="s">
        <v>7701</v>
      </c>
      <c r="E2378" s="16" t="s">
        <v>11418</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45">
      <c r="A2379" s="15" t="s">
        <v>2234</v>
      </c>
      <c r="B2379" s="16" t="s">
        <v>5</v>
      </c>
      <c r="C2379" s="17" t="s">
        <v>7703</v>
      </c>
      <c r="D2379" s="17" t="s">
        <v>7704</v>
      </c>
      <c r="E2379" s="16" t="s">
        <v>11415</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45">
      <c r="A2380" s="15" t="s">
        <v>9517</v>
      </c>
      <c r="B2380" s="16" t="s">
        <v>5</v>
      </c>
      <c r="C2380" s="17" t="s">
        <v>7706</v>
      </c>
      <c r="D2380" s="17" t="s">
        <v>7707</v>
      </c>
      <c r="E2380" s="16" t="s">
        <v>11419</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45">
      <c r="A2381" s="15" t="s">
        <v>2129</v>
      </c>
      <c r="B2381" s="16" t="s">
        <v>5</v>
      </c>
      <c r="C2381" s="17" t="s">
        <v>7709</v>
      </c>
      <c r="D2381" s="17" t="s">
        <v>7710</v>
      </c>
      <c r="E2381" s="16" t="s">
        <v>11432</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45">
      <c r="A2382" s="15" t="s">
        <v>2201</v>
      </c>
      <c r="B2382" s="16" t="s">
        <v>5</v>
      </c>
      <c r="C2382" s="17" t="s">
        <v>7712</v>
      </c>
      <c r="D2382" s="17" t="s">
        <v>7713</v>
      </c>
      <c r="E2382" s="16" t="s">
        <v>11426</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45">
      <c r="A2383" s="15" t="s">
        <v>2252</v>
      </c>
      <c r="B2383" s="16" t="s">
        <v>5</v>
      </c>
      <c r="C2383" s="17" t="s">
        <v>7715</v>
      </c>
      <c r="D2383" s="17" t="s">
        <v>7716</v>
      </c>
      <c r="E2383" s="16" t="s">
        <v>11422</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45">
      <c r="A2384" s="15" t="s">
        <v>2171</v>
      </c>
      <c r="B2384" s="16" t="s">
        <v>5</v>
      </c>
      <c r="C2384" s="17" t="s">
        <v>7718</v>
      </c>
      <c r="D2384" s="17" t="s">
        <v>7719</v>
      </c>
      <c r="E2384" s="16" t="s">
        <v>11424</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45">
      <c r="A2385" s="15" t="s">
        <v>2255</v>
      </c>
      <c r="B2385" s="16" t="s">
        <v>5</v>
      </c>
      <c r="C2385" s="17" t="s">
        <v>7721</v>
      </c>
      <c r="D2385" s="17" t="s">
        <v>7722</v>
      </c>
      <c r="E2385" s="16" t="s">
        <v>11424</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45">
      <c r="A2386" s="15" t="s">
        <v>2279</v>
      </c>
      <c r="B2386" s="16" t="s">
        <v>5</v>
      </c>
      <c r="C2386" s="17" t="s">
        <v>7724</v>
      </c>
      <c r="D2386" s="17" t="s">
        <v>7725</v>
      </c>
      <c r="E2386" s="16" t="s">
        <v>11436</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45">
      <c r="A2387" s="15" t="s">
        <v>2286</v>
      </c>
      <c r="B2387" s="16" t="s">
        <v>5</v>
      </c>
      <c r="C2387" s="17" t="s">
        <v>7727</v>
      </c>
      <c r="D2387" s="17" t="s">
        <v>7728</v>
      </c>
      <c r="E2387" s="16" t="s">
        <v>11436</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45">
      <c r="A2388" s="15" t="s">
        <v>2156</v>
      </c>
      <c r="B2388" s="16" t="s">
        <v>5</v>
      </c>
      <c r="C2388" s="17" t="s">
        <v>7730</v>
      </c>
      <c r="D2388" s="17" t="s">
        <v>7731</v>
      </c>
      <c r="E2388" s="16" t="s">
        <v>11428</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45">
      <c r="A2389" s="15" t="s">
        <v>2126</v>
      </c>
      <c r="B2389" s="16" t="s">
        <v>5</v>
      </c>
      <c r="C2389" s="17" t="s">
        <v>7733</v>
      </c>
      <c r="D2389" s="17" t="s">
        <v>7734</v>
      </c>
      <c r="E2389" s="16" t="s">
        <v>11420</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45">
      <c r="A2390" s="15" t="s">
        <v>2225</v>
      </c>
      <c r="B2390" s="16" t="s">
        <v>5</v>
      </c>
      <c r="C2390" s="17" t="s">
        <v>7736</v>
      </c>
      <c r="D2390" s="17" t="s">
        <v>7737</v>
      </c>
      <c r="E2390" s="16" t="s">
        <v>11420</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45">
      <c r="A2391" s="15" t="s">
        <v>2237</v>
      </c>
      <c r="B2391" s="16" t="s">
        <v>5</v>
      </c>
      <c r="C2391" s="17" t="s">
        <v>7739</v>
      </c>
      <c r="D2391" s="17" t="s">
        <v>7740</v>
      </c>
      <c r="E2391" s="16" t="s">
        <v>11437</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45">
      <c r="A2392" s="15" t="s">
        <v>2246</v>
      </c>
      <c r="B2392" s="16" t="s">
        <v>5</v>
      </c>
      <c r="C2392" s="17" t="s">
        <v>7742</v>
      </c>
      <c r="D2392" s="17" t="s">
        <v>7743</v>
      </c>
      <c r="E2392" s="16" t="s">
        <v>11432</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45">
      <c r="A2393" s="15" t="s">
        <v>2289</v>
      </c>
      <c r="B2393" s="16" t="s">
        <v>5</v>
      </c>
      <c r="C2393" s="17" t="s">
        <v>7745</v>
      </c>
      <c r="D2393" s="17" t="s">
        <v>7746</v>
      </c>
      <c r="E2393" s="16" t="s">
        <v>11422</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45">
      <c r="A2394" s="15" t="s">
        <v>2292</v>
      </c>
      <c r="B2394" s="16" t="s">
        <v>5</v>
      </c>
      <c r="C2394" s="17" t="s">
        <v>7748</v>
      </c>
      <c r="D2394" s="17" t="s">
        <v>7749</v>
      </c>
      <c r="E2394" s="16" t="s">
        <v>11428</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45">
      <c r="A2395" s="15" t="s">
        <v>2298</v>
      </c>
      <c r="B2395" s="16" t="s">
        <v>5</v>
      </c>
      <c r="C2395" s="17" t="s">
        <v>7751</v>
      </c>
      <c r="D2395" s="17" t="s">
        <v>7752</v>
      </c>
      <c r="E2395" s="16" t="s">
        <v>11424</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45">
      <c r="A2396" s="15" t="s">
        <v>2316</v>
      </c>
      <c r="B2396" s="16" t="s">
        <v>5</v>
      </c>
      <c r="C2396" s="17" t="s">
        <v>7754</v>
      </c>
      <c r="D2396" s="17" t="s">
        <v>7755</v>
      </c>
      <c r="E2396" s="16" t="s">
        <v>11419</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45">
      <c r="A2397" s="15" t="s">
        <v>2325</v>
      </c>
      <c r="B2397" s="16" t="s">
        <v>5</v>
      </c>
      <c r="C2397" s="17" t="s">
        <v>7757</v>
      </c>
      <c r="D2397" s="17" t="s">
        <v>7758</v>
      </c>
      <c r="E2397" s="16" t="s">
        <v>11428</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45">
      <c r="A2398" s="15" t="s">
        <v>2358</v>
      </c>
      <c r="B2398" s="16" t="s">
        <v>5</v>
      </c>
      <c r="C2398" s="17" t="s">
        <v>7760</v>
      </c>
      <c r="D2398" s="17" t="s">
        <v>7761</v>
      </c>
      <c r="E2398" s="16" t="s">
        <v>11436</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45">
      <c r="A2399" s="15" t="s">
        <v>2367</v>
      </c>
      <c r="B2399" s="16" t="s">
        <v>5</v>
      </c>
      <c r="C2399" s="17" t="s">
        <v>7763</v>
      </c>
      <c r="D2399" s="17" t="s">
        <v>7764</v>
      </c>
      <c r="E2399" s="16" t="s">
        <v>11436</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45">
      <c r="A2400" s="15" t="s">
        <v>2370</v>
      </c>
      <c r="B2400" s="16" t="s">
        <v>5</v>
      </c>
      <c r="C2400" s="17" t="s">
        <v>7766</v>
      </c>
      <c r="D2400" s="17" t="s">
        <v>7767</v>
      </c>
      <c r="E2400" s="16" t="s">
        <v>11419</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45">
      <c r="A2401" s="15" t="s">
        <v>1792</v>
      </c>
      <c r="B2401" s="16" t="s">
        <v>5</v>
      </c>
      <c r="C2401" s="17" t="s">
        <v>7769</v>
      </c>
      <c r="D2401" s="17" t="s">
        <v>7770</v>
      </c>
      <c r="E2401" s="16" t="s">
        <v>11427</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45">
      <c r="A2402" s="15" t="s">
        <v>2105</v>
      </c>
      <c r="B2402" s="16" t="s">
        <v>5</v>
      </c>
      <c r="C2402" s="17" t="s">
        <v>7772</v>
      </c>
      <c r="D2402" s="17" t="s">
        <v>7773</v>
      </c>
      <c r="E2402" s="16" t="s">
        <v>11420</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45">
      <c r="A2403" s="15" t="s">
        <v>2141</v>
      </c>
      <c r="B2403" s="16" t="s">
        <v>5</v>
      </c>
      <c r="C2403" s="17" t="s">
        <v>7775</v>
      </c>
      <c r="D2403" s="17" t="s">
        <v>7776</v>
      </c>
      <c r="E2403" s="16" t="s">
        <v>11420</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45">
      <c r="A2404" s="15" t="s">
        <v>2334</v>
      </c>
      <c r="B2404" s="16" t="s">
        <v>5</v>
      </c>
      <c r="C2404" s="17" t="s">
        <v>7778</v>
      </c>
      <c r="D2404" s="17" t="s">
        <v>7779</v>
      </c>
      <c r="E2404" s="16" t="s">
        <v>11420</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45">
      <c r="A2405" s="15" t="s">
        <v>2147</v>
      </c>
      <c r="B2405" s="16" t="s">
        <v>5</v>
      </c>
      <c r="C2405" s="17" t="s">
        <v>7781</v>
      </c>
      <c r="D2405" s="17" t="s">
        <v>7782</v>
      </c>
      <c r="E2405" s="16" t="s">
        <v>11419</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45">
      <c r="A2406" s="15" t="s">
        <v>2249</v>
      </c>
      <c r="B2406" s="16" t="s">
        <v>5</v>
      </c>
      <c r="C2406" s="17" t="s">
        <v>7784</v>
      </c>
      <c r="D2406" s="17" t="s">
        <v>7785</v>
      </c>
      <c r="E2406" s="16" t="s">
        <v>11420</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45">
      <c r="A2407" s="15" t="s">
        <v>2258</v>
      </c>
      <c r="B2407" s="16" t="s">
        <v>5</v>
      </c>
      <c r="C2407" s="17" t="s">
        <v>7787</v>
      </c>
      <c r="D2407" s="17" t="s">
        <v>7788</v>
      </c>
      <c r="E2407" s="16" t="s">
        <v>11424</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45">
      <c r="A2408" s="15" t="s">
        <v>2295</v>
      </c>
      <c r="B2408" s="16" t="s">
        <v>5</v>
      </c>
      <c r="C2408" s="17" t="s">
        <v>7790</v>
      </c>
      <c r="D2408" s="17" t="s">
        <v>7791</v>
      </c>
      <c r="E2408" s="16" t="s">
        <v>11428</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45">
      <c r="A2409" s="15" t="s">
        <v>2376</v>
      </c>
      <c r="B2409" s="16" t="s">
        <v>5</v>
      </c>
      <c r="C2409" s="17" t="s">
        <v>7793</v>
      </c>
      <c r="D2409" s="17" t="s">
        <v>7794</v>
      </c>
      <c r="E2409" s="16" t="s">
        <v>11424</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45">
      <c r="A2410" s="15" t="s">
        <v>2379</v>
      </c>
      <c r="B2410" s="16" t="s">
        <v>5</v>
      </c>
      <c r="C2410" s="17" t="s">
        <v>7796</v>
      </c>
      <c r="D2410" s="17" t="s">
        <v>7797</v>
      </c>
      <c r="E2410" s="16" t="s">
        <v>11436</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45">
      <c r="A2411" s="15" t="s">
        <v>2409</v>
      </c>
      <c r="B2411" s="16" t="s">
        <v>5</v>
      </c>
      <c r="C2411" s="17" t="s">
        <v>7799</v>
      </c>
      <c r="D2411" s="17" t="s">
        <v>7800</v>
      </c>
      <c r="E2411" s="16" t="s">
        <v>11424</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45">
      <c r="A2412" s="15" t="s">
        <v>2415</v>
      </c>
      <c r="B2412" s="16" t="s">
        <v>5</v>
      </c>
      <c r="C2412" s="17" t="s">
        <v>7802</v>
      </c>
      <c r="D2412" s="17" t="s">
        <v>7803</v>
      </c>
      <c r="E2412" s="16" t="s">
        <v>11436</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45">
      <c r="A2413" s="15" t="s">
        <v>2285</v>
      </c>
      <c r="B2413" s="16" t="s">
        <v>5</v>
      </c>
      <c r="C2413" s="17" t="s">
        <v>7805</v>
      </c>
      <c r="D2413" s="17" t="s">
        <v>7806</v>
      </c>
      <c r="E2413" s="16" t="s">
        <v>11424</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45">
      <c r="A2414" s="15" t="s">
        <v>1996</v>
      </c>
      <c r="B2414" s="16" t="s">
        <v>5</v>
      </c>
      <c r="C2414" s="17" t="s">
        <v>7808</v>
      </c>
      <c r="D2414" s="17" t="s">
        <v>7809</v>
      </c>
      <c r="E2414" s="16" t="s">
        <v>11421</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45">
      <c r="A2415" s="15" t="s">
        <v>2144</v>
      </c>
      <c r="B2415" s="16" t="s">
        <v>5</v>
      </c>
      <c r="C2415" s="17" t="s">
        <v>7811</v>
      </c>
      <c r="D2415" s="17" t="s">
        <v>7812</v>
      </c>
      <c r="E2415" s="16" t="s">
        <v>11432</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45">
      <c r="A2416" s="15" t="s">
        <v>2328</v>
      </c>
      <c r="B2416" s="16" t="s">
        <v>5</v>
      </c>
      <c r="C2416" s="17" t="s">
        <v>7814</v>
      </c>
      <c r="D2416" s="17" t="s">
        <v>7815</v>
      </c>
      <c r="E2416" s="16" t="s">
        <v>11424</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45">
      <c r="A2417" s="15" t="s">
        <v>2340</v>
      </c>
      <c r="B2417" s="16" t="s">
        <v>5</v>
      </c>
      <c r="C2417" s="17" t="s">
        <v>7817</v>
      </c>
      <c r="D2417" s="17" t="s">
        <v>7818</v>
      </c>
      <c r="E2417" s="16" t="s">
        <v>11424</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45">
      <c r="A2418" s="15" t="s">
        <v>2355</v>
      </c>
      <c r="B2418" s="16" t="s">
        <v>5</v>
      </c>
      <c r="C2418" s="17" t="s">
        <v>7820</v>
      </c>
      <c r="D2418" s="17" t="s">
        <v>7821</v>
      </c>
      <c r="E2418" s="16" t="s">
        <v>11420</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45">
      <c r="A2419" s="15" t="s">
        <v>2388</v>
      </c>
      <c r="B2419" s="16" t="s">
        <v>5</v>
      </c>
      <c r="C2419" s="17" t="s">
        <v>7823</v>
      </c>
      <c r="D2419" s="17" t="s">
        <v>7824</v>
      </c>
      <c r="E2419" s="16" t="s">
        <v>11438</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45">
      <c r="A2420" s="15" t="s">
        <v>2391</v>
      </c>
      <c r="B2420" s="16" t="s">
        <v>5</v>
      </c>
      <c r="C2420" s="17" t="s">
        <v>7826</v>
      </c>
      <c r="D2420" s="17" t="s">
        <v>7827</v>
      </c>
      <c r="E2420" s="16" t="s">
        <v>11436</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45">
      <c r="A2421" s="15" t="s">
        <v>2421</v>
      </c>
      <c r="B2421" s="16" t="s">
        <v>5</v>
      </c>
      <c r="C2421" s="17" t="s">
        <v>7829</v>
      </c>
      <c r="D2421" s="17" t="s">
        <v>7830</v>
      </c>
      <c r="E2421" s="16" t="s">
        <v>11436</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45">
      <c r="A2422" s="15" t="s">
        <v>2424</v>
      </c>
      <c r="B2422" s="16" t="s">
        <v>5</v>
      </c>
      <c r="C2422" s="17" t="s">
        <v>7832</v>
      </c>
      <c r="D2422" s="17" t="s">
        <v>7833</v>
      </c>
      <c r="E2422" s="16" t="s">
        <v>11424</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45">
      <c r="A2423" s="15" t="s">
        <v>2427</v>
      </c>
      <c r="B2423" s="16" t="s">
        <v>5</v>
      </c>
      <c r="C2423" s="17" t="s">
        <v>7835</v>
      </c>
      <c r="D2423" s="17" t="s">
        <v>7836</v>
      </c>
      <c r="E2423" s="16" t="s">
        <v>11436</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45">
      <c r="A2424" s="15" t="s">
        <v>2430</v>
      </c>
      <c r="B2424" s="16" t="s">
        <v>5</v>
      </c>
      <c r="C2424" s="17" t="s">
        <v>7838</v>
      </c>
      <c r="D2424" s="17" t="s">
        <v>7839</v>
      </c>
      <c r="E2424" s="16" t="s">
        <v>11436</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45">
      <c r="A2425" s="15" t="s">
        <v>2433</v>
      </c>
      <c r="B2425" s="16" t="s">
        <v>5</v>
      </c>
      <c r="C2425" s="17" t="s">
        <v>7841</v>
      </c>
      <c r="D2425" s="17" t="s">
        <v>7842</v>
      </c>
      <c r="E2425" s="16" t="s">
        <v>11436</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45">
      <c r="A2426" s="15" t="s">
        <v>2469</v>
      </c>
      <c r="B2426" s="16" t="s">
        <v>5</v>
      </c>
      <c r="C2426" s="17" t="s">
        <v>7844</v>
      </c>
      <c r="D2426" s="17" t="s">
        <v>7845</v>
      </c>
      <c r="E2426" s="16" t="s">
        <v>11436</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45">
      <c r="A2427" s="15" t="s">
        <v>2352</v>
      </c>
      <c r="B2427" s="16" t="s">
        <v>5</v>
      </c>
      <c r="C2427" s="17" t="s">
        <v>7847</v>
      </c>
      <c r="D2427" s="17" t="s">
        <v>7848</v>
      </c>
      <c r="E2427" s="16" t="s">
        <v>11432</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45">
      <c r="A2428" s="15" t="s">
        <v>2517</v>
      </c>
      <c r="B2428" s="16" t="s">
        <v>5</v>
      </c>
      <c r="C2428" s="17" t="s">
        <v>7850</v>
      </c>
      <c r="D2428" s="17" t="s">
        <v>7851</v>
      </c>
      <c r="E2428" s="16" t="s">
        <v>11425</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45">
      <c r="A2429" s="15" t="s">
        <v>2394</v>
      </c>
      <c r="B2429" s="16" t="s">
        <v>5</v>
      </c>
      <c r="C2429" s="17" t="s">
        <v>7853</v>
      </c>
      <c r="D2429" s="17" t="s">
        <v>7854</v>
      </c>
      <c r="E2429" s="16" t="s">
        <v>11436</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45">
      <c r="A2430" s="15" t="s">
        <v>2397</v>
      </c>
      <c r="B2430" s="16" t="s">
        <v>5</v>
      </c>
      <c r="C2430" s="17" t="s">
        <v>7856</v>
      </c>
      <c r="D2430" s="17" t="s">
        <v>7857</v>
      </c>
      <c r="E2430" s="16" t="s">
        <v>11436</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45">
      <c r="A2431" s="15" t="s">
        <v>2448</v>
      </c>
      <c r="B2431" s="16" t="s">
        <v>5</v>
      </c>
      <c r="C2431" s="17" t="s">
        <v>7859</v>
      </c>
      <c r="D2431" s="17" t="s">
        <v>7860</v>
      </c>
      <c r="E2431" s="16" t="s">
        <v>11436</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45">
      <c r="A2432" s="15" t="s">
        <v>2454</v>
      </c>
      <c r="B2432" s="16" t="s">
        <v>5</v>
      </c>
      <c r="C2432" s="17" t="s">
        <v>7862</v>
      </c>
      <c r="D2432" s="17" t="s">
        <v>7863</v>
      </c>
      <c r="E2432" s="16" t="s">
        <v>11436</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45">
      <c r="A2433" s="15" t="s">
        <v>2457</v>
      </c>
      <c r="B2433" s="16" t="s">
        <v>5</v>
      </c>
      <c r="C2433" s="17" t="s">
        <v>7865</v>
      </c>
      <c r="D2433" s="17" t="s">
        <v>7866</v>
      </c>
      <c r="E2433" s="16" t="s">
        <v>11438</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45">
      <c r="A2434" s="15" t="s">
        <v>2511</v>
      </c>
      <c r="B2434" s="16" t="s">
        <v>5</v>
      </c>
      <c r="C2434" s="17" t="s">
        <v>7868</v>
      </c>
      <c r="D2434" s="17" t="s">
        <v>7869</v>
      </c>
      <c r="E2434" s="16" t="s">
        <v>11430</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45">
      <c r="A2435" s="15" t="s">
        <v>2373</v>
      </c>
      <c r="B2435" s="16" t="s">
        <v>5</v>
      </c>
      <c r="C2435" s="17" t="s">
        <v>7871</v>
      </c>
      <c r="D2435" s="17" t="s">
        <v>7872</v>
      </c>
      <c r="E2435" s="16" t="s">
        <v>11436</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45">
      <c r="A2436" s="15" t="s">
        <v>2530</v>
      </c>
      <c r="B2436" s="16" t="s">
        <v>5</v>
      </c>
      <c r="C2436" s="17" t="s">
        <v>7874</v>
      </c>
      <c r="D2436" s="17" t="s">
        <v>7875</v>
      </c>
      <c r="E2436" s="16" t="s">
        <v>11436</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45">
      <c r="A2437" s="15" t="s">
        <v>2560</v>
      </c>
      <c r="B2437" s="16" t="s">
        <v>5</v>
      </c>
      <c r="C2437" s="17" t="s">
        <v>7877</v>
      </c>
      <c r="D2437" s="17" t="s">
        <v>7878</v>
      </c>
      <c r="E2437" s="16" t="s">
        <v>11436</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45">
      <c r="A2438" s="15" t="s">
        <v>2418</v>
      </c>
      <c r="B2438" s="16" t="s">
        <v>5</v>
      </c>
      <c r="C2438" s="17" t="s">
        <v>7880</v>
      </c>
      <c r="D2438" s="17" t="s">
        <v>7881</v>
      </c>
      <c r="E2438" s="16" t="s">
        <v>11436</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45">
      <c r="A2439" s="15" t="s">
        <v>2572</v>
      </c>
      <c r="B2439" s="16" t="s">
        <v>5</v>
      </c>
      <c r="C2439" s="17" t="s">
        <v>7883</v>
      </c>
      <c r="D2439" s="17" t="s">
        <v>7884</v>
      </c>
      <c r="E2439" s="16" t="s">
        <v>11432</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45">
      <c r="A2440" s="15" t="s">
        <v>2581</v>
      </c>
      <c r="B2440" s="16" t="s">
        <v>5</v>
      </c>
      <c r="C2440" s="17" t="s">
        <v>7886</v>
      </c>
      <c r="D2440" s="17" t="s">
        <v>7887</v>
      </c>
      <c r="E2440" s="16" t="s">
        <v>11436</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45">
      <c r="A2441" s="15" t="s">
        <v>2439</v>
      </c>
      <c r="B2441" s="16" t="s">
        <v>5</v>
      </c>
      <c r="C2441" s="17" t="s">
        <v>7889</v>
      </c>
      <c r="D2441" s="17" t="s">
        <v>7890</v>
      </c>
      <c r="E2441" s="16" t="s">
        <v>11424</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45">
      <c r="A2442" s="15" t="s">
        <v>2584</v>
      </c>
      <c r="B2442" s="16" t="s">
        <v>5</v>
      </c>
      <c r="C2442" s="17" t="s">
        <v>7892</v>
      </c>
      <c r="D2442" s="17" t="s">
        <v>7893</v>
      </c>
      <c r="E2442" s="16" t="s">
        <v>11436</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45">
      <c r="A2443" s="15" t="s">
        <v>2445</v>
      </c>
      <c r="B2443" s="16" t="s">
        <v>5</v>
      </c>
      <c r="C2443" s="17" t="s">
        <v>7895</v>
      </c>
      <c r="D2443" s="17" t="s">
        <v>7896</v>
      </c>
      <c r="E2443" s="16" t="s">
        <v>11436</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45">
      <c r="A2444" s="15" t="s">
        <v>2593</v>
      </c>
      <c r="B2444" s="16" t="s">
        <v>5</v>
      </c>
      <c r="C2444" s="17" t="s">
        <v>7898</v>
      </c>
      <c r="D2444" s="17" t="s">
        <v>7899</v>
      </c>
      <c r="E2444" s="16" t="s">
        <v>11436</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45">
      <c r="A2445" s="15" t="s">
        <v>2596</v>
      </c>
      <c r="B2445" s="16" t="s">
        <v>5</v>
      </c>
      <c r="C2445" s="17" t="s">
        <v>7901</v>
      </c>
      <c r="D2445" s="17" t="s">
        <v>7902</v>
      </c>
      <c r="E2445" s="16" t="s">
        <v>11430</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45">
      <c r="A2446" s="15" t="s">
        <v>2490</v>
      </c>
      <c r="B2446" s="16" t="s">
        <v>5</v>
      </c>
      <c r="C2446" s="17" t="s">
        <v>7904</v>
      </c>
      <c r="D2446" s="17" t="s">
        <v>7905</v>
      </c>
      <c r="E2446" s="16" t="s">
        <v>11436</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45">
      <c r="A2447" s="15" t="s">
        <v>2493</v>
      </c>
      <c r="B2447" s="16" t="s">
        <v>5</v>
      </c>
      <c r="C2447" s="17" t="s">
        <v>7907</v>
      </c>
      <c r="D2447" s="17" t="s">
        <v>7908</v>
      </c>
      <c r="E2447" s="16" t="s">
        <v>11437</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45">
      <c r="A2448" s="15" t="s">
        <v>2614</v>
      </c>
      <c r="B2448" s="16" t="s">
        <v>5</v>
      </c>
      <c r="C2448" s="17" t="s">
        <v>7910</v>
      </c>
      <c r="D2448" s="17" t="s">
        <v>7911</v>
      </c>
      <c r="E2448" s="16" t="s">
        <v>11438</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45">
      <c r="A2449" s="15" t="s">
        <v>2496</v>
      </c>
      <c r="B2449" s="16" t="s">
        <v>5</v>
      </c>
      <c r="C2449" s="17" t="s">
        <v>7913</v>
      </c>
      <c r="D2449" s="17" t="s">
        <v>7914</v>
      </c>
      <c r="E2449" s="16" t="s">
        <v>11420</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45">
      <c r="A2450" s="15" t="s">
        <v>2638</v>
      </c>
      <c r="B2450" s="16" t="s">
        <v>5</v>
      </c>
      <c r="C2450" s="17" t="s">
        <v>7916</v>
      </c>
      <c r="D2450" s="17" t="s">
        <v>7917</v>
      </c>
      <c r="E2450" s="16" t="s">
        <v>11418</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45">
      <c r="A2451" s="15" t="s">
        <v>2505</v>
      </c>
      <c r="B2451" s="16" t="s">
        <v>5</v>
      </c>
      <c r="C2451" s="17" t="s">
        <v>7919</v>
      </c>
      <c r="D2451" s="17" t="s">
        <v>7920</v>
      </c>
      <c r="E2451" s="16" t="s">
        <v>11432</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45">
      <c r="A2452" s="15" t="s">
        <v>2168</v>
      </c>
      <c r="B2452" s="16" t="s">
        <v>5</v>
      </c>
      <c r="C2452" s="17" t="s">
        <v>7922</v>
      </c>
      <c r="D2452" s="17" t="s">
        <v>7923</v>
      </c>
      <c r="E2452" s="16" t="s">
        <v>11436</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45">
      <c r="A2453" s="15" t="s">
        <v>2385</v>
      </c>
      <c r="B2453" s="16" t="s">
        <v>5</v>
      </c>
      <c r="C2453" s="17" t="s">
        <v>7925</v>
      </c>
      <c r="D2453" s="17" t="s">
        <v>7926</v>
      </c>
      <c r="E2453" s="16" t="s">
        <v>11414</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45">
      <c r="A2454" s="15" t="s">
        <v>2331</v>
      </c>
      <c r="B2454" s="16" t="s">
        <v>5</v>
      </c>
      <c r="C2454" s="17" t="s">
        <v>7928</v>
      </c>
      <c r="D2454" s="17" t="s">
        <v>7929</v>
      </c>
      <c r="E2454" s="16" t="s">
        <v>11422</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45">
      <c r="A2455" s="15" t="s">
        <v>2322</v>
      </c>
      <c r="B2455" s="16" t="s">
        <v>5</v>
      </c>
      <c r="C2455" s="17" t="s">
        <v>7931</v>
      </c>
      <c r="D2455" s="17" t="s">
        <v>7932</v>
      </c>
      <c r="E2455" s="16" t="s">
        <v>11419</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45">
      <c r="A2456" s="15" t="s">
        <v>2524</v>
      </c>
      <c r="B2456" s="16" t="s">
        <v>5</v>
      </c>
      <c r="C2456" s="17" t="s">
        <v>7934</v>
      </c>
      <c r="D2456" s="17" t="s">
        <v>7935</v>
      </c>
      <c r="E2456" s="16" t="s">
        <v>11436</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45">
      <c r="A2457" s="15" t="s">
        <v>2611</v>
      </c>
      <c r="B2457" s="16" t="s">
        <v>5</v>
      </c>
      <c r="C2457" s="17" t="s">
        <v>7937</v>
      </c>
      <c r="D2457" s="17" t="s">
        <v>7938</v>
      </c>
      <c r="E2457" s="16" t="s">
        <v>11436</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45">
      <c r="A2458" s="15" t="s">
        <v>2644</v>
      </c>
      <c r="B2458" s="16" t="s">
        <v>5</v>
      </c>
      <c r="C2458" s="17" t="s">
        <v>7940</v>
      </c>
      <c r="D2458" s="17" t="s">
        <v>7941</v>
      </c>
      <c r="E2458" s="16" t="s">
        <v>11436</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45">
      <c r="A2459" s="15" t="s">
        <v>2451</v>
      </c>
      <c r="B2459" s="16" t="s">
        <v>5</v>
      </c>
      <c r="C2459" s="17" t="s">
        <v>7943</v>
      </c>
      <c r="D2459" s="17" t="s">
        <v>7944</v>
      </c>
      <c r="E2459" s="16" t="s">
        <v>11422</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45">
      <c r="A2460" s="15" t="s">
        <v>2463</v>
      </c>
      <c r="B2460" s="16" t="s">
        <v>5</v>
      </c>
      <c r="C2460" s="17" t="s">
        <v>7946</v>
      </c>
      <c r="D2460" s="17" t="s">
        <v>7947</v>
      </c>
      <c r="E2460" s="16" t="s">
        <v>11422</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45">
      <c r="A2461" s="15" t="s">
        <v>2442</v>
      </c>
      <c r="B2461" s="16" t="s">
        <v>5</v>
      </c>
      <c r="C2461" s="17" t="s">
        <v>7949</v>
      </c>
      <c r="D2461" s="17" t="s">
        <v>7950</v>
      </c>
      <c r="E2461" s="16" t="s">
        <v>11421</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45">
      <c r="A2462" s="15" t="s">
        <v>2198</v>
      </c>
      <c r="B2462" s="16" t="s">
        <v>5</v>
      </c>
      <c r="C2462" s="17" t="s">
        <v>7952</v>
      </c>
      <c r="D2462" s="17" t="s">
        <v>7953</v>
      </c>
      <c r="E2462" s="16" t="s">
        <v>11420</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45">
      <c r="A2463" s="15" t="s">
        <v>2337</v>
      </c>
      <c r="B2463" s="16" t="s">
        <v>5</v>
      </c>
      <c r="C2463" s="17" t="s">
        <v>7955</v>
      </c>
      <c r="D2463" s="17" t="s">
        <v>7956</v>
      </c>
      <c r="E2463" s="16" t="s">
        <v>11436</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45">
      <c r="A2464" s="15" t="s">
        <v>2436</v>
      </c>
      <c r="B2464" s="16" t="s">
        <v>5</v>
      </c>
      <c r="C2464" s="17" t="s">
        <v>7958</v>
      </c>
      <c r="D2464" s="17" t="s">
        <v>7959</v>
      </c>
      <c r="E2464" s="16" t="s">
        <v>11426</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45">
      <c r="A2465" s="15" t="s">
        <v>9473</v>
      </c>
      <c r="B2465" s="16" t="s">
        <v>5</v>
      </c>
      <c r="C2465" s="17" t="s">
        <v>7961</v>
      </c>
      <c r="D2465" s="17" t="s">
        <v>7962</v>
      </c>
      <c r="E2465" s="16" t="s">
        <v>11436</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45">
      <c r="A2466" s="15" t="s">
        <v>2514</v>
      </c>
      <c r="B2466" s="16" t="s">
        <v>5</v>
      </c>
      <c r="C2466" s="17" t="s">
        <v>7964</v>
      </c>
      <c r="D2466" s="17" t="s">
        <v>7965</v>
      </c>
      <c r="E2466" s="16" t="s">
        <v>11422</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45">
      <c r="A2467" s="15" t="s">
        <v>2527</v>
      </c>
      <c r="B2467" s="16" t="s">
        <v>5</v>
      </c>
      <c r="C2467" s="17" t="s">
        <v>7967</v>
      </c>
      <c r="D2467" s="17" t="s">
        <v>7968</v>
      </c>
      <c r="E2467" s="16" t="s">
        <v>11436</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45">
      <c r="A2468" s="15" t="s">
        <v>2533</v>
      </c>
      <c r="B2468" s="16" t="s">
        <v>5</v>
      </c>
      <c r="C2468" s="17" t="s">
        <v>7970</v>
      </c>
      <c r="D2468" s="17" t="s">
        <v>7971</v>
      </c>
      <c r="E2468" s="16" t="s">
        <v>11436</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45">
      <c r="A2469" s="15" t="s">
        <v>2587</v>
      </c>
      <c r="B2469" s="16" t="s">
        <v>5</v>
      </c>
      <c r="C2469" s="17" t="s">
        <v>7973</v>
      </c>
      <c r="D2469" s="17" t="s">
        <v>7974</v>
      </c>
      <c r="E2469" s="16" t="s">
        <v>11430</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45">
      <c r="A2470" s="15" t="s">
        <v>2641</v>
      </c>
      <c r="B2470" s="16" t="s">
        <v>5</v>
      </c>
      <c r="C2470" s="17" t="s">
        <v>7976</v>
      </c>
      <c r="D2470" s="17" t="s">
        <v>7977</v>
      </c>
      <c r="E2470" s="16" t="s">
        <v>11428</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45">
      <c r="A2471" s="15" t="s">
        <v>2656</v>
      </c>
      <c r="B2471" s="16" t="s">
        <v>5</v>
      </c>
      <c r="C2471" s="17" t="s">
        <v>7979</v>
      </c>
      <c r="D2471" s="17" t="s">
        <v>7980</v>
      </c>
      <c r="E2471" s="16" t="s">
        <v>11436</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45">
      <c r="A2472" s="15" t="s">
        <v>2665</v>
      </c>
      <c r="B2472" s="16" t="s">
        <v>5</v>
      </c>
      <c r="C2472" s="17" t="s">
        <v>7982</v>
      </c>
      <c r="D2472" s="17" t="s">
        <v>7983</v>
      </c>
      <c r="E2472" s="16" t="s">
        <v>11436</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45">
      <c r="A2473" s="15" t="s">
        <v>2668</v>
      </c>
      <c r="B2473" s="16" t="s">
        <v>5</v>
      </c>
      <c r="C2473" s="17" t="s">
        <v>7985</v>
      </c>
      <c r="D2473" s="17" t="s">
        <v>7986</v>
      </c>
      <c r="E2473" s="16" t="s">
        <v>11424</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45">
      <c r="A2474" s="15" t="s">
        <v>2671</v>
      </c>
      <c r="B2474" s="16" t="s">
        <v>5</v>
      </c>
      <c r="C2474" s="17" t="s">
        <v>7988</v>
      </c>
      <c r="D2474" s="17" t="s">
        <v>7989</v>
      </c>
      <c r="E2474" s="16" t="s">
        <v>11426</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45">
      <c r="A2475" s="15" t="s">
        <v>2686</v>
      </c>
      <c r="B2475" s="16" t="s">
        <v>5</v>
      </c>
      <c r="C2475" s="17" t="s">
        <v>7991</v>
      </c>
      <c r="D2475" s="17" t="s">
        <v>7992</v>
      </c>
      <c r="E2475" s="16" t="s">
        <v>11432</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45">
      <c r="A2476" s="15" t="s">
        <v>2382</v>
      </c>
      <c r="B2476" s="16" t="s">
        <v>5</v>
      </c>
      <c r="C2476" s="17" t="s">
        <v>7994</v>
      </c>
      <c r="D2476" s="17" t="s">
        <v>7995</v>
      </c>
      <c r="E2476" s="16" t="s">
        <v>11436</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45">
      <c r="A2477" s="15" t="s">
        <v>2412</v>
      </c>
      <c r="B2477" s="16" t="s">
        <v>5</v>
      </c>
      <c r="C2477" s="17" t="s">
        <v>7997</v>
      </c>
      <c r="D2477" s="17" t="s">
        <v>7998</v>
      </c>
      <c r="E2477" s="16" t="s">
        <v>11436</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45">
      <c r="A2478" s="15" t="s">
        <v>2460</v>
      </c>
      <c r="B2478" s="16" t="s">
        <v>5</v>
      </c>
      <c r="C2478" s="17" t="s">
        <v>8000</v>
      </c>
      <c r="D2478" s="17" t="s">
        <v>8001</v>
      </c>
      <c r="E2478" s="16" t="s">
        <v>11436</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45">
      <c r="A2479" s="15" t="s">
        <v>2472</v>
      </c>
      <c r="B2479" s="16" t="s">
        <v>5</v>
      </c>
      <c r="C2479" s="17" t="s">
        <v>8003</v>
      </c>
      <c r="D2479" s="17" t="s">
        <v>8004</v>
      </c>
      <c r="E2479" s="16" t="s">
        <v>11436</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45">
      <c r="A2480" s="15" t="s">
        <v>2521</v>
      </c>
      <c r="B2480" s="16" t="s">
        <v>5</v>
      </c>
      <c r="C2480" s="17" t="s">
        <v>8006</v>
      </c>
      <c r="D2480" s="17" t="s">
        <v>8007</v>
      </c>
      <c r="E2480" s="16" t="s">
        <v>11436</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45">
      <c r="A2481" s="15" t="s">
        <v>2563</v>
      </c>
      <c r="B2481" s="16" t="s">
        <v>5</v>
      </c>
      <c r="C2481" s="17" t="s">
        <v>8009</v>
      </c>
      <c r="D2481" s="17" t="s">
        <v>8010</v>
      </c>
      <c r="E2481" s="16" t="s">
        <v>11430</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45">
      <c r="A2482" s="15" t="s">
        <v>2605</v>
      </c>
      <c r="B2482" s="16" t="s">
        <v>5</v>
      </c>
      <c r="C2482" s="17" t="s">
        <v>8012</v>
      </c>
      <c r="D2482" s="17" t="s">
        <v>8013</v>
      </c>
      <c r="E2482" s="16" t="s">
        <v>11436</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45">
      <c r="A2483" s="15" t="s">
        <v>2617</v>
      </c>
      <c r="B2483" s="16" t="s">
        <v>5</v>
      </c>
      <c r="C2483" s="17" t="s">
        <v>8015</v>
      </c>
      <c r="D2483" s="17" t="s">
        <v>8016</v>
      </c>
      <c r="E2483" s="16" t="s">
        <v>11432</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45">
      <c r="A2484" s="15" t="s">
        <v>2650</v>
      </c>
      <c r="B2484" s="16" t="s">
        <v>5</v>
      </c>
      <c r="C2484" s="17" t="s">
        <v>8018</v>
      </c>
      <c r="D2484" s="17" t="s">
        <v>8019</v>
      </c>
      <c r="E2484" s="16" t="s">
        <v>11436</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45">
      <c r="A2485" s="15" t="s">
        <v>2674</v>
      </c>
      <c r="B2485" s="16" t="s">
        <v>5</v>
      </c>
      <c r="C2485" s="17" t="s">
        <v>8021</v>
      </c>
      <c r="D2485" s="17" t="s">
        <v>8022</v>
      </c>
      <c r="E2485" s="16" t="s">
        <v>11417</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45">
      <c r="A2486" s="15" t="s">
        <v>2689</v>
      </c>
      <c r="B2486" s="16" t="s">
        <v>5</v>
      </c>
      <c r="C2486" s="17" t="s">
        <v>8024</v>
      </c>
      <c r="D2486" s="17" t="s">
        <v>8025</v>
      </c>
      <c r="E2486" s="16" t="s">
        <v>11436</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45">
      <c r="A2487" s="15" t="s">
        <v>2713</v>
      </c>
      <c r="B2487" s="16" t="s">
        <v>5</v>
      </c>
      <c r="C2487" s="17" t="s">
        <v>8027</v>
      </c>
      <c r="D2487" s="17" t="s">
        <v>8028</v>
      </c>
      <c r="E2487" s="16" t="s">
        <v>11424</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45">
      <c r="A2488" s="15" t="s">
        <v>2716</v>
      </c>
      <c r="B2488" s="16" t="s">
        <v>5</v>
      </c>
      <c r="C2488" s="17" t="s">
        <v>8030</v>
      </c>
      <c r="D2488" s="17" t="s">
        <v>8031</v>
      </c>
      <c r="E2488" s="16" t="s">
        <v>11430</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45">
      <c r="A2489" s="15" t="s">
        <v>2722</v>
      </c>
      <c r="B2489" s="16" t="s">
        <v>5</v>
      </c>
      <c r="C2489" s="17" t="s">
        <v>8033</v>
      </c>
      <c r="D2489" s="17" t="s">
        <v>8034</v>
      </c>
      <c r="E2489" s="16" t="s">
        <v>11436</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45">
      <c r="A2490" s="15" t="s">
        <v>2569</v>
      </c>
      <c r="B2490" s="16" t="s">
        <v>5</v>
      </c>
      <c r="C2490" s="17" t="s">
        <v>8036</v>
      </c>
      <c r="D2490" s="17" t="s">
        <v>8037</v>
      </c>
      <c r="E2490" s="16" t="s">
        <v>11424</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45">
      <c r="A2491" s="15" t="s">
        <v>2719</v>
      </c>
      <c r="B2491" s="16" t="s">
        <v>5</v>
      </c>
      <c r="C2491" s="17" t="s">
        <v>8039</v>
      </c>
      <c r="D2491" s="17" t="s">
        <v>8040</v>
      </c>
      <c r="E2491" s="16" t="s">
        <v>11424</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45">
      <c r="A2492" s="15" t="s">
        <v>2737</v>
      </c>
      <c r="B2492" s="16" t="s">
        <v>5</v>
      </c>
      <c r="C2492" s="17" t="s">
        <v>8042</v>
      </c>
      <c r="D2492" s="17" t="s">
        <v>8043</v>
      </c>
      <c r="E2492" s="16" t="s">
        <v>11436</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45">
      <c r="A2493" s="15" t="s">
        <v>9553</v>
      </c>
      <c r="B2493" s="16" t="s">
        <v>5</v>
      </c>
      <c r="C2493" s="17" t="s">
        <v>8045</v>
      </c>
      <c r="D2493" s="17" t="s">
        <v>8046</v>
      </c>
      <c r="E2493" s="16" t="s">
        <v>11428</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45">
      <c r="A2494" s="15" t="s">
        <v>2743</v>
      </c>
      <c r="B2494" s="16" t="s">
        <v>5</v>
      </c>
      <c r="C2494" s="17" t="s">
        <v>8048</v>
      </c>
      <c r="D2494" s="17" t="s">
        <v>8049</v>
      </c>
      <c r="E2494" s="16" t="s">
        <v>11436</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45">
      <c r="A2495" s="15" t="s">
        <v>2755</v>
      </c>
      <c r="B2495" s="16" t="s">
        <v>5</v>
      </c>
      <c r="C2495" s="17" t="s">
        <v>8051</v>
      </c>
      <c r="D2495" s="17" t="s">
        <v>8052</v>
      </c>
      <c r="E2495" s="16" t="s">
        <v>11421</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45">
      <c r="A2496" s="15" t="s">
        <v>2761</v>
      </c>
      <c r="B2496" s="16" t="s">
        <v>5</v>
      </c>
      <c r="C2496" s="17" t="s">
        <v>8054</v>
      </c>
      <c r="D2496" s="17" t="s">
        <v>8055</v>
      </c>
      <c r="E2496" s="16" t="s">
        <v>11436</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45">
      <c r="A2497" s="15" t="s">
        <v>2854</v>
      </c>
      <c r="B2497" s="16" t="s">
        <v>5</v>
      </c>
      <c r="C2497" s="17" t="s">
        <v>8057</v>
      </c>
      <c r="D2497" s="17" t="s">
        <v>8058</v>
      </c>
      <c r="E2497" s="16" t="s">
        <v>11436</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45">
      <c r="A2498" s="15" t="s">
        <v>2590</v>
      </c>
      <c r="B2498" s="16" t="s">
        <v>5</v>
      </c>
      <c r="C2498" s="17" t="s">
        <v>8060</v>
      </c>
      <c r="D2498" s="17" t="s">
        <v>8061</v>
      </c>
      <c r="E2498" s="16" t="s">
        <v>11426</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45">
      <c r="A2499" s="15" t="s">
        <v>2662</v>
      </c>
      <c r="B2499" s="16" t="s">
        <v>5</v>
      </c>
      <c r="C2499" s="17" t="s">
        <v>8063</v>
      </c>
      <c r="D2499" s="17" t="s">
        <v>8064</v>
      </c>
      <c r="E2499" s="16" t="s">
        <v>11427</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45">
      <c r="A2500" s="15" t="s">
        <v>2683</v>
      </c>
      <c r="B2500" s="16" t="s">
        <v>5</v>
      </c>
      <c r="C2500" s="17" t="s">
        <v>8066</v>
      </c>
      <c r="D2500" s="17" t="s">
        <v>8067</v>
      </c>
      <c r="E2500" s="16" t="s">
        <v>11438</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45">
      <c r="A2501" s="15" t="s">
        <v>2653</v>
      </c>
      <c r="B2501" s="16" t="s">
        <v>5</v>
      </c>
      <c r="C2501" s="17" t="s">
        <v>8069</v>
      </c>
      <c r="D2501" s="17" t="s">
        <v>8070</v>
      </c>
      <c r="E2501" s="16" t="s">
        <v>11436</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45">
      <c r="A2502" s="15" t="s">
        <v>2282</v>
      </c>
      <c r="B2502" s="16" t="s">
        <v>5</v>
      </c>
      <c r="C2502" s="17" t="s">
        <v>8072</v>
      </c>
      <c r="D2502" s="17" t="s">
        <v>8073</v>
      </c>
      <c r="E2502" s="16" t="s">
        <v>11424</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45">
      <c r="A2503" s="15" t="s">
        <v>2319</v>
      </c>
      <c r="B2503" s="16" t="s">
        <v>5</v>
      </c>
      <c r="C2503" s="17" t="s">
        <v>8075</v>
      </c>
      <c r="D2503" s="17" t="s">
        <v>8076</v>
      </c>
      <c r="E2503" s="16" t="s">
        <v>11418</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45">
      <c r="A2504" s="15" t="s">
        <v>2599</v>
      </c>
      <c r="B2504" s="16" t="s">
        <v>5</v>
      </c>
      <c r="C2504" s="17" t="s">
        <v>8078</v>
      </c>
      <c r="D2504" s="17" t="s">
        <v>8079</v>
      </c>
      <c r="E2504" s="16" t="s">
        <v>11436</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45">
      <c r="A2505" s="15" t="s">
        <v>2499</v>
      </c>
      <c r="B2505" s="16" t="s">
        <v>5</v>
      </c>
      <c r="C2505" s="17" t="s">
        <v>8081</v>
      </c>
      <c r="D2505" s="17" t="s">
        <v>8082</v>
      </c>
      <c r="E2505" s="16" t="s">
        <v>11426</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45">
      <c r="A2506" s="15" t="s">
        <v>2502</v>
      </c>
      <c r="B2506" s="16" t="s">
        <v>5</v>
      </c>
      <c r="C2506" s="17" t="s">
        <v>8084</v>
      </c>
      <c r="D2506" s="17" t="s">
        <v>8085</v>
      </c>
      <c r="E2506" s="16" t="s">
        <v>11426</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45">
      <c r="A2507" s="15" t="s">
        <v>2749</v>
      </c>
      <c r="B2507" s="16" t="s">
        <v>5</v>
      </c>
      <c r="C2507" s="17" t="s">
        <v>8087</v>
      </c>
      <c r="D2507" s="17" t="s">
        <v>8088</v>
      </c>
      <c r="E2507" s="16" t="s">
        <v>11440</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45">
      <c r="A2508" s="15" t="s">
        <v>2758</v>
      </c>
      <c r="B2508" s="16" t="s">
        <v>5</v>
      </c>
      <c r="C2508" s="17" t="s">
        <v>8090</v>
      </c>
      <c r="D2508" s="17" t="s">
        <v>8091</v>
      </c>
      <c r="E2508" s="16" t="s">
        <v>11432</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45">
      <c r="A2509" s="15" t="s">
        <v>2767</v>
      </c>
      <c r="B2509" s="16" t="s">
        <v>5</v>
      </c>
      <c r="C2509" s="17" t="s">
        <v>8093</v>
      </c>
      <c r="D2509" s="17" t="s">
        <v>8094</v>
      </c>
      <c r="E2509" s="16" t="s">
        <v>11436</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45">
      <c r="A2510" s="15" t="s">
        <v>2770</v>
      </c>
      <c r="B2510" s="16" t="s">
        <v>5</v>
      </c>
      <c r="C2510" s="17" t="s">
        <v>8096</v>
      </c>
      <c r="D2510" s="17" t="s">
        <v>8097</v>
      </c>
      <c r="E2510" s="16" t="s">
        <v>11436</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45">
      <c r="A2511" s="15" t="s">
        <v>2575</v>
      </c>
      <c r="B2511" s="16" t="s">
        <v>5</v>
      </c>
      <c r="C2511" s="17" t="s">
        <v>8099</v>
      </c>
      <c r="D2511" s="17" t="s">
        <v>8100</v>
      </c>
      <c r="E2511" s="16" t="s">
        <v>11432</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45">
      <c r="A2512" s="15" t="s">
        <v>2647</v>
      </c>
      <c r="B2512" s="16" t="s">
        <v>5</v>
      </c>
      <c r="C2512" s="17" t="s">
        <v>8102</v>
      </c>
      <c r="D2512" s="17" t="s">
        <v>8103</v>
      </c>
      <c r="E2512" s="16" t="s">
        <v>11424</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45">
      <c r="A2513" s="15" t="s">
        <v>2725</v>
      </c>
      <c r="B2513" s="16" t="s">
        <v>5</v>
      </c>
      <c r="C2513" s="17" t="s">
        <v>8105</v>
      </c>
      <c r="D2513" s="17" t="s">
        <v>8106</v>
      </c>
      <c r="E2513" s="16" t="s">
        <v>11418</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45">
      <c r="A2514" s="15" t="s">
        <v>2764</v>
      </c>
      <c r="B2514" s="16" t="s">
        <v>5</v>
      </c>
      <c r="C2514" s="17" t="s">
        <v>8108</v>
      </c>
      <c r="D2514" s="17" t="s">
        <v>8109</v>
      </c>
      <c r="E2514" s="16" t="s">
        <v>11436</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45">
      <c r="A2515" s="15" t="s">
        <v>2785</v>
      </c>
      <c r="B2515" s="16" t="s">
        <v>5</v>
      </c>
      <c r="C2515" s="17" t="s">
        <v>8111</v>
      </c>
      <c r="D2515" s="17" t="s">
        <v>8112</v>
      </c>
      <c r="E2515" s="16" t="s">
        <v>11422</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45">
      <c r="A2516" s="15" t="s">
        <v>2797</v>
      </c>
      <c r="B2516" s="16" t="s">
        <v>5</v>
      </c>
      <c r="C2516" s="17" t="s">
        <v>8114</v>
      </c>
      <c r="D2516" s="17" t="s">
        <v>8115</v>
      </c>
      <c r="E2516" s="16" t="s">
        <v>11422</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45">
      <c r="A2517" s="15" t="s">
        <v>2508</v>
      </c>
      <c r="B2517" s="16" t="s">
        <v>5</v>
      </c>
      <c r="C2517" s="17" t="s">
        <v>8117</v>
      </c>
      <c r="D2517" s="17" t="s">
        <v>8118</v>
      </c>
      <c r="E2517" s="16" t="s">
        <v>11419</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45">
      <c r="A2518" s="15" t="s">
        <v>2659</v>
      </c>
      <c r="B2518" s="16" t="s">
        <v>5</v>
      </c>
      <c r="C2518" s="17" t="s">
        <v>8120</v>
      </c>
      <c r="D2518" s="17" t="s">
        <v>8121</v>
      </c>
      <c r="E2518" s="16" t="s">
        <v>11436</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45">
      <c r="A2519" s="15" t="s">
        <v>2680</v>
      </c>
      <c r="B2519" s="16" t="s">
        <v>5</v>
      </c>
      <c r="C2519" s="17" t="s">
        <v>8123</v>
      </c>
      <c r="D2519" s="17" t="s">
        <v>8124</v>
      </c>
      <c r="E2519" s="16" t="s">
        <v>11436</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45">
      <c r="A2520" s="15" t="s">
        <v>2740</v>
      </c>
      <c r="B2520" s="16" t="s">
        <v>5</v>
      </c>
      <c r="C2520" s="17" t="s">
        <v>8126</v>
      </c>
      <c r="D2520" s="17" t="s">
        <v>8127</v>
      </c>
      <c r="E2520" s="16" t="s">
        <v>11436</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45">
      <c r="A2521" s="15" t="s">
        <v>2791</v>
      </c>
      <c r="B2521" s="16" t="s">
        <v>5</v>
      </c>
      <c r="C2521" s="17" t="s">
        <v>8129</v>
      </c>
      <c r="D2521" s="17" t="s">
        <v>8130</v>
      </c>
      <c r="E2521" s="16" t="s">
        <v>11424</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45">
      <c r="A2522" s="15" t="s">
        <v>2815</v>
      </c>
      <c r="B2522" s="16" t="s">
        <v>5</v>
      </c>
      <c r="C2522" s="17" t="s">
        <v>8132</v>
      </c>
      <c r="D2522" s="17" t="s">
        <v>8133</v>
      </c>
      <c r="E2522" s="16" t="s">
        <v>11436</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45">
      <c r="A2523" s="15" t="s">
        <v>2466</v>
      </c>
      <c r="B2523" s="16" t="s">
        <v>5</v>
      </c>
      <c r="C2523" s="17" t="s">
        <v>8135</v>
      </c>
      <c r="D2523" s="17" t="s">
        <v>8136</v>
      </c>
      <c r="E2523" s="16" t="s">
        <v>11422</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45">
      <c r="A2524" s="15" t="s">
        <v>2602</v>
      </c>
      <c r="B2524" s="16" t="s">
        <v>5</v>
      </c>
      <c r="C2524" s="17" t="s">
        <v>8138</v>
      </c>
      <c r="D2524" s="17" t="s">
        <v>8139</v>
      </c>
      <c r="E2524" s="16" t="s">
        <v>11436</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45">
      <c r="A2525" s="15" t="s">
        <v>2788</v>
      </c>
      <c r="B2525" s="16" t="s">
        <v>5</v>
      </c>
      <c r="C2525" s="17" t="s">
        <v>8141</v>
      </c>
      <c r="D2525" s="17" t="s">
        <v>8142</v>
      </c>
      <c r="E2525" s="16" t="s">
        <v>11436</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45">
      <c r="A2526" s="15" t="s">
        <v>2800</v>
      </c>
      <c r="B2526" s="16" t="s">
        <v>5</v>
      </c>
      <c r="C2526" s="17" t="s">
        <v>8144</v>
      </c>
      <c r="D2526" s="17" t="s">
        <v>8145</v>
      </c>
      <c r="E2526" s="16" t="s">
        <v>11424</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45">
      <c r="A2527" s="15" t="s">
        <v>2803</v>
      </c>
      <c r="B2527" s="16" t="s">
        <v>5</v>
      </c>
      <c r="C2527" s="17" t="s">
        <v>8147</v>
      </c>
      <c r="D2527" s="17" t="s">
        <v>8148</v>
      </c>
      <c r="E2527" s="16" t="s">
        <v>11432</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45">
      <c r="A2528" s="15" t="s">
        <v>2806</v>
      </c>
      <c r="B2528" s="16" t="s">
        <v>5</v>
      </c>
      <c r="C2528" s="17" t="s">
        <v>8150</v>
      </c>
      <c r="D2528" s="17" t="s">
        <v>8151</v>
      </c>
      <c r="E2528" s="16" t="s">
        <v>11436</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45">
      <c r="A2529" s="15" t="s">
        <v>2812</v>
      </c>
      <c r="B2529" s="16" t="s">
        <v>5</v>
      </c>
      <c r="C2529" s="17" t="s">
        <v>8153</v>
      </c>
      <c r="D2529" s="17" t="s">
        <v>8154</v>
      </c>
      <c r="E2529" s="16" t="s">
        <v>11436</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45">
      <c r="A2530" s="15" t="s">
        <v>2857</v>
      </c>
      <c r="B2530" s="16" t="s">
        <v>5</v>
      </c>
      <c r="C2530" s="17" t="s">
        <v>8156</v>
      </c>
      <c r="D2530" s="17" t="s">
        <v>8157</v>
      </c>
      <c r="E2530" s="16" t="s">
        <v>11424</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45">
      <c r="A2531" s="15" t="s">
        <v>2878</v>
      </c>
      <c r="B2531" s="16" t="s">
        <v>5</v>
      </c>
      <c r="C2531" s="17" t="s">
        <v>8159</v>
      </c>
      <c r="D2531" s="17" t="s">
        <v>8160</v>
      </c>
      <c r="E2531" s="16" t="s">
        <v>11424</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45">
      <c r="A2532" s="15" t="s">
        <v>2881</v>
      </c>
      <c r="B2532" s="16" t="s">
        <v>5</v>
      </c>
      <c r="C2532" s="17" t="s">
        <v>8162</v>
      </c>
      <c r="D2532" s="17" t="s">
        <v>8163</v>
      </c>
      <c r="E2532" s="16" t="s">
        <v>11421</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45">
      <c r="A2533" s="15" t="s">
        <v>2884</v>
      </c>
      <c r="B2533" s="16" t="s">
        <v>5</v>
      </c>
      <c r="C2533" s="17" t="s">
        <v>8165</v>
      </c>
      <c r="D2533" s="17" t="s">
        <v>8166</v>
      </c>
      <c r="E2533" s="16" t="s">
        <v>11421</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45">
      <c r="A2534" s="15" t="s">
        <v>2911</v>
      </c>
      <c r="B2534" s="16" t="s">
        <v>5</v>
      </c>
      <c r="C2534" s="17" t="s">
        <v>8168</v>
      </c>
      <c r="D2534" s="17" t="s">
        <v>8169</v>
      </c>
      <c r="E2534" s="16" t="s">
        <v>11436</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45">
      <c r="A2535" s="15" t="s">
        <v>2914</v>
      </c>
      <c r="B2535" s="16" t="s">
        <v>5</v>
      </c>
      <c r="C2535" s="17" t="s">
        <v>8171</v>
      </c>
      <c r="D2535" s="17" t="s">
        <v>8172</v>
      </c>
      <c r="E2535" s="16" t="s">
        <v>11421</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45">
      <c r="A2536" s="15" t="s">
        <v>2926</v>
      </c>
      <c r="B2536" s="16" t="s">
        <v>5</v>
      </c>
      <c r="C2536" s="17" t="s">
        <v>8174</v>
      </c>
      <c r="D2536" s="17" t="s">
        <v>8175</v>
      </c>
      <c r="E2536" s="16" t="s">
        <v>11436</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45">
      <c r="A2537" s="15" t="s">
        <v>2938</v>
      </c>
      <c r="B2537" s="16" t="s">
        <v>5</v>
      </c>
      <c r="C2537" s="17" t="s">
        <v>8177</v>
      </c>
      <c r="D2537" s="17" t="s">
        <v>8178</v>
      </c>
      <c r="E2537" s="16" t="s">
        <v>11436</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45">
      <c r="A2538" s="15" t="s">
        <v>2794</v>
      </c>
      <c r="B2538" s="16" t="s">
        <v>5</v>
      </c>
      <c r="C2538" s="17" t="s">
        <v>8180</v>
      </c>
      <c r="D2538" s="17" t="s">
        <v>8181</v>
      </c>
      <c r="E2538" s="16" t="s">
        <v>11426</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45">
      <c r="A2539" s="15" t="s">
        <v>2821</v>
      </c>
      <c r="B2539" s="16" t="s">
        <v>5</v>
      </c>
      <c r="C2539" s="17" t="s">
        <v>8183</v>
      </c>
      <c r="D2539" s="17" t="s">
        <v>8184</v>
      </c>
      <c r="E2539" s="16" t="s">
        <v>11426</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45">
      <c r="A2540" s="15" t="s">
        <v>2932</v>
      </c>
      <c r="B2540" s="16" t="s">
        <v>5</v>
      </c>
      <c r="C2540" s="17" t="s">
        <v>8186</v>
      </c>
      <c r="D2540" s="17" t="s">
        <v>8187</v>
      </c>
      <c r="E2540" s="16" t="s">
        <v>11419</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45">
      <c r="A2541" s="15" t="s">
        <v>2183</v>
      </c>
      <c r="B2541" s="16" t="s">
        <v>5</v>
      </c>
      <c r="C2541" s="17" t="s">
        <v>8189</v>
      </c>
      <c r="D2541" s="17" t="s">
        <v>8190</v>
      </c>
      <c r="E2541" s="16" t="s">
        <v>11436</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45">
      <c r="A2542" s="15" t="s">
        <v>2566</v>
      </c>
      <c r="B2542" s="16" t="s">
        <v>5</v>
      </c>
      <c r="C2542" s="17" t="s">
        <v>8192</v>
      </c>
      <c r="D2542" s="17" t="s">
        <v>8193</v>
      </c>
      <c r="E2542" s="16" t="s">
        <v>11436</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45">
      <c r="A2543" s="15" t="s">
        <v>2887</v>
      </c>
      <c r="B2543" s="16" t="s">
        <v>5</v>
      </c>
      <c r="C2543" s="17" t="s">
        <v>8195</v>
      </c>
      <c r="D2543" s="17" t="s">
        <v>8196</v>
      </c>
      <c r="E2543" s="16" t="s">
        <v>11432</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45">
      <c r="A2544" s="15" t="s">
        <v>2935</v>
      </c>
      <c r="B2544" s="16" t="s">
        <v>5</v>
      </c>
      <c r="C2544" s="17" t="s">
        <v>8198</v>
      </c>
      <c r="D2544" s="17" t="s">
        <v>8199</v>
      </c>
      <c r="E2544" s="16" t="s">
        <v>11436</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45">
      <c r="A2545" s="15" t="s">
        <v>2941</v>
      </c>
      <c r="B2545" s="16" t="s">
        <v>5</v>
      </c>
      <c r="C2545" s="17" t="s">
        <v>8201</v>
      </c>
      <c r="D2545" s="17" t="s">
        <v>8202</v>
      </c>
      <c r="E2545" s="16" t="s">
        <v>11422</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45">
      <c r="A2546" s="15" t="s">
        <v>2950</v>
      </c>
      <c r="B2546" s="16" t="s">
        <v>5</v>
      </c>
      <c r="C2546" s="17" t="s">
        <v>8204</v>
      </c>
      <c r="D2546" s="17" t="s">
        <v>8205</v>
      </c>
      <c r="E2546" s="16" t="s">
        <v>11424</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45">
      <c r="A2547" s="15" t="s">
        <v>2929</v>
      </c>
      <c r="B2547" s="16" t="s">
        <v>5</v>
      </c>
      <c r="C2547" s="17" t="s">
        <v>8207</v>
      </c>
      <c r="D2547" s="17" t="s">
        <v>8208</v>
      </c>
      <c r="E2547" s="16" t="s">
        <v>11418</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45">
      <c r="A2548" s="15" t="s">
        <v>2875</v>
      </c>
      <c r="B2548" s="16" t="s">
        <v>5</v>
      </c>
      <c r="C2548" s="17" t="s">
        <v>8210</v>
      </c>
      <c r="D2548" s="17" t="s">
        <v>8211</v>
      </c>
      <c r="E2548" s="16" t="s">
        <v>11436</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45">
      <c r="A2549" s="15" t="s">
        <v>2710</v>
      </c>
      <c r="B2549" s="16" t="s">
        <v>5</v>
      </c>
      <c r="C2549" s="17" t="s">
        <v>8213</v>
      </c>
      <c r="D2549" s="17" t="s">
        <v>8214</v>
      </c>
      <c r="E2549" s="16" t="s">
        <v>11438</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45">
      <c r="A2550" s="15" t="s">
        <v>2578</v>
      </c>
      <c r="B2550" s="16" t="s">
        <v>5</v>
      </c>
      <c r="C2550" s="17" t="s">
        <v>8216</v>
      </c>
      <c r="D2550" s="17" t="s">
        <v>8217</v>
      </c>
      <c r="E2550" s="16" t="s">
        <v>11419</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45">
      <c r="A2551" s="15" t="s">
        <v>2956</v>
      </c>
      <c r="B2551" s="16" t="s">
        <v>5</v>
      </c>
      <c r="C2551" s="17" t="s">
        <v>8219</v>
      </c>
      <c r="D2551" s="17" t="s">
        <v>8220</v>
      </c>
      <c r="E2551" s="16" t="s">
        <v>11415</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45">
      <c r="A2552" s="15" t="s">
        <v>2944</v>
      </c>
      <c r="B2552" s="16" t="s">
        <v>5</v>
      </c>
      <c r="C2552" s="17" t="s">
        <v>8222</v>
      </c>
      <c r="D2552" s="17" t="s">
        <v>8223</v>
      </c>
      <c r="E2552" s="16" t="s">
        <v>11436</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45">
      <c r="A2553" s="15" t="s">
        <v>2746</v>
      </c>
      <c r="B2553" s="16" t="s">
        <v>5</v>
      </c>
      <c r="C2553" s="17" t="s">
        <v>8225</v>
      </c>
      <c r="D2553" s="17" t="s">
        <v>8226</v>
      </c>
      <c r="E2553" s="16" t="s">
        <v>11436</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45">
      <c r="A2554" s="15" t="s">
        <v>2962</v>
      </c>
      <c r="B2554" s="16" t="s">
        <v>5</v>
      </c>
      <c r="C2554" s="17" t="s">
        <v>8228</v>
      </c>
      <c r="D2554" s="17" t="s">
        <v>8229</v>
      </c>
      <c r="E2554" s="16" t="s">
        <v>11436</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45">
      <c r="A2555" s="15" t="s">
        <v>2965</v>
      </c>
      <c r="B2555" s="16" t="s">
        <v>5</v>
      </c>
      <c r="C2555" s="17" t="s">
        <v>8231</v>
      </c>
      <c r="D2555" s="17" t="s">
        <v>8232</v>
      </c>
      <c r="E2555" s="16" t="s">
        <v>11436</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45">
      <c r="A2556" s="15" t="s">
        <v>2809</v>
      </c>
      <c r="B2556" s="16" t="s">
        <v>5</v>
      </c>
      <c r="C2556" s="17" t="s">
        <v>8234</v>
      </c>
      <c r="D2556" s="17" t="s">
        <v>8235</v>
      </c>
      <c r="E2556" s="16" t="s">
        <v>11436</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45">
      <c r="A2557" s="15" t="s">
        <v>2968</v>
      </c>
      <c r="B2557" s="16" t="s">
        <v>5</v>
      </c>
      <c r="C2557" s="17" t="s">
        <v>8237</v>
      </c>
      <c r="D2557" s="17" t="s">
        <v>8238</v>
      </c>
      <c r="E2557" s="16" t="s">
        <v>11436</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45">
      <c r="A2558" s="15" t="s">
        <v>2818</v>
      </c>
      <c r="B2558" s="16" t="s">
        <v>5</v>
      </c>
      <c r="C2558" s="17" t="s">
        <v>8240</v>
      </c>
      <c r="D2558" s="17" t="s">
        <v>8241</v>
      </c>
      <c r="E2558" s="16" t="s">
        <v>11436</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45">
      <c r="A2559" s="15" t="s">
        <v>2977</v>
      </c>
      <c r="B2559" s="16" t="s">
        <v>5</v>
      </c>
      <c r="C2559" s="17" t="s">
        <v>8243</v>
      </c>
      <c r="D2559" s="17" t="s">
        <v>8244</v>
      </c>
      <c r="E2559" s="16" t="s">
        <v>11436</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45">
      <c r="A2560" s="15" t="s">
        <v>2824</v>
      </c>
      <c r="B2560" s="16" t="s">
        <v>5</v>
      </c>
      <c r="C2560" s="17" t="s">
        <v>8246</v>
      </c>
      <c r="D2560" s="17" t="s">
        <v>8247</v>
      </c>
      <c r="E2560" s="16" t="s">
        <v>11436</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45">
      <c r="A2561" s="15" t="s">
        <v>2851</v>
      </c>
      <c r="B2561" s="16" t="s">
        <v>5</v>
      </c>
      <c r="C2561" s="17" t="s">
        <v>8249</v>
      </c>
      <c r="D2561" s="17" t="s">
        <v>8250</v>
      </c>
      <c r="E2561" s="16" t="s">
        <v>11424</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45">
      <c r="A2562" s="15" t="s">
        <v>2980</v>
      </c>
      <c r="B2562" s="16" t="s">
        <v>5</v>
      </c>
      <c r="C2562" s="17" t="s">
        <v>8252</v>
      </c>
      <c r="D2562" s="17" t="s">
        <v>8253</v>
      </c>
      <c r="E2562" s="16" t="s">
        <v>11436</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45">
      <c r="A2563" s="15" t="s">
        <v>2989</v>
      </c>
      <c r="B2563" s="16" t="s">
        <v>5</v>
      </c>
      <c r="C2563" s="17" t="s">
        <v>8255</v>
      </c>
      <c r="D2563" s="17" t="s">
        <v>8256</v>
      </c>
      <c r="E2563" s="16" t="s">
        <v>11432</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45">
      <c r="A2564" s="15" t="s">
        <v>2863</v>
      </c>
      <c r="B2564" s="16" t="s">
        <v>5</v>
      </c>
      <c r="C2564" s="17" t="s">
        <v>8258</v>
      </c>
      <c r="D2564" s="17" t="s">
        <v>8259</v>
      </c>
      <c r="E2564" s="16" t="s">
        <v>11424</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45">
      <c r="A2565" s="15" t="s">
        <v>2992</v>
      </c>
      <c r="B2565" s="16" t="s">
        <v>5</v>
      </c>
      <c r="C2565" s="17" t="s">
        <v>8261</v>
      </c>
      <c r="D2565" s="17" t="s">
        <v>8262</v>
      </c>
      <c r="E2565" s="16" t="s">
        <v>11436</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45">
      <c r="A2566" s="15" t="s">
        <v>2872</v>
      </c>
      <c r="B2566" s="16" t="s">
        <v>5</v>
      </c>
      <c r="C2566" s="17" t="s">
        <v>8264</v>
      </c>
      <c r="D2566" s="17" t="s">
        <v>8265</v>
      </c>
      <c r="E2566" s="16" t="s">
        <v>11436</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45">
      <c r="A2567" s="15" t="s">
        <v>3001</v>
      </c>
      <c r="B2567" s="16" t="s">
        <v>5</v>
      </c>
      <c r="C2567" s="17" t="s">
        <v>8267</v>
      </c>
      <c r="D2567" s="17" t="s">
        <v>8268</v>
      </c>
      <c r="E2567" s="16" t="s">
        <v>11424</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45">
      <c r="A2568" s="15" t="s">
        <v>9458</v>
      </c>
      <c r="B2568" s="16" t="s">
        <v>5</v>
      </c>
      <c r="C2568" s="17" t="s">
        <v>8270</v>
      </c>
      <c r="D2568" s="17" t="s">
        <v>8271</v>
      </c>
      <c r="E2568" s="16" t="s">
        <v>11424</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45">
      <c r="A2569" s="15" t="s">
        <v>3004</v>
      </c>
      <c r="B2569" s="16" t="s">
        <v>5</v>
      </c>
      <c r="C2569" s="17" t="s">
        <v>8273</v>
      </c>
      <c r="D2569" s="17" t="s">
        <v>8274</v>
      </c>
      <c r="E2569" s="16" t="s">
        <v>11422</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45">
      <c r="A2570" s="15" t="s">
        <v>3019</v>
      </c>
      <c r="B2570" s="16" t="s">
        <v>5</v>
      </c>
      <c r="C2570" s="17" t="s">
        <v>8276</v>
      </c>
      <c r="D2570" s="17" t="s">
        <v>8277</v>
      </c>
      <c r="E2570" s="16" t="s">
        <v>11432</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45">
      <c r="A2571" s="15" t="s">
        <v>2923</v>
      </c>
      <c r="B2571" s="16" t="s">
        <v>5</v>
      </c>
      <c r="C2571" s="17" t="s">
        <v>8279</v>
      </c>
      <c r="D2571" s="17" t="s">
        <v>8280</v>
      </c>
      <c r="E2571" s="16" t="s">
        <v>11419</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45">
      <c r="A2572" s="15" t="s">
        <v>3046</v>
      </c>
      <c r="B2572" s="16" t="s">
        <v>5</v>
      </c>
      <c r="C2572" s="17" t="s">
        <v>8282</v>
      </c>
      <c r="D2572" s="17" t="s">
        <v>8283</v>
      </c>
      <c r="E2572" s="16" t="s">
        <v>11436</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45">
      <c r="A2573" s="15" t="s">
        <v>2860</v>
      </c>
      <c r="B2573" s="16" t="s">
        <v>5</v>
      </c>
      <c r="C2573" s="17" t="s">
        <v>8285</v>
      </c>
      <c r="D2573" s="17" t="s">
        <v>8286</v>
      </c>
      <c r="E2573" s="16" t="s">
        <v>11426</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45">
      <c r="A2574" s="15" t="s">
        <v>2947</v>
      </c>
      <c r="B2574" s="16" t="s">
        <v>5</v>
      </c>
      <c r="C2574" s="17" t="s">
        <v>8288</v>
      </c>
      <c r="D2574" s="17" t="s">
        <v>8289</v>
      </c>
      <c r="E2574" s="16" t="s">
        <v>11437</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45">
      <c r="A2575" s="15" t="s">
        <v>2920</v>
      </c>
      <c r="B2575" s="16" t="s">
        <v>5</v>
      </c>
      <c r="C2575" s="17" t="s">
        <v>8291</v>
      </c>
      <c r="D2575" s="17" t="s">
        <v>8292</v>
      </c>
      <c r="E2575" s="16" t="s">
        <v>11421</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45">
      <c r="A2576" s="15" t="s">
        <v>2971</v>
      </c>
      <c r="B2576" s="16" t="s">
        <v>5</v>
      </c>
      <c r="C2576" s="17" t="s">
        <v>8294</v>
      </c>
      <c r="D2576" s="17" t="s">
        <v>8295</v>
      </c>
      <c r="E2576" s="16" t="s">
        <v>11440</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45">
      <c r="A2577" s="15" t="s">
        <v>3007</v>
      </c>
      <c r="B2577" s="16" t="s">
        <v>5</v>
      </c>
      <c r="C2577" s="17" t="s">
        <v>8297</v>
      </c>
      <c r="D2577" s="17" t="s">
        <v>8298</v>
      </c>
      <c r="E2577" s="16" t="s">
        <v>11422</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45">
      <c r="A2578" s="15" t="s">
        <v>3013</v>
      </c>
      <c r="B2578" s="16" t="s">
        <v>5</v>
      </c>
      <c r="C2578" s="17" t="s">
        <v>8300</v>
      </c>
      <c r="D2578" s="17" t="s">
        <v>8301</v>
      </c>
      <c r="E2578" s="16" t="s">
        <v>11436</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45">
      <c r="A2579" s="15" t="s">
        <v>2827</v>
      </c>
      <c r="B2579" s="16" t="s">
        <v>5</v>
      </c>
      <c r="C2579" s="17" t="s">
        <v>8303</v>
      </c>
      <c r="D2579" s="17" t="s">
        <v>8304</v>
      </c>
      <c r="E2579" s="16" t="s">
        <v>11419</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45">
      <c r="A2580" s="15" t="s">
        <v>2986</v>
      </c>
      <c r="B2580" s="16" t="s">
        <v>5</v>
      </c>
      <c r="C2580" s="17" t="s">
        <v>8306</v>
      </c>
      <c r="D2580" s="17" t="s">
        <v>8307</v>
      </c>
      <c r="E2580" s="16" t="s">
        <v>11432</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45">
      <c r="A2581" s="15" t="s">
        <v>3031</v>
      </c>
      <c r="B2581" s="16" t="s">
        <v>5</v>
      </c>
      <c r="C2581" s="17" t="s">
        <v>8309</v>
      </c>
      <c r="D2581" s="17" t="s">
        <v>8310</v>
      </c>
      <c r="E2581" s="16" t="s">
        <v>11436</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45">
      <c r="A2582" s="15" t="s">
        <v>3034</v>
      </c>
      <c r="B2582" s="16" t="s">
        <v>5</v>
      </c>
      <c r="C2582" s="17" t="s">
        <v>8312</v>
      </c>
      <c r="D2582" s="17" t="s">
        <v>8313</v>
      </c>
      <c r="E2582" s="16" t="s">
        <v>11420</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45">
      <c r="A2583" s="15" t="s">
        <v>3043</v>
      </c>
      <c r="B2583" s="16" t="s">
        <v>5</v>
      </c>
      <c r="C2583" s="17" t="s">
        <v>8315</v>
      </c>
      <c r="D2583" s="17" t="s">
        <v>8316</v>
      </c>
      <c r="E2583" s="15" t="s">
        <v>11431</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x14ac:dyDescent="0.45">
      <c r="A2584" s="15" t="s">
        <v>3049</v>
      </c>
      <c r="B2584" s="16" t="s">
        <v>5</v>
      </c>
      <c r="C2584" s="17" t="s">
        <v>8318</v>
      </c>
      <c r="D2584" s="17" t="s">
        <v>8319</v>
      </c>
      <c r="E2584" s="16" t="s">
        <v>11436</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45">
      <c r="A2585" s="15" t="s">
        <v>3085</v>
      </c>
      <c r="B2585" s="16" t="s">
        <v>5</v>
      </c>
      <c r="C2585" s="17" t="s">
        <v>8321</v>
      </c>
      <c r="D2585" s="17" t="s">
        <v>8322</v>
      </c>
      <c r="E2585" s="16" t="s">
        <v>11419</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45">
      <c r="A2586" s="15" t="s">
        <v>3028</v>
      </c>
      <c r="B2586" s="16" t="s">
        <v>5</v>
      </c>
      <c r="C2586" s="17" t="s">
        <v>8324</v>
      </c>
      <c r="D2586" s="17" t="s">
        <v>8325</v>
      </c>
      <c r="E2586" s="16" t="s">
        <v>11436</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45">
      <c r="A2587" s="15" t="s">
        <v>3016</v>
      </c>
      <c r="B2587" s="16" t="s">
        <v>5</v>
      </c>
      <c r="C2587" s="17" t="s">
        <v>8327</v>
      </c>
      <c r="D2587" s="17" t="s">
        <v>8328</v>
      </c>
      <c r="E2587" s="16" t="s">
        <v>11422</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45">
      <c r="A2588" s="15" t="s">
        <v>3070</v>
      </c>
      <c r="B2588" s="16" t="s">
        <v>5</v>
      </c>
      <c r="C2588" s="17" t="s">
        <v>8330</v>
      </c>
      <c r="D2588" s="17" t="s">
        <v>8331</v>
      </c>
      <c r="E2588" s="16" t="s">
        <v>11417</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45">
      <c r="A2589" s="15" t="s">
        <v>1622</v>
      </c>
      <c r="B2589" s="16" t="s">
        <v>5</v>
      </c>
      <c r="C2589" s="17" t="s">
        <v>8333</v>
      </c>
      <c r="D2589" s="17" t="s">
        <v>8334</v>
      </c>
      <c r="E2589" s="16" t="s">
        <v>11421</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45">
      <c r="A2590" s="15" t="s">
        <v>2998</v>
      </c>
      <c r="B2590" s="16" t="s">
        <v>5</v>
      </c>
      <c r="C2590" s="17" t="s">
        <v>8336</v>
      </c>
      <c r="D2590" s="17" t="s">
        <v>8337</v>
      </c>
      <c r="E2590" s="16" t="s">
        <v>11436</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45">
      <c r="A2591" s="15" t="s">
        <v>3010</v>
      </c>
      <c r="B2591" s="16" t="s">
        <v>5</v>
      </c>
      <c r="C2591" s="17" t="s">
        <v>8339</v>
      </c>
      <c r="D2591" s="17" t="s">
        <v>8340</v>
      </c>
      <c r="E2591" s="16" t="s">
        <v>11415</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45">
      <c r="A2592" s="15" t="s">
        <v>3022</v>
      </c>
      <c r="B2592" s="16" t="s">
        <v>5</v>
      </c>
      <c r="C2592" s="17" t="s">
        <v>8342</v>
      </c>
      <c r="D2592" s="17" t="s">
        <v>8343</v>
      </c>
      <c r="E2592" s="16" t="s">
        <v>11424</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45">
      <c r="A2593" s="15" t="s">
        <v>3037</v>
      </c>
      <c r="B2593" s="16" t="s">
        <v>5</v>
      </c>
      <c r="C2593" s="17" t="s">
        <v>8345</v>
      </c>
      <c r="D2593" s="17" t="s">
        <v>8346</v>
      </c>
      <c r="E2593" s="16" t="s">
        <v>11422</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45">
      <c r="A2594" s="15" t="s">
        <v>3052</v>
      </c>
      <c r="B2594" s="16" t="s">
        <v>5</v>
      </c>
      <c r="C2594" s="17" t="s">
        <v>8348</v>
      </c>
      <c r="D2594" s="17" t="s">
        <v>8349</v>
      </c>
      <c r="E2594" s="16" t="s">
        <v>11432</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45">
      <c r="A2595" s="15" t="s">
        <v>3058</v>
      </c>
      <c r="B2595" s="16" t="s">
        <v>5</v>
      </c>
      <c r="C2595" s="17" t="s">
        <v>8351</v>
      </c>
      <c r="D2595" s="17" t="s">
        <v>8352</v>
      </c>
      <c r="E2595" s="16" t="s">
        <v>11436</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45">
      <c r="A2596" s="15" t="s">
        <v>3079</v>
      </c>
      <c r="B2596" s="16" t="s">
        <v>5</v>
      </c>
      <c r="C2596" s="17" t="s">
        <v>8354</v>
      </c>
      <c r="D2596" s="17" t="s">
        <v>8355</v>
      </c>
      <c r="E2596" s="16" t="s">
        <v>11417</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45">
      <c r="A2597" s="15" t="s">
        <v>3109</v>
      </c>
      <c r="B2597" s="16" t="s">
        <v>5</v>
      </c>
      <c r="C2597" s="17" t="s">
        <v>8357</v>
      </c>
      <c r="D2597" s="17" t="s">
        <v>8358</v>
      </c>
      <c r="E2597" s="16" t="s">
        <v>11415</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45">
      <c r="A2598" s="15" t="s">
        <v>3112</v>
      </c>
      <c r="B2598" s="16" t="s">
        <v>5</v>
      </c>
      <c r="C2598" s="17" t="s">
        <v>8360</v>
      </c>
      <c r="D2598" s="17" t="s">
        <v>8361</v>
      </c>
      <c r="E2598" s="16" t="s">
        <v>11415</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45">
      <c r="A2599" s="15" t="s">
        <v>2752</v>
      </c>
      <c r="B2599" s="16" t="s">
        <v>5</v>
      </c>
      <c r="C2599" s="17" t="s">
        <v>8363</v>
      </c>
      <c r="D2599" s="17" t="s">
        <v>8364</v>
      </c>
      <c r="E2599" s="16" t="s">
        <v>11432</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45">
      <c r="A2600" s="15" t="s">
        <v>2953</v>
      </c>
      <c r="B2600" s="16" t="s">
        <v>5</v>
      </c>
      <c r="C2600" s="17" t="s">
        <v>8366</v>
      </c>
      <c r="D2600" s="17" t="s">
        <v>8367</v>
      </c>
      <c r="E2600" s="16" t="s">
        <v>11436</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45">
      <c r="A2601" s="15" t="s">
        <v>3076</v>
      </c>
      <c r="B2601" s="16" t="s">
        <v>5</v>
      </c>
      <c r="C2601" s="17" t="s">
        <v>8369</v>
      </c>
      <c r="D2601" s="17" t="s">
        <v>8370</v>
      </c>
      <c r="E2601" s="16" t="s">
        <v>11424</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45">
      <c r="A2602" s="15" t="s">
        <v>3106</v>
      </c>
      <c r="B2602" s="16" t="s">
        <v>5</v>
      </c>
      <c r="C2602" s="17" t="s">
        <v>8372</v>
      </c>
      <c r="D2602" s="17" t="s">
        <v>8373</v>
      </c>
      <c r="E2602" s="16" t="s">
        <v>11422</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45">
      <c r="A2603" s="15" t="s">
        <v>3118</v>
      </c>
      <c r="B2603" s="16" t="s">
        <v>5</v>
      </c>
      <c r="C2603" s="17" t="s">
        <v>8375</v>
      </c>
      <c r="D2603" s="17" t="s">
        <v>8376</v>
      </c>
      <c r="E2603" s="16" t="s">
        <v>11436</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45">
      <c r="A2604" s="15" t="s">
        <v>3124</v>
      </c>
      <c r="B2604" s="16" t="s">
        <v>5</v>
      </c>
      <c r="C2604" s="17" t="s">
        <v>8378</v>
      </c>
      <c r="D2604" s="17" t="s">
        <v>8379</v>
      </c>
      <c r="E2604" s="16" t="s">
        <v>11432</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45">
      <c r="A2605" s="15" t="s">
        <v>3136</v>
      </c>
      <c r="B2605" s="16" t="s">
        <v>5</v>
      </c>
      <c r="C2605" s="17" t="s">
        <v>8381</v>
      </c>
      <c r="D2605" s="17" t="s">
        <v>8382</v>
      </c>
      <c r="E2605" s="16" t="s">
        <v>11436</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45">
      <c r="A2606" s="15" t="s">
        <v>2677</v>
      </c>
      <c r="B2606" s="16" t="s">
        <v>5</v>
      </c>
      <c r="C2606" s="17" t="s">
        <v>8384</v>
      </c>
      <c r="D2606" s="17" t="s">
        <v>8385</v>
      </c>
      <c r="E2606" s="16" t="s">
        <v>11415</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45">
      <c r="A2607" s="15" t="s">
        <v>2361</v>
      </c>
      <c r="B2607" s="16" t="s">
        <v>5</v>
      </c>
      <c r="C2607" s="17" t="s">
        <v>8387</v>
      </c>
      <c r="D2607" s="17" t="s">
        <v>8388</v>
      </c>
      <c r="E2607" s="16" t="s">
        <v>11419</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45">
      <c r="A2608" s="15" t="s">
        <v>2917</v>
      </c>
      <c r="B2608" s="16" t="s">
        <v>5</v>
      </c>
      <c r="C2608" s="17" t="s">
        <v>8390</v>
      </c>
      <c r="D2608" s="17" t="s">
        <v>8391</v>
      </c>
      <c r="E2608" s="16" t="s">
        <v>11417</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45">
      <c r="A2609" s="15" t="s">
        <v>3055</v>
      </c>
      <c r="B2609" s="16" t="s">
        <v>5</v>
      </c>
      <c r="C2609" s="17" t="s">
        <v>8393</v>
      </c>
      <c r="D2609" s="17" t="s">
        <v>8394</v>
      </c>
      <c r="E2609" s="16" t="s">
        <v>11421</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45">
      <c r="A2610" s="15" t="s">
        <v>3130</v>
      </c>
      <c r="B2610" s="16" t="s">
        <v>5</v>
      </c>
      <c r="C2610" s="17" t="s">
        <v>8396</v>
      </c>
      <c r="D2610" s="17" t="s">
        <v>8397</v>
      </c>
      <c r="E2610" s="16" t="s">
        <v>11424</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45">
      <c r="A2611" s="15" t="s">
        <v>3133</v>
      </c>
      <c r="B2611" s="16" t="s">
        <v>5</v>
      </c>
      <c r="C2611" s="17" t="s">
        <v>8399</v>
      </c>
      <c r="D2611" s="17" t="s">
        <v>8400</v>
      </c>
      <c r="E2611" s="16" t="s">
        <v>11417</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45">
      <c r="A2612" s="15" t="s">
        <v>3154</v>
      </c>
      <c r="B2612" s="16" t="s">
        <v>5</v>
      </c>
      <c r="C2612" s="17" t="s">
        <v>8402</v>
      </c>
      <c r="D2612" s="17" t="s">
        <v>8403</v>
      </c>
      <c r="E2612" s="16" t="s">
        <v>11424</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45">
      <c r="A2613" s="15" t="s">
        <v>3166</v>
      </c>
      <c r="B2613" s="16" t="s">
        <v>5</v>
      </c>
      <c r="C2613" s="17" t="s">
        <v>8405</v>
      </c>
      <c r="D2613" s="17" t="s">
        <v>8406</v>
      </c>
      <c r="E2613" s="16" t="s">
        <v>11424</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45">
      <c r="A2614" s="15" t="s">
        <v>3223</v>
      </c>
      <c r="B2614" s="16" t="s">
        <v>5</v>
      </c>
      <c r="C2614" s="17" t="s">
        <v>8408</v>
      </c>
      <c r="D2614" s="17" t="s">
        <v>8409</v>
      </c>
      <c r="E2614" s="16" t="s">
        <v>11424</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45">
      <c r="A2615" s="15" t="s">
        <v>2908</v>
      </c>
      <c r="B2615" s="16" t="s">
        <v>5</v>
      </c>
      <c r="C2615" s="17" t="s">
        <v>8411</v>
      </c>
      <c r="D2615" s="17" t="s">
        <v>8412</v>
      </c>
      <c r="E2615" s="16" t="s">
        <v>11432</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45">
      <c r="A2616" s="15" t="s">
        <v>2608</v>
      </c>
      <c r="B2616" s="16" t="s">
        <v>5</v>
      </c>
      <c r="C2616" s="17" t="s">
        <v>8414</v>
      </c>
      <c r="D2616" s="17" t="s">
        <v>8415</v>
      </c>
      <c r="E2616" s="16" t="s">
        <v>11436</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45">
      <c r="A2617" s="15" t="s">
        <v>3160</v>
      </c>
      <c r="B2617" s="16" t="s">
        <v>5</v>
      </c>
      <c r="C2617" s="17" t="s">
        <v>8417</v>
      </c>
      <c r="D2617" s="17" t="s">
        <v>8418</v>
      </c>
      <c r="E2617" s="16" t="s">
        <v>11424</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45">
      <c r="A2618" s="15" t="s">
        <v>3307</v>
      </c>
      <c r="B2618" s="16" t="s">
        <v>5</v>
      </c>
      <c r="C2618" s="17" t="s">
        <v>8420</v>
      </c>
      <c r="D2618" s="17" t="s">
        <v>8421</v>
      </c>
      <c r="E2618" s="16" t="s">
        <v>11419</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45">
      <c r="A2619" s="15" t="s">
        <v>3157</v>
      </c>
      <c r="B2619" s="16" t="s">
        <v>5</v>
      </c>
      <c r="C2619" s="17" t="s">
        <v>8423</v>
      </c>
      <c r="D2619" s="17" t="s">
        <v>8424</v>
      </c>
      <c r="E2619" s="16" t="s">
        <v>11436</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45">
      <c r="A2620" s="15" t="s">
        <v>3169</v>
      </c>
      <c r="B2620" s="16" t="s">
        <v>5</v>
      </c>
      <c r="C2620" s="17" t="s">
        <v>8426</v>
      </c>
      <c r="D2620" s="17" t="s">
        <v>8427</v>
      </c>
      <c r="E2620" s="16" t="s">
        <v>11436</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45">
      <c r="A2621" s="15" t="s">
        <v>3313</v>
      </c>
      <c r="B2621" s="16" t="s">
        <v>5</v>
      </c>
      <c r="C2621" s="17" t="s">
        <v>8429</v>
      </c>
      <c r="D2621" s="17" t="s">
        <v>8430</v>
      </c>
      <c r="E2621" s="16" t="s">
        <v>11420</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45">
      <c r="A2622" s="15" t="s">
        <v>3238</v>
      </c>
      <c r="B2622" s="16" t="s">
        <v>5</v>
      </c>
      <c r="C2622" s="17" t="s">
        <v>8432</v>
      </c>
      <c r="D2622" s="17" t="s">
        <v>8433</v>
      </c>
      <c r="E2622" s="16" t="s">
        <v>11436</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45">
      <c r="A2623" s="15" t="s">
        <v>3241</v>
      </c>
      <c r="B2623" s="16" t="s">
        <v>5</v>
      </c>
      <c r="C2623" s="17" t="s">
        <v>8435</v>
      </c>
      <c r="D2623" s="17" t="s">
        <v>8436</v>
      </c>
      <c r="E2623" s="16" t="s">
        <v>11428</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45">
      <c r="A2624" s="15" t="s">
        <v>2983</v>
      </c>
      <c r="B2624" s="16" t="s">
        <v>5</v>
      </c>
      <c r="C2624" s="17" t="s">
        <v>8438</v>
      </c>
      <c r="D2624" s="17" t="s">
        <v>8439</v>
      </c>
      <c r="E2624" s="16" t="s">
        <v>11424</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45">
      <c r="A2625" s="15" t="s">
        <v>3073</v>
      </c>
      <c r="B2625" s="16" t="s">
        <v>5</v>
      </c>
      <c r="C2625" s="17" t="s">
        <v>8441</v>
      </c>
      <c r="D2625" s="17" t="s">
        <v>8442</v>
      </c>
      <c r="E2625" s="16" t="s">
        <v>11436</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45">
      <c r="A2626" s="15" t="s">
        <v>3091</v>
      </c>
      <c r="B2626" s="16" t="s">
        <v>5</v>
      </c>
      <c r="C2626" s="17" t="s">
        <v>8444</v>
      </c>
      <c r="D2626" s="17" t="s">
        <v>8445</v>
      </c>
      <c r="E2626" s="16" t="s">
        <v>11426</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45">
      <c r="A2627" s="15" t="s">
        <v>3097</v>
      </c>
      <c r="B2627" s="16" t="s">
        <v>5</v>
      </c>
      <c r="C2627" s="17" t="s">
        <v>8447</v>
      </c>
      <c r="D2627" s="17" t="s">
        <v>8448</v>
      </c>
      <c r="E2627" s="16" t="s">
        <v>11436</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45">
      <c r="A2628" s="15" t="s">
        <v>3142</v>
      </c>
      <c r="B2628" s="16" t="s">
        <v>5</v>
      </c>
      <c r="C2628" s="17" t="s">
        <v>8450</v>
      </c>
      <c r="D2628" s="17" t="s">
        <v>8451</v>
      </c>
      <c r="E2628" s="16" t="s">
        <v>11436</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45">
      <c r="A2629" s="15" t="s">
        <v>3316</v>
      </c>
      <c r="B2629" s="16" t="s">
        <v>5</v>
      </c>
      <c r="C2629" s="17" t="s">
        <v>8453</v>
      </c>
      <c r="D2629" s="17" t="s">
        <v>8454</v>
      </c>
      <c r="E2629" s="16" t="s">
        <v>11436</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45">
      <c r="A2630" s="15" t="s">
        <v>3442</v>
      </c>
      <c r="B2630" s="16" t="s">
        <v>5</v>
      </c>
      <c r="C2630" s="17" t="s">
        <v>8456</v>
      </c>
      <c r="D2630" s="17" t="s">
        <v>8457</v>
      </c>
      <c r="E2630" s="16" t="s">
        <v>11428</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45">
      <c r="A2631" s="15" t="s">
        <v>3040</v>
      </c>
      <c r="B2631" s="16" t="s">
        <v>5</v>
      </c>
      <c r="C2631" s="17" t="s">
        <v>8459</v>
      </c>
      <c r="D2631" s="17" t="s">
        <v>8460</v>
      </c>
      <c r="E2631" s="16" t="s">
        <v>11419</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45">
      <c r="A2632" s="15" t="s">
        <v>11361</v>
      </c>
      <c r="B2632" s="16" t="s">
        <v>5</v>
      </c>
      <c r="C2632" s="17" t="s">
        <v>8462</v>
      </c>
      <c r="D2632" s="17" t="s">
        <v>8463</v>
      </c>
      <c r="E2632" s="16" t="s">
        <v>11436</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45">
      <c r="A2633" s="15" t="s">
        <v>2995</v>
      </c>
      <c r="B2633" s="16" t="s">
        <v>5</v>
      </c>
      <c r="C2633" s="17" t="s">
        <v>8465</v>
      </c>
      <c r="D2633" s="17" t="s">
        <v>8466</v>
      </c>
      <c r="E2633" s="16" t="s">
        <v>11436</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45">
      <c r="A2634" s="15" t="s">
        <v>3064</v>
      </c>
      <c r="B2634" s="16" t="s">
        <v>5</v>
      </c>
      <c r="C2634" s="17" t="s">
        <v>8468</v>
      </c>
      <c r="D2634" s="17" t="s">
        <v>8469</v>
      </c>
      <c r="E2634" s="16" t="s">
        <v>11436</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45">
      <c r="A2635" s="15" t="s">
        <v>11362</v>
      </c>
      <c r="B2635" s="16" t="s">
        <v>5</v>
      </c>
      <c r="C2635" s="17" t="s">
        <v>8471</v>
      </c>
      <c r="D2635" s="17" t="s">
        <v>8472</v>
      </c>
      <c r="E2635" s="16" t="s">
        <v>11436</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45">
      <c r="A2636" s="15" t="s">
        <v>3103</v>
      </c>
      <c r="B2636" s="16" t="s">
        <v>5</v>
      </c>
      <c r="C2636" s="17" t="s">
        <v>8474</v>
      </c>
      <c r="D2636" s="17" t="s">
        <v>8475</v>
      </c>
      <c r="E2636" s="16" t="s">
        <v>11436</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45">
      <c r="A2637" s="15" t="s">
        <v>3145</v>
      </c>
      <c r="B2637" s="16" t="s">
        <v>5</v>
      </c>
      <c r="C2637" s="17" t="s">
        <v>8477</v>
      </c>
      <c r="D2637" s="17" t="s">
        <v>8478</v>
      </c>
      <c r="E2637" s="16" t="s">
        <v>11436</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45">
      <c r="A2638" s="15" t="s">
        <v>3151</v>
      </c>
      <c r="B2638" s="16" t="s">
        <v>5</v>
      </c>
      <c r="C2638" s="17" t="s">
        <v>8480</v>
      </c>
      <c r="D2638" s="17" t="s">
        <v>8481</v>
      </c>
      <c r="E2638" s="16" t="s">
        <v>11436</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45">
      <c r="A2639" s="15" t="s">
        <v>11363</v>
      </c>
      <c r="B2639" s="16" t="s">
        <v>5</v>
      </c>
      <c r="C2639" s="17" t="s">
        <v>8483</v>
      </c>
      <c r="D2639" s="17" t="s">
        <v>8484</v>
      </c>
      <c r="E2639" s="16" t="s">
        <v>11436</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45">
      <c r="A2640" s="15" t="s">
        <v>11364</v>
      </c>
      <c r="B2640" s="16" t="s">
        <v>5</v>
      </c>
      <c r="C2640" s="17" t="s">
        <v>8486</v>
      </c>
      <c r="D2640" s="17" t="s">
        <v>8487</v>
      </c>
      <c r="E2640" s="16" t="s">
        <v>11436</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45">
      <c r="A2641" s="15" t="s">
        <v>3226</v>
      </c>
      <c r="B2641" s="16" t="s">
        <v>5</v>
      </c>
      <c r="C2641" s="17" t="s">
        <v>8489</v>
      </c>
      <c r="D2641" s="17" t="s">
        <v>8490</v>
      </c>
      <c r="E2641" s="16" t="s">
        <v>11436</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45">
      <c r="A2642" s="15" t="s">
        <v>3373</v>
      </c>
      <c r="B2642" s="16" t="s">
        <v>5</v>
      </c>
      <c r="C2642" s="17" t="s">
        <v>8492</v>
      </c>
      <c r="D2642" s="17" t="s">
        <v>8493</v>
      </c>
      <c r="E2642" s="16" t="s">
        <v>11436</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45">
      <c r="A2643" s="15" t="s">
        <v>3094</v>
      </c>
      <c r="B2643" s="16" t="s">
        <v>5</v>
      </c>
      <c r="C2643" s="17" t="s">
        <v>8495</v>
      </c>
      <c r="D2643" s="17" t="s">
        <v>8496</v>
      </c>
      <c r="E2643" s="16" t="s">
        <v>11432</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45">
      <c r="A2644" s="15" t="s">
        <v>3385</v>
      </c>
      <c r="B2644" s="16" t="s">
        <v>5</v>
      </c>
      <c r="C2644" s="17" t="s">
        <v>8498</v>
      </c>
      <c r="D2644" s="17" t="s">
        <v>8499</v>
      </c>
      <c r="E2644" s="16" t="s">
        <v>11424</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45">
      <c r="A2645" s="15" t="s">
        <v>2959</v>
      </c>
      <c r="B2645" s="16" t="s">
        <v>5</v>
      </c>
      <c r="C2645" s="17" t="s">
        <v>8501</v>
      </c>
      <c r="D2645" s="17" t="s">
        <v>8502</v>
      </c>
      <c r="E2645" s="16" t="s">
        <v>11420</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45">
      <c r="A2646" s="15" t="s">
        <v>3088</v>
      </c>
      <c r="B2646" s="16" t="s">
        <v>5</v>
      </c>
      <c r="C2646" s="17" t="s">
        <v>8504</v>
      </c>
      <c r="D2646" s="17" t="s">
        <v>8505</v>
      </c>
      <c r="E2646" s="16" t="s">
        <v>11420</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45">
      <c r="A2647" s="15" t="s">
        <v>3514</v>
      </c>
      <c r="B2647" s="16" t="s">
        <v>5</v>
      </c>
      <c r="C2647" s="17" t="s">
        <v>8507</v>
      </c>
      <c r="D2647" s="17" t="s">
        <v>8508</v>
      </c>
      <c r="E2647" s="16" t="s">
        <v>11420</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45">
      <c r="A2648" s="15" t="s">
        <v>2866</v>
      </c>
      <c r="B2648" s="16" t="s">
        <v>5</v>
      </c>
      <c r="C2648" s="17" t="s">
        <v>8510</v>
      </c>
      <c r="D2648" s="17" t="s">
        <v>8511</v>
      </c>
      <c r="E2648" s="16" t="s">
        <v>11436</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45">
      <c r="A2649" s="15" t="s">
        <v>3025</v>
      </c>
      <c r="B2649" s="16" t="s">
        <v>5</v>
      </c>
      <c r="C2649" s="17" t="s">
        <v>8513</v>
      </c>
      <c r="D2649" s="17" t="s">
        <v>8514</v>
      </c>
      <c r="E2649" s="16" t="s">
        <v>11421</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45">
      <c r="A2650" s="15" t="s">
        <v>9544</v>
      </c>
      <c r="B2650" s="16" t="s">
        <v>5</v>
      </c>
      <c r="C2650" s="17" t="s">
        <v>8516</v>
      </c>
      <c r="D2650" s="17" t="s">
        <v>8517</v>
      </c>
      <c r="E2650" s="16" t="s">
        <v>11426</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45">
      <c r="A2651" s="15" t="s">
        <v>3115</v>
      </c>
      <c r="B2651" s="16" t="s">
        <v>5</v>
      </c>
      <c r="C2651" s="17" t="s">
        <v>8519</v>
      </c>
      <c r="D2651" s="17" t="s">
        <v>8520</v>
      </c>
      <c r="E2651" s="16" t="s">
        <v>11419</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45">
      <c r="A2652" s="15" t="s">
        <v>3148</v>
      </c>
      <c r="B2652" s="16" t="s">
        <v>5</v>
      </c>
      <c r="C2652" s="17" t="s">
        <v>8522</v>
      </c>
      <c r="D2652" s="17" t="s">
        <v>8523</v>
      </c>
      <c r="E2652" s="16" t="s">
        <v>11419</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45">
      <c r="A2653" s="15" t="s">
        <v>3376</v>
      </c>
      <c r="B2653" s="16" t="s">
        <v>5</v>
      </c>
      <c r="C2653" s="17" t="s">
        <v>8525</v>
      </c>
      <c r="D2653" s="17" t="s">
        <v>8526</v>
      </c>
      <c r="E2653" s="16" t="s">
        <v>11432</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45">
      <c r="A2654" s="15" t="s">
        <v>3448</v>
      </c>
      <c r="B2654" s="16" t="s">
        <v>5</v>
      </c>
      <c r="C2654" s="17" t="s">
        <v>8528</v>
      </c>
      <c r="D2654" s="17" t="s">
        <v>8529</v>
      </c>
      <c r="E2654" s="16" t="s">
        <v>11424</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45">
      <c r="A2655" s="15" t="s">
        <v>3454</v>
      </c>
      <c r="B2655" s="16" t="s">
        <v>5</v>
      </c>
      <c r="C2655" s="17" t="s">
        <v>8531</v>
      </c>
      <c r="D2655" s="17" t="s">
        <v>8532</v>
      </c>
      <c r="E2655" s="16" t="s">
        <v>11418</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45">
      <c r="A2656" s="15" t="s">
        <v>3511</v>
      </c>
      <c r="B2656" s="16" t="s">
        <v>5</v>
      </c>
      <c r="C2656" s="17" t="s">
        <v>8534</v>
      </c>
      <c r="D2656" s="17" t="s">
        <v>8535</v>
      </c>
      <c r="E2656" s="16" t="s">
        <v>11419</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45">
      <c r="A2657" s="15" t="s">
        <v>3526</v>
      </c>
      <c r="B2657" s="16" t="s">
        <v>5</v>
      </c>
      <c r="C2657" s="17" t="s">
        <v>8537</v>
      </c>
      <c r="D2657" s="17" t="s">
        <v>8538</v>
      </c>
      <c r="E2657" s="16" t="s">
        <v>11432</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45">
      <c r="A2658" s="15" t="s">
        <v>3587</v>
      </c>
      <c r="B2658" s="16" t="s">
        <v>5</v>
      </c>
      <c r="C2658" s="17" t="s">
        <v>8540</v>
      </c>
      <c r="D2658" s="17" t="s">
        <v>8541</v>
      </c>
      <c r="E2658" s="16" t="s">
        <v>11424</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45">
      <c r="A2659" s="15" t="s">
        <v>3656</v>
      </c>
      <c r="B2659" s="16" t="s">
        <v>5</v>
      </c>
      <c r="C2659" s="17" t="s">
        <v>8543</v>
      </c>
      <c r="D2659" s="17" t="s">
        <v>8544</v>
      </c>
      <c r="E2659" s="16" t="s">
        <v>11432</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45">
      <c r="A2660" s="15" t="s">
        <v>2869</v>
      </c>
      <c r="B2660" s="16" t="s">
        <v>5</v>
      </c>
      <c r="C2660" s="17" t="s">
        <v>8546</v>
      </c>
      <c r="D2660" s="17" t="s">
        <v>8547</v>
      </c>
      <c r="E2660" s="16" t="s">
        <v>11414</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45">
      <c r="A2661" s="15" t="s">
        <v>3388</v>
      </c>
      <c r="B2661" s="16" t="s">
        <v>5</v>
      </c>
      <c r="C2661" s="17" t="s">
        <v>8549</v>
      </c>
      <c r="D2661" s="17" t="s">
        <v>8550</v>
      </c>
      <c r="E2661" s="16" t="s">
        <v>11424</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45">
      <c r="A2662" s="15" t="s">
        <v>3770</v>
      </c>
      <c r="B2662" s="16" t="s">
        <v>5</v>
      </c>
      <c r="C2662" s="17" t="s">
        <v>8552</v>
      </c>
      <c r="D2662" s="17" t="s">
        <v>8553</v>
      </c>
      <c r="E2662" s="16" t="s">
        <v>11436</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45">
      <c r="A2663" s="15" t="s">
        <v>3379</v>
      </c>
      <c r="B2663" s="16" t="s">
        <v>5</v>
      </c>
      <c r="C2663" s="17" t="s">
        <v>8555</v>
      </c>
      <c r="D2663" s="17" t="s">
        <v>8556</v>
      </c>
      <c r="E2663" s="16" t="s">
        <v>11432</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45">
      <c r="A2664" s="15" t="s">
        <v>3127</v>
      </c>
      <c r="B2664" s="16" t="s">
        <v>5</v>
      </c>
      <c r="C2664" s="17" t="s">
        <v>8558</v>
      </c>
      <c r="D2664" s="17" t="s">
        <v>8559</v>
      </c>
      <c r="E2664" s="16" t="s">
        <v>11417</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45">
      <c r="A2665" s="15" t="s">
        <v>3139</v>
      </c>
      <c r="B2665" s="16" t="s">
        <v>5</v>
      </c>
      <c r="C2665" s="17" t="s">
        <v>8561</v>
      </c>
      <c r="D2665" s="17" t="s">
        <v>8562</v>
      </c>
      <c r="E2665" s="16" t="s">
        <v>11436</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45">
      <c r="A2666" s="15" t="s">
        <v>3659</v>
      </c>
      <c r="B2666" s="16" t="s">
        <v>5</v>
      </c>
      <c r="C2666" s="17" t="s">
        <v>8564</v>
      </c>
      <c r="D2666" s="17" t="s">
        <v>8565</v>
      </c>
      <c r="E2666" s="16" t="s">
        <v>11424</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45">
      <c r="A2667" s="15" t="s">
        <v>3785</v>
      </c>
      <c r="B2667" s="16" t="s">
        <v>5</v>
      </c>
      <c r="C2667" s="17" t="s">
        <v>8567</v>
      </c>
      <c r="D2667" s="17" t="s">
        <v>8568</v>
      </c>
      <c r="E2667" s="16" t="s">
        <v>11436</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45">
      <c r="A2668" s="15" t="s">
        <v>3232</v>
      </c>
      <c r="B2668" s="16" t="s">
        <v>5</v>
      </c>
      <c r="C2668" s="17" t="s">
        <v>8570</v>
      </c>
      <c r="D2668" s="17" t="s">
        <v>8571</v>
      </c>
      <c r="E2668" s="16" t="s">
        <v>11436</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45">
      <c r="A2669" s="15" t="s">
        <v>3529</v>
      </c>
      <c r="B2669" s="16" t="s">
        <v>5</v>
      </c>
      <c r="C2669" s="17" t="s">
        <v>8573</v>
      </c>
      <c r="D2669" s="17" t="s">
        <v>8574</v>
      </c>
      <c r="E2669" s="16" t="s">
        <v>11426</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45">
      <c r="A2670" s="15" t="s">
        <v>3953</v>
      </c>
      <c r="B2670" s="16" t="s">
        <v>5</v>
      </c>
      <c r="C2670" s="17" t="s">
        <v>8576</v>
      </c>
      <c r="D2670" s="17" t="s">
        <v>8577</v>
      </c>
      <c r="E2670" s="16" t="s">
        <v>11432</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45">
      <c r="A2671" s="15" t="s">
        <v>3974</v>
      </c>
      <c r="B2671" s="16" t="s">
        <v>5</v>
      </c>
      <c r="C2671" s="17" t="s">
        <v>8579</v>
      </c>
      <c r="D2671" s="17" t="s">
        <v>8580</v>
      </c>
      <c r="E2671" s="16" t="s">
        <v>11419</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45">
      <c r="A2672" s="15" t="s">
        <v>3710</v>
      </c>
      <c r="B2672" s="16" t="s">
        <v>5</v>
      </c>
      <c r="C2672" s="17" t="s">
        <v>8582</v>
      </c>
      <c r="D2672" s="17" t="s">
        <v>8583</v>
      </c>
      <c r="E2672" s="16" t="s">
        <v>11419</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45">
      <c r="A2673" s="15" t="s">
        <v>3517</v>
      </c>
      <c r="B2673" s="16" t="s">
        <v>5</v>
      </c>
      <c r="C2673" s="17" t="s">
        <v>8585</v>
      </c>
      <c r="D2673" s="17" t="s">
        <v>8586</v>
      </c>
      <c r="E2673" s="16" t="s">
        <v>11419</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45">
      <c r="A2674" s="15" t="s">
        <v>2974</v>
      </c>
      <c r="B2674" s="16" t="s">
        <v>5</v>
      </c>
      <c r="C2674" s="17" t="s">
        <v>8588</v>
      </c>
      <c r="D2674" s="17" t="s">
        <v>8589</v>
      </c>
      <c r="E2674" s="16" t="s">
        <v>11432</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45">
      <c r="A2675" s="15" t="s">
        <v>3121</v>
      </c>
      <c r="B2675" s="16" t="s">
        <v>5</v>
      </c>
      <c r="C2675" s="17" t="s">
        <v>8591</v>
      </c>
      <c r="D2675" s="17" t="s">
        <v>8592</v>
      </c>
      <c r="E2675" s="16" t="s">
        <v>11432</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45">
      <c r="A2676" s="15" t="s">
        <v>3163</v>
      </c>
      <c r="B2676" s="16" t="s">
        <v>5</v>
      </c>
      <c r="C2676" s="17" t="s">
        <v>8594</v>
      </c>
      <c r="D2676" s="17" t="s">
        <v>8595</v>
      </c>
      <c r="E2676" s="16" t="s">
        <v>11432</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45">
      <c r="A2677" s="15" t="s">
        <v>3229</v>
      </c>
      <c r="B2677" s="16" t="s">
        <v>5</v>
      </c>
      <c r="C2677" s="17" t="s">
        <v>8597</v>
      </c>
      <c r="D2677" s="17" t="s">
        <v>8598</v>
      </c>
      <c r="E2677" s="16" t="s">
        <v>11436</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45">
      <c r="A2678" s="15" t="s">
        <v>3382</v>
      </c>
      <c r="B2678" s="16" t="s">
        <v>5</v>
      </c>
      <c r="C2678" s="17" t="s">
        <v>8600</v>
      </c>
      <c r="D2678" s="17" t="s">
        <v>8601</v>
      </c>
      <c r="E2678" s="16" t="s">
        <v>11424</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45">
      <c r="A2679" s="15" t="s">
        <v>3520</v>
      </c>
      <c r="B2679" s="16" t="s">
        <v>5</v>
      </c>
      <c r="C2679" s="17" t="s">
        <v>8603</v>
      </c>
      <c r="D2679" s="17" t="s">
        <v>8604</v>
      </c>
      <c r="E2679" s="16" t="s">
        <v>11436</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45">
      <c r="A2680" s="15" t="s">
        <v>3590</v>
      </c>
      <c r="B2680" s="16" t="s">
        <v>5</v>
      </c>
      <c r="C2680" s="17" t="s">
        <v>8606</v>
      </c>
      <c r="D2680" s="17" t="s">
        <v>8607</v>
      </c>
      <c r="E2680" s="16" t="s">
        <v>11436</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45">
      <c r="A2681" s="15" t="s">
        <v>3593</v>
      </c>
      <c r="B2681" s="16" t="s">
        <v>5</v>
      </c>
      <c r="C2681" s="17" t="s">
        <v>8609</v>
      </c>
      <c r="D2681" s="17" t="s">
        <v>8610</v>
      </c>
      <c r="E2681" s="16" t="s">
        <v>11426</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45">
      <c r="A2682" s="15" t="s">
        <v>3596</v>
      </c>
      <c r="B2682" s="16" t="s">
        <v>5</v>
      </c>
      <c r="C2682" s="17" t="s">
        <v>8612</v>
      </c>
      <c r="D2682" s="17" t="s">
        <v>8613</v>
      </c>
      <c r="E2682" s="16" t="s">
        <v>11424</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45">
      <c r="A2683" s="15" t="s">
        <v>3653</v>
      </c>
      <c r="B2683" s="16" t="s">
        <v>5</v>
      </c>
      <c r="C2683" s="17" t="s">
        <v>8615</v>
      </c>
      <c r="D2683" s="17" t="s">
        <v>8616</v>
      </c>
      <c r="E2683" s="16" t="s">
        <v>11436</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45">
      <c r="A2684" s="15" t="s">
        <v>3719</v>
      </c>
      <c r="B2684" s="16" t="s">
        <v>5</v>
      </c>
      <c r="C2684" s="17" t="s">
        <v>8618</v>
      </c>
      <c r="D2684" s="17" t="s">
        <v>8619</v>
      </c>
      <c r="E2684" s="16" t="s">
        <v>11426</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45">
      <c r="A2685" s="15" t="s">
        <v>3767</v>
      </c>
      <c r="B2685" s="16" t="s">
        <v>5</v>
      </c>
      <c r="C2685" s="17" t="s">
        <v>8621</v>
      </c>
      <c r="D2685" s="17" t="s">
        <v>8622</v>
      </c>
      <c r="E2685" s="16" t="s">
        <v>11436</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45">
      <c r="A2686" s="15" t="s">
        <v>3773</v>
      </c>
      <c r="B2686" s="16" t="s">
        <v>5</v>
      </c>
      <c r="C2686" s="17" t="s">
        <v>8624</v>
      </c>
      <c r="D2686" s="17" t="s">
        <v>8625</v>
      </c>
      <c r="E2686" s="16" t="s">
        <v>11424</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45">
      <c r="A2687" s="15" t="s">
        <v>3779</v>
      </c>
      <c r="B2687" s="16" t="s">
        <v>5</v>
      </c>
      <c r="C2687" s="17" t="s">
        <v>8627</v>
      </c>
      <c r="D2687" s="17" t="s">
        <v>8628</v>
      </c>
      <c r="E2687" s="16" t="s">
        <v>11437</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45">
      <c r="A2688" s="15" t="s">
        <v>3851</v>
      </c>
      <c r="B2688" s="16" t="s">
        <v>5</v>
      </c>
      <c r="C2688" s="17" t="s">
        <v>8630</v>
      </c>
      <c r="D2688" s="17" t="s">
        <v>8631</v>
      </c>
      <c r="E2688" s="16" t="s">
        <v>11432</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45">
      <c r="A2689" s="15" t="s">
        <v>3857</v>
      </c>
      <c r="B2689" s="16" t="s">
        <v>5</v>
      </c>
      <c r="C2689" s="17" t="s">
        <v>8633</v>
      </c>
      <c r="D2689" s="17" t="s">
        <v>8634</v>
      </c>
      <c r="E2689" s="16" t="s">
        <v>11437</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45">
      <c r="A2690" s="15" t="s">
        <v>3908</v>
      </c>
      <c r="B2690" s="16" t="s">
        <v>5</v>
      </c>
      <c r="C2690" s="17" t="s">
        <v>8636</v>
      </c>
      <c r="D2690" s="17" t="s">
        <v>8637</v>
      </c>
      <c r="E2690" s="16" t="s">
        <v>11432</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45">
      <c r="A2691" s="15" t="s">
        <v>3944</v>
      </c>
      <c r="B2691" s="16" t="s">
        <v>5</v>
      </c>
      <c r="C2691" s="17" t="s">
        <v>8639</v>
      </c>
      <c r="D2691" s="17" t="s">
        <v>8640</v>
      </c>
      <c r="E2691" s="16" t="s">
        <v>11420</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45">
      <c r="A2692" s="15" t="s">
        <v>3971</v>
      </c>
      <c r="B2692" s="16" t="s">
        <v>5</v>
      </c>
      <c r="C2692" s="17" t="s">
        <v>8642</v>
      </c>
      <c r="D2692" s="17" t="s">
        <v>8643</v>
      </c>
      <c r="E2692" s="16" t="s">
        <v>11428</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45">
      <c r="A2693" s="15" t="s">
        <v>4001</v>
      </c>
      <c r="B2693" s="16" t="s">
        <v>5</v>
      </c>
      <c r="C2693" s="17" t="s">
        <v>8645</v>
      </c>
      <c r="D2693" s="17" t="s">
        <v>8646</v>
      </c>
      <c r="E2693" s="16" t="s">
        <v>11436</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45">
      <c r="A2694" s="15" t="s">
        <v>3067</v>
      </c>
      <c r="B2694" s="16" t="s">
        <v>5</v>
      </c>
      <c r="C2694" s="17" t="s">
        <v>8648</v>
      </c>
      <c r="D2694" s="17" t="s">
        <v>8649</v>
      </c>
      <c r="E2694" s="16" t="s">
        <v>11420</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45">
      <c r="A2695" s="15" t="s">
        <v>3082</v>
      </c>
      <c r="B2695" s="16" t="s">
        <v>5</v>
      </c>
      <c r="C2695" s="17" t="s">
        <v>8651</v>
      </c>
      <c r="D2695" s="17" t="s">
        <v>8652</v>
      </c>
      <c r="E2695" s="16" t="s">
        <v>11424</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45">
      <c r="A2696" s="15" t="s">
        <v>3100</v>
      </c>
      <c r="B2696" s="16" t="s">
        <v>5</v>
      </c>
      <c r="C2696" s="17" t="s">
        <v>8654</v>
      </c>
      <c r="D2696" s="17" t="s">
        <v>8655</v>
      </c>
      <c r="E2696" s="16" t="s">
        <v>11436</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45">
      <c r="A2697" s="15" t="s">
        <v>3172</v>
      </c>
      <c r="B2697" s="16" t="s">
        <v>5</v>
      </c>
      <c r="C2697" s="17" t="s">
        <v>8657</v>
      </c>
      <c r="D2697" s="17" t="s">
        <v>8658</v>
      </c>
      <c r="E2697" s="16" t="s">
        <v>11428</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45">
      <c r="A2698" s="15" t="s">
        <v>3310</v>
      </c>
      <c r="B2698" s="16" t="s">
        <v>5</v>
      </c>
      <c r="C2698" s="17" t="s">
        <v>8660</v>
      </c>
      <c r="D2698" s="17" t="s">
        <v>8661</v>
      </c>
      <c r="E2698" s="16" t="s">
        <v>11424</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45">
      <c r="A2699" s="15" t="s">
        <v>3445</v>
      </c>
      <c r="B2699" s="16" t="s">
        <v>5</v>
      </c>
      <c r="C2699" s="17" t="s">
        <v>8663</v>
      </c>
      <c r="D2699" s="17" t="s">
        <v>8664</v>
      </c>
      <c r="E2699" s="16" t="s">
        <v>11437</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45">
      <c r="A2700" s="15" t="s">
        <v>3451</v>
      </c>
      <c r="B2700" s="16" t="s">
        <v>5</v>
      </c>
      <c r="C2700" s="17" t="s">
        <v>8666</v>
      </c>
      <c r="D2700" s="17" t="s">
        <v>8667</v>
      </c>
      <c r="E2700" s="16" t="s">
        <v>11424</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45">
      <c r="A2701" s="15" t="s">
        <v>3584</v>
      </c>
      <c r="B2701" s="16" t="s">
        <v>5</v>
      </c>
      <c r="C2701" s="17" t="s">
        <v>8669</v>
      </c>
      <c r="D2701" s="17" t="s">
        <v>8670</v>
      </c>
      <c r="E2701" s="16" t="s">
        <v>11419</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45">
      <c r="A2702" s="15" t="s">
        <v>3776</v>
      </c>
      <c r="B2702" s="16" t="s">
        <v>5</v>
      </c>
      <c r="C2702" s="17" t="s">
        <v>8672</v>
      </c>
      <c r="D2702" s="17" t="s">
        <v>8673</v>
      </c>
      <c r="E2702" s="16" t="s">
        <v>11437</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45">
      <c r="A2703" s="15" t="s">
        <v>3845</v>
      </c>
      <c r="B2703" s="16" t="s">
        <v>5</v>
      </c>
      <c r="C2703" s="17" t="s">
        <v>8675</v>
      </c>
      <c r="D2703" s="17" t="s">
        <v>8676</v>
      </c>
      <c r="E2703" s="16" t="s">
        <v>11436</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45">
      <c r="A2704" s="15" t="s">
        <v>3848</v>
      </c>
      <c r="B2704" s="16" t="s">
        <v>5</v>
      </c>
      <c r="C2704" s="17" t="s">
        <v>8678</v>
      </c>
      <c r="D2704" s="17" t="s">
        <v>8679</v>
      </c>
      <c r="E2704" s="16" t="s">
        <v>11437</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45">
      <c r="A2705" s="15" t="s">
        <v>3905</v>
      </c>
      <c r="B2705" s="16" t="s">
        <v>5</v>
      </c>
      <c r="C2705" s="17" t="s">
        <v>8681</v>
      </c>
      <c r="D2705" s="17" t="s">
        <v>8682</v>
      </c>
      <c r="E2705" s="16" t="s">
        <v>11436</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45">
      <c r="A2706" s="15" t="s">
        <v>3947</v>
      </c>
      <c r="B2706" s="16" t="s">
        <v>5</v>
      </c>
      <c r="C2706" s="17" t="s">
        <v>8684</v>
      </c>
      <c r="D2706" s="17" t="s">
        <v>8685</v>
      </c>
      <c r="E2706" s="16" t="s">
        <v>11414</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45">
      <c r="A2707" s="15" t="s">
        <v>3962</v>
      </c>
      <c r="B2707" s="16" t="s">
        <v>5</v>
      </c>
      <c r="C2707" s="17" t="s">
        <v>8687</v>
      </c>
      <c r="D2707" s="17" t="s">
        <v>8688</v>
      </c>
      <c r="E2707" s="16" t="s">
        <v>11424</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45">
      <c r="A2708" s="15" t="s">
        <v>3998</v>
      </c>
      <c r="B2708" s="16" t="s">
        <v>5</v>
      </c>
      <c r="C2708" s="17" t="s">
        <v>8690</v>
      </c>
      <c r="D2708" s="17" t="s">
        <v>8691</v>
      </c>
      <c r="E2708" s="16" t="s">
        <v>11420</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45">
      <c r="A2709" s="15" t="s">
        <v>4013</v>
      </c>
      <c r="B2709" s="16" t="s">
        <v>5</v>
      </c>
      <c r="C2709" s="17" t="s">
        <v>8693</v>
      </c>
      <c r="D2709" s="17" t="s">
        <v>8694</v>
      </c>
      <c r="E2709" s="16" t="s">
        <v>11436</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45">
      <c r="A2710" s="15" t="s">
        <v>3986</v>
      </c>
      <c r="B2710" s="16" t="s">
        <v>5</v>
      </c>
      <c r="C2710" s="17" t="s">
        <v>8696</v>
      </c>
      <c r="D2710" s="17" t="s">
        <v>8697</v>
      </c>
      <c r="E2710" s="16" t="s">
        <v>11436</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45">
      <c r="A2711" s="15" t="s">
        <v>2364</v>
      </c>
      <c r="B2711" s="16" t="s">
        <v>5</v>
      </c>
      <c r="C2711" s="17" t="s">
        <v>8699</v>
      </c>
      <c r="D2711" s="17" t="s">
        <v>8700</v>
      </c>
      <c r="E2711" s="16" t="s">
        <v>11419</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45">
      <c r="A2712" s="15" t="s">
        <v>3782</v>
      </c>
      <c r="B2712" s="16" t="s">
        <v>5</v>
      </c>
      <c r="C2712" s="17" t="s">
        <v>8702</v>
      </c>
      <c r="D2712" s="17" t="s">
        <v>8703</v>
      </c>
      <c r="E2712" s="16" t="s">
        <v>11424</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45">
      <c r="A2713" s="15" t="s">
        <v>3950</v>
      </c>
      <c r="B2713" s="16" t="s">
        <v>5</v>
      </c>
      <c r="C2713" s="17" t="s">
        <v>8705</v>
      </c>
      <c r="D2713" s="17" t="s">
        <v>8706</v>
      </c>
      <c r="E2713" s="16" t="s">
        <v>11428</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45">
      <c r="A2714" s="15" t="s">
        <v>3959</v>
      </c>
      <c r="B2714" s="16" t="s">
        <v>5</v>
      </c>
      <c r="C2714" s="17" t="s">
        <v>8708</v>
      </c>
      <c r="D2714" s="17" t="s">
        <v>8709</v>
      </c>
      <c r="E2714" s="16" t="s">
        <v>11417</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45">
      <c r="A2715" s="15" t="s">
        <v>3956</v>
      </c>
      <c r="B2715" s="16" t="s">
        <v>5</v>
      </c>
      <c r="C2715" s="17" t="s">
        <v>8711</v>
      </c>
      <c r="D2715" s="17" t="s">
        <v>8712</v>
      </c>
      <c r="E2715" s="16" t="s">
        <v>11437</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45">
      <c r="A2716" s="15" t="s">
        <v>3968</v>
      </c>
      <c r="B2716" s="16" t="s">
        <v>5</v>
      </c>
      <c r="C2716" s="17" t="s">
        <v>8714</v>
      </c>
      <c r="D2716" s="17" t="s">
        <v>8715</v>
      </c>
      <c r="E2716" s="16" t="s">
        <v>11436</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45">
      <c r="A2717" s="15" t="s">
        <v>3983</v>
      </c>
      <c r="B2717" s="16" t="s">
        <v>5</v>
      </c>
      <c r="C2717" s="17" t="s">
        <v>8717</v>
      </c>
      <c r="D2717" s="17" t="s">
        <v>8718</v>
      </c>
      <c r="E2717" s="16" t="s">
        <v>11432</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45">
      <c r="A2718" s="15" t="s">
        <v>3989</v>
      </c>
      <c r="B2718" s="16" t="s">
        <v>5</v>
      </c>
      <c r="C2718" s="17" t="s">
        <v>8720</v>
      </c>
      <c r="D2718" s="17" t="s">
        <v>8721</v>
      </c>
      <c r="E2718" s="16" t="s">
        <v>11436</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45">
      <c r="A2719" s="15" t="s">
        <v>4034</v>
      </c>
      <c r="B2719" s="16" t="s">
        <v>5</v>
      </c>
      <c r="C2719" s="17" t="s">
        <v>8723</v>
      </c>
      <c r="D2719" s="17" t="s">
        <v>8724</v>
      </c>
      <c r="E2719" s="16" t="s">
        <v>11436</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45">
      <c r="A2720" s="15" t="s">
        <v>3977</v>
      </c>
      <c r="B2720" s="16" t="s">
        <v>5</v>
      </c>
      <c r="C2720" s="17" t="s">
        <v>8726</v>
      </c>
      <c r="D2720" s="17" t="s">
        <v>8727</v>
      </c>
      <c r="E2720" s="16" t="s">
        <v>11436</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45">
      <c r="A2721" s="15" t="s">
        <v>4058</v>
      </c>
      <c r="B2721" s="16" t="s">
        <v>5</v>
      </c>
      <c r="C2721" s="17" t="s">
        <v>8729</v>
      </c>
      <c r="D2721" s="17" t="s">
        <v>8730</v>
      </c>
      <c r="E2721" s="16" t="s">
        <v>11432</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45">
      <c r="A2722" s="15" t="s">
        <v>4067</v>
      </c>
      <c r="B2722" s="16" t="s">
        <v>5</v>
      </c>
      <c r="C2722" s="17" t="s">
        <v>8732</v>
      </c>
      <c r="D2722" s="17" t="s">
        <v>8733</v>
      </c>
      <c r="E2722" s="16" t="s">
        <v>11414</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45">
      <c r="A2723" s="15" t="s">
        <v>4031</v>
      </c>
      <c r="B2723" s="16" t="s">
        <v>5</v>
      </c>
      <c r="C2723" s="17" t="s">
        <v>8735</v>
      </c>
      <c r="D2723" s="17" t="s">
        <v>8736</v>
      </c>
      <c r="E2723" s="16" t="s">
        <v>11419</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45">
      <c r="A2724" s="15" t="s">
        <v>4010</v>
      </c>
      <c r="B2724" s="16" t="s">
        <v>5</v>
      </c>
      <c r="C2724" s="17" t="s">
        <v>8738</v>
      </c>
      <c r="D2724" s="17" t="s">
        <v>8739</v>
      </c>
      <c r="E2724" s="16" t="s">
        <v>11419</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45">
      <c r="A2725" s="15" t="s">
        <v>4022</v>
      </c>
      <c r="B2725" s="16" t="s">
        <v>5</v>
      </c>
      <c r="C2725" s="17" t="s">
        <v>8741</v>
      </c>
      <c r="D2725" s="17" t="s">
        <v>8742</v>
      </c>
      <c r="E2725" s="16" t="s">
        <v>11419</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45">
      <c r="A2726" s="15" t="s">
        <v>3581</v>
      </c>
      <c r="B2726" s="16" t="s">
        <v>5</v>
      </c>
      <c r="C2726" s="17" t="s">
        <v>8744</v>
      </c>
      <c r="D2726" s="17" t="s">
        <v>8745</v>
      </c>
      <c r="E2726" s="16" t="s">
        <v>11436</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45">
      <c r="A2727" s="15" t="s">
        <v>3716</v>
      </c>
      <c r="B2727" s="16" t="s">
        <v>5</v>
      </c>
      <c r="C2727" s="17" t="s">
        <v>8747</v>
      </c>
      <c r="D2727" s="17" t="s">
        <v>8748</v>
      </c>
      <c r="E2727" s="16" t="s">
        <v>11426</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45">
      <c r="A2728" s="15" t="s">
        <v>4007</v>
      </c>
      <c r="B2728" s="16" t="s">
        <v>5</v>
      </c>
      <c r="C2728" s="17" t="s">
        <v>8750</v>
      </c>
      <c r="D2728" s="17" t="s">
        <v>8751</v>
      </c>
      <c r="E2728" s="16" t="s">
        <v>11424</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45">
      <c r="A2729" s="15" t="s">
        <v>4127</v>
      </c>
      <c r="B2729" s="16" t="s">
        <v>5</v>
      </c>
      <c r="C2729" s="17" t="s">
        <v>8753</v>
      </c>
      <c r="D2729" s="17" t="s">
        <v>8754</v>
      </c>
      <c r="E2729" s="16" t="s">
        <v>11419</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45">
      <c r="A2730" s="15" t="s">
        <v>4049</v>
      </c>
      <c r="B2730" s="16" t="s">
        <v>5</v>
      </c>
      <c r="C2730" s="17" t="s">
        <v>8756</v>
      </c>
      <c r="D2730" s="17" t="s">
        <v>8757</v>
      </c>
      <c r="E2730" s="16" t="s">
        <v>11419</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45">
      <c r="A2731" s="15" t="s">
        <v>4136</v>
      </c>
      <c r="B2731" s="16" t="s">
        <v>5</v>
      </c>
      <c r="C2731" s="17" t="s">
        <v>8759</v>
      </c>
      <c r="D2731" s="17" t="s">
        <v>8760</v>
      </c>
      <c r="E2731" s="16" t="s">
        <v>11419</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45">
      <c r="A2732" s="15" t="s">
        <v>3902</v>
      </c>
      <c r="B2732" s="16" t="s">
        <v>5</v>
      </c>
      <c r="C2732" s="17" t="s">
        <v>8762</v>
      </c>
      <c r="D2732" s="17" t="s">
        <v>8763</v>
      </c>
      <c r="E2732" s="16" t="s">
        <v>11436</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45">
      <c r="A2733" s="15" t="s">
        <v>4028</v>
      </c>
      <c r="B2733" s="16" t="s">
        <v>5</v>
      </c>
      <c r="C2733" s="17" t="s">
        <v>8765</v>
      </c>
      <c r="D2733" s="17" t="s">
        <v>8766</v>
      </c>
      <c r="E2733" s="16" t="s">
        <v>11420</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45">
      <c r="A2734" s="15" t="s">
        <v>4070</v>
      </c>
      <c r="B2734" s="16" t="s">
        <v>5</v>
      </c>
      <c r="C2734" s="17" t="s">
        <v>8768</v>
      </c>
      <c r="D2734" s="17" t="s">
        <v>8769</v>
      </c>
      <c r="E2734" s="16" t="s">
        <v>11436</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45">
      <c r="A2735" s="15" t="s">
        <v>3235</v>
      </c>
      <c r="B2735" s="16" t="s">
        <v>5</v>
      </c>
      <c r="C2735" s="17" t="s">
        <v>8771</v>
      </c>
      <c r="D2735" s="17" t="s">
        <v>8772</v>
      </c>
      <c r="E2735" s="16" t="s">
        <v>11436</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45">
      <c r="A2736" s="15" t="s">
        <v>3523</v>
      </c>
      <c r="B2736" s="16" t="s">
        <v>5</v>
      </c>
      <c r="C2736" s="17" t="s">
        <v>8774</v>
      </c>
      <c r="D2736" s="17" t="s">
        <v>8775</v>
      </c>
      <c r="E2736" s="16" t="s">
        <v>11436</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45">
      <c r="A2737" s="15" t="s">
        <v>4016</v>
      </c>
      <c r="B2737" s="16" t="s">
        <v>5</v>
      </c>
      <c r="C2737" s="17" t="s">
        <v>8777</v>
      </c>
      <c r="D2737" s="17" t="s">
        <v>8778</v>
      </c>
      <c r="E2737" s="16" t="s">
        <v>11425</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45">
      <c r="A2738" s="15" t="s">
        <v>4037</v>
      </c>
      <c r="B2738" s="16" t="s">
        <v>5</v>
      </c>
      <c r="C2738" s="17" t="s">
        <v>8780</v>
      </c>
      <c r="D2738" s="17" t="s">
        <v>8781</v>
      </c>
      <c r="E2738" s="16" t="s">
        <v>11420</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45">
      <c r="A2739" s="15" t="s">
        <v>4052</v>
      </c>
      <c r="B2739" s="16" t="s">
        <v>5</v>
      </c>
      <c r="C2739" s="17" t="s">
        <v>8783</v>
      </c>
      <c r="D2739" s="17" t="s">
        <v>8784</v>
      </c>
      <c r="E2739" s="16" t="s">
        <v>11420</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45">
      <c r="A2740" s="15" t="s">
        <v>4055</v>
      </c>
      <c r="B2740" s="16" t="s">
        <v>5</v>
      </c>
      <c r="C2740" s="17" t="s">
        <v>8786</v>
      </c>
      <c r="D2740" s="17" t="s">
        <v>8787</v>
      </c>
      <c r="E2740" s="16" t="s">
        <v>11437</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45">
      <c r="A2741" s="15" t="s">
        <v>11365</v>
      </c>
      <c r="B2741" s="16" t="s">
        <v>5</v>
      </c>
      <c r="C2741" s="17" t="s">
        <v>8789</v>
      </c>
      <c r="D2741" s="17" t="s">
        <v>8790</v>
      </c>
      <c r="E2741" s="16" t="s">
        <v>11426</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45">
      <c r="A2742" s="15" t="s">
        <v>4061</v>
      </c>
      <c r="B2742" s="16" t="s">
        <v>5</v>
      </c>
      <c r="C2742" s="17" t="s">
        <v>8792</v>
      </c>
      <c r="D2742" s="17" t="s">
        <v>8793</v>
      </c>
      <c r="E2742" s="16" t="s">
        <v>11414</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45">
      <c r="A2743" s="15" t="s">
        <v>4076</v>
      </c>
      <c r="B2743" s="16" t="s">
        <v>5</v>
      </c>
      <c r="C2743" s="17" t="s">
        <v>8795</v>
      </c>
      <c r="D2743" s="17" t="s">
        <v>8796</v>
      </c>
      <c r="E2743" s="16" t="s">
        <v>11414</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45">
      <c r="A2744" s="15" t="s">
        <v>4085</v>
      </c>
      <c r="B2744" s="16" t="s">
        <v>5</v>
      </c>
      <c r="C2744" s="17" t="s">
        <v>8798</v>
      </c>
      <c r="D2744" s="17" t="s">
        <v>8799</v>
      </c>
      <c r="E2744" s="16" t="s">
        <v>11420</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45">
      <c r="A2745" s="15" t="s">
        <v>4088</v>
      </c>
      <c r="B2745" s="16" t="s">
        <v>5</v>
      </c>
      <c r="C2745" s="17" t="s">
        <v>8801</v>
      </c>
      <c r="D2745" s="17" t="s">
        <v>8802</v>
      </c>
      <c r="E2745" s="16" t="s">
        <v>11436</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45">
      <c r="A2746" s="15" t="s">
        <v>4091</v>
      </c>
      <c r="B2746" s="16" t="s">
        <v>5</v>
      </c>
      <c r="C2746" s="17" t="s">
        <v>8804</v>
      </c>
      <c r="D2746" s="17" t="s">
        <v>8805</v>
      </c>
      <c r="E2746" s="16" t="s">
        <v>11432</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45">
      <c r="A2747" s="15" t="s">
        <v>4097</v>
      </c>
      <c r="B2747" s="16" t="s">
        <v>5</v>
      </c>
      <c r="C2747" s="17" t="s">
        <v>8807</v>
      </c>
      <c r="D2747" s="17" t="s">
        <v>8808</v>
      </c>
      <c r="E2747" s="16" t="s">
        <v>11414</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45">
      <c r="A2748" s="15" t="s">
        <v>4100</v>
      </c>
      <c r="B2748" s="16" t="s">
        <v>5</v>
      </c>
      <c r="C2748" s="17" t="s">
        <v>8810</v>
      </c>
      <c r="D2748" s="17" t="s">
        <v>8811</v>
      </c>
      <c r="E2748" s="16" t="s">
        <v>11432</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45">
      <c r="A2749" s="15" t="s">
        <v>4115</v>
      </c>
      <c r="B2749" s="16" t="s">
        <v>5</v>
      </c>
      <c r="C2749" s="17" t="s">
        <v>8813</v>
      </c>
      <c r="D2749" s="17" t="s">
        <v>8814</v>
      </c>
      <c r="E2749" s="16" t="s">
        <v>11436</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45">
      <c r="A2750" s="15" t="s">
        <v>4118</v>
      </c>
      <c r="B2750" s="16" t="s">
        <v>5</v>
      </c>
      <c r="C2750" s="17" t="s">
        <v>8816</v>
      </c>
      <c r="D2750" s="17" t="s">
        <v>8817</v>
      </c>
      <c r="E2750" s="16" t="s">
        <v>11437</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45">
      <c r="A2751" s="15" t="s">
        <v>4121</v>
      </c>
      <c r="B2751" s="16" t="s">
        <v>5</v>
      </c>
      <c r="C2751" s="17" t="s">
        <v>8819</v>
      </c>
      <c r="D2751" s="17" t="s">
        <v>8820</v>
      </c>
      <c r="E2751" s="16" t="s">
        <v>11420</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45">
      <c r="A2752" s="15" t="s">
        <v>4130</v>
      </c>
      <c r="B2752" s="16" t="s">
        <v>5</v>
      </c>
      <c r="C2752" s="17" t="s">
        <v>8822</v>
      </c>
      <c r="D2752" s="17" t="s">
        <v>8823</v>
      </c>
      <c r="E2752" s="16" t="s">
        <v>11420</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45">
      <c r="A2753" s="15" t="s">
        <v>4151</v>
      </c>
      <c r="B2753" s="16" t="s">
        <v>5</v>
      </c>
      <c r="C2753" s="17" t="s">
        <v>8825</v>
      </c>
      <c r="D2753" s="17" t="s">
        <v>8826</v>
      </c>
      <c r="E2753" s="16" t="s">
        <v>11420</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45">
      <c r="A2754" s="15" t="s">
        <v>4178</v>
      </c>
      <c r="B2754" s="16" t="s">
        <v>5</v>
      </c>
      <c r="C2754" s="17" t="s">
        <v>8828</v>
      </c>
      <c r="D2754" s="17" t="s">
        <v>8829</v>
      </c>
      <c r="E2754" s="16" t="s">
        <v>11437</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45">
      <c r="A2755" s="15" t="s">
        <v>3911</v>
      </c>
      <c r="B2755" s="16" t="s">
        <v>5</v>
      </c>
      <c r="C2755" s="17" t="s">
        <v>8831</v>
      </c>
      <c r="D2755" s="17" t="s">
        <v>8832</v>
      </c>
      <c r="E2755" s="16" t="s">
        <v>11424</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45">
      <c r="A2756" s="15" t="s">
        <v>4046</v>
      </c>
      <c r="B2756" s="16" t="s">
        <v>5</v>
      </c>
      <c r="C2756" s="17" t="s">
        <v>8834</v>
      </c>
      <c r="D2756" s="17" t="s">
        <v>8835</v>
      </c>
      <c r="E2756" s="16" t="s">
        <v>11420</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45">
      <c r="A2757" s="15" t="s">
        <v>3992</v>
      </c>
      <c r="B2757" s="16" t="s">
        <v>5</v>
      </c>
      <c r="C2757" s="17" t="s">
        <v>8837</v>
      </c>
      <c r="D2757" s="17" t="s">
        <v>8838</v>
      </c>
      <c r="E2757" s="15" t="s">
        <v>11436</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45">
      <c r="A2758" s="15" t="s">
        <v>4040</v>
      </c>
      <c r="B2758" s="16" t="s">
        <v>5</v>
      </c>
      <c r="C2758" s="17" t="s">
        <v>8840</v>
      </c>
      <c r="D2758" s="17" t="s">
        <v>8841</v>
      </c>
      <c r="E2758" s="16" t="s">
        <v>11414</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45">
      <c r="A2759" s="15" t="s">
        <v>4112</v>
      </c>
      <c r="B2759" s="16" t="s">
        <v>5</v>
      </c>
      <c r="C2759" s="17" t="s">
        <v>8843</v>
      </c>
      <c r="D2759" s="17" t="s">
        <v>8844</v>
      </c>
      <c r="E2759" s="16" t="s">
        <v>11436</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45">
      <c r="A2760" s="15" t="s">
        <v>4148</v>
      </c>
      <c r="B2760" s="16" t="s">
        <v>5</v>
      </c>
      <c r="C2760" s="17" t="s">
        <v>8846</v>
      </c>
      <c r="D2760" s="17" t="s">
        <v>8847</v>
      </c>
      <c r="E2760" s="16" t="s">
        <v>11432</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45">
      <c r="A2761" s="15" t="s">
        <v>4160</v>
      </c>
      <c r="B2761" s="16" t="s">
        <v>5</v>
      </c>
      <c r="C2761" s="17" t="s">
        <v>8849</v>
      </c>
      <c r="D2761" s="17" t="s">
        <v>8850</v>
      </c>
      <c r="E2761" s="16" t="s">
        <v>11436</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45">
      <c r="A2762" s="15" t="s">
        <v>4166</v>
      </c>
      <c r="B2762" s="16" t="s">
        <v>5</v>
      </c>
      <c r="C2762" s="17" t="s">
        <v>8852</v>
      </c>
      <c r="D2762" s="17" t="s">
        <v>8853</v>
      </c>
      <c r="E2762" s="16" t="s">
        <v>11420</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45">
      <c r="A2763" s="15" t="s">
        <v>4169</v>
      </c>
      <c r="B2763" s="16" t="s">
        <v>5</v>
      </c>
      <c r="C2763" s="17" t="s">
        <v>8855</v>
      </c>
      <c r="D2763" s="17" t="s">
        <v>8856</v>
      </c>
      <c r="E2763" s="16" t="s">
        <v>11424</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45">
      <c r="A2764" s="15" t="s">
        <v>4181</v>
      </c>
      <c r="B2764" s="16" t="s">
        <v>5</v>
      </c>
      <c r="C2764" s="17" t="s">
        <v>8858</v>
      </c>
      <c r="D2764" s="17" t="s">
        <v>8859</v>
      </c>
      <c r="E2764" s="16" t="s">
        <v>11426</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45">
      <c r="A2765" s="15" t="s">
        <v>4073</v>
      </c>
      <c r="B2765" s="16" t="s">
        <v>5</v>
      </c>
      <c r="C2765" s="17" t="s">
        <v>8861</v>
      </c>
      <c r="D2765" s="17" t="s">
        <v>8862</v>
      </c>
      <c r="E2765" s="16" t="s">
        <v>11436</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45">
      <c r="A2766" s="15" t="s">
        <v>4133</v>
      </c>
      <c r="B2766" s="16" t="s">
        <v>5</v>
      </c>
      <c r="C2766" s="17" t="s">
        <v>8864</v>
      </c>
      <c r="D2766" s="17" t="s">
        <v>8865</v>
      </c>
      <c r="E2766" s="16" t="s">
        <v>11419</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45">
      <c r="A2767" s="15" t="s">
        <v>4163</v>
      </c>
      <c r="B2767" s="16" t="s">
        <v>5</v>
      </c>
      <c r="C2767" s="17" t="s">
        <v>8867</v>
      </c>
      <c r="D2767" s="17" t="s">
        <v>8868</v>
      </c>
      <c r="E2767" s="16" t="s">
        <v>11432</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45">
      <c r="A2768" s="15" t="s">
        <v>3181</v>
      </c>
      <c r="B2768" s="16" t="s">
        <v>5</v>
      </c>
      <c r="C2768" s="17" t="s">
        <v>8870</v>
      </c>
      <c r="D2768" s="17" t="s">
        <v>8871</v>
      </c>
      <c r="E2768" s="16" t="s">
        <v>11424</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45">
      <c r="A2769" s="15" t="s">
        <v>4043</v>
      </c>
      <c r="B2769" s="16" t="s">
        <v>5</v>
      </c>
      <c r="C2769" s="17" t="s">
        <v>8873</v>
      </c>
      <c r="D2769" s="17" t="s">
        <v>8874</v>
      </c>
      <c r="E2769" s="16" t="s">
        <v>11424</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45">
      <c r="A2770" s="15" t="s">
        <v>4064</v>
      </c>
      <c r="B2770" s="16" t="s">
        <v>5</v>
      </c>
      <c r="C2770" s="17" t="s">
        <v>8876</v>
      </c>
      <c r="D2770" s="17" t="s">
        <v>8877</v>
      </c>
      <c r="E2770" s="16" t="s">
        <v>11414</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45">
      <c r="A2771" s="15" t="s">
        <v>545</v>
      </c>
      <c r="B2771" s="16" t="s">
        <v>5</v>
      </c>
      <c r="C2771" s="17" t="s">
        <v>8879</v>
      </c>
      <c r="D2771" s="17" t="s">
        <v>8880</v>
      </c>
      <c r="E2771" s="16" t="s">
        <v>11414</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45">
      <c r="A2772" s="15" t="s">
        <v>4103</v>
      </c>
      <c r="B2772" s="16" t="s">
        <v>5</v>
      </c>
      <c r="C2772" s="17" t="s">
        <v>8882</v>
      </c>
      <c r="D2772" s="17" t="s">
        <v>8883</v>
      </c>
      <c r="E2772" s="16" t="s">
        <v>11417</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45">
      <c r="A2773" s="15" t="s">
        <v>4109</v>
      </c>
      <c r="B2773" s="16" t="s">
        <v>5</v>
      </c>
      <c r="C2773" s="17" t="s">
        <v>8885</v>
      </c>
      <c r="D2773" s="17" t="s">
        <v>8886</v>
      </c>
      <c r="E2773" s="15" t="s">
        <v>11436</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45">
      <c r="A2774" s="15" t="s">
        <v>4187</v>
      </c>
      <c r="B2774" s="16" t="s">
        <v>5</v>
      </c>
      <c r="C2774" s="17" t="s">
        <v>8888</v>
      </c>
      <c r="D2774" s="17" t="s">
        <v>8889</v>
      </c>
      <c r="E2774" s="16" t="s">
        <v>11436</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45">
      <c r="A2775" s="15" t="s">
        <v>4190</v>
      </c>
      <c r="B2775" s="16" t="s">
        <v>5</v>
      </c>
      <c r="C2775" s="17" t="s">
        <v>8891</v>
      </c>
      <c r="D2775" s="17" t="s">
        <v>8892</v>
      </c>
      <c r="E2775" s="16" t="s">
        <v>11420</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45">
      <c r="A2776" s="15" t="s">
        <v>4019</v>
      </c>
      <c r="B2776" s="16" t="s">
        <v>5</v>
      </c>
      <c r="C2776" s="17" t="s">
        <v>8894</v>
      </c>
      <c r="D2776" s="17" t="s">
        <v>8895</v>
      </c>
      <c r="E2776" s="16" t="s">
        <v>11436</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45">
      <c r="A2777" s="15" t="s">
        <v>3217</v>
      </c>
      <c r="B2777" s="16" t="s">
        <v>5</v>
      </c>
      <c r="C2777" s="17" t="s">
        <v>8897</v>
      </c>
      <c r="D2777" s="17" t="s">
        <v>8898</v>
      </c>
      <c r="E2777" s="16" t="s">
        <v>11419</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45">
      <c r="A2778" s="15" t="s">
        <v>4094</v>
      </c>
      <c r="B2778" s="16" t="s">
        <v>5</v>
      </c>
      <c r="C2778" s="17" t="s">
        <v>8900</v>
      </c>
      <c r="D2778" s="17" t="s">
        <v>8901</v>
      </c>
      <c r="E2778" s="16" t="s">
        <v>11428</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45">
      <c r="A2779" s="15" t="s">
        <v>4139</v>
      </c>
      <c r="B2779" s="16" t="s">
        <v>5</v>
      </c>
      <c r="C2779" s="17" t="s">
        <v>8903</v>
      </c>
      <c r="D2779" s="17" t="s">
        <v>8904</v>
      </c>
      <c r="E2779" s="15" t="s">
        <v>11436</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45">
      <c r="A2780" s="15" t="s">
        <v>4196</v>
      </c>
      <c r="B2780" s="16" t="s">
        <v>5</v>
      </c>
      <c r="C2780" s="17" t="s">
        <v>8906</v>
      </c>
      <c r="D2780" s="17" t="s">
        <v>8907</v>
      </c>
      <c r="E2780" s="16" t="s">
        <v>11428</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45">
      <c r="A2781" s="15" t="s">
        <v>4202</v>
      </c>
      <c r="B2781" s="16" t="s">
        <v>5</v>
      </c>
      <c r="C2781" s="17" t="s">
        <v>8909</v>
      </c>
      <c r="D2781" s="17" t="s">
        <v>8910</v>
      </c>
      <c r="E2781" s="16" t="s">
        <v>11424</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45">
      <c r="A2782" s="15" t="s">
        <v>4208</v>
      </c>
      <c r="B2782" s="16" t="s">
        <v>5</v>
      </c>
      <c r="C2782" s="17" t="s">
        <v>8912</v>
      </c>
      <c r="D2782" s="17" t="s">
        <v>8913</v>
      </c>
      <c r="E2782" s="16" t="s">
        <v>11419</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45">
      <c r="A2783" s="15" t="s">
        <v>4211</v>
      </c>
      <c r="B2783" s="16" t="s">
        <v>5</v>
      </c>
      <c r="C2783" s="17" t="s">
        <v>8915</v>
      </c>
      <c r="D2783" s="17" t="s">
        <v>8916</v>
      </c>
      <c r="E2783" s="16" t="s">
        <v>11424</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45">
      <c r="A2784" s="15" t="s">
        <v>4205</v>
      </c>
      <c r="B2784" s="16" t="s">
        <v>5</v>
      </c>
      <c r="C2784" s="17" t="s">
        <v>8918</v>
      </c>
      <c r="D2784" s="17" t="s">
        <v>8919</v>
      </c>
      <c r="E2784" s="16" t="s">
        <v>11414</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45">
      <c r="A2785" s="15" t="s">
        <v>4124</v>
      </c>
      <c r="B2785" s="16" t="s">
        <v>5</v>
      </c>
      <c r="C2785" s="17" t="s">
        <v>8921</v>
      </c>
      <c r="D2785" s="17" t="s">
        <v>8922</v>
      </c>
      <c r="E2785" s="16" t="s">
        <v>11428</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45">
      <c r="A2786" s="15" t="s">
        <v>3205</v>
      </c>
      <c r="B2786" s="16" t="s">
        <v>5</v>
      </c>
      <c r="C2786" s="17" t="s">
        <v>8924</v>
      </c>
      <c r="D2786" s="17" t="s">
        <v>8925</v>
      </c>
      <c r="E2786" s="16" t="s">
        <v>11424</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45">
      <c r="A2787" s="15" t="s">
        <v>4142</v>
      </c>
      <c r="B2787" s="16" t="s">
        <v>5</v>
      </c>
      <c r="C2787" s="17" t="s">
        <v>8927</v>
      </c>
      <c r="D2787" s="17" t="s">
        <v>8928</v>
      </c>
      <c r="E2787" s="16" t="s">
        <v>11420</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45">
      <c r="A2788" s="15" t="s">
        <v>4082</v>
      </c>
      <c r="B2788" s="16" t="s">
        <v>5</v>
      </c>
      <c r="C2788" s="17" t="s">
        <v>8930</v>
      </c>
      <c r="D2788" s="17" t="s">
        <v>8931</v>
      </c>
      <c r="E2788" s="16" t="s">
        <v>11420</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45">
      <c r="A2789" s="15" t="s">
        <v>3061</v>
      </c>
      <c r="B2789" s="16" t="s">
        <v>5</v>
      </c>
      <c r="C2789" s="17" t="s">
        <v>8933</v>
      </c>
      <c r="D2789" s="17" t="s">
        <v>8934</v>
      </c>
      <c r="E2789" s="16" t="s">
        <v>11436</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45">
      <c r="A2790" s="15" t="s">
        <v>3196</v>
      </c>
      <c r="B2790" s="16" t="s">
        <v>5</v>
      </c>
      <c r="C2790" s="17" t="s">
        <v>8936</v>
      </c>
      <c r="D2790" s="17" t="s">
        <v>8937</v>
      </c>
      <c r="E2790" s="16" t="s">
        <v>11436</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45">
      <c r="A2791" s="15" t="s">
        <v>3199</v>
      </c>
      <c r="B2791" s="16" t="s">
        <v>5</v>
      </c>
      <c r="C2791" s="17" t="s">
        <v>8939</v>
      </c>
      <c r="D2791" s="17" t="s">
        <v>8940</v>
      </c>
      <c r="E2791" s="16" t="s">
        <v>11417</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45">
      <c r="A2792" s="15" t="s">
        <v>3208</v>
      </c>
      <c r="B2792" s="16" t="s">
        <v>5</v>
      </c>
      <c r="C2792" s="17" t="s">
        <v>8942</v>
      </c>
      <c r="D2792" s="17" t="s">
        <v>8943</v>
      </c>
      <c r="E2792" s="16" t="s">
        <v>11414</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45">
      <c r="A2793" s="15" t="s">
        <v>3211</v>
      </c>
      <c r="B2793" s="16" t="s">
        <v>5</v>
      </c>
      <c r="C2793" s="17" t="s">
        <v>8945</v>
      </c>
      <c r="D2793" s="17" t="s">
        <v>8946</v>
      </c>
      <c r="E2793" s="16" t="s">
        <v>11439</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45">
      <c r="A2794" s="15" t="s">
        <v>3214</v>
      </c>
      <c r="B2794" s="16" t="s">
        <v>5</v>
      </c>
      <c r="C2794" s="17" t="s">
        <v>8948</v>
      </c>
      <c r="D2794" s="17" t="s">
        <v>8949</v>
      </c>
      <c r="E2794" s="16" t="s">
        <v>11420</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45">
      <c r="A2795" s="15" t="s">
        <v>3253</v>
      </c>
      <c r="B2795" s="16" t="s">
        <v>5</v>
      </c>
      <c r="C2795" s="17" t="s">
        <v>8951</v>
      </c>
      <c r="D2795" s="17" t="s">
        <v>8952</v>
      </c>
      <c r="E2795" s="16" t="s">
        <v>11424</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45">
      <c r="A2796" s="15" t="s">
        <v>3259</v>
      </c>
      <c r="B2796" s="16" t="s">
        <v>5</v>
      </c>
      <c r="C2796" s="17" t="s">
        <v>8954</v>
      </c>
      <c r="D2796" s="17" t="s">
        <v>8955</v>
      </c>
      <c r="E2796" s="16" t="s">
        <v>11419</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45">
      <c r="A2797" s="15" t="s">
        <v>3268</v>
      </c>
      <c r="B2797" s="16" t="s">
        <v>5</v>
      </c>
      <c r="C2797" s="17" t="s">
        <v>8957</v>
      </c>
      <c r="D2797" s="17" t="s">
        <v>8958</v>
      </c>
      <c r="E2797" s="16" t="s">
        <v>11414</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45">
      <c r="A2798" s="15" t="s">
        <v>3271</v>
      </c>
      <c r="B2798" s="16" t="s">
        <v>5</v>
      </c>
      <c r="C2798" s="17" t="s">
        <v>8960</v>
      </c>
      <c r="D2798" s="17" t="s">
        <v>8961</v>
      </c>
      <c r="E2798" s="16" t="s">
        <v>11437</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45">
      <c r="A2799" s="15" t="s">
        <v>3280</v>
      </c>
      <c r="B2799" s="16" t="s">
        <v>5</v>
      </c>
      <c r="C2799" s="17" t="s">
        <v>8963</v>
      </c>
      <c r="D2799" s="17" t="s">
        <v>8964</v>
      </c>
      <c r="E2799" s="16" t="s">
        <v>11414</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45">
      <c r="A2800" s="15" t="s">
        <v>3283</v>
      </c>
      <c r="B2800" s="16" t="s">
        <v>5</v>
      </c>
      <c r="C2800" s="17" t="s">
        <v>8966</v>
      </c>
      <c r="D2800" s="17" t="s">
        <v>8967</v>
      </c>
      <c r="E2800" s="16" t="s">
        <v>11414</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45">
      <c r="A2801" s="15" t="s">
        <v>3286</v>
      </c>
      <c r="B2801" s="16" t="s">
        <v>5</v>
      </c>
      <c r="C2801" s="17" t="s">
        <v>8969</v>
      </c>
      <c r="D2801" s="17" t="s">
        <v>8970</v>
      </c>
      <c r="E2801" s="16" t="s">
        <v>11436</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45">
      <c r="A2802" s="15" t="s">
        <v>3295</v>
      </c>
      <c r="B2802" s="16" t="s">
        <v>5</v>
      </c>
      <c r="C2802" s="17" t="s">
        <v>8972</v>
      </c>
      <c r="D2802" s="17" t="s">
        <v>8973</v>
      </c>
      <c r="E2802" s="16" t="s">
        <v>11419</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45">
      <c r="A2803" s="15" t="s">
        <v>3298</v>
      </c>
      <c r="B2803" s="16" t="s">
        <v>5</v>
      </c>
      <c r="C2803" s="17" t="s">
        <v>8975</v>
      </c>
      <c r="D2803" s="17" t="s">
        <v>8976</v>
      </c>
      <c r="E2803" s="16" t="s">
        <v>11414</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45">
      <c r="A2804" s="15" t="s">
        <v>11366</v>
      </c>
      <c r="B2804" s="16" t="s">
        <v>5</v>
      </c>
      <c r="C2804" s="17" t="s">
        <v>8978</v>
      </c>
      <c r="D2804" s="17" t="s">
        <v>8979</v>
      </c>
      <c r="E2804" s="16" t="s">
        <v>11419</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45">
      <c r="A2805" s="15" t="s">
        <v>3319</v>
      </c>
      <c r="B2805" s="16" t="s">
        <v>5</v>
      </c>
      <c r="C2805" s="17" t="s">
        <v>8981</v>
      </c>
      <c r="D2805" s="17" t="s">
        <v>8982</v>
      </c>
      <c r="E2805" s="16" t="s">
        <v>11424</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45">
      <c r="A2806" s="15" t="s">
        <v>3322</v>
      </c>
      <c r="B2806" s="16" t="s">
        <v>5</v>
      </c>
      <c r="C2806" s="17" t="s">
        <v>8984</v>
      </c>
      <c r="D2806" s="17" t="s">
        <v>8985</v>
      </c>
      <c r="E2806" s="16" t="s">
        <v>11414</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45">
      <c r="A2807" s="15" t="s">
        <v>3331</v>
      </c>
      <c r="B2807" s="16" t="s">
        <v>5</v>
      </c>
      <c r="C2807" s="17" t="s">
        <v>8987</v>
      </c>
      <c r="D2807" s="17" t="s">
        <v>8988</v>
      </c>
      <c r="E2807" s="16" t="s">
        <v>11424</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45">
      <c r="A2808" s="15" t="s">
        <v>3337</v>
      </c>
      <c r="B2808" s="16" t="s">
        <v>5</v>
      </c>
      <c r="C2808" s="17" t="s">
        <v>8990</v>
      </c>
      <c r="D2808" s="17" t="s">
        <v>8991</v>
      </c>
      <c r="E2808" s="16" t="s">
        <v>11436</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45">
      <c r="A2809" s="15" t="s">
        <v>3340</v>
      </c>
      <c r="B2809" s="16" t="s">
        <v>5</v>
      </c>
      <c r="C2809" s="17" t="s">
        <v>8993</v>
      </c>
      <c r="D2809" s="17" t="s">
        <v>8994</v>
      </c>
      <c r="E2809" s="16" t="s">
        <v>11437</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45">
      <c r="A2810" s="15" t="s">
        <v>3346</v>
      </c>
      <c r="B2810" s="16" t="s">
        <v>5</v>
      </c>
      <c r="C2810" s="17" t="s">
        <v>8996</v>
      </c>
      <c r="D2810" s="17" t="s">
        <v>8997</v>
      </c>
      <c r="E2810" s="16" t="s">
        <v>11419</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45">
      <c r="A2811" s="15" t="s">
        <v>3349</v>
      </c>
      <c r="B2811" s="16" t="s">
        <v>5</v>
      </c>
      <c r="C2811" s="17" t="s">
        <v>8999</v>
      </c>
      <c r="D2811" s="17" t="s">
        <v>9000</v>
      </c>
      <c r="E2811" s="16" t="s">
        <v>11414</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45">
      <c r="A2812" s="15" t="s">
        <v>11367</v>
      </c>
      <c r="B2812" s="16" t="s">
        <v>5</v>
      </c>
      <c r="C2812" s="17" t="s">
        <v>9002</v>
      </c>
      <c r="D2812" s="17" t="s">
        <v>9003</v>
      </c>
      <c r="E2812" s="16" t="s">
        <v>11436</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45">
      <c r="A2813" s="15" t="s">
        <v>3352</v>
      </c>
      <c r="B2813" s="16" t="s">
        <v>5</v>
      </c>
      <c r="C2813" s="17" t="s">
        <v>9005</v>
      </c>
      <c r="D2813" s="17" t="s">
        <v>9006</v>
      </c>
      <c r="E2813" s="16" t="s">
        <v>11414</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45">
      <c r="A2814" s="15" t="s">
        <v>3355</v>
      </c>
      <c r="B2814" s="16" t="s">
        <v>5</v>
      </c>
      <c r="C2814" s="17" t="s">
        <v>9008</v>
      </c>
      <c r="D2814" s="17" t="s">
        <v>9009</v>
      </c>
      <c r="E2814" s="16" t="s">
        <v>11418</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45">
      <c r="A2815" s="15" t="s">
        <v>3854</v>
      </c>
      <c r="B2815" s="16" t="s">
        <v>5</v>
      </c>
      <c r="C2815" s="17" t="s">
        <v>9011</v>
      </c>
      <c r="D2815" s="17" t="s">
        <v>9012</v>
      </c>
      <c r="E2815" s="16" t="s">
        <v>11436</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45">
      <c r="A2816" s="15" t="s">
        <v>4154</v>
      </c>
      <c r="B2816" s="16" t="s">
        <v>5</v>
      </c>
      <c r="C2816" s="17" t="s">
        <v>9014</v>
      </c>
      <c r="D2816" s="17" t="s">
        <v>9015</v>
      </c>
      <c r="E2816" s="16" t="s">
        <v>11420</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45">
      <c r="A2817" s="15" t="s">
        <v>4157</v>
      </c>
      <c r="B2817" s="16" t="s">
        <v>5</v>
      </c>
      <c r="C2817" s="17" t="s">
        <v>9017</v>
      </c>
      <c r="D2817" s="17" t="s">
        <v>9018</v>
      </c>
      <c r="E2817" s="16" t="s">
        <v>11436</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45">
      <c r="A2818" s="15" t="s">
        <v>4172</v>
      </c>
      <c r="B2818" s="16" t="s">
        <v>5</v>
      </c>
      <c r="C2818" s="17" t="s">
        <v>9020</v>
      </c>
      <c r="D2818" s="17" t="s">
        <v>9021</v>
      </c>
      <c r="E2818" s="16" t="s">
        <v>11436</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45">
      <c r="A2819" s="15" t="s">
        <v>4184</v>
      </c>
      <c r="B2819" s="16" t="s">
        <v>5</v>
      </c>
      <c r="C2819" s="17" t="s">
        <v>9023</v>
      </c>
      <c r="D2819" s="17" t="s">
        <v>9024</v>
      </c>
      <c r="E2819" s="16" t="s">
        <v>11420</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45">
      <c r="A2820" s="15" t="s">
        <v>4193</v>
      </c>
      <c r="B2820" s="16" t="s">
        <v>5</v>
      </c>
      <c r="C2820" s="17" t="s">
        <v>9026</v>
      </c>
      <c r="D2820" s="17" t="s">
        <v>9027</v>
      </c>
      <c r="E2820" s="16" t="s">
        <v>11432</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45">
      <c r="A2821" s="15" t="s">
        <v>4199</v>
      </c>
      <c r="B2821" s="16" t="s">
        <v>5</v>
      </c>
      <c r="C2821" s="17" t="s">
        <v>9029</v>
      </c>
      <c r="D2821" s="17" t="s">
        <v>9030</v>
      </c>
      <c r="E2821" s="16" t="s">
        <v>11436</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45">
      <c r="A2822" s="15" t="s">
        <v>3202</v>
      </c>
      <c r="B2822" s="16" t="s">
        <v>5</v>
      </c>
      <c r="C2822" s="17" t="s">
        <v>9032</v>
      </c>
      <c r="D2822" s="17" t="s">
        <v>9033</v>
      </c>
      <c r="E2822" s="16" t="s">
        <v>11420</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45">
      <c r="A2823" s="15" t="s">
        <v>3358</v>
      </c>
      <c r="B2823" s="16" t="s">
        <v>5</v>
      </c>
      <c r="C2823" s="17" t="s">
        <v>9035</v>
      </c>
      <c r="D2823" s="17" t="s">
        <v>9036</v>
      </c>
      <c r="E2823" s="16" t="s">
        <v>11414</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45">
      <c r="A2824" s="15" t="s">
        <v>3343</v>
      </c>
      <c r="B2824" s="16" t="s">
        <v>5</v>
      </c>
      <c r="C2824" s="17" t="s">
        <v>9038</v>
      </c>
      <c r="D2824" s="17" t="s">
        <v>9039</v>
      </c>
      <c r="E2824" s="16" t="s">
        <v>11414</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45">
      <c r="A2825" s="15" t="s">
        <v>3244</v>
      </c>
      <c r="B2825" s="16" t="s">
        <v>5</v>
      </c>
      <c r="C2825" s="17" t="s">
        <v>9041</v>
      </c>
      <c r="D2825" s="17" t="s">
        <v>9042</v>
      </c>
      <c r="E2825" s="16" t="s">
        <v>11436</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45">
      <c r="A2826" s="15" t="s">
        <v>3391</v>
      </c>
      <c r="B2826" s="16" t="s">
        <v>5</v>
      </c>
      <c r="C2826" s="17" t="s">
        <v>9044</v>
      </c>
      <c r="D2826" s="17" t="s">
        <v>9045</v>
      </c>
      <c r="E2826" s="16" t="s">
        <v>11420</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45">
      <c r="A2827" s="15" t="s">
        <v>3370</v>
      </c>
      <c r="B2827" s="16" t="s">
        <v>5</v>
      </c>
      <c r="C2827" s="17" t="s">
        <v>9047</v>
      </c>
      <c r="D2827" s="17" t="s">
        <v>9048</v>
      </c>
      <c r="E2827" s="16" t="s">
        <v>11414</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45">
      <c r="A2828" s="15" t="s">
        <v>3995</v>
      </c>
      <c r="B2828" s="16" t="s">
        <v>5</v>
      </c>
      <c r="C2828" s="17" t="s">
        <v>9050</v>
      </c>
      <c r="D2828" s="17" t="s">
        <v>9051</v>
      </c>
      <c r="E2828" s="16" t="s">
        <v>11436</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45">
      <c r="A2829" s="15" t="s">
        <v>3256</v>
      </c>
      <c r="B2829" s="16" t="s">
        <v>5</v>
      </c>
      <c r="C2829" s="17" t="s">
        <v>9053</v>
      </c>
      <c r="D2829" s="17" t="s">
        <v>9054</v>
      </c>
      <c r="E2829" s="16" t="s">
        <v>11436</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45">
      <c r="A2830" s="15" t="s">
        <v>3274</v>
      </c>
      <c r="B2830" s="16" t="s">
        <v>5</v>
      </c>
      <c r="C2830" s="17" t="s">
        <v>9056</v>
      </c>
      <c r="D2830" s="17" t="s">
        <v>9057</v>
      </c>
      <c r="E2830" s="16" t="s">
        <v>11424</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45">
      <c r="A2831" s="15" t="s">
        <v>3328</v>
      </c>
      <c r="B2831" s="16" t="s">
        <v>5</v>
      </c>
      <c r="C2831" s="17" t="s">
        <v>9059</v>
      </c>
      <c r="D2831" s="17" t="s">
        <v>9060</v>
      </c>
      <c r="E2831" s="16" t="s">
        <v>11424</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45">
      <c r="A2832" s="15" t="s">
        <v>3193</v>
      </c>
      <c r="B2832" s="16" t="s">
        <v>5</v>
      </c>
      <c r="C2832" s="17" t="s">
        <v>9062</v>
      </c>
      <c r="D2832" s="17" t="s">
        <v>9063</v>
      </c>
      <c r="E2832" s="16" t="s">
        <v>11436</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45">
      <c r="A2833" s="15" t="s">
        <v>3361</v>
      </c>
      <c r="B2833" s="16" t="s">
        <v>5</v>
      </c>
      <c r="C2833" s="17" t="s">
        <v>9065</v>
      </c>
      <c r="D2833" s="17" t="s">
        <v>9066</v>
      </c>
      <c r="E2833" s="16" t="s">
        <v>11436</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45">
      <c r="A2834" s="15" t="s">
        <v>3325</v>
      </c>
      <c r="B2834" s="16" t="s">
        <v>5</v>
      </c>
      <c r="C2834" s="17" t="s">
        <v>9068</v>
      </c>
      <c r="D2834" s="17" t="s">
        <v>9069</v>
      </c>
      <c r="E2834" s="16" t="s">
        <v>11420</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45">
      <c r="A2835" s="15" t="s">
        <v>3250</v>
      </c>
      <c r="B2835" s="16" t="s">
        <v>5</v>
      </c>
      <c r="C2835" s="17" t="s">
        <v>9071</v>
      </c>
      <c r="D2835" s="17" t="s">
        <v>9072</v>
      </c>
      <c r="E2835" s="16" t="s">
        <v>11426</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45">
      <c r="A2836" s="15" t="s">
        <v>3292</v>
      </c>
      <c r="B2836" s="16" t="s">
        <v>5</v>
      </c>
      <c r="C2836" s="17" t="s">
        <v>9074</v>
      </c>
      <c r="D2836" s="17" t="s">
        <v>9075</v>
      </c>
      <c r="E2836" s="16" t="s">
        <v>11432</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45">
      <c r="A2837" s="15" t="s">
        <v>9301</v>
      </c>
      <c r="B2837" s="16" t="s">
        <v>5</v>
      </c>
      <c r="C2837" s="17" t="s">
        <v>9077</v>
      </c>
      <c r="D2837" s="17" t="s">
        <v>9078</v>
      </c>
      <c r="E2837" s="16" t="s">
        <v>11426</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45">
      <c r="A2838" s="15" t="s">
        <v>4079</v>
      </c>
      <c r="B2838" s="16" t="s">
        <v>5</v>
      </c>
      <c r="C2838" s="17" t="s">
        <v>9080</v>
      </c>
      <c r="D2838" s="17" t="s">
        <v>9081</v>
      </c>
      <c r="E2838" s="16" t="s">
        <v>11436</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45">
      <c r="A2839" s="15" t="s">
        <v>3409</v>
      </c>
      <c r="B2839" s="16" t="s">
        <v>5</v>
      </c>
      <c r="C2839" s="17" t="s">
        <v>9083</v>
      </c>
      <c r="D2839" s="17" t="s">
        <v>9084</v>
      </c>
      <c r="E2839" s="16" t="s">
        <v>11437</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45">
      <c r="A2840" s="15" t="s">
        <v>3427</v>
      </c>
      <c r="B2840" s="16" t="s">
        <v>5</v>
      </c>
      <c r="C2840" s="17" t="s">
        <v>9086</v>
      </c>
      <c r="D2840" s="17" t="s">
        <v>9087</v>
      </c>
      <c r="E2840" s="16" t="s">
        <v>11437</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45">
      <c r="A2841" s="15" t="s">
        <v>3421</v>
      </c>
      <c r="B2841" s="16" t="s">
        <v>5</v>
      </c>
      <c r="C2841" s="17" t="s">
        <v>9089</v>
      </c>
      <c r="D2841" s="17" t="s">
        <v>9090</v>
      </c>
      <c r="E2841" s="15" t="s">
        <v>11414</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45">
      <c r="A2842" s="15" t="s">
        <v>3220</v>
      </c>
      <c r="B2842" s="16" t="s">
        <v>5</v>
      </c>
      <c r="C2842" s="17" t="s">
        <v>9092</v>
      </c>
      <c r="D2842" s="17" t="s">
        <v>9093</v>
      </c>
      <c r="E2842" s="16" t="s">
        <v>11420</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45">
      <c r="A2843" s="15" t="s">
        <v>3301</v>
      </c>
      <c r="B2843" s="16" t="s">
        <v>5</v>
      </c>
      <c r="C2843" s="17" t="s">
        <v>9095</v>
      </c>
      <c r="D2843" s="17" t="s">
        <v>9096</v>
      </c>
      <c r="E2843" s="16" t="s">
        <v>11414</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45">
      <c r="A2844" s="15" t="s">
        <v>3277</v>
      </c>
      <c r="B2844" s="16" t="s">
        <v>5</v>
      </c>
      <c r="C2844" s="17" t="s">
        <v>9098</v>
      </c>
      <c r="D2844" s="17" t="s">
        <v>9099</v>
      </c>
      <c r="E2844" s="16" t="s">
        <v>11420</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45">
      <c r="A2845" s="15" t="s">
        <v>3424</v>
      </c>
      <c r="B2845" s="16" t="s">
        <v>5</v>
      </c>
      <c r="C2845" s="17" t="s">
        <v>9101</v>
      </c>
      <c r="D2845" s="17" t="s">
        <v>9102</v>
      </c>
      <c r="E2845" s="16" t="s">
        <v>11414</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45">
      <c r="A2846" s="15" t="s">
        <v>3433</v>
      </c>
      <c r="B2846" s="16" t="s">
        <v>5</v>
      </c>
      <c r="C2846" s="17" t="s">
        <v>9104</v>
      </c>
      <c r="D2846" s="17" t="s">
        <v>9105</v>
      </c>
      <c r="E2846" s="16" t="s">
        <v>11436</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45">
      <c r="A2847" s="15" t="s">
        <v>3484</v>
      </c>
      <c r="B2847" s="16" t="s">
        <v>5</v>
      </c>
      <c r="C2847" s="17" t="s">
        <v>9107</v>
      </c>
      <c r="D2847" s="17" t="s">
        <v>9108</v>
      </c>
      <c r="E2847" s="16" t="s">
        <v>11436</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45">
      <c r="A2848" s="15" t="s">
        <v>3406</v>
      </c>
      <c r="B2848" s="16" t="s">
        <v>5</v>
      </c>
      <c r="C2848" s="17" t="s">
        <v>9110</v>
      </c>
      <c r="D2848" s="17" t="s">
        <v>9111</v>
      </c>
      <c r="E2848" s="16" t="s">
        <v>11417</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45">
      <c r="A2849" s="15" t="s">
        <v>3364</v>
      </c>
      <c r="B2849" s="16" t="s">
        <v>5</v>
      </c>
      <c r="C2849" s="17" t="s">
        <v>9113</v>
      </c>
      <c r="D2849" s="17" t="s">
        <v>9114</v>
      </c>
      <c r="E2849" s="16" t="s">
        <v>11436</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45">
      <c r="A2850" s="15" t="s">
        <v>3178</v>
      </c>
      <c r="B2850" s="16" t="s">
        <v>5</v>
      </c>
      <c r="C2850" s="17" t="s">
        <v>9116</v>
      </c>
      <c r="D2850" s="17" t="s">
        <v>9117</v>
      </c>
      <c r="E2850" s="16" t="s">
        <v>11417</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45">
      <c r="A2851" s="15" t="s">
        <v>3412</v>
      </c>
      <c r="B2851" s="16" t="s">
        <v>5</v>
      </c>
      <c r="C2851" s="17" t="s">
        <v>9119</v>
      </c>
      <c r="D2851" s="17" t="s">
        <v>9120</v>
      </c>
      <c r="E2851" s="16" t="s">
        <v>11436</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45">
      <c r="A2852" s="15" t="s">
        <v>3403</v>
      </c>
      <c r="B2852" s="16" t="s">
        <v>5</v>
      </c>
      <c r="C2852" s="17" t="s">
        <v>9122</v>
      </c>
      <c r="D2852" s="17" t="s">
        <v>9123</v>
      </c>
      <c r="E2852" s="16" t="s">
        <v>11420</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45">
      <c r="A2853" s="15" t="s">
        <v>540</v>
      </c>
      <c r="B2853" s="16" t="s">
        <v>183</v>
      </c>
      <c r="C2853" s="17" t="s">
        <v>9125</v>
      </c>
      <c r="D2853" s="17" t="s">
        <v>9126</v>
      </c>
      <c r="E2853" s="16" t="s">
        <v>11414</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45">
      <c r="A2854" s="15" t="s">
        <v>767</v>
      </c>
      <c r="B2854" s="16" t="s">
        <v>183</v>
      </c>
      <c r="C2854" s="17" t="s">
        <v>9128</v>
      </c>
      <c r="D2854" s="17" t="s">
        <v>9129</v>
      </c>
      <c r="E2854" s="16" t="s">
        <v>11432</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45">
      <c r="A2855" s="15" t="s">
        <v>3190</v>
      </c>
      <c r="B2855" s="16" t="s">
        <v>5</v>
      </c>
      <c r="C2855" s="17" t="s">
        <v>9131</v>
      </c>
      <c r="D2855" s="17" t="s">
        <v>9132</v>
      </c>
      <c r="E2855" s="16" t="s">
        <v>11420</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45">
      <c r="A2856" s="15" t="s">
        <v>3367</v>
      </c>
      <c r="B2856" s="16" t="s">
        <v>5</v>
      </c>
      <c r="C2856" s="17" t="s">
        <v>9134</v>
      </c>
      <c r="D2856" s="17" t="s">
        <v>9135</v>
      </c>
      <c r="E2856" s="16" t="s">
        <v>11436</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45">
      <c r="A2857" s="15" t="s">
        <v>1707</v>
      </c>
      <c r="B2857" s="16" t="s">
        <v>5</v>
      </c>
      <c r="C2857" s="17" t="s">
        <v>9137</v>
      </c>
      <c r="D2857" s="17" t="s">
        <v>9138</v>
      </c>
      <c r="E2857" s="16" t="s">
        <v>11427</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45">
      <c r="A2858" s="15" t="s">
        <v>3493</v>
      </c>
      <c r="B2858" s="16" t="s">
        <v>5</v>
      </c>
      <c r="C2858" s="17" t="s">
        <v>9140</v>
      </c>
      <c r="D2858" s="17" t="s">
        <v>9141</v>
      </c>
      <c r="E2858" s="16" t="s">
        <v>11420</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45">
      <c r="A2859" s="15" t="s">
        <v>3418</v>
      </c>
      <c r="B2859" s="16" t="s">
        <v>5</v>
      </c>
      <c r="C2859" s="17" t="s">
        <v>9143</v>
      </c>
      <c r="D2859" s="17" t="s">
        <v>9144</v>
      </c>
      <c r="E2859" s="16" t="s">
        <v>11420</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45">
      <c r="A2860" s="15" t="s">
        <v>3175</v>
      </c>
      <c r="B2860" s="16" t="s">
        <v>5</v>
      </c>
      <c r="C2860" s="17" t="s">
        <v>9146</v>
      </c>
      <c r="D2860" s="17" t="s">
        <v>9147</v>
      </c>
      <c r="E2860" s="16" t="s">
        <v>11436</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45">
      <c r="A2861" s="15" t="s">
        <v>3538</v>
      </c>
      <c r="B2861" s="16" t="s">
        <v>5</v>
      </c>
      <c r="C2861" s="17" t="s">
        <v>9149</v>
      </c>
      <c r="D2861" s="17" t="s">
        <v>9150</v>
      </c>
      <c r="E2861" s="16" t="s">
        <v>11436</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45">
      <c r="A2862" s="15" t="s">
        <v>3502</v>
      </c>
      <c r="B2862" s="16" t="s">
        <v>5</v>
      </c>
      <c r="C2862" s="17" t="s">
        <v>9152</v>
      </c>
      <c r="D2862" s="17" t="s">
        <v>9153</v>
      </c>
      <c r="E2862" s="16" t="s">
        <v>11424</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45">
      <c r="A2863" s="15" t="s">
        <v>3436</v>
      </c>
      <c r="B2863" s="16" t="s">
        <v>5</v>
      </c>
      <c r="C2863" s="17" t="s">
        <v>9155</v>
      </c>
      <c r="D2863" s="17" t="s">
        <v>9156</v>
      </c>
      <c r="E2863" s="16" t="s">
        <v>11432</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45">
      <c r="A2864" s="15" t="s">
        <v>3553</v>
      </c>
      <c r="B2864" s="16" t="s">
        <v>5</v>
      </c>
      <c r="C2864" s="17" t="s">
        <v>9158</v>
      </c>
      <c r="D2864" s="17" t="s">
        <v>9159</v>
      </c>
      <c r="E2864" s="16" t="s">
        <v>11424</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45">
      <c r="A2865" s="15" t="s">
        <v>3187</v>
      </c>
      <c r="B2865" s="16" t="s">
        <v>5</v>
      </c>
      <c r="C2865" s="17" t="s">
        <v>9161</v>
      </c>
      <c r="D2865" s="17" t="s">
        <v>9162</v>
      </c>
      <c r="E2865" s="16" t="s">
        <v>11419</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45">
      <c r="A2866" s="15" t="s">
        <v>3490</v>
      </c>
      <c r="B2866" s="16" t="s">
        <v>5</v>
      </c>
      <c r="C2866" s="17" t="s">
        <v>9164</v>
      </c>
      <c r="D2866" s="17" t="s">
        <v>9165</v>
      </c>
      <c r="E2866" s="16" t="s">
        <v>11432</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45">
      <c r="A2867" s="15" t="s">
        <v>4175</v>
      </c>
      <c r="B2867" s="16" t="s">
        <v>5</v>
      </c>
      <c r="C2867" s="17" t="s">
        <v>9167</v>
      </c>
      <c r="D2867" s="17" t="s">
        <v>9168</v>
      </c>
      <c r="E2867" s="16" t="s">
        <v>11419</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45">
      <c r="A2868" s="15" t="s">
        <v>3247</v>
      </c>
      <c r="B2868" s="16" t="s">
        <v>5</v>
      </c>
      <c r="C2868" s="17" t="s">
        <v>9170</v>
      </c>
      <c r="D2868" s="17" t="s">
        <v>9171</v>
      </c>
      <c r="E2868" s="16" t="s">
        <v>11426</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45">
      <c r="A2869" s="15" t="s">
        <v>3415</v>
      </c>
      <c r="B2869" s="16" t="s">
        <v>5</v>
      </c>
      <c r="C2869" s="17" t="s">
        <v>9173</v>
      </c>
      <c r="D2869" s="17" t="s">
        <v>9174</v>
      </c>
      <c r="E2869" s="16" t="s">
        <v>11437</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45">
      <c r="A2870" s="15" t="s">
        <v>4106</v>
      </c>
      <c r="B2870" s="16" t="s">
        <v>5</v>
      </c>
      <c r="C2870" s="17" t="s">
        <v>9176</v>
      </c>
      <c r="D2870" s="17" t="s">
        <v>9177</v>
      </c>
      <c r="E2870" s="16" t="s">
        <v>11419</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45">
      <c r="A2871" s="15" t="s">
        <v>3472</v>
      </c>
      <c r="B2871" s="16" t="s">
        <v>5</v>
      </c>
      <c r="C2871" s="17" t="s">
        <v>9179</v>
      </c>
      <c r="D2871" s="17" t="s">
        <v>9180</v>
      </c>
      <c r="E2871" s="16" t="s">
        <v>11420</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45">
      <c r="A2872" s="15" t="s">
        <v>3439</v>
      </c>
      <c r="B2872" s="16" t="s">
        <v>5</v>
      </c>
      <c r="C2872" s="17" t="s">
        <v>9182</v>
      </c>
      <c r="D2872" s="17" t="s">
        <v>9183</v>
      </c>
      <c r="E2872" s="16" t="s">
        <v>11432</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45">
      <c r="A2873" s="15" t="s">
        <v>3478</v>
      </c>
      <c r="B2873" s="16" t="s">
        <v>5</v>
      </c>
      <c r="C2873" s="17" t="s">
        <v>9185</v>
      </c>
      <c r="D2873" s="17" t="s">
        <v>9186</v>
      </c>
      <c r="E2873" s="16" t="s">
        <v>11417</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45">
      <c r="A2874" s="15" t="s">
        <v>3632</v>
      </c>
      <c r="B2874" s="16" t="s">
        <v>5</v>
      </c>
      <c r="C2874" s="17" t="s">
        <v>9188</v>
      </c>
      <c r="D2874" s="17" t="s">
        <v>9189</v>
      </c>
      <c r="E2874" s="16" t="s">
        <v>11437</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45">
      <c r="A2875" s="15" t="s">
        <v>3635</v>
      </c>
      <c r="B2875" s="16" t="s">
        <v>5</v>
      </c>
      <c r="C2875" s="17" t="s">
        <v>9191</v>
      </c>
      <c r="D2875" s="17" t="s">
        <v>9192</v>
      </c>
      <c r="E2875" s="16" t="s">
        <v>11424</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45">
      <c r="A2876" s="15" t="s">
        <v>4145</v>
      </c>
      <c r="B2876" s="16" t="s">
        <v>5</v>
      </c>
      <c r="C2876" s="17" t="s">
        <v>9194</v>
      </c>
      <c r="D2876" s="17" t="s">
        <v>9195</v>
      </c>
      <c r="E2876" s="16" t="s">
        <v>11424</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45">
      <c r="A2877" s="15" t="s">
        <v>3550</v>
      </c>
      <c r="B2877" s="16" t="s">
        <v>5</v>
      </c>
      <c r="C2877" s="17" t="s">
        <v>9197</v>
      </c>
      <c r="D2877" s="17" t="s">
        <v>9198</v>
      </c>
      <c r="E2877" s="16" t="s">
        <v>11424</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45">
      <c r="A2878" s="15" t="s">
        <v>3457</v>
      </c>
      <c r="B2878" s="16" t="s">
        <v>5</v>
      </c>
      <c r="C2878" s="17" t="s">
        <v>9200</v>
      </c>
      <c r="D2878" s="17" t="s">
        <v>9201</v>
      </c>
      <c r="E2878" s="16" t="s">
        <v>11436</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45">
      <c r="A2879" s="15" t="s">
        <v>3463</v>
      </c>
      <c r="B2879" s="16" t="s">
        <v>5</v>
      </c>
      <c r="C2879" s="17" t="s">
        <v>9203</v>
      </c>
      <c r="D2879" s="17" t="s">
        <v>9204</v>
      </c>
      <c r="E2879" s="16" t="s">
        <v>11436</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45">
      <c r="A2880" s="15" t="s">
        <v>3541</v>
      </c>
      <c r="B2880" s="16" t="s">
        <v>5</v>
      </c>
      <c r="C2880" s="17" t="s">
        <v>9206</v>
      </c>
      <c r="D2880" s="17" t="s">
        <v>9207</v>
      </c>
      <c r="E2880" s="16" t="s">
        <v>11419</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45">
      <c r="A2881" s="15" t="s">
        <v>3728</v>
      </c>
      <c r="B2881" s="16" t="s">
        <v>5</v>
      </c>
      <c r="C2881" s="17" t="s">
        <v>9209</v>
      </c>
      <c r="D2881" s="17" t="s">
        <v>9210</v>
      </c>
      <c r="E2881" s="16" t="s">
        <v>11432</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45">
      <c r="A2882" s="15" t="s">
        <v>3662</v>
      </c>
      <c r="B2882" s="16" t="s">
        <v>5</v>
      </c>
      <c r="C2882" s="17" t="s">
        <v>9212</v>
      </c>
      <c r="D2882" s="17" t="s">
        <v>9213</v>
      </c>
      <c r="E2882" s="16" t="s">
        <v>11419</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45">
      <c r="A2883" s="15" t="s">
        <v>3749</v>
      </c>
      <c r="B2883" s="16" t="s">
        <v>5</v>
      </c>
      <c r="C2883" s="17" t="s">
        <v>9215</v>
      </c>
      <c r="D2883" s="17" t="s">
        <v>9216</v>
      </c>
      <c r="E2883" s="16" t="s">
        <v>11419</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45">
      <c r="A2884" s="15" t="s">
        <v>4004</v>
      </c>
      <c r="B2884" s="16" t="s">
        <v>5</v>
      </c>
      <c r="C2884" s="17" t="s">
        <v>9218</v>
      </c>
      <c r="D2884" s="17" t="s">
        <v>9219</v>
      </c>
      <c r="E2884" s="16" t="s">
        <v>11432</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45">
      <c r="A2885" s="15" t="s">
        <v>3487</v>
      </c>
      <c r="B2885" s="16" t="s">
        <v>5</v>
      </c>
      <c r="C2885" s="17" t="s">
        <v>9221</v>
      </c>
      <c r="D2885" s="17" t="s">
        <v>9222</v>
      </c>
      <c r="E2885" s="16" t="s">
        <v>11432</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45">
      <c r="A2886" s="15" t="s">
        <v>3740</v>
      </c>
      <c r="B2886" s="16" t="s">
        <v>5</v>
      </c>
      <c r="C2886" s="17" t="s">
        <v>9224</v>
      </c>
      <c r="D2886" s="17" t="s">
        <v>9225</v>
      </c>
      <c r="E2886" s="16" t="s">
        <v>11414</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45">
      <c r="A2887" s="15" t="s">
        <v>3289</v>
      </c>
      <c r="B2887" s="16" t="s">
        <v>5</v>
      </c>
      <c r="C2887" s="17" t="s">
        <v>9227</v>
      </c>
      <c r="D2887" s="17" t="s">
        <v>9228</v>
      </c>
      <c r="E2887" s="16" t="s">
        <v>11424</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45">
      <c r="A2888" s="15" t="s">
        <v>3334</v>
      </c>
      <c r="B2888" s="16" t="s">
        <v>5</v>
      </c>
      <c r="C2888" s="17" t="s">
        <v>9230</v>
      </c>
      <c r="D2888" s="17" t="s">
        <v>9231</v>
      </c>
      <c r="E2888" s="16" t="s">
        <v>11419</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45">
      <c r="A2889" s="15" t="s">
        <v>3626</v>
      </c>
      <c r="B2889" s="16" t="s">
        <v>5</v>
      </c>
      <c r="C2889" s="17" t="s">
        <v>9233</v>
      </c>
      <c r="D2889" s="17" t="s">
        <v>9234</v>
      </c>
      <c r="E2889" s="16" t="s">
        <v>11436</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45">
      <c r="A2890" s="15" t="s">
        <v>3575</v>
      </c>
      <c r="B2890" s="16" t="s">
        <v>5</v>
      </c>
      <c r="C2890" s="17" t="s">
        <v>9236</v>
      </c>
      <c r="D2890" s="17" t="s">
        <v>9237</v>
      </c>
      <c r="E2890" s="16" t="s">
        <v>11436</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45">
      <c r="A2891" s="15" t="s">
        <v>3677</v>
      </c>
      <c r="B2891" s="16" t="s">
        <v>5</v>
      </c>
      <c r="C2891" s="17" t="s">
        <v>9239</v>
      </c>
      <c r="D2891" s="17" t="s">
        <v>9240</v>
      </c>
      <c r="E2891" s="16" t="s">
        <v>11436</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45">
      <c r="A2892" s="15" t="s">
        <v>3469</v>
      </c>
      <c r="B2892" s="16" t="s">
        <v>5</v>
      </c>
      <c r="C2892" s="17" t="s">
        <v>9242</v>
      </c>
      <c r="D2892" s="17" t="s">
        <v>9243</v>
      </c>
      <c r="E2892" s="16" t="s">
        <v>11426</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45">
      <c r="A2893" s="15" t="s">
        <v>3496</v>
      </c>
      <c r="B2893" s="16" t="s">
        <v>5</v>
      </c>
      <c r="C2893" s="17" t="s">
        <v>9245</v>
      </c>
      <c r="D2893" s="17" t="s">
        <v>9246</v>
      </c>
      <c r="E2893" s="16" t="s">
        <v>11419</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45">
      <c r="A2894" s="15" t="s">
        <v>3460</v>
      </c>
      <c r="B2894" s="16" t="s">
        <v>5</v>
      </c>
      <c r="C2894" s="17" t="s">
        <v>9248</v>
      </c>
      <c r="D2894" s="17" t="s">
        <v>9249</v>
      </c>
      <c r="E2894" s="16" t="s">
        <v>11436</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45">
      <c r="A2895" s="15" t="s">
        <v>3394</v>
      </c>
      <c r="B2895" s="16" t="s">
        <v>5</v>
      </c>
      <c r="C2895" s="17" t="s">
        <v>9251</v>
      </c>
      <c r="D2895" s="17" t="s">
        <v>9252</v>
      </c>
      <c r="E2895" s="16" t="s">
        <v>11424</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45">
      <c r="A2896" s="15" t="s">
        <v>3400</v>
      </c>
      <c r="B2896" s="16" t="s">
        <v>5</v>
      </c>
      <c r="C2896" s="17" t="s">
        <v>9254</v>
      </c>
      <c r="D2896" s="17" t="s">
        <v>9255</v>
      </c>
      <c r="E2896" s="16" t="s">
        <v>11420</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45">
      <c r="A2897" s="15" t="s">
        <v>3569</v>
      </c>
      <c r="B2897" s="16" t="s">
        <v>5</v>
      </c>
      <c r="C2897" s="17" t="s">
        <v>9257</v>
      </c>
      <c r="D2897" s="17" t="s">
        <v>9258</v>
      </c>
      <c r="E2897" s="16" t="s">
        <v>11419</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45">
      <c r="A2898" s="15" t="s">
        <v>3559</v>
      </c>
      <c r="B2898" s="16" t="s">
        <v>5</v>
      </c>
      <c r="C2898" s="17" t="s">
        <v>9260</v>
      </c>
      <c r="D2898" s="17" t="s">
        <v>9261</v>
      </c>
      <c r="E2898" s="16" t="s">
        <v>11432</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45">
      <c r="A2899" s="15" t="s">
        <v>3611</v>
      </c>
      <c r="B2899" s="16" t="s">
        <v>5</v>
      </c>
      <c r="C2899" s="17" t="s">
        <v>9263</v>
      </c>
      <c r="D2899" s="17" t="s">
        <v>9264</v>
      </c>
      <c r="E2899" s="16" t="s">
        <v>11436</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45">
      <c r="A2900" s="15" t="s">
        <v>3265</v>
      </c>
      <c r="B2900" s="16" t="s">
        <v>5</v>
      </c>
      <c r="C2900" s="17" t="s">
        <v>9266</v>
      </c>
      <c r="D2900" s="17" t="s">
        <v>9267</v>
      </c>
      <c r="E2900" s="16" t="s">
        <v>11420</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45">
      <c r="A2901" s="15" t="s">
        <v>3608</v>
      </c>
      <c r="B2901" s="16" t="s">
        <v>5</v>
      </c>
      <c r="C2901" s="17" t="s">
        <v>9269</v>
      </c>
      <c r="D2901" s="17" t="s">
        <v>9270</v>
      </c>
      <c r="E2901" s="16" t="s">
        <v>11424</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45">
      <c r="A2902" s="15" t="s">
        <v>3623</v>
      </c>
      <c r="B2902" s="16" t="s">
        <v>5</v>
      </c>
      <c r="C2902" s="17" t="s">
        <v>9272</v>
      </c>
      <c r="D2902" s="17" t="s">
        <v>9273</v>
      </c>
      <c r="E2902" s="16" t="s">
        <v>11419</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45">
      <c r="A2903" s="15" t="s">
        <v>3556</v>
      </c>
      <c r="B2903" s="16" t="s">
        <v>5</v>
      </c>
      <c r="C2903" s="17" t="s">
        <v>9275</v>
      </c>
      <c r="D2903" s="17" t="s">
        <v>9276</v>
      </c>
      <c r="E2903" s="16" t="s">
        <v>11432</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45">
      <c r="A2904" s="15" t="s">
        <v>3578</v>
      </c>
      <c r="B2904" s="16" t="s">
        <v>5</v>
      </c>
      <c r="C2904" s="17" t="s">
        <v>9278</v>
      </c>
      <c r="D2904" s="17" t="s">
        <v>9279</v>
      </c>
      <c r="E2904" s="16" t="s">
        <v>11437</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45">
      <c r="A2905" s="15" t="s">
        <v>3683</v>
      </c>
      <c r="B2905" s="16" t="s">
        <v>5</v>
      </c>
      <c r="C2905" s="17" t="s">
        <v>9281</v>
      </c>
      <c r="D2905" s="17" t="s">
        <v>9282</v>
      </c>
      <c r="E2905" s="16" t="s">
        <v>11428</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45">
      <c r="A2906" s="15" t="s">
        <v>3707</v>
      </c>
      <c r="B2906" s="16" t="s">
        <v>5</v>
      </c>
      <c r="C2906" s="17" t="s">
        <v>9284</v>
      </c>
      <c r="D2906" s="17" t="s">
        <v>9285</v>
      </c>
      <c r="E2906" s="16" t="s">
        <v>11420</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45">
      <c r="A2907" s="15" t="s">
        <v>3572</v>
      </c>
      <c r="B2907" s="16" t="s">
        <v>5</v>
      </c>
      <c r="C2907" s="17" t="s">
        <v>9287</v>
      </c>
      <c r="D2907" s="17" t="s">
        <v>9288</v>
      </c>
      <c r="E2907" s="16" t="s">
        <v>11414</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45">
      <c r="A2908" s="15" t="s">
        <v>3599</v>
      </c>
      <c r="B2908" s="16" t="s">
        <v>5</v>
      </c>
      <c r="C2908" s="17" t="s">
        <v>9290</v>
      </c>
      <c r="D2908" s="17" t="s">
        <v>9291</v>
      </c>
      <c r="E2908" s="16" t="s">
        <v>11436</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45">
      <c r="A2909" s="15" t="s">
        <v>3466</v>
      </c>
      <c r="B2909" s="16" t="s">
        <v>5</v>
      </c>
      <c r="C2909" s="17" t="s">
        <v>9293</v>
      </c>
      <c r="D2909" s="17" t="s">
        <v>9294</v>
      </c>
      <c r="E2909" s="16" t="s">
        <v>11426</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45">
      <c r="A2910" s="15" t="s">
        <v>3620</v>
      </c>
      <c r="B2910" s="16" t="s">
        <v>5</v>
      </c>
      <c r="C2910" s="17" t="s">
        <v>9296</v>
      </c>
      <c r="D2910" s="17" t="s">
        <v>9297</v>
      </c>
      <c r="E2910" s="16" t="s">
        <v>11436</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45">
      <c r="A2911" s="15" t="s">
        <v>3644</v>
      </c>
      <c r="B2911" s="16" t="s">
        <v>5</v>
      </c>
      <c r="C2911" s="17" t="s">
        <v>9299</v>
      </c>
      <c r="D2911" s="17" t="s">
        <v>9300</v>
      </c>
      <c r="E2911" s="16" t="s">
        <v>11432</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45">
      <c r="A2912" s="15" t="s">
        <v>3704</v>
      </c>
      <c r="B2912" s="16" t="s">
        <v>5</v>
      </c>
      <c r="C2912" s="17" t="s">
        <v>9302</v>
      </c>
      <c r="D2912" s="17" t="s">
        <v>9303</v>
      </c>
      <c r="E2912" s="16" t="s">
        <v>11420</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45">
      <c r="A2913" s="15" t="s">
        <v>3809</v>
      </c>
      <c r="B2913" s="16" t="s">
        <v>5</v>
      </c>
      <c r="C2913" s="17" t="s">
        <v>9305</v>
      </c>
      <c r="D2913" s="17" t="s">
        <v>9306</v>
      </c>
      <c r="E2913" s="16" t="s">
        <v>11417</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45">
      <c r="A2914" s="15" t="s">
        <v>3605</v>
      </c>
      <c r="B2914" s="16" t="s">
        <v>5</v>
      </c>
      <c r="C2914" s="17" t="s">
        <v>9308</v>
      </c>
      <c r="D2914" s="17" t="s">
        <v>9309</v>
      </c>
      <c r="E2914" s="16" t="s">
        <v>11424</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45">
      <c r="A2915" s="15" t="s">
        <v>3535</v>
      </c>
      <c r="B2915" s="16" t="s">
        <v>5</v>
      </c>
      <c r="C2915" s="17" t="s">
        <v>9311</v>
      </c>
      <c r="D2915" s="17" t="s">
        <v>9312</v>
      </c>
      <c r="E2915" s="16" t="s">
        <v>11424</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45">
      <c r="A2916" s="15" t="s">
        <v>3650</v>
      </c>
      <c r="B2916" s="16" t="s">
        <v>5</v>
      </c>
      <c r="C2916" s="17" t="s">
        <v>9314</v>
      </c>
      <c r="D2916" s="17" t="s">
        <v>9315</v>
      </c>
      <c r="E2916" s="16" t="s">
        <v>11427</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45">
      <c r="A2917" s="15" t="s">
        <v>3752</v>
      </c>
      <c r="B2917" s="16" t="s">
        <v>5</v>
      </c>
      <c r="C2917" s="17" t="s">
        <v>9317</v>
      </c>
      <c r="D2917" s="17" t="s">
        <v>9318</v>
      </c>
      <c r="E2917" s="16" t="s">
        <v>11414</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45">
      <c r="A2918" s="15" t="s">
        <v>3671</v>
      </c>
      <c r="B2918" s="16" t="s">
        <v>5</v>
      </c>
      <c r="C2918" s="17" t="s">
        <v>9320</v>
      </c>
      <c r="D2918" s="17" t="s">
        <v>9321</v>
      </c>
      <c r="E2918" s="16" t="s">
        <v>11419</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45">
      <c r="A2919" s="15" t="s">
        <v>3665</v>
      </c>
      <c r="B2919" s="16" t="s">
        <v>5</v>
      </c>
      <c r="C2919" s="17" t="s">
        <v>9323</v>
      </c>
      <c r="D2919" s="17" t="s">
        <v>9324</v>
      </c>
      <c r="E2919" s="16" t="s">
        <v>11419</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45">
      <c r="A2920" s="15" t="s">
        <v>3544</v>
      </c>
      <c r="B2920" s="16" t="s">
        <v>5</v>
      </c>
      <c r="C2920" s="17" t="s">
        <v>9326</v>
      </c>
      <c r="D2920" s="17" t="s">
        <v>9327</v>
      </c>
      <c r="E2920" s="16" t="s">
        <v>11414</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45">
      <c r="A2921" s="15" t="s">
        <v>3803</v>
      </c>
      <c r="B2921" s="16" t="s">
        <v>5</v>
      </c>
      <c r="C2921" s="17" t="s">
        <v>9329</v>
      </c>
      <c r="D2921" s="17" t="s">
        <v>9330</v>
      </c>
      <c r="E2921" s="16" t="s">
        <v>11414</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45">
      <c r="A2922" s="15" t="s">
        <v>3505</v>
      </c>
      <c r="B2922" s="16" t="s">
        <v>5</v>
      </c>
      <c r="C2922" s="17" t="s">
        <v>9332</v>
      </c>
      <c r="D2922" s="17" t="s">
        <v>9333</v>
      </c>
      <c r="E2922" s="16" t="s">
        <v>11432</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45">
      <c r="A2923" s="15" t="s">
        <v>4025</v>
      </c>
      <c r="B2923" s="16" t="s">
        <v>5</v>
      </c>
      <c r="C2923" s="17" t="s">
        <v>9335</v>
      </c>
      <c r="D2923" s="17" t="s">
        <v>9336</v>
      </c>
      <c r="E2923" s="16" t="s">
        <v>11436</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45">
      <c r="A2924" s="15" t="s">
        <v>3638</v>
      </c>
      <c r="B2924" s="16" t="s">
        <v>5</v>
      </c>
      <c r="C2924" s="17" t="s">
        <v>9338</v>
      </c>
      <c r="D2924" s="17" t="s">
        <v>9339</v>
      </c>
      <c r="E2924" s="16" t="s">
        <v>11424</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45">
      <c r="A2925" s="15" t="s">
        <v>3686</v>
      </c>
      <c r="B2925" s="16" t="s">
        <v>5</v>
      </c>
      <c r="C2925" s="17" t="s">
        <v>9341</v>
      </c>
      <c r="D2925" s="17" t="s">
        <v>9342</v>
      </c>
      <c r="E2925" s="16" t="s">
        <v>11424</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45">
      <c r="A2926" s="15" t="s">
        <v>3821</v>
      </c>
      <c r="B2926" s="16" t="s">
        <v>5</v>
      </c>
      <c r="C2926" s="17" t="s">
        <v>9344</v>
      </c>
      <c r="D2926" s="17" t="s">
        <v>9345</v>
      </c>
      <c r="E2926" s="16" t="s">
        <v>11424</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45">
      <c r="A2927" s="15" t="s">
        <v>3689</v>
      </c>
      <c r="B2927" s="16" t="s">
        <v>5</v>
      </c>
      <c r="C2927" s="17" t="s">
        <v>9347</v>
      </c>
      <c r="D2927" s="17" t="s">
        <v>9348</v>
      </c>
      <c r="E2927" s="16" t="s">
        <v>11424</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45">
      <c r="A2928" s="15" t="s">
        <v>3547</v>
      </c>
      <c r="B2928" s="16" t="s">
        <v>5</v>
      </c>
      <c r="C2928" s="17" t="s">
        <v>9350</v>
      </c>
      <c r="D2928" s="17" t="s">
        <v>9351</v>
      </c>
      <c r="E2928" s="16" t="s">
        <v>11436</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45">
      <c r="A2929" s="15" t="s">
        <v>3532</v>
      </c>
      <c r="B2929" s="16" t="s">
        <v>5</v>
      </c>
      <c r="C2929" s="17" t="s">
        <v>9353</v>
      </c>
      <c r="D2929" s="17" t="s">
        <v>9354</v>
      </c>
      <c r="E2929" s="16" t="s">
        <v>11426</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45">
      <c r="A2930" s="15" t="s">
        <v>3647</v>
      </c>
      <c r="B2930" s="16" t="s">
        <v>5</v>
      </c>
      <c r="C2930" s="17" t="s">
        <v>9356</v>
      </c>
      <c r="D2930" s="17" t="s">
        <v>9357</v>
      </c>
      <c r="E2930" s="16" t="s">
        <v>11426</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45">
      <c r="A2931" s="15" t="s">
        <v>3481</v>
      </c>
      <c r="B2931" s="16" t="s">
        <v>5</v>
      </c>
      <c r="C2931" s="17" t="s">
        <v>9359</v>
      </c>
      <c r="D2931" s="17" t="s">
        <v>9360</v>
      </c>
      <c r="E2931" s="16" t="s">
        <v>11436</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45">
      <c r="A2932" s="15" t="s">
        <v>3725</v>
      </c>
      <c r="B2932" s="16" t="s">
        <v>5</v>
      </c>
      <c r="C2932" s="17" t="s">
        <v>9362</v>
      </c>
      <c r="D2932" s="17" t="s">
        <v>9363</v>
      </c>
      <c r="E2932" s="16" t="s">
        <v>11436</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45">
      <c r="A2933" s="15" t="s">
        <v>3758</v>
      </c>
      <c r="B2933" s="16" t="s">
        <v>5</v>
      </c>
      <c r="C2933" s="17" t="s">
        <v>9365</v>
      </c>
      <c r="D2933" s="17" t="s">
        <v>9366</v>
      </c>
      <c r="E2933" s="16" t="s">
        <v>11420</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45">
      <c r="A2934" s="15" t="s">
        <v>3475</v>
      </c>
      <c r="B2934" s="16" t="s">
        <v>5</v>
      </c>
      <c r="C2934" s="17" t="s">
        <v>9368</v>
      </c>
      <c r="D2934" s="17" t="s">
        <v>9369</v>
      </c>
      <c r="E2934" s="16" t="s">
        <v>11425</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45">
      <c r="A2935" s="15" t="s">
        <v>3262</v>
      </c>
      <c r="B2935" s="16" t="s">
        <v>5</v>
      </c>
      <c r="C2935" s="17" t="s">
        <v>9371</v>
      </c>
      <c r="D2935" s="17" t="s">
        <v>9372</v>
      </c>
      <c r="E2935" s="16" t="s">
        <v>11414</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45">
      <c r="A2936" s="15" t="s">
        <v>3731</v>
      </c>
      <c r="B2936" s="16" t="s">
        <v>5</v>
      </c>
      <c r="C2936" s="17" t="s">
        <v>9374</v>
      </c>
      <c r="D2936" s="17" t="s">
        <v>9375</v>
      </c>
      <c r="E2936" s="16" t="s">
        <v>11436</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45">
      <c r="A2937" s="15" t="s">
        <v>3755</v>
      </c>
      <c r="B2937" s="16" t="s">
        <v>5</v>
      </c>
      <c r="C2937" s="17" t="s">
        <v>9376</v>
      </c>
      <c r="D2937" s="17" t="s">
        <v>9377</v>
      </c>
      <c r="E2937" s="15" t="s">
        <v>11414</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45">
      <c r="A2938" s="15" t="s">
        <v>3722</v>
      </c>
      <c r="B2938" s="16" t="s">
        <v>5</v>
      </c>
      <c r="C2938" s="17" t="s">
        <v>9379</v>
      </c>
      <c r="D2938" s="17" t="s">
        <v>9380</v>
      </c>
      <c r="E2938" s="16" t="s">
        <v>11414</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45">
      <c r="A2939" s="15" t="s">
        <v>3695</v>
      </c>
      <c r="B2939" s="16" t="s">
        <v>5</v>
      </c>
      <c r="C2939" s="17" t="s">
        <v>9382</v>
      </c>
      <c r="D2939" s="17" t="s">
        <v>9383</v>
      </c>
      <c r="E2939" s="16" t="s">
        <v>11414</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45">
      <c r="A2940" s="15" t="s">
        <v>3866</v>
      </c>
      <c r="B2940" s="16" t="s">
        <v>5</v>
      </c>
      <c r="C2940" s="17" t="s">
        <v>9385</v>
      </c>
      <c r="D2940" s="17" t="s">
        <v>9386</v>
      </c>
      <c r="E2940" s="16" t="s">
        <v>11436</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45">
      <c r="A2941" s="15" t="s">
        <v>3893</v>
      </c>
      <c r="B2941" s="16" t="s">
        <v>5</v>
      </c>
      <c r="C2941" s="17" t="s">
        <v>9388</v>
      </c>
      <c r="D2941" s="17" t="s">
        <v>9389</v>
      </c>
      <c r="E2941" s="16" t="s">
        <v>11418</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45">
      <c r="A2942" s="15" t="s">
        <v>3887</v>
      </c>
      <c r="B2942" s="16" t="s">
        <v>5</v>
      </c>
      <c r="C2942" s="17" t="s">
        <v>9391</v>
      </c>
      <c r="D2942" s="17" t="s">
        <v>9392</v>
      </c>
      <c r="E2942" s="16" t="s">
        <v>11418</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45">
      <c r="A2943" s="15" t="s">
        <v>3797</v>
      </c>
      <c r="B2943" s="16" t="s">
        <v>5</v>
      </c>
      <c r="C2943" s="17" t="s">
        <v>9394</v>
      </c>
      <c r="D2943" s="17" t="s">
        <v>9395</v>
      </c>
      <c r="E2943" s="16" t="s">
        <v>11436</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45">
      <c r="A2944" s="15" t="s">
        <v>3734</v>
      </c>
      <c r="B2944" s="16" t="s">
        <v>5</v>
      </c>
      <c r="C2944" s="17" t="s">
        <v>9397</v>
      </c>
      <c r="D2944" s="17" t="s">
        <v>9398</v>
      </c>
      <c r="E2944" s="16" t="s">
        <v>11437</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45">
      <c r="A2945" s="15" t="s">
        <v>3806</v>
      </c>
      <c r="B2945" s="16" t="s">
        <v>5</v>
      </c>
      <c r="C2945" s="17" t="s">
        <v>9400</v>
      </c>
      <c r="D2945" s="17" t="s">
        <v>9401</v>
      </c>
      <c r="E2945" s="16" t="s">
        <v>11419</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45">
      <c r="A2946" s="15" t="s">
        <v>3830</v>
      </c>
      <c r="B2946" s="16" t="s">
        <v>5</v>
      </c>
      <c r="C2946" s="17" t="s">
        <v>9403</v>
      </c>
      <c r="D2946" s="17" t="s">
        <v>9404</v>
      </c>
      <c r="E2946" s="16" t="s">
        <v>11419</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45">
      <c r="A2947" s="15" t="s">
        <v>3863</v>
      </c>
      <c r="B2947" s="16" t="s">
        <v>5</v>
      </c>
      <c r="C2947" s="17" t="s">
        <v>9406</v>
      </c>
      <c r="D2947" s="17" t="s">
        <v>9407</v>
      </c>
      <c r="E2947" s="16" t="s">
        <v>11437</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45">
      <c r="A2948" s="15" t="s">
        <v>3839</v>
      </c>
      <c r="B2948" s="16" t="s">
        <v>5</v>
      </c>
      <c r="C2948" s="17" t="s">
        <v>9409</v>
      </c>
      <c r="D2948" s="17" t="s">
        <v>9410</v>
      </c>
      <c r="E2948" s="16" t="s">
        <v>11419</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45">
      <c r="A2949" s="15" t="s">
        <v>3562</v>
      </c>
      <c r="B2949" s="16" t="s">
        <v>5</v>
      </c>
      <c r="C2949" s="17" t="s">
        <v>9412</v>
      </c>
      <c r="D2949" s="17" t="s">
        <v>9413</v>
      </c>
      <c r="E2949" s="16" t="s">
        <v>11432</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45">
      <c r="A2950" s="15" t="s">
        <v>3508</v>
      </c>
      <c r="B2950" s="16" t="s">
        <v>5</v>
      </c>
      <c r="C2950" s="17" t="s">
        <v>9415</v>
      </c>
      <c r="D2950" s="17" t="s">
        <v>9416</v>
      </c>
      <c r="E2950" s="16" t="s">
        <v>11432</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45">
      <c r="A2951" s="15" t="s">
        <v>3746</v>
      </c>
      <c r="B2951" s="16" t="s">
        <v>5</v>
      </c>
      <c r="C2951" s="17" t="s">
        <v>9417</v>
      </c>
      <c r="D2951" s="17" t="s">
        <v>9418</v>
      </c>
      <c r="E2951" s="15" t="s">
        <v>11432</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45">
      <c r="A2952" s="15" t="s">
        <v>3827</v>
      </c>
      <c r="B2952" s="16" t="s">
        <v>5</v>
      </c>
      <c r="C2952" s="17" t="s">
        <v>9420</v>
      </c>
      <c r="D2952" s="17" t="s">
        <v>9421</v>
      </c>
      <c r="E2952" s="16" t="s">
        <v>11432</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45">
      <c r="A2953" s="15" t="s">
        <v>3812</v>
      </c>
      <c r="B2953" s="16" t="s">
        <v>5</v>
      </c>
      <c r="C2953" s="17" t="s">
        <v>9423</v>
      </c>
      <c r="D2953" s="17" t="s">
        <v>9424</v>
      </c>
      <c r="E2953" s="16" t="s">
        <v>11432</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45">
      <c r="A2954" s="15" t="s">
        <v>3701</v>
      </c>
      <c r="B2954" s="16" t="s">
        <v>5</v>
      </c>
      <c r="C2954" s="17" t="s">
        <v>9426</v>
      </c>
      <c r="D2954" s="17" t="s">
        <v>9427</v>
      </c>
      <c r="E2954" s="16" t="s">
        <v>11420</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45">
      <c r="A2955" s="15" t="s">
        <v>3614</v>
      </c>
      <c r="B2955" s="16" t="s">
        <v>5</v>
      </c>
      <c r="C2955" s="17" t="s">
        <v>9429</v>
      </c>
      <c r="D2955" s="17" t="s">
        <v>9430</v>
      </c>
      <c r="E2955" s="16" t="s">
        <v>11420</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45">
      <c r="A2956" s="15" t="s">
        <v>3499</v>
      </c>
      <c r="B2956" s="16" t="s">
        <v>5</v>
      </c>
      <c r="C2956" s="17" t="s">
        <v>9432</v>
      </c>
      <c r="D2956" s="17" t="s">
        <v>9433</v>
      </c>
      <c r="E2956" s="16" t="s">
        <v>11420</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45">
      <c r="A2957" s="15" t="s">
        <v>3869</v>
      </c>
      <c r="B2957" s="16" t="s">
        <v>5</v>
      </c>
      <c r="C2957" s="17" t="s">
        <v>9435</v>
      </c>
      <c r="D2957" s="17" t="s">
        <v>9436</v>
      </c>
      <c r="E2957" s="16" t="s">
        <v>11418</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45">
      <c r="A2958" s="15" t="s">
        <v>3800</v>
      </c>
      <c r="B2958" s="16" t="s">
        <v>5</v>
      </c>
      <c r="C2958" s="17" t="s">
        <v>9438</v>
      </c>
      <c r="D2958" s="17" t="s">
        <v>9439</v>
      </c>
      <c r="E2958" s="16" t="s">
        <v>11418</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45">
      <c r="A2959" s="15" t="s">
        <v>3602</v>
      </c>
      <c r="B2959" s="16" t="s">
        <v>5</v>
      </c>
      <c r="C2959" s="17" t="s">
        <v>9441</v>
      </c>
      <c r="D2959" s="17" t="s">
        <v>9442</v>
      </c>
      <c r="E2959" s="16" t="s">
        <v>11420</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45">
      <c r="A2960" s="15" t="s">
        <v>3304</v>
      </c>
      <c r="B2960" s="16" t="s">
        <v>5</v>
      </c>
      <c r="C2960" s="17" t="s">
        <v>9444</v>
      </c>
      <c r="D2960" s="17" t="s">
        <v>9445</v>
      </c>
      <c r="E2960" s="16" t="s">
        <v>11436</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45">
      <c r="A2961" s="15" t="s">
        <v>3878</v>
      </c>
      <c r="B2961" s="16" t="s">
        <v>5</v>
      </c>
      <c r="C2961" s="17" t="s">
        <v>9447</v>
      </c>
      <c r="D2961" s="17" t="s">
        <v>9448</v>
      </c>
      <c r="E2961" s="16" t="s">
        <v>11418</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45">
      <c r="A2962" s="15" t="s">
        <v>3890</v>
      </c>
      <c r="B2962" s="16" t="s">
        <v>5</v>
      </c>
      <c r="C2962" s="17" t="s">
        <v>9450</v>
      </c>
      <c r="D2962" s="17" t="s">
        <v>9451</v>
      </c>
      <c r="E2962" s="16" t="s">
        <v>11418</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45">
      <c r="A2963" s="15" t="s">
        <v>3833</v>
      </c>
      <c r="B2963" s="16" t="s">
        <v>5</v>
      </c>
      <c r="C2963" s="17" t="s">
        <v>9453</v>
      </c>
      <c r="D2963" s="17" t="s">
        <v>9454</v>
      </c>
      <c r="E2963" s="16" t="s">
        <v>11436</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45">
      <c r="A2964" s="15" t="s">
        <v>3430</v>
      </c>
      <c r="B2964" s="16" t="s">
        <v>5</v>
      </c>
      <c r="C2964" s="17" t="s">
        <v>9456</v>
      </c>
      <c r="D2964" s="17" t="s">
        <v>9457</v>
      </c>
      <c r="E2964" s="16" t="s">
        <v>11417</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45">
      <c r="A2965" s="15" t="s">
        <v>3397</v>
      </c>
      <c r="B2965" s="16" t="s">
        <v>5</v>
      </c>
      <c r="C2965" s="17" t="s">
        <v>9459</v>
      </c>
      <c r="D2965" s="17" t="s">
        <v>9460</v>
      </c>
      <c r="E2965" s="16" t="s">
        <v>11417</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45">
      <c r="A2966" s="15" t="s">
        <v>3680</v>
      </c>
      <c r="B2966" s="16" t="s">
        <v>5</v>
      </c>
      <c r="C2966" s="17" t="s">
        <v>9462</v>
      </c>
      <c r="D2966" s="17" t="s">
        <v>9463</v>
      </c>
      <c r="E2966" s="16" t="s">
        <v>11443</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45">
      <c r="A2967" s="15" t="s">
        <v>3629</v>
      </c>
      <c r="B2967" s="16" t="s">
        <v>5</v>
      </c>
      <c r="C2967" s="17" t="s">
        <v>9465</v>
      </c>
      <c r="D2967" s="17" t="s">
        <v>9466</v>
      </c>
      <c r="E2967" s="16" t="s">
        <v>11417</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45">
      <c r="A2968" s="15" t="s">
        <v>3791</v>
      </c>
      <c r="B2968" s="16" t="s">
        <v>5</v>
      </c>
      <c r="C2968" s="17" t="s">
        <v>9468</v>
      </c>
      <c r="D2968" s="17" t="s">
        <v>9469</v>
      </c>
      <c r="E2968" s="16" t="s">
        <v>11417</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45">
      <c r="A2969" s="15" t="s">
        <v>3184</v>
      </c>
      <c r="B2969" s="16" t="s">
        <v>5</v>
      </c>
      <c r="C2969" s="17" t="s">
        <v>9471</v>
      </c>
      <c r="D2969" s="17" t="s">
        <v>9472</v>
      </c>
      <c r="E2969" s="16" t="s">
        <v>11437</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45">
      <c r="A2970" s="15" t="s">
        <v>3980</v>
      </c>
      <c r="B2970" s="16" t="s">
        <v>5</v>
      </c>
      <c r="C2970" s="17" t="s">
        <v>9474</v>
      </c>
      <c r="D2970" s="17" t="s">
        <v>9475</v>
      </c>
      <c r="E2970" s="16" t="s">
        <v>11432</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45">
      <c r="A2971" s="15" t="s">
        <v>3824</v>
      </c>
      <c r="B2971" s="16" t="s">
        <v>5</v>
      </c>
      <c r="C2971" s="17" t="s">
        <v>9477</v>
      </c>
      <c r="D2971" s="17" t="s">
        <v>9478</v>
      </c>
      <c r="E2971" s="16" t="s">
        <v>11417</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45">
      <c r="A2972" s="15" t="s">
        <v>3941</v>
      </c>
      <c r="B2972" s="16" t="s">
        <v>5</v>
      </c>
      <c r="C2972" s="17" t="s">
        <v>9480</v>
      </c>
      <c r="D2972" s="17" t="s">
        <v>9481</v>
      </c>
      <c r="E2972" s="16" t="s">
        <v>11437</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45">
      <c r="A2973" s="15" t="s">
        <v>3917</v>
      </c>
      <c r="B2973" s="16" t="s">
        <v>5</v>
      </c>
      <c r="C2973" s="17" t="s">
        <v>9483</v>
      </c>
      <c r="D2973" s="17" t="s">
        <v>9484</v>
      </c>
      <c r="E2973" s="16" t="s">
        <v>11419</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45">
      <c r="A2974" s="15" t="s">
        <v>3794</v>
      </c>
      <c r="B2974" s="16" t="s">
        <v>5</v>
      </c>
      <c r="C2974" s="17" t="s">
        <v>9486</v>
      </c>
      <c r="D2974" s="17" t="s">
        <v>9487</v>
      </c>
      <c r="E2974" s="16" t="s">
        <v>11417</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45">
      <c r="A2975" s="15" t="s">
        <v>3565</v>
      </c>
      <c r="B2975" s="16" t="s">
        <v>5</v>
      </c>
      <c r="C2975" s="17" t="s">
        <v>9489</v>
      </c>
      <c r="D2975" s="17" t="s">
        <v>9490</v>
      </c>
      <c r="E2975" s="16" t="s">
        <v>11443</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45">
      <c r="A2976" s="15" t="s">
        <v>3743</v>
      </c>
      <c r="B2976" s="16" t="s">
        <v>5</v>
      </c>
      <c r="C2976" s="17" t="s">
        <v>9492</v>
      </c>
      <c r="D2976" s="17" t="s">
        <v>9493</v>
      </c>
      <c r="E2976" s="16" t="s">
        <v>11414</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45">
      <c r="A2977" s="15" t="s">
        <v>3860</v>
      </c>
      <c r="B2977" s="16" t="s">
        <v>5</v>
      </c>
      <c r="C2977" s="17" t="s">
        <v>9495</v>
      </c>
      <c r="D2977" s="17" t="s">
        <v>9496</v>
      </c>
      <c r="E2977" s="16" t="s">
        <v>11414</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45">
      <c r="A2978" s="15" t="s">
        <v>3896</v>
      </c>
      <c r="B2978" s="16" t="s">
        <v>5</v>
      </c>
      <c r="C2978" s="17" t="s">
        <v>9498</v>
      </c>
      <c r="D2978" s="17" t="s">
        <v>9499</v>
      </c>
      <c r="E2978" s="16" t="s">
        <v>11417</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45">
      <c r="A2979" s="15" t="s">
        <v>3761</v>
      </c>
      <c r="B2979" s="16" t="s">
        <v>5</v>
      </c>
      <c r="C2979" s="17" t="s">
        <v>9501</v>
      </c>
      <c r="D2979" s="17" t="s">
        <v>9502</v>
      </c>
      <c r="E2979" s="16" t="s">
        <v>11420</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45">
      <c r="A2980" s="15" t="s">
        <v>3875</v>
      </c>
      <c r="B2980" s="16" t="s">
        <v>5</v>
      </c>
      <c r="C2980" s="17" t="s">
        <v>9504</v>
      </c>
      <c r="D2980" s="17" t="s">
        <v>9505</v>
      </c>
      <c r="E2980" s="16" t="s">
        <v>11425</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45">
      <c r="A2981" s="15" t="s">
        <v>3920</v>
      </c>
      <c r="B2981" s="16" t="s">
        <v>5</v>
      </c>
      <c r="C2981" s="17" t="s">
        <v>9507</v>
      </c>
      <c r="D2981" s="17" t="s">
        <v>9508</v>
      </c>
      <c r="E2981" s="15" t="s">
        <v>11432</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45">
      <c r="A2982" s="15" t="s">
        <v>3836</v>
      </c>
      <c r="B2982" s="16" t="s">
        <v>5</v>
      </c>
      <c r="C2982" s="17" t="s">
        <v>9509</v>
      </c>
      <c r="D2982" s="17" t="s">
        <v>9510</v>
      </c>
      <c r="E2982" s="15" t="s">
        <v>11418</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45">
      <c r="A2983" s="15" t="s">
        <v>3713</v>
      </c>
      <c r="B2983" s="16" t="s">
        <v>5</v>
      </c>
      <c r="C2983" s="17" t="s">
        <v>9512</v>
      </c>
      <c r="D2983" s="17" t="s">
        <v>9513</v>
      </c>
      <c r="E2983" s="16" t="s">
        <v>11436</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45">
      <c r="A2984" s="15" t="s">
        <v>3764</v>
      </c>
      <c r="B2984" s="16" t="s">
        <v>5</v>
      </c>
      <c r="C2984" s="17" t="s">
        <v>9515</v>
      </c>
      <c r="D2984" s="17" t="s">
        <v>9516</v>
      </c>
      <c r="E2984" s="16" t="s">
        <v>11417</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45">
      <c r="A2985" s="15" t="s">
        <v>3818</v>
      </c>
      <c r="B2985" s="16" t="s">
        <v>5</v>
      </c>
      <c r="C2985" s="17" t="s">
        <v>9518</v>
      </c>
      <c r="D2985" s="17" t="s">
        <v>9519</v>
      </c>
      <c r="E2985" s="16" t="s">
        <v>11417</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45">
      <c r="A2986" s="15" t="s">
        <v>3674</v>
      </c>
      <c r="B2986" s="16" t="s">
        <v>5</v>
      </c>
      <c r="C2986" s="17" t="s">
        <v>9521</v>
      </c>
      <c r="D2986" s="17" t="s">
        <v>9522</v>
      </c>
      <c r="E2986" s="16" t="s">
        <v>11419</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45">
      <c r="A2987" s="15" t="s">
        <v>3881</v>
      </c>
      <c r="B2987" s="16" t="s">
        <v>5</v>
      </c>
      <c r="C2987" s="17" t="s">
        <v>9524</v>
      </c>
      <c r="D2987" s="17" t="s">
        <v>9525</v>
      </c>
      <c r="E2987" s="16" t="s">
        <v>11419</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45">
      <c r="A2988" s="15" t="s">
        <v>3914</v>
      </c>
      <c r="B2988" s="16" t="s">
        <v>5</v>
      </c>
      <c r="C2988" s="17" t="s">
        <v>9527</v>
      </c>
      <c r="D2988" s="17" t="s">
        <v>9528</v>
      </c>
      <c r="E2988" s="16" t="s">
        <v>11420</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45">
      <c r="A2989" s="15" t="s">
        <v>3815</v>
      </c>
      <c r="B2989" s="16" t="s">
        <v>5</v>
      </c>
      <c r="C2989" s="17" t="s">
        <v>9530</v>
      </c>
      <c r="D2989" s="17" t="s">
        <v>9531</v>
      </c>
      <c r="E2989" s="16" t="s">
        <v>11417</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45">
      <c r="A2990" s="15" t="s">
        <v>3938</v>
      </c>
      <c r="B2990" s="16" t="s">
        <v>5</v>
      </c>
      <c r="C2990" s="17" t="s">
        <v>9533</v>
      </c>
      <c r="D2990" s="17" t="s">
        <v>9534</v>
      </c>
      <c r="E2990" s="16" t="s">
        <v>11414</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45">
      <c r="A2991" s="15" t="s">
        <v>3641</v>
      </c>
      <c r="B2991" s="16" t="s">
        <v>5</v>
      </c>
      <c r="C2991" s="17" t="s">
        <v>9536</v>
      </c>
      <c r="D2991" s="17" t="s">
        <v>9537</v>
      </c>
      <c r="E2991" s="16" t="s">
        <v>11432</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45">
      <c r="A2992" s="15" t="s">
        <v>3788</v>
      </c>
      <c r="B2992" s="16" t="s">
        <v>5</v>
      </c>
      <c r="C2992" s="17" t="s">
        <v>9539</v>
      </c>
      <c r="D2992" s="17" t="s">
        <v>9540</v>
      </c>
      <c r="E2992" s="16" t="s">
        <v>11436</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45">
      <c r="A2993" s="15" t="s">
        <v>3692</v>
      </c>
      <c r="B2993" s="16" t="s">
        <v>5</v>
      </c>
      <c r="C2993" s="17" t="s">
        <v>9542</v>
      </c>
      <c r="D2993" s="17" t="s">
        <v>9543</v>
      </c>
      <c r="E2993" s="16" t="s">
        <v>11432</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45">
      <c r="A2994" s="15" t="s">
        <v>3872</v>
      </c>
      <c r="B2994" s="16" t="s">
        <v>5</v>
      </c>
      <c r="C2994" s="17" t="s">
        <v>9545</v>
      </c>
      <c r="D2994" s="17" t="s">
        <v>9546</v>
      </c>
      <c r="E2994" s="16" t="s">
        <v>11414</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45">
      <c r="A2995" s="15" t="s">
        <v>3698</v>
      </c>
      <c r="B2995" s="16" t="s">
        <v>5</v>
      </c>
      <c r="C2995" s="17" t="s">
        <v>9548</v>
      </c>
      <c r="D2995" s="17" t="s">
        <v>9549</v>
      </c>
      <c r="E2995" s="16" t="s">
        <v>11436</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45">
      <c r="A2996" s="15" t="s">
        <v>3935</v>
      </c>
      <c r="B2996" s="16" t="s">
        <v>5</v>
      </c>
      <c r="C2996" s="17" t="s">
        <v>9551</v>
      </c>
      <c r="D2996" s="17" t="s">
        <v>9552</v>
      </c>
      <c r="E2996" s="16" t="s">
        <v>11417</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45">
      <c r="A2997" s="15" t="s">
        <v>3668</v>
      </c>
      <c r="B2997" s="16" t="s">
        <v>5</v>
      </c>
      <c r="C2997" s="17" t="s">
        <v>9554</v>
      </c>
      <c r="D2997" s="17" t="s">
        <v>9555</v>
      </c>
      <c r="E2997" s="16" t="s">
        <v>11419</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45">
      <c r="A2998" s="15" t="s">
        <v>3965</v>
      </c>
      <c r="B2998" s="16" t="s">
        <v>5</v>
      </c>
      <c r="C2998" s="17" t="s">
        <v>9557</v>
      </c>
      <c r="D2998" s="17" t="s">
        <v>9558</v>
      </c>
      <c r="E2998" s="16" t="s">
        <v>11420</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45">
      <c r="A2999" s="15" t="s">
        <v>3842</v>
      </c>
      <c r="B2999" s="16" t="s">
        <v>5</v>
      </c>
      <c r="C2999" s="17" t="s">
        <v>9560</v>
      </c>
      <c r="D2999" s="17" t="s">
        <v>9561</v>
      </c>
      <c r="E2999" s="16" t="s">
        <v>11414</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45">
      <c r="A3000" s="15" t="s">
        <v>3923</v>
      </c>
      <c r="B3000" s="16" t="s">
        <v>5</v>
      </c>
      <c r="C3000" s="17" t="s">
        <v>9563</v>
      </c>
      <c r="D3000" s="17" t="s">
        <v>9564</v>
      </c>
      <c r="E3000" s="16" t="s">
        <v>11420</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45">
      <c r="A3001" s="15" t="s">
        <v>3932</v>
      </c>
      <c r="B3001" s="16" t="s">
        <v>5</v>
      </c>
      <c r="C3001" s="17" t="s">
        <v>9566</v>
      </c>
      <c r="D3001" s="17" t="s">
        <v>9567</v>
      </c>
      <c r="E3001" s="16" t="s">
        <v>11414</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45">
      <c r="A3002" s="12" t="s">
        <v>3929</v>
      </c>
      <c r="B3002" s="10" t="s">
        <v>5</v>
      </c>
      <c r="C3002" s="11"/>
      <c r="D3002" s="22"/>
      <c r="E3002" s="10" t="s">
        <v>11419</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45">
      <c r="A3003" s="15" t="s">
        <v>3617</v>
      </c>
      <c r="B3003" s="16" t="s">
        <v>5</v>
      </c>
      <c r="C3003" s="17"/>
      <c r="D3003" s="22"/>
      <c r="E3003" s="16" t="s">
        <v>11414</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45">
      <c r="A3004" s="15" t="s">
        <v>3737</v>
      </c>
      <c r="B3004" s="16" t="s">
        <v>5</v>
      </c>
      <c r="C3004" s="17"/>
      <c r="D3004" s="22"/>
      <c r="E3004" s="16" t="s">
        <v>11437</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45">
      <c r="A3005" s="15" t="s">
        <v>3926</v>
      </c>
      <c r="B3005" s="16" t="s">
        <v>5</v>
      </c>
      <c r="C3005" s="17"/>
      <c r="D3005" s="22"/>
      <c r="E3005" s="16" t="s">
        <v>11420</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45">
      <c r="A3006" s="15" t="s">
        <v>3899</v>
      </c>
      <c r="B3006" s="16" t="s">
        <v>5</v>
      </c>
      <c r="C3006" s="17"/>
      <c r="D3006" s="22"/>
      <c r="E3006" s="16" t="s">
        <v>11417</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45">
      <c r="A3007" s="15" t="s">
        <v>11368</v>
      </c>
      <c r="B3007" s="16" t="s">
        <v>5</v>
      </c>
      <c r="C3007" s="17"/>
      <c r="D3007" s="22"/>
      <c r="E3007" s="16" t="s">
        <v>11436</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45">
      <c r="A3008" s="15" t="s">
        <v>3884</v>
      </c>
      <c r="B3008" s="16" t="s">
        <v>5</v>
      </c>
      <c r="C3008" s="17"/>
      <c r="D3008" s="22"/>
      <c r="E3008" s="16" t="s">
        <v>11418</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45">
      <c r="A3009" s="15" t="s">
        <v>9556</v>
      </c>
      <c r="B3009" s="16" t="s">
        <v>5</v>
      </c>
      <c r="C3009" s="17"/>
      <c r="D3009" s="22"/>
      <c r="E3009" s="16" t="s">
        <v>11419</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45">
      <c r="A3010" s="15" t="s">
        <v>9476</v>
      </c>
      <c r="B3010" s="16" t="s">
        <v>5</v>
      </c>
      <c r="C3010" s="17"/>
      <c r="D3010" s="22"/>
      <c r="E3010" s="16" t="s">
        <v>11436</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45">
      <c r="A3011" s="15" t="s">
        <v>9381</v>
      </c>
      <c r="B3011" s="16" t="s">
        <v>5</v>
      </c>
      <c r="C3011" s="17"/>
      <c r="D3011" s="22"/>
      <c r="E3011" s="16" t="s">
        <v>11432</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45">
      <c r="A3012" s="15" t="s">
        <v>9479</v>
      </c>
      <c r="B3012" s="16" t="s">
        <v>5</v>
      </c>
      <c r="C3012" s="17"/>
      <c r="D3012" s="22"/>
      <c r="E3012" s="16" t="s">
        <v>11436</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45">
      <c r="A3013" s="15" t="s">
        <v>9274</v>
      </c>
      <c r="B3013" s="16" t="s">
        <v>5</v>
      </c>
      <c r="C3013" s="17"/>
      <c r="D3013" s="22"/>
      <c r="E3013" s="16" t="s">
        <v>11414</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45">
      <c r="A3014" s="15" t="s">
        <v>9455</v>
      </c>
      <c r="B3014" s="16" t="s">
        <v>5</v>
      </c>
      <c r="C3014" s="17"/>
      <c r="D3014" s="22"/>
      <c r="E3014" s="16" t="s">
        <v>11424</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45">
      <c r="A3015" s="15" t="s">
        <v>9485</v>
      </c>
      <c r="B3015" s="16" t="s">
        <v>5</v>
      </c>
      <c r="C3015" s="17"/>
      <c r="D3015" s="22"/>
      <c r="E3015" s="16" t="s">
        <v>11436</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45">
      <c r="A3016" s="15" t="s">
        <v>9494</v>
      </c>
      <c r="B3016" s="16" t="s">
        <v>5</v>
      </c>
      <c r="C3016" s="17"/>
      <c r="D3016" s="22"/>
      <c r="E3016" s="16" t="s">
        <v>11436</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45">
      <c r="A3017" s="15" t="s">
        <v>9488</v>
      </c>
      <c r="B3017" s="16" t="s">
        <v>5</v>
      </c>
      <c r="C3017" s="17"/>
      <c r="D3017" s="22"/>
      <c r="E3017" s="16" t="s">
        <v>11436</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45">
      <c r="A3018" s="15" t="s">
        <v>9464</v>
      </c>
      <c r="B3018" s="16" t="s">
        <v>5</v>
      </c>
      <c r="C3018" s="17"/>
      <c r="D3018" s="22"/>
      <c r="E3018" s="16" t="s">
        <v>11424</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45">
      <c r="A3019" s="15" t="s">
        <v>9467</v>
      </c>
      <c r="B3019" s="16" t="s">
        <v>5</v>
      </c>
      <c r="C3019" s="17"/>
      <c r="D3019" s="22"/>
      <c r="E3019" s="16" t="s">
        <v>11424</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45">
      <c r="A3020" s="15" t="s">
        <v>9529</v>
      </c>
      <c r="B3020" s="16" t="s">
        <v>5</v>
      </c>
      <c r="C3020" s="17"/>
      <c r="D3020" s="22"/>
      <c r="E3020" s="16" t="s">
        <v>11419</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45">
      <c r="A3021" s="15" t="s">
        <v>9491</v>
      </c>
      <c r="B3021" s="16" t="s">
        <v>5</v>
      </c>
      <c r="C3021" s="17"/>
      <c r="D3021" s="22"/>
      <c r="E3021" s="16" t="s">
        <v>11436</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45">
      <c r="A3022" s="15" t="s">
        <v>9535</v>
      </c>
      <c r="B3022" s="16" t="s">
        <v>5</v>
      </c>
      <c r="C3022" s="17"/>
      <c r="D3022" s="22"/>
      <c r="E3022" s="16" t="s">
        <v>11419</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45">
      <c r="A3023" s="15" t="s">
        <v>9437</v>
      </c>
      <c r="B3023" s="16" t="s">
        <v>5</v>
      </c>
      <c r="C3023" s="17"/>
      <c r="D3023" s="22"/>
      <c r="E3023" s="16" t="s">
        <v>11418</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45">
      <c r="A3024" s="15" t="s">
        <v>9402</v>
      </c>
      <c r="B3024" s="16" t="s">
        <v>5</v>
      </c>
      <c r="C3024" s="17"/>
      <c r="D3024" s="22"/>
      <c r="E3024" s="16" t="s">
        <v>11417</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45">
      <c r="A3025" s="15" t="s">
        <v>11369</v>
      </c>
      <c r="B3025" s="16" t="s">
        <v>5</v>
      </c>
      <c r="C3025" s="17"/>
      <c r="D3025" s="22"/>
      <c r="E3025" s="16" t="s">
        <v>11432</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45">
      <c r="A3026" s="15" t="s">
        <v>9434</v>
      </c>
      <c r="B3026" s="16" t="s">
        <v>5</v>
      </c>
      <c r="C3026" s="17"/>
      <c r="D3026" s="22"/>
      <c r="E3026" s="16" t="s">
        <v>11420</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45">
      <c r="A3027" s="15" t="s">
        <v>9559</v>
      </c>
      <c r="B3027" s="16" t="s">
        <v>5</v>
      </c>
      <c r="C3027" s="17"/>
      <c r="D3027" s="22"/>
      <c r="E3027" s="16" t="s">
        <v>11436</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45">
      <c r="A3028" s="15" t="s">
        <v>9408</v>
      </c>
      <c r="B3028" s="16" t="s">
        <v>5</v>
      </c>
      <c r="C3028" s="17"/>
      <c r="D3028" s="22"/>
      <c r="E3028" s="16" t="s">
        <v>11417</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45">
      <c r="A3029" s="15" t="s">
        <v>9482</v>
      </c>
      <c r="B3029" s="16" t="s">
        <v>5</v>
      </c>
      <c r="C3029" s="17"/>
      <c r="D3029" s="22"/>
      <c r="E3029" s="16" t="s">
        <v>11436</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45">
      <c r="A3030" s="15" t="s">
        <v>9361</v>
      </c>
      <c r="B3030" s="16" t="s">
        <v>5</v>
      </c>
      <c r="C3030" s="17"/>
      <c r="D3030" s="22"/>
      <c r="E3030" s="16" t="s">
        <v>11437</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45">
      <c r="A3031" s="15" t="s">
        <v>9384</v>
      </c>
      <c r="B3031" s="16" t="s">
        <v>5</v>
      </c>
      <c r="C3031" s="17"/>
      <c r="D3031" s="22"/>
      <c r="E3031" s="16" t="s">
        <v>11432</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45">
      <c r="A3032" s="15" t="s">
        <v>9422</v>
      </c>
      <c r="B3032" s="16" t="s">
        <v>5</v>
      </c>
      <c r="C3032" s="17"/>
      <c r="D3032" s="22"/>
      <c r="E3032" s="16" t="s">
        <v>11420</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45">
      <c r="A3033" s="15" t="s">
        <v>9425</v>
      </c>
      <c r="B3033" s="16" t="s">
        <v>5</v>
      </c>
      <c r="C3033" s="17"/>
      <c r="D3033" s="22"/>
      <c r="E3033" s="16" t="s">
        <v>11420</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45">
      <c r="A3034" s="15" t="s">
        <v>9547</v>
      </c>
      <c r="B3034" s="16" t="s">
        <v>5</v>
      </c>
      <c r="C3034" s="17"/>
      <c r="D3034" s="22"/>
      <c r="E3034" s="16" t="s">
        <v>11436</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45">
      <c r="A3035" s="15" t="s">
        <v>9304</v>
      </c>
      <c r="B3035" s="16" t="s">
        <v>5</v>
      </c>
      <c r="C3035" s="17"/>
      <c r="D3035" s="22"/>
      <c r="E3035" s="16" t="s">
        <v>11426</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45">
      <c r="A3036" s="15" t="s">
        <v>11370</v>
      </c>
      <c r="B3036" s="16" t="s">
        <v>5</v>
      </c>
      <c r="C3036" s="17"/>
      <c r="D3036" s="22"/>
      <c r="E3036" s="16" t="s">
        <v>11432</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45">
      <c r="A3037" s="15" t="s">
        <v>9352</v>
      </c>
      <c r="B3037" s="16" t="s">
        <v>5</v>
      </c>
      <c r="C3037" s="17"/>
      <c r="D3037" s="22"/>
      <c r="E3037" s="16" t="s">
        <v>11437</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45">
      <c r="A3038" s="15" t="s">
        <v>9411</v>
      </c>
      <c r="B3038" s="16" t="s">
        <v>5</v>
      </c>
      <c r="C3038" s="17"/>
      <c r="D3038" s="22"/>
      <c r="E3038" s="16" t="s">
        <v>11417</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45">
      <c r="A3039" s="15" t="s">
        <v>11371</v>
      </c>
      <c r="B3039" s="16" t="s">
        <v>5</v>
      </c>
      <c r="C3039" s="17"/>
      <c r="D3039" s="22"/>
      <c r="E3039" s="16" t="s">
        <v>11437</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45">
      <c r="A3040" s="15" t="s">
        <v>9497</v>
      </c>
      <c r="B3040" s="16" t="s">
        <v>5</v>
      </c>
      <c r="C3040" s="17"/>
      <c r="D3040" s="22"/>
      <c r="E3040" s="16" t="s">
        <v>11436</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45">
      <c r="A3041" s="15" t="s">
        <v>9378</v>
      </c>
      <c r="B3041" s="16" t="s">
        <v>5</v>
      </c>
      <c r="C3041" s="17"/>
      <c r="D3041" s="22"/>
      <c r="E3041" s="16" t="s">
        <v>11432</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45">
      <c r="A3042" s="15" t="s">
        <v>9399</v>
      </c>
      <c r="B3042" s="16" t="s">
        <v>5</v>
      </c>
      <c r="C3042" s="17"/>
      <c r="D3042" s="22"/>
      <c r="E3042" s="16" t="s">
        <v>11417</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45">
      <c r="A3043" s="15" t="s">
        <v>9367</v>
      </c>
      <c r="B3043" s="16" t="s">
        <v>5</v>
      </c>
      <c r="C3043" s="17"/>
      <c r="D3043" s="22"/>
      <c r="E3043" s="16" t="s">
        <v>11437</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45">
      <c r="A3044" s="15" t="s">
        <v>9373</v>
      </c>
      <c r="B3044" s="16" t="s">
        <v>5</v>
      </c>
      <c r="C3044" s="17"/>
      <c r="D3044" s="22"/>
      <c r="E3044" s="16" t="s">
        <v>11439</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45">
      <c r="A3045" s="15" t="s">
        <v>11372</v>
      </c>
      <c r="B3045" s="16" t="s">
        <v>5</v>
      </c>
      <c r="C3045" s="17"/>
      <c r="D3045" s="22"/>
      <c r="E3045" s="16" t="s">
        <v>11436</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45">
      <c r="A3046" s="15" t="s">
        <v>9526</v>
      </c>
      <c r="B3046" s="16" t="s">
        <v>5</v>
      </c>
      <c r="C3046" s="17"/>
      <c r="D3046" s="22"/>
      <c r="E3046" s="16" t="s">
        <v>11419</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45">
      <c r="A3047" s="15" t="s">
        <v>9396</v>
      </c>
      <c r="B3047" s="16" t="s">
        <v>5</v>
      </c>
      <c r="C3047" s="17"/>
      <c r="D3047" s="22"/>
      <c r="E3047" s="16" t="s">
        <v>11417</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45">
      <c r="A3048" s="15" t="s">
        <v>9523</v>
      </c>
      <c r="B3048" s="16" t="s">
        <v>5</v>
      </c>
      <c r="C3048" s="17"/>
      <c r="D3048" s="22"/>
      <c r="E3048" s="16" t="s">
        <v>11419</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45">
      <c r="A3049" s="15" t="s">
        <v>9506</v>
      </c>
      <c r="B3049" s="16" t="s">
        <v>5</v>
      </c>
      <c r="C3049" s="17"/>
      <c r="D3049" s="22"/>
      <c r="E3049" s="16" t="s">
        <v>11436</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45">
      <c r="A3050" s="15" t="s">
        <v>11373</v>
      </c>
      <c r="B3050" s="16" t="s">
        <v>5</v>
      </c>
      <c r="C3050" s="17"/>
      <c r="D3050" s="22"/>
      <c r="E3050" s="16" t="s">
        <v>11436</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45">
      <c r="A3051" s="15" t="s">
        <v>11374</v>
      </c>
      <c r="B3051" s="16" t="s">
        <v>5</v>
      </c>
      <c r="C3051" s="17"/>
      <c r="D3051" s="22"/>
      <c r="E3051" s="16" t="s">
        <v>11417</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45">
      <c r="A3052" s="15" t="s">
        <v>9405</v>
      </c>
      <c r="B3052" s="16" t="s">
        <v>5</v>
      </c>
      <c r="C3052" s="17"/>
      <c r="D3052" s="22"/>
      <c r="E3052" s="16" t="s">
        <v>11417</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45">
      <c r="A3053" s="15" t="s">
        <v>9355</v>
      </c>
      <c r="B3053" s="16" t="s">
        <v>5</v>
      </c>
      <c r="C3053" s="17"/>
      <c r="D3053" s="22"/>
      <c r="E3053" s="16" t="s">
        <v>11437</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45">
      <c r="A3054" s="15" t="s">
        <v>9414</v>
      </c>
      <c r="B3054" s="16" t="s">
        <v>5</v>
      </c>
      <c r="C3054" s="17"/>
      <c r="D3054" s="22"/>
      <c r="E3054" s="16" t="s">
        <v>11417</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45">
      <c r="A3055" s="15" t="s">
        <v>9461</v>
      </c>
      <c r="B3055" s="16" t="s">
        <v>5</v>
      </c>
      <c r="C3055" s="17"/>
      <c r="D3055" s="22"/>
      <c r="E3055" s="16" t="s">
        <v>11424</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45">
      <c r="A3056" s="15" t="s">
        <v>9532</v>
      </c>
      <c r="B3056" s="16" t="s">
        <v>5</v>
      </c>
      <c r="C3056" s="17"/>
      <c r="D3056" s="22"/>
      <c r="E3056" s="16" t="s">
        <v>11419</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45">
      <c r="A3057" s="15" t="s">
        <v>9500</v>
      </c>
      <c r="B3057" s="16" t="s">
        <v>5</v>
      </c>
      <c r="C3057" s="17"/>
      <c r="D3057" s="22"/>
      <c r="E3057" s="16" t="s">
        <v>11436</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45">
      <c r="A3058" s="15" t="s">
        <v>9364</v>
      </c>
      <c r="B3058" s="16" t="s">
        <v>5</v>
      </c>
      <c r="C3058" s="17"/>
      <c r="D3058" s="22"/>
      <c r="E3058" s="16" t="s">
        <v>11437</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45">
      <c r="A3059" s="15" t="s">
        <v>9387</v>
      </c>
      <c r="B3059" s="16" t="s">
        <v>5</v>
      </c>
      <c r="C3059" s="17"/>
      <c r="D3059" s="22"/>
      <c r="E3059" s="16" t="s">
        <v>11432</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45">
      <c r="A3060" s="15" t="s">
        <v>11375</v>
      </c>
      <c r="B3060" s="16" t="s">
        <v>5</v>
      </c>
      <c r="C3060" s="17"/>
      <c r="D3060" s="22"/>
      <c r="E3060" s="16" t="s">
        <v>11419</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45">
      <c r="A3061" s="15" t="s">
        <v>11376</v>
      </c>
      <c r="B3061" s="16" t="s">
        <v>5</v>
      </c>
      <c r="C3061" s="17"/>
      <c r="D3061" s="22"/>
      <c r="E3061" s="16" t="s">
        <v>11436</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45">
      <c r="A3062" s="15" t="s">
        <v>9428</v>
      </c>
      <c r="B3062" s="16" t="s">
        <v>5</v>
      </c>
      <c r="C3062" s="17"/>
      <c r="D3062" s="22"/>
      <c r="E3062" s="16" t="s">
        <v>11420</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45">
      <c r="A3063" s="15" t="s">
        <v>9277</v>
      </c>
      <c r="B3063" s="16" t="s">
        <v>5</v>
      </c>
      <c r="C3063" s="17"/>
      <c r="D3063" s="22"/>
      <c r="E3063" s="16" t="s">
        <v>11414</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45">
      <c r="A3064" s="15" t="s">
        <v>9370</v>
      </c>
      <c r="B3064" s="16" t="s">
        <v>5</v>
      </c>
      <c r="C3064" s="17"/>
      <c r="D3064" s="22"/>
      <c r="E3064" s="16" t="s">
        <v>11437</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45">
      <c r="A3065" s="15" t="s">
        <v>9390</v>
      </c>
      <c r="B3065" s="16" t="s">
        <v>5</v>
      </c>
      <c r="C3065" s="17"/>
      <c r="D3065" s="22"/>
      <c r="E3065" s="16" t="s">
        <v>11432</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45">
      <c r="A3066" s="15" t="s">
        <v>9470</v>
      </c>
      <c r="B3066" s="16" t="s">
        <v>5</v>
      </c>
      <c r="C3066" s="17"/>
      <c r="D3066" s="22"/>
      <c r="E3066" s="16" t="s">
        <v>11424</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45">
      <c r="A3067" s="15" t="s">
        <v>9358</v>
      </c>
      <c r="B3067" s="16" t="s">
        <v>5</v>
      </c>
      <c r="C3067" s="17"/>
      <c r="D3067" s="22"/>
      <c r="E3067" s="16" t="s">
        <v>11437</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45">
      <c r="A3068" s="15" t="s">
        <v>9283</v>
      </c>
      <c r="B3068" s="16" t="s">
        <v>5</v>
      </c>
      <c r="C3068" s="17"/>
      <c r="D3068" s="22"/>
      <c r="E3068" s="16" t="s">
        <v>11442</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45">
      <c r="A3069" s="15" t="s">
        <v>9280</v>
      </c>
      <c r="B3069" s="16" t="s">
        <v>5</v>
      </c>
      <c r="C3069" s="17"/>
      <c r="D3069" s="22"/>
      <c r="E3069" s="16" t="s">
        <v>11414</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45">
      <c r="A3070" s="15" t="s">
        <v>11377</v>
      </c>
      <c r="B3070" s="16" t="s">
        <v>5</v>
      </c>
      <c r="C3070" s="17"/>
      <c r="D3070" s="22"/>
      <c r="E3070" s="16" t="s">
        <v>11419</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45">
      <c r="A3071" s="15" t="s">
        <v>9562</v>
      </c>
      <c r="B3071" s="16" t="s">
        <v>5</v>
      </c>
      <c r="C3071" s="17"/>
      <c r="D3071" s="22"/>
      <c r="E3071" s="16" t="s">
        <v>11436</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45">
      <c r="A3072" s="15" t="s">
        <v>9440</v>
      </c>
      <c r="B3072" s="16" t="s">
        <v>5</v>
      </c>
      <c r="C3072" s="17"/>
      <c r="D3072" s="22"/>
      <c r="E3072" s="16" t="s">
        <v>11418</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45">
      <c r="A3073" s="15" t="s">
        <v>11378</v>
      </c>
      <c r="B3073" s="16" t="s">
        <v>5</v>
      </c>
      <c r="C3073" s="17"/>
      <c r="D3073" s="22"/>
      <c r="E3073" s="16" t="s">
        <v>11419</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45">
      <c r="A3074" s="15" t="s">
        <v>9443</v>
      </c>
      <c r="B3074" s="16" t="s">
        <v>5</v>
      </c>
      <c r="C3074" s="17"/>
      <c r="D3074" s="22"/>
      <c r="E3074" s="16" t="s">
        <v>11428</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45">
      <c r="A3075" s="15" t="s">
        <v>9431</v>
      </c>
      <c r="B3075" s="16" t="s">
        <v>5</v>
      </c>
      <c r="C3075" s="17"/>
      <c r="D3075" s="22"/>
      <c r="E3075" s="16" t="s">
        <v>11420</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45">
      <c r="A3076" s="15" t="s">
        <v>11379</v>
      </c>
      <c r="B3076" s="16" t="s">
        <v>5</v>
      </c>
      <c r="C3076" s="17"/>
      <c r="D3076" s="22"/>
      <c r="E3076" s="16" t="s">
        <v>11420</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45">
      <c r="A3077" s="15" t="s">
        <v>11380</v>
      </c>
      <c r="B3077" s="16" t="s">
        <v>5</v>
      </c>
      <c r="C3077" s="17"/>
      <c r="D3077" s="22"/>
      <c r="E3077" s="16" t="s">
        <v>11437</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45">
      <c r="A3078" s="15" t="s">
        <v>11381</v>
      </c>
      <c r="B3078" s="16" t="s">
        <v>5</v>
      </c>
      <c r="C3078" s="17"/>
      <c r="D3078" s="22"/>
      <c r="E3078" s="16" t="s">
        <v>11420</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45">
      <c r="A3079" s="15" t="s">
        <v>11382</v>
      </c>
      <c r="B3079" s="16" t="s">
        <v>5</v>
      </c>
      <c r="C3079" s="17"/>
      <c r="D3079" s="22"/>
      <c r="E3079" s="16" t="s">
        <v>11414</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45">
      <c r="A3080" s="15" t="s">
        <v>11383</v>
      </c>
      <c r="B3080" s="16" t="s">
        <v>5</v>
      </c>
      <c r="C3080" s="17"/>
      <c r="D3080" s="22"/>
      <c r="E3080" s="16" t="s">
        <v>11436</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45">
      <c r="A3081" s="15" t="s">
        <v>11384</v>
      </c>
      <c r="B3081" s="16" t="s">
        <v>5</v>
      </c>
      <c r="C3081" s="17"/>
      <c r="D3081" s="22"/>
      <c r="E3081" s="16" t="s">
        <v>11432</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45">
      <c r="A3082" s="15" t="s">
        <v>11385</v>
      </c>
      <c r="B3082" s="16" t="s">
        <v>5</v>
      </c>
      <c r="C3082" s="17"/>
      <c r="D3082" s="22"/>
      <c r="E3082" s="16" t="s">
        <v>11437</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45">
      <c r="A3083" s="15" t="s">
        <v>11386</v>
      </c>
      <c r="B3083" s="16" t="s">
        <v>5</v>
      </c>
      <c r="C3083" s="17"/>
      <c r="D3083" s="22"/>
      <c r="E3083" s="16" t="s">
        <v>11417</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45">
      <c r="A3084" s="15" t="s">
        <v>11387</v>
      </c>
      <c r="B3084" s="16" t="s">
        <v>5</v>
      </c>
      <c r="C3084" s="17"/>
      <c r="D3084" s="22"/>
      <c r="E3084" s="16" t="s">
        <v>11420</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45">
      <c r="A3085" s="15" t="s">
        <v>11388</v>
      </c>
      <c r="B3085" s="16" t="s">
        <v>5</v>
      </c>
      <c r="C3085" s="17"/>
      <c r="D3085" s="22"/>
      <c r="E3085" s="16" t="s">
        <v>11443</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45">
      <c r="A3086" s="15" t="s">
        <v>11389</v>
      </c>
      <c r="B3086" s="16" t="s">
        <v>5</v>
      </c>
      <c r="C3086" s="17"/>
      <c r="D3086" s="22"/>
      <c r="E3086" s="16" t="s">
        <v>11428</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45">
      <c r="A3087" s="15" t="s">
        <v>11390</v>
      </c>
      <c r="B3087" s="16" t="s">
        <v>5</v>
      </c>
      <c r="C3087" s="17"/>
      <c r="D3087" s="22"/>
      <c r="E3087" s="16" t="s">
        <v>11417</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45">
      <c r="A3088" s="15" t="s">
        <v>11391</v>
      </c>
      <c r="B3088" s="16" t="s">
        <v>5</v>
      </c>
      <c r="C3088" s="17"/>
      <c r="D3088" s="22"/>
      <c r="E3088" s="16" t="s">
        <v>11420</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45">
      <c r="A3089" s="15" t="s">
        <v>11392</v>
      </c>
      <c r="B3089" s="16" t="s">
        <v>5</v>
      </c>
      <c r="C3089" s="17"/>
      <c r="D3089" s="22"/>
      <c r="E3089" s="16" t="s">
        <v>11432</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45">
      <c r="A3090" s="15" t="s">
        <v>11393</v>
      </c>
      <c r="B3090" s="16" t="s">
        <v>5</v>
      </c>
      <c r="C3090" s="17"/>
      <c r="D3090" s="22"/>
      <c r="E3090" s="16" t="s">
        <v>11436</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45">
      <c r="A3091" s="15" t="s">
        <v>11394</v>
      </c>
      <c r="B3091" s="16" t="s">
        <v>5</v>
      </c>
      <c r="C3091" s="17"/>
      <c r="D3091" s="22"/>
      <c r="E3091" s="16" t="s">
        <v>11419</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45">
      <c r="A3092" s="15" t="s">
        <v>11395</v>
      </c>
      <c r="B3092" s="16" t="s">
        <v>5</v>
      </c>
      <c r="C3092" s="17"/>
      <c r="D3092" s="22"/>
      <c r="E3092" s="16" t="s">
        <v>11418</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45">
      <c r="A3093" s="15" t="s">
        <v>11396</v>
      </c>
      <c r="B3093" s="16" t="s">
        <v>5</v>
      </c>
      <c r="C3093" s="17"/>
      <c r="D3093" s="22"/>
      <c r="E3093" s="16" t="s">
        <v>11420</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45">
      <c r="A3094" s="15" t="s">
        <v>11397</v>
      </c>
      <c r="B3094" s="16" t="s">
        <v>5</v>
      </c>
      <c r="C3094" s="17"/>
      <c r="D3094" s="22"/>
      <c r="E3094" s="16" t="s">
        <v>11414</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45">
      <c r="A3095" s="15" t="s">
        <v>11398</v>
      </c>
      <c r="B3095" s="16" t="s">
        <v>5</v>
      </c>
      <c r="C3095" s="17"/>
      <c r="D3095" s="22"/>
      <c r="E3095" s="16" t="s">
        <v>11417</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45">
      <c r="A3096" s="15" t="s">
        <v>11399</v>
      </c>
      <c r="B3096" s="16" t="s">
        <v>5</v>
      </c>
      <c r="C3096" s="17"/>
      <c r="D3096" s="22"/>
      <c r="E3096" s="16" t="s">
        <v>11420</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45">
      <c r="A3097" s="15" t="s">
        <v>11400</v>
      </c>
      <c r="B3097" s="16" t="s">
        <v>5</v>
      </c>
      <c r="C3097" s="17"/>
      <c r="D3097" s="22"/>
      <c r="E3097" s="16" t="s">
        <v>11414</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45">
      <c r="A3098" s="15" t="s">
        <v>11401</v>
      </c>
      <c r="B3098" s="16" t="s">
        <v>5</v>
      </c>
      <c r="C3098" s="17"/>
      <c r="D3098" s="22"/>
      <c r="E3098" s="16" t="s">
        <v>11436</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45">
      <c r="A3099" s="15" t="s">
        <v>11402</v>
      </c>
      <c r="B3099" s="16" t="s">
        <v>5</v>
      </c>
      <c r="C3099" s="17"/>
      <c r="D3099" s="22"/>
      <c r="E3099" s="16" t="s">
        <v>11414</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45">
      <c r="A3100" s="15" t="s">
        <v>11403</v>
      </c>
      <c r="B3100" s="16" t="s">
        <v>5</v>
      </c>
      <c r="C3100" s="17"/>
      <c r="D3100" s="22"/>
      <c r="E3100" s="16" t="s">
        <v>11419</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45">
      <c r="A3101" s="15" t="s">
        <v>11404</v>
      </c>
      <c r="B3101" s="16" t="s">
        <v>5</v>
      </c>
      <c r="C3101" s="17"/>
      <c r="D3101" s="22"/>
      <c r="E3101" s="16" t="s">
        <v>11417</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45">
      <c r="A3102" s="15" t="s">
        <v>11405</v>
      </c>
      <c r="B3102" s="16" t="s">
        <v>5</v>
      </c>
      <c r="C3102" s="17"/>
      <c r="D3102" s="22"/>
      <c r="E3102" s="16" t="s">
        <v>11417</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45">
      <c r="A3103" s="15" t="s">
        <v>11406</v>
      </c>
      <c r="B3103" s="16" t="s">
        <v>5</v>
      </c>
      <c r="C3103" s="17"/>
      <c r="D3103" s="22"/>
      <c r="E3103" s="16" t="s">
        <v>11437</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45">
      <c r="A3104" s="15" t="s">
        <v>9393</v>
      </c>
      <c r="B3104" s="16" t="s">
        <v>5</v>
      </c>
      <c r="C3104" s="17"/>
      <c r="D3104" s="22"/>
      <c r="E3104" s="16" t="s">
        <v>11417</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45">
      <c r="A3105" s="15" t="s">
        <v>11407</v>
      </c>
      <c r="B3105" s="16" t="s">
        <v>5</v>
      </c>
      <c r="C3105" s="17"/>
      <c r="D3105" s="22"/>
      <c r="E3105" s="16" t="s">
        <v>11436</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45">
      <c r="A3106" s="15" t="s">
        <v>11408</v>
      </c>
      <c r="B3106" s="16" t="s">
        <v>5</v>
      </c>
      <c r="C3106" s="17"/>
      <c r="D3106" s="22"/>
      <c r="E3106" s="16" t="s">
        <v>11437</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45">
      <c r="A3107" s="15" t="s">
        <v>11409</v>
      </c>
      <c r="B3107" s="16" t="s">
        <v>5</v>
      </c>
      <c r="C3107" s="17"/>
      <c r="D3107" s="22"/>
      <c r="E3107" s="16" t="s">
        <v>11420</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45">
      <c r="A3108" s="15" t="s">
        <v>9503</v>
      </c>
      <c r="B3108" s="16" t="s">
        <v>5</v>
      </c>
      <c r="C3108" s="17"/>
      <c r="D3108" s="22"/>
      <c r="E3108" s="16" t="s">
        <v>11436</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45">
      <c r="A3109" s="15" t="s">
        <v>11410</v>
      </c>
      <c r="B3109" s="16" t="s">
        <v>5</v>
      </c>
      <c r="C3109" s="17"/>
      <c r="D3109" s="22"/>
      <c r="E3109" s="16" t="s">
        <v>11424</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45">
      <c r="A3110" s="15" t="s">
        <v>11411</v>
      </c>
      <c r="B3110" s="16" t="s">
        <v>5</v>
      </c>
      <c r="C3110" s="17"/>
      <c r="D3110" s="22"/>
      <c r="E3110" s="16" t="s">
        <v>11432</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45">
      <c r="A3111" s="15" t="s">
        <v>11412</v>
      </c>
      <c r="B3111" s="16" t="s">
        <v>5</v>
      </c>
      <c r="C3111" s="17"/>
      <c r="D3111" s="22"/>
      <c r="E3111" s="16" t="s">
        <v>11424</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45">
      <c r="A3112" s="15" t="s">
        <v>11413</v>
      </c>
      <c r="B3112" s="16" t="s">
        <v>5</v>
      </c>
      <c r="C3112" s="17"/>
      <c r="D3112" s="22"/>
      <c r="E3112" s="16" t="s">
        <v>11420</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45">
      <c r="A3113" s="12" t="s">
        <v>11456</v>
      </c>
      <c r="B3113" s="10" t="s">
        <v>183</v>
      </c>
      <c r="C3113" s="10" t="s">
        <v>11457</v>
      </c>
      <c r="D3113" s="11" t="s">
        <v>11458</v>
      </c>
      <c r="E3113" s="10" t="s">
        <v>11462</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45">
      <c r="A3114" s="12" t="s">
        <v>11459</v>
      </c>
      <c r="B3114" s="10" t="s">
        <v>183</v>
      </c>
      <c r="C3114" s="10" t="s">
        <v>11460</v>
      </c>
      <c r="D3114" s="11" t="s">
        <v>11461</v>
      </c>
      <c r="E3114" s="10" t="s">
        <v>11463</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45">
      <c r="A3115" s="12">
        <v>2039</v>
      </c>
      <c r="B3115" s="10" t="s">
        <v>5</v>
      </c>
      <c r="C3115" s="11" t="s">
        <v>11674</v>
      </c>
      <c r="D3115" s="22" t="s">
        <v>11675</v>
      </c>
      <c r="E3115" s="10" t="s">
        <v>11664</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45">
      <c r="A3116" s="15">
        <v>2040</v>
      </c>
      <c r="B3116" s="16" t="s">
        <v>5</v>
      </c>
      <c r="C3116" s="17" t="s">
        <v>11676</v>
      </c>
      <c r="D3116" s="22" t="s">
        <v>11677</v>
      </c>
      <c r="E3116" s="16" t="s">
        <v>11664</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45">
      <c r="A3117" s="15">
        <v>2047</v>
      </c>
      <c r="B3117" s="16" t="s">
        <v>5</v>
      </c>
      <c r="C3117" s="17" t="s">
        <v>11678</v>
      </c>
      <c r="D3117" s="22" t="s">
        <v>11679</v>
      </c>
      <c r="E3117" s="16" t="s">
        <v>11664</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45">
      <c r="A3118" s="15">
        <v>2048</v>
      </c>
      <c r="B3118" s="16" t="s">
        <v>5</v>
      </c>
      <c r="C3118" s="17" t="s">
        <v>11680</v>
      </c>
      <c r="D3118" s="22" t="s">
        <v>11681</v>
      </c>
      <c r="E3118" s="16" t="s">
        <v>11664</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45">
      <c r="A3119" s="15">
        <v>2049</v>
      </c>
      <c r="B3119" s="16" t="s">
        <v>5</v>
      </c>
      <c r="C3119" s="17" t="s">
        <v>11682</v>
      </c>
      <c r="D3119" s="22" t="s">
        <v>11683</v>
      </c>
      <c r="E3119" s="16" t="s">
        <v>11664</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45">
      <c r="A3120" s="15">
        <v>2089</v>
      </c>
      <c r="B3120" s="16" t="s">
        <v>5</v>
      </c>
      <c r="C3120" s="17" t="s">
        <v>11684</v>
      </c>
      <c r="D3120" s="22" t="s">
        <v>11685</v>
      </c>
      <c r="E3120" s="16" t="s">
        <v>11664</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45">
      <c r="A3121" s="15">
        <v>2120</v>
      </c>
      <c r="B3121" s="16" t="s">
        <v>5</v>
      </c>
      <c r="C3121" s="17" t="s">
        <v>11686</v>
      </c>
      <c r="D3121" s="22" t="s">
        <v>11687</v>
      </c>
      <c r="E3121" s="16" t="s">
        <v>11664</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45">
      <c r="A3122" s="15">
        <v>2483</v>
      </c>
      <c r="B3122" s="16" t="s">
        <v>5</v>
      </c>
      <c r="C3122" s="17" t="s">
        <v>11688</v>
      </c>
      <c r="D3122" s="22" t="s">
        <v>11689</v>
      </c>
      <c r="E3122" s="16" t="s">
        <v>11664</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45">
      <c r="A3123" s="15">
        <v>2588</v>
      </c>
      <c r="B3123" s="16" t="s">
        <v>5</v>
      </c>
      <c r="C3123" s="17" t="s">
        <v>11690</v>
      </c>
      <c r="D3123" s="22" t="s">
        <v>11691</v>
      </c>
      <c r="E3123" s="16" t="s">
        <v>11664</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45">
      <c r="A3124" s="15">
        <v>2589</v>
      </c>
      <c r="B3124" s="16" t="s">
        <v>5</v>
      </c>
      <c r="C3124" s="17" t="s">
        <v>11692</v>
      </c>
      <c r="D3124" s="22" t="s">
        <v>11693</v>
      </c>
      <c r="E3124" s="16" t="s">
        <v>11664</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45">
      <c r="A3125" s="15">
        <v>2590</v>
      </c>
      <c r="B3125" s="16" t="s">
        <v>5</v>
      </c>
      <c r="C3125" s="17" t="s">
        <v>11694</v>
      </c>
      <c r="D3125" s="22" t="s">
        <v>11695</v>
      </c>
      <c r="E3125" s="16" t="s">
        <v>11664</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45">
      <c r="A3126" s="15">
        <v>2592</v>
      </c>
      <c r="B3126" s="16" t="s">
        <v>5</v>
      </c>
      <c r="C3126" s="17" t="s">
        <v>11696</v>
      </c>
      <c r="D3126" s="22" t="s">
        <v>11697</v>
      </c>
      <c r="E3126" s="16" t="s">
        <v>11664</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45">
      <c r="A3127" s="15">
        <v>2594</v>
      </c>
      <c r="B3127" s="16" t="s">
        <v>5</v>
      </c>
      <c r="C3127" s="17" t="s">
        <v>11698</v>
      </c>
      <c r="D3127" s="22" t="s">
        <v>11699</v>
      </c>
      <c r="E3127" s="16" t="s">
        <v>11664</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45">
      <c r="A3128" s="15">
        <v>2933</v>
      </c>
      <c r="B3128" s="16" t="s">
        <v>5</v>
      </c>
      <c r="C3128" s="17" t="s">
        <v>11700</v>
      </c>
      <c r="D3128" s="22" t="s">
        <v>11701</v>
      </c>
      <c r="E3128" s="16" t="s">
        <v>11664</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45">
      <c r="A3129" s="15">
        <v>2952</v>
      </c>
      <c r="B3129" s="16" t="s">
        <v>5</v>
      </c>
      <c r="C3129" s="17" t="s">
        <v>11702</v>
      </c>
      <c r="D3129" s="22" t="s">
        <v>11703</v>
      </c>
      <c r="E3129" s="16" t="s">
        <v>11665</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45">
      <c r="A3130" s="15">
        <v>2959</v>
      </c>
      <c r="B3130" s="16" t="s">
        <v>5</v>
      </c>
      <c r="C3130" s="17" t="s">
        <v>11704</v>
      </c>
      <c r="D3130" s="22" t="s">
        <v>11705</v>
      </c>
      <c r="E3130" s="16" t="s">
        <v>11664</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45">
      <c r="A3131" s="15" t="s">
        <v>11474</v>
      </c>
      <c r="B3131" s="16" t="s">
        <v>5</v>
      </c>
      <c r="C3131" s="17" t="s">
        <v>11706</v>
      </c>
      <c r="D3131" s="22" t="s">
        <v>11707</v>
      </c>
      <c r="E3131" s="16" t="s">
        <v>11666</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45">
      <c r="A3132" s="15" t="s">
        <v>11475</v>
      </c>
      <c r="B3132" s="16" t="s">
        <v>5</v>
      </c>
      <c r="C3132" s="17" t="s">
        <v>11708</v>
      </c>
      <c r="D3132" s="22" t="s">
        <v>11709</v>
      </c>
      <c r="E3132" s="16" t="s">
        <v>11667</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45">
      <c r="A3133" s="15" t="s">
        <v>11476</v>
      </c>
      <c r="B3133" s="16" t="s">
        <v>5</v>
      </c>
      <c r="C3133" s="17" t="s">
        <v>11710</v>
      </c>
      <c r="D3133" s="22" t="s">
        <v>11711</v>
      </c>
      <c r="E3133" s="16" t="s">
        <v>11665</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45">
      <c r="A3134" s="15" t="s">
        <v>11477</v>
      </c>
      <c r="B3134" s="16" t="s">
        <v>5</v>
      </c>
      <c r="C3134" s="17" t="s">
        <v>11712</v>
      </c>
      <c r="D3134" s="22" t="s">
        <v>11713</v>
      </c>
      <c r="E3134" s="16" t="s">
        <v>11666</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45">
      <c r="A3135" s="15" t="s">
        <v>11478</v>
      </c>
      <c r="B3135" s="16" t="s">
        <v>5</v>
      </c>
      <c r="C3135" s="17" t="s">
        <v>11714</v>
      </c>
      <c r="D3135" s="22" t="s">
        <v>11715</v>
      </c>
      <c r="E3135" s="16" t="s">
        <v>11665</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45">
      <c r="A3136" s="15" t="s">
        <v>11479</v>
      </c>
      <c r="B3136" s="16" t="s">
        <v>5</v>
      </c>
      <c r="C3136" s="17" t="s">
        <v>11716</v>
      </c>
      <c r="D3136" s="22" t="s">
        <v>11717</v>
      </c>
      <c r="E3136" s="16" t="s">
        <v>11668</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45">
      <c r="A3137" s="15" t="s">
        <v>11480</v>
      </c>
      <c r="B3137" s="16" t="s">
        <v>5</v>
      </c>
      <c r="C3137" s="17" t="s">
        <v>11718</v>
      </c>
      <c r="D3137" s="22" t="s">
        <v>11719</v>
      </c>
      <c r="E3137" s="16" t="s">
        <v>11668</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45">
      <c r="A3138" s="15" t="s">
        <v>11481</v>
      </c>
      <c r="B3138" s="16" t="s">
        <v>5</v>
      </c>
      <c r="C3138" s="17" t="s">
        <v>11720</v>
      </c>
      <c r="D3138" s="22" t="s">
        <v>11721</v>
      </c>
      <c r="E3138" s="16" t="s">
        <v>11669</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45">
      <c r="A3139" s="15" t="s">
        <v>11482</v>
      </c>
      <c r="B3139" s="16" t="s">
        <v>5</v>
      </c>
      <c r="C3139" s="17" t="s">
        <v>11722</v>
      </c>
      <c r="D3139" s="22" t="s">
        <v>11723</v>
      </c>
      <c r="E3139" s="16" t="s">
        <v>11668</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45">
      <c r="A3140" s="15" t="s">
        <v>11483</v>
      </c>
      <c r="B3140" s="16" t="s">
        <v>5</v>
      </c>
      <c r="C3140" s="17" t="s">
        <v>11724</v>
      </c>
      <c r="D3140" s="22" t="s">
        <v>11725</v>
      </c>
      <c r="E3140" s="16" t="s">
        <v>11669</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45">
      <c r="A3141" s="15" t="s">
        <v>11484</v>
      </c>
      <c r="B3141" s="16" t="s">
        <v>5</v>
      </c>
      <c r="C3141" s="17" t="s">
        <v>11726</v>
      </c>
      <c r="D3141" s="22" t="s">
        <v>11727</v>
      </c>
      <c r="E3141" s="16" t="s">
        <v>11666</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45">
      <c r="A3142" s="15" t="s">
        <v>11485</v>
      </c>
      <c r="B3142" s="16" t="s">
        <v>5</v>
      </c>
      <c r="C3142" s="17" t="s">
        <v>11728</v>
      </c>
      <c r="D3142" s="22" t="s">
        <v>11729</v>
      </c>
      <c r="E3142" s="16" t="s">
        <v>11669</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45">
      <c r="A3143" s="15" t="s">
        <v>11486</v>
      </c>
      <c r="B3143" s="16" t="s">
        <v>5</v>
      </c>
      <c r="C3143" s="17" t="s">
        <v>11730</v>
      </c>
      <c r="D3143" s="22" t="s">
        <v>11731</v>
      </c>
      <c r="E3143" s="16" t="s">
        <v>11666</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45">
      <c r="A3144" s="15" t="s">
        <v>11487</v>
      </c>
      <c r="B3144" s="16" t="s">
        <v>5</v>
      </c>
      <c r="C3144" s="17" t="s">
        <v>11732</v>
      </c>
      <c r="D3144" s="22" t="s">
        <v>11733</v>
      </c>
      <c r="E3144" s="16" t="s">
        <v>11670</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45">
      <c r="A3145" s="15" t="s">
        <v>11488</v>
      </c>
      <c r="B3145" s="16" t="s">
        <v>5</v>
      </c>
      <c r="C3145" s="17" t="s">
        <v>11734</v>
      </c>
      <c r="D3145" s="22" t="s">
        <v>11735</v>
      </c>
      <c r="E3145" s="16" t="s">
        <v>11671</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45">
      <c r="A3146" s="15" t="s">
        <v>11489</v>
      </c>
      <c r="B3146" s="16" t="s">
        <v>5</v>
      </c>
      <c r="C3146" s="17" t="s">
        <v>11736</v>
      </c>
      <c r="D3146" s="22" t="s">
        <v>11737</v>
      </c>
      <c r="E3146" s="16" t="s">
        <v>11671</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45">
      <c r="A3147" s="15" t="s">
        <v>11490</v>
      </c>
      <c r="B3147" s="16" t="s">
        <v>5</v>
      </c>
      <c r="C3147" s="17" t="s">
        <v>11738</v>
      </c>
      <c r="D3147" s="22" t="s">
        <v>11739</v>
      </c>
      <c r="E3147" s="16" t="s">
        <v>11670</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45">
      <c r="A3148" s="15" t="s">
        <v>11491</v>
      </c>
      <c r="B3148" s="16" t="s">
        <v>5</v>
      </c>
      <c r="C3148" s="17" t="s">
        <v>11740</v>
      </c>
      <c r="D3148" s="22" t="s">
        <v>11741</v>
      </c>
      <c r="E3148" s="16" t="s">
        <v>11668</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45">
      <c r="A3149" s="15" t="s">
        <v>11492</v>
      </c>
      <c r="B3149" s="16" t="s">
        <v>5</v>
      </c>
      <c r="C3149" s="17" t="s">
        <v>11742</v>
      </c>
      <c r="D3149" s="22" t="s">
        <v>11743</v>
      </c>
      <c r="E3149" s="16" t="s">
        <v>11463</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45">
      <c r="A3150" s="15" t="s">
        <v>11493</v>
      </c>
      <c r="B3150" s="16" t="s">
        <v>5</v>
      </c>
      <c r="C3150" s="17" t="s">
        <v>11744</v>
      </c>
      <c r="D3150" s="22" t="s">
        <v>11745</v>
      </c>
      <c r="E3150" s="16" t="s">
        <v>11665</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45">
      <c r="A3151" s="15" t="s">
        <v>11494</v>
      </c>
      <c r="B3151" s="16" t="s">
        <v>5</v>
      </c>
      <c r="C3151" s="17" t="s">
        <v>11746</v>
      </c>
      <c r="D3151" s="22" t="s">
        <v>11747</v>
      </c>
      <c r="E3151" s="16" t="s">
        <v>11667</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45">
      <c r="A3152" s="15" t="s">
        <v>11495</v>
      </c>
      <c r="B3152" s="16" t="s">
        <v>5</v>
      </c>
      <c r="C3152" s="17" t="s">
        <v>11748</v>
      </c>
      <c r="D3152" s="22" t="s">
        <v>11749</v>
      </c>
      <c r="E3152" s="16" t="s">
        <v>11668</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45">
      <c r="A3153" s="15" t="s">
        <v>11496</v>
      </c>
      <c r="B3153" s="16" t="s">
        <v>5</v>
      </c>
      <c r="C3153" s="17" t="s">
        <v>11750</v>
      </c>
      <c r="D3153" s="22" t="s">
        <v>11751</v>
      </c>
      <c r="E3153" s="16" t="s">
        <v>11669</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45">
      <c r="A3154" s="15" t="s">
        <v>11497</v>
      </c>
      <c r="B3154" s="16" t="s">
        <v>5</v>
      </c>
      <c r="C3154" s="17" t="s">
        <v>11752</v>
      </c>
      <c r="D3154" s="22" t="s">
        <v>11753</v>
      </c>
      <c r="E3154" s="16" t="s">
        <v>11664</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45">
      <c r="A3155" s="15" t="s">
        <v>11498</v>
      </c>
      <c r="B3155" s="16" t="s">
        <v>5</v>
      </c>
      <c r="C3155" s="17" t="s">
        <v>11754</v>
      </c>
      <c r="D3155" s="22" t="s">
        <v>11755</v>
      </c>
      <c r="E3155" s="16" t="s">
        <v>11664</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45">
      <c r="A3156" s="15" t="s">
        <v>11499</v>
      </c>
      <c r="B3156" s="16" t="s">
        <v>5</v>
      </c>
      <c r="C3156" s="17" t="s">
        <v>11756</v>
      </c>
      <c r="D3156" s="22" t="s">
        <v>11757</v>
      </c>
      <c r="E3156" s="16" t="s">
        <v>11667</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45">
      <c r="A3157" s="15" t="s">
        <v>11500</v>
      </c>
      <c r="B3157" s="16" t="s">
        <v>5</v>
      </c>
      <c r="C3157" s="17" t="s">
        <v>11758</v>
      </c>
      <c r="D3157" s="22" t="s">
        <v>11759</v>
      </c>
      <c r="E3157" s="16" t="s">
        <v>11666</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45">
      <c r="A3158" s="15" t="s">
        <v>11501</v>
      </c>
      <c r="B3158" s="16" t="s">
        <v>5</v>
      </c>
      <c r="C3158" s="17" t="s">
        <v>11760</v>
      </c>
      <c r="D3158" s="22" t="s">
        <v>11761</v>
      </c>
      <c r="E3158" s="16" t="s">
        <v>11463</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45">
      <c r="A3159" s="15" t="s">
        <v>11502</v>
      </c>
      <c r="B3159" s="16" t="s">
        <v>5</v>
      </c>
      <c r="C3159" s="17" t="s">
        <v>11762</v>
      </c>
      <c r="D3159" s="22" t="s">
        <v>11763</v>
      </c>
      <c r="E3159" s="16" t="s">
        <v>11670</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45">
      <c r="A3160" s="15" t="s">
        <v>11503</v>
      </c>
      <c r="B3160" s="16" t="s">
        <v>5</v>
      </c>
      <c r="C3160" s="17" t="s">
        <v>11764</v>
      </c>
      <c r="D3160" s="22" t="s">
        <v>11765</v>
      </c>
      <c r="E3160" s="16" t="s">
        <v>11669</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45">
      <c r="A3161" s="15" t="s">
        <v>11504</v>
      </c>
      <c r="B3161" s="16" t="s">
        <v>5</v>
      </c>
      <c r="C3161" s="17" t="s">
        <v>11766</v>
      </c>
      <c r="D3161" s="22" t="s">
        <v>11767</v>
      </c>
      <c r="E3161" s="16" t="s">
        <v>11671</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45">
      <c r="A3162" s="15" t="s">
        <v>11505</v>
      </c>
      <c r="B3162" s="16" t="s">
        <v>5</v>
      </c>
      <c r="C3162" s="17" t="s">
        <v>11768</v>
      </c>
      <c r="D3162" s="22" t="s">
        <v>11769</v>
      </c>
      <c r="E3162" s="16" t="s">
        <v>11668</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45">
      <c r="A3163" s="15" t="s">
        <v>11506</v>
      </c>
      <c r="B3163" s="16" t="s">
        <v>5</v>
      </c>
      <c r="C3163" s="17" t="s">
        <v>11770</v>
      </c>
      <c r="D3163" s="22" t="s">
        <v>11771</v>
      </c>
      <c r="E3163" s="16" t="s">
        <v>11668</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45">
      <c r="A3164" s="15" t="s">
        <v>11507</v>
      </c>
      <c r="B3164" s="16" t="s">
        <v>5</v>
      </c>
      <c r="C3164" s="17" t="s">
        <v>11772</v>
      </c>
      <c r="D3164" s="22" t="s">
        <v>11773</v>
      </c>
      <c r="E3164" s="16" t="s">
        <v>11463</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45">
      <c r="A3165" s="15" t="s">
        <v>11508</v>
      </c>
      <c r="B3165" s="16" t="s">
        <v>5</v>
      </c>
      <c r="C3165" s="17" t="s">
        <v>11774</v>
      </c>
      <c r="D3165" s="22" t="s">
        <v>11775</v>
      </c>
      <c r="E3165" s="16" t="s">
        <v>11667</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45">
      <c r="A3166" s="15" t="s">
        <v>11509</v>
      </c>
      <c r="B3166" s="16" t="s">
        <v>5</v>
      </c>
      <c r="C3166" s="17" t="s">
        <v>11776</v>
      </c>
      <c r="D3166" s="22" t="s">
        <v>11777</v>
      </c>
      <c r="E3166" s="16" t="s">
        <v>11665</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45">
      <c r="A3167" s="15" t="s">
        <v>11510</v>
      </c>
      <c r="B3167" s="16" t="s">
        <v>5</v>
      </c>
      <c r="C3167" s="17" t="s">
        <v>11778</v>
      </c>
      <c r="D3167" s="22" t="s">
        <v>11779</v>
      </c>
      <c r="E3167" s="16" t="s">
        <v>11667</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45">
      <c r="A3168" s="15" t="s">
        <v>11511</v>
      </c>
      <c r="B3168" s="16" t="s">
        <v>5</v>
      </c>
      <c r="C3168" s="17" t="s">
        <v>11780</v>
      </c>
      <c r="D3168" s="22" t="s">
        <v>11781</v>
      </c>
      <c r="E3168" s="16" t="s">
        <v>11671</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45">
      <c r="A3169" s="15" t="s">
        <v>11512</v>
      </c>
      <c r="B3169" s="16" t="s">
        <v>5</v>
      </c>
      <c r="C3169" s="17" t="s">
        <v>11782</v>
      </c>
      <c r="D3169" s="22" t="s">
        <v>11783</v>
      </c>
      <c r="E3169" s="16" t="s">
        <v>11664</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45">
      <c r="A3170" s="15" t="s">
        <v>11513</v>
      </c>
      <c r="B3170" s="16" t="s">
        <v>5</v>
      </c>
      <c r="C3170" s="17" t="s">
        <v>11784</v>
      </c>
      <c r="D3170" s="22" t="s">
        <v>11785</v>
      </c>
      <c r="E3170" s="16" t="s">
        <v>11669</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45">
      <c r="A3171" s="15" t="s">
        <v>11514</v>
      </c>
      <c r="B3171" s="16" t="s">
        <v>5</v>
      </c>
      <c r="C3171" s="17" t="s">
        <v>11786</v>
      </c>
      <c r="D3171" s="22" t="s">
        <v>11787</v>
      </c>
      <c r="E3171" s="16" t="s">
        <v>11666</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45">
      <c r="A3172" s="15" t="s">
        <v>11515</v>
      </c>
      <c r="B3172" s="16" t="s">
        <v>5</v>
      </c>
      <c r="C3172" s="17" t="s">
        <v>11788</v>
      </c>
      <c r="D3172" s="22" t="s">
        <v>11789</v>
      </c>
      <c r="E3172" s="16" t="s">
        <v>11664</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45">
      <c r="A3173" s="15" t="s">
        <v>11516</v>
      </c>
      <c r="B3173" s="16" t="s">
        <v>5</v>
      </c>
      <c r="C3173" s="17" t="s">
        <v>11790</v>
      </c>
      <c r="D3173" s="22" t="s">
        <v>11791</v>
      </c>
      <c r="E3173" s="16" t="s">
        <v>11664</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45">
      <c r="A3174" s="15" t="s">
        <v>11517</v>
      </c>
      <c r="B3174" s="16" t="s">
        <v>5</v>
      </c>
      <c r="C3174" s="17" t="s">
        <v>11792</v>
      </c>
      <c r="D3174" s="22" t="s">
        <v>11793</v>
      </c>
      <c r="E3174" s="16" t="s">
        <v>11664</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45">
      <c r="A3175" s="15" t="s">
        <v>11518</v>
      </c>
      <c r="B3175" s="16" t="s">
        <v>5</v>
      </c>
      <c r="C3175" s="17" t="s">
        <v>11794</v>
      </c>
      <c r="D3175" s="22" t="s">
        <v>11795</v>
      </c>
      <c r="E3175" s="16" t="s">
        <v>11669</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45">
      <c r="A3176" s="15" t="s">
        <v>11519</v>
      </c>
      <c r="B3176" s="16" t="s">
        <v>5</v>
      </c>
      <c r="C3176" s="17" t="s">
        <v>11796</v>
      </c>
      <c r="D3176" s="22" t="s">
        <v>11797</v>
      </c>
      <c r="E3176" s="16" t="s">
        <v>11669</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45">
      <c r="A3177" s="15" t="s">
        <v>11520</v>
      </c>
      <c r="B3177" s="16" t="s">
        <v>5</v>
      </c>
      <c r="C3177" s="17" t="s">
        <v>11798</v>
      </c>
      <c r="D3177" s="22" t="s">
        <v>11799</v>
      </c>
      <c r="E3177" s="16" t="s">
        <v>11669</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45">
      <c r="A3178" s="15" t="s">
        <v>11521</v>
      </c>
      <c r="B3178" s="16" t="s">
        <v>5</v>
      </c>
      <c r="C3178" s="17" t="s">
        <v>11800</v>
      </c>
      <c r="D3178" s="22" t="s">
        <v>11801</v>
      </c>
      <c r="E3178" s="16" t="s">
        <v>11664</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45">
      <c r="A3179" s="15" t="s">
        <v>11522</v>
      </c>
      <c r="B3179" s="16" t="s">
        <v>5</v>
      </c>
      <c r="C3179" s="17" t="s">
        <v>11802</v>
      </c>
      <c r="D3179" s="22" t="s">
        <v>11803</v>
      </c>
      <c r="E3179" s="16" t="s">
        <v>11666</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45">
      <c r="A3180" s="15" t="s">
        <v>11523</v>
      </c>
      <c r="B3180" s="16" t="s">
        <v>5</v>
      </c>
      <c r="C3180" s="17" t="s">
        <v>11804</v>
      </c>
      <c r="D3180" s="22" t="s">
        <v>11805</v>
      </c>
      <c r="E3180" s="16" t="s">
        <v>11664</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45">
      <c r="A3181" s="15" t="s">
        <v>11524</v>
      </c>
      <c r="B3181" s="16" t="s">
        <v>5</v>
      </c>
      <c r="C3181" s="17" t="s">
        <v>11806</v>
      </c>
      <c r="D3181" s="22" t="s">
        <v>11807</v>
      </c>
      <c r="E3181" s="16" t="s">
        <v>11664</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45">
      <c r="A3182" s="15" t="s">
        <v>11525</v>
      </c>
      <c r="B3182" s="16" t="s">
        <v>5</v>
      </c>
      <c r="C3182" s="17" t="s">
        <v>11808</v>
      </c>
      <c r="D3182" s="22" t="s">
        <v>11809</v>
      </c>
      <c r="E3182" s="16" t="s">
        <v>11664</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45">
      <c r="A3183" s="15" t="s">
        <v>11526</v>
      </c>
      <c r="B3183" s="16" t="s">
        <v>5</v>
      </c>
      <c r="C3183" s="17" t="s">
        <v>11810</v>
      </c>
      <c r="D3183" s="22" t="s">
        <v>11811</v>
      </c>
      <c r="E3183" s="16" t="s">
        <v>11664</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45">
      <c r="A3184" s="15" t="s">
        <v>11527</v>
      </c>
      <c r="B3184" s="16" t="s">
        <v>5</v>
      </c>
      <c r="C3184" s="17" t="s">
        <v>11812</v>
      </c>
      <c r="D3184" s="22" t="s">
        <v>11813</v>
      </c>
      <c r="E3184" s="16" t="s">
        <v>11664</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45">
      <c r="A3185" s="15" t="s">
        <v>11528</v>
      </c>
      <c r="B3185" s="16" t="s">
        <v>5</v>
      </c>
      <c r="C3185" s="17" t="s">
        <v>11814</v>
      </c>
      <c r="D3185" s="22" t="s">
        <v>11815</v>
      </c>
      <c r="E3185" s="16" t="s">
        <v>11668</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45">
      <c r="A3186" s="15" t="s">
        <v>11529</v>
      </c>
      <c r="B3186" s="16" t="s">
        <v>5</v>
      </c>
      <c r="C3186" s="17" t="s">
        <v>11816</v>
      </c>
      <c r="D3186" s="22" t="s">
        <v>11817</v>
      </c>
      <c r="E3186" s="16" t="s">
        <v>11668</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45">
      <c r="A3187" s="15" t="s">
        <v>11530</v>
      </c>
      <c r="B3187" s="16" t="s">
        <v>5</v>
      </c>
      <c r="C3187" s="17" t="s">
        <v>11818</v>
      </c>
      <c r="D3187" s="22" t="s">
        <v>11819</v>
      </c>
      <c r="E3187" s="16" t="s">
        <v>11664</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45">
      <c r="A3188" s="15" t="s">
        <v>11531</v>
      </c>
      <c r="B3188" s="16" t="s">
        <v>5</v>
      </c>
      <c r="C3188" s="17" t="s">
        <v>11820</v>
      </c>
      <c r="D3188" s="22" t="s">
        <v>11821</v>
      </c>
      <c r="E3188" s="16" t="s">
        <v>11664</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45">
      <c r="A3189" s="15" t="s">
        <v>11532</v>
      </c>
      <c r="B3189" s="16" t="s">
        <v>5</v>
      </c>
      <c r="C3189" s="17" t="s">
        <v>11822</v>
      </c>
      <c r="D3189" s="22" t="s">
        <v>11823</v>
      </c>
      <c r="E3189" s="16" t="s">
        <v>11664</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45">
      <c r="A3190" s="15" t="s">
        <v>11533</v>
      </c>
      <c r="B3190" s="16" t="s">
        <v>5</v>
      </c>
      <c r="C3190" s="17" t="s">
        <v>11824</v>
      </c>
      <c r="D3190" s="22" t="s">
        <v>11825</v>
      </c>
      <c r="E3190" s="16" t="s">
        <v>11672</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45">
      <c r="A3191" s="15" t="s">
        <v>11534</v>
      </c>
      <c r="B3191" s="16" t="s">
        <v>5</v>
      </c>
      <c r="C3191" s="17" t="s">
        <v>11826</v>
      </c>
      <c r="D3191" s="22" t="s">
        <v>11827</v>
      </c>
      <c r="E3191" s="16" t="s">
        <v>11666</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45">
      <c r="A3192" s="15" t="s">
        <v>11535</v>
      </c>
      <c r="B3192" s="16" t="s">
        <v>5</v>
      </c>
      <c r="C3192" s="17" t="s">
        <v>11828</v>
      </c>
      <c r="D3192" s="22" t="s">
        <v>11829</v>
      </c>
      <c r="E3192" s="16" t="s">
        <v>11671</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45">
      <c r="A3193" s="15" t="s">
        <v>11536</v>
      </c>
      <c r="B3193" s="16" t="s">
        <v>5</v>
      </c>
      <c r="C3193" s="17" t="s">
        <v>11830</v>
      </c>
      <c r="D3193" s="22" t="s">
        <v>11831</v>
      </c>
      <c r="E3193" s="16" t="s">
        <v>11463</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45">
      <c r="A3194" s="15" t="s">
        <v>11537</v>
      </c>
      <c r="B3194" s="16" t="s">
        <v>5</v>
      </c>
      <c r="C3194" s="17" t="s">
        <v>11832</v>
      </c>
      <c r="D3194" s="22" t="s">
        <v>11833</v>
      </c>
      <c r="E3194" s="16" t="s">
        <v>11673</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45">
      <c r="A3195" s="15" t="s">
        <v>11538</v>
      </c>
      <c r="B3195" s="16" t="s">
        <v>5</v>
      </c>
      <c r="C3195" s="17" t="s">
        <v>11834</v>
      </c>
      <c r="D3195" s="22" t="s">
        <v>11835</v>
      </c>
      <c r="E3195" s="16" t="s">
        <v>11671</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45">
      <c r="A3196" s="15" t="s">
        <v>11539</v>
      </c>
      <c r="B3196" s="16" t="s">
        <v>5</v>
      </c>
      <c r="C3196" s="17" t="s">
        <v>11836</v>
      </c>
      <c r="D3196" s="22" t="s">
        <v>11837</v>
      </c>
      <c r="E3196" s="16" t="s">
        <v>11671</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45">
      <c r="A3197" s="15" t="s">
        <v>11540</v>
      </c>
      <c r="B3197" s="16" t="s">
        <v>5</v>
      </c>
      <c r="C3197" s="17" t="s">
        <v>11838</v>
      </c>
      <c r="D3197" s="22" t="s">
        <v>11839</v>
      </c>
      <c r="E3197" s="16" t="s">
        <v>11666</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45">
      <c r="A3198" s="15" t="s">
        <v>11541</v>
      </c>
      <c r="B3198" s="16" t="s">
        <v>5</v>
      </c>
      <c r="C3198" s="17" t="s">
        <v>11840</v>
      </c>
      <c r="D3198" s="22" t="s">
        <v>11841</v>
      </c>
      <c r="E3198" s="16" t="s">
        <v>11673</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45">
      <c r="A3199" s="15" t="s">
        <v>11542</v>
      </c>
      <c r="B3199" s="16" t="s">
        <v>5</v>
      </c>
      <c r="C3199" s="17" t="s">
        <v>11842</v>
      </c>
      <c r="D3199" s="22" t="s">
        <v>11843</v>
      </c>
      <c r="E3199" s="16" t="s">
        <v>11667</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45">
      <c r="A3200" s="15" t="s">
        <v>11543</v>
      </c>
      <c r="B3200" s="16" t="s">
        <v>5</v>
      </c>
      <c r="C3200" s="17" t="s">
        <v>11844</v>
      </c>
      <c r="D3200" s="22" t="s">
        <v>11845</v>
      </c>
      <c r="E3200" s="16" t="s">
        <v>11463</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45">
      <c r="A3201" s="15" t="s">
        <v>11544</v>
      </c>
      <c r="B3201" s="16" t="s">
        <v>5</v>
      </c>
      <c r="C3201" s="17" t="s">
        <v>11846</v>
      </c>
      <c r="D3201" s="22" t="s">
        <v>11847</v>
      </c>
      <c r="E3201" s="16" t="s">
        <v>11666</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45">
      <c r="A3202" s="15" t="s">
        <v>11545</v>
      </c>
      <c r="B3202" s="16" t="s">
        <v>5</v>
      </c>
      <c r="C3202" s="17" t="s">
        <v>11848</v>
      </c>
      <c r="D3202" s="22" t="s">
        <v>11849</v>
      </c>
      <c r="E3202" s="16" t="s">
        <v>11666</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45">
      <c r="A3203" s="15" t="s">
        <v>11546</v>
      </c>
      <c r="B3203" s="16" t="s">
        <v>5</v>
      </c>
      <c r="C3203" s="17" t="s">
        <v>11850</v>
      </c>
      <c r="D3203" s="22" t="s">
        <v>11851</v>
      </c>
      <c r="E3203" s="16" t="s">
        <v>11666</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45">
      <c r="A3204" s="15" t="s">
        <v>11547</v>
      </c>
      <c r="B3204" s="16" t="s">
        <v>5</v>
      </c>
      <c r="C3204" s="17" t="s">
        <v>11852</v>
      </c>
      <c r="D3204" s="22" t="s">
        <v>11853</v>
      </c>
      <c r="E3204" s="16" t="s">
        <v>11666</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45">
      <c r="A3205" s="15" t="s">
        <v>11548</v>
      </c>
      <c r="B3205" s="16" t="s">
        <v>5</v>
      </c>
      <c r="C3205" s="17" t="s">
        <v>11854</v>
      </c>
      <c r="D3205" s="22" t="s">
        <v>11855</v>
      </c>
      <c r="E3205" s="16" t="s">
        <v>11463</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45">
      <c r="A3206" s="15" t="s">
        <v>11549</v>
      </c>
      <c r="B3206" s="16" t="s">
        <v>5</v>
      </c>
      <c r="C3206" s="17" t="s">
        <v>11856</v>
      </c>
      <c r="D3206" s="22" t="s">
        <v>11857</v>
      </c>
      <c r="E3206" s="16" t="s">
        <v>11666</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45">
      <c r="A3207" s="15" t="s">
        <v>11550</v>
      </c>
      <c r="B3207" s="16" t="s">
        <v>5</v>
      </c>
      <c r="C3207" s="17" t="s">
        <v>11858</v>
      </c>
      <c r="D3207" s="22" t="s">
        <v>11859</v>
      </c>
      <c r="E3207" s="16" t="s">
        <v>11666</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45">
      <c r="A3208" s="15" t="s">
        <v>11551</v>
      </c>
      <c r="B3208" s="16" t="s">
        <v>5</v>
      </c>
      <c r="C3208" s="17" t="s">
        <v>11860</v>
      </c>
      <c r="D3208" s="22" t="s">
        <v>11861</v>
      </c>
      <c r="E3208" s="16" t="s">
        <v>11463</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45">
      <c r="A3209" s="15" t="s">
        <v>11552</v>
      </c>
      <c r="B3209" s="16" t="s">
        <v>5</v>
      </c>
      <c r="C3209" s="17" t="s">
        <v>11862</v>
      </c>
      <c r="D3209" s="22" t="s">
        <v>11863</v>
      </c>
      <c r="E3209" s="16" t="s">
        <v>11666</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45">
      <c r="A3210" s="15" t="s">
        <v>11553</v>
      </c>
      <c r="B3210" s="16" t="s">
        <v>5</v>
      </c>
      <c r="C3210" s="17" t="s">
        <v>11864</v>
      </c>
      <c r="D3210" s="22" t="s">
        <v>11865</v>
      </c>
      <c r="E3210" s="16" t="s">
        <v>11666</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45">
      <c r="A3211" s="15" t="s">
        <v>11554</v>
      </c>
      <c r="B3211" s="16" t="s">
        <v>5</v>
      </c>
      <c r="C3211" s="17" t="s">
        <v>11866</v>
      </c>
      <c r="D3211" s="22" t="s">
        <v>11867</v>
      </c>
      <c r="E3211" s="16" t="s">
        <v>11669</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45">
      <c r="A3212" s="15" t="s">
        <v>11555</v>
      </c>
      <c r="B3212" s="16" t="s">
        <v>5</v>
      </c>
      <c r="C3212" s="17" t="s">
        <v>11868</v>
      </c>
      <c r="D3212" s="22" t="s">
        <v>11869</v>
      </c>
      <c r="E3212" s="16" t="s">
        <v>11664</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45">
      <c r="A3213" s="15" t="s">
        <v>11556</v>
      </c>
      <c r="B3213" s="16" t="s">
        <v>5</v>
      </c>
      <c r="C3213" s="17" t="s">
        <v>11870</v>
      </c>
      <c r="D3213" s="22" t="s">
        <v>11871</v>
      </c>
      <c r="E3213" s="16" t="s">
        <v>11463</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45">
      <c r="A3214" s="15" t="s">
        <v>11557</v>
      </c>
      <c r="B3214" s="16" t="s">
        <v>5</v>
      </c>
      <c r="C3214" s="17" t="s">
        <v>11872</v>
      </c>
      <c r="D3214" s="22" t="s">
        <v>11873</v>
      </c>
      <c r="E3214" s="16" t="s">
        <v>11666</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45">
      <c r="A3215" s="15" t="s">
        <v>11558</v>
      </c>
      <c r="B3215" s="16" t="s">
        <v>5</v>
      </c>
      <c r="C3215" s="17" t="s">
        <v>11874</v>
      </c>
      <c r="D3215" s="22" t="s">
        <v>11875</v>
      </c>
      <c r="E3215" s="16" t="s">
        <v>11666</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45">
      <c r="A3216" s="15" t="s">
        <v>11559</v>
      </c>
      <c r="B3216" s="16" t="s">
        <v>5</v>
      </c>
      <c r="C3216" s="17" t="s">
        <v>11876</v>
      </c>
      <c r="D3216" s="22" t="s">
        <v>11877</v>
      </c>
      <c r="E3216" s="16" t="s">
        <v>11463</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45">
      <c r="A3217" s="15" t="s">
        <v>11560</v>
      </c>
      <c r="B3217" s="16" t="s">
        <v>5</v>
      </c>
      <c r="C3217" s="17" t="s">
        <v>11878</v>
      </c>
      <c r="D3217" s="22" t="s">
        <v>11879</v>
      </c>
      <c r="E3217" s="16" t="s">
        <v>11666</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45">
      <c r="A3218" s="15" t="s">
        <v>11561</v>
      </c>
      <c r="B3218" s="16" t="s">
        <v>5</v>
      </c>
      <c r="C3218" s="17" t="s">
        <v>11880</v>
      </c>
      <c r="D3218" s="22" t="s">
        <v>11881</v>
      </c>
      <c r="E3218" s="16" t="s">
        <v>11666</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45">
      <c r="A3219" s="15" t="s">
        <v>11562</v>
      </c>
      <c r="B3219" s="16" t="s">
        <v>5</v>
      </c>
      <c r="C3219" s="17" t="s">
        <v>11882</v>
      </c>
      <c r="D3219" s="22" t="s">
        <v>11883</v>
      </c>
      <c r="E3219" s="16" t="s">
        <v>11666</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45">
      <c r="A3220" s="15" t="s">
        <v>11563</v>
      </c>
      <c r="B3220" s="16" t="s">
        <v>5</v>
      </c>
      <c r="C3220" s="17" t="s">
        <v>11884</v>
      </c>
      <c r="D3220" s="22" t="s">
        <v>11885</v>
      </c>
      <c r="E3220" s="16" t="s">
        <v>11668</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45">
      <c r="A3221" s="15" t="s">
        <v>11564</v>
      </c>
      <c r="B3221" s="16" t="s">
        <v>5</v>
      </c>
      <c r="C3221" s="17" t="s">
        <v>11886</v>
      </c>
      <c r="D3221" s="22" t="s">
        <v>11887</v>
      </c>
      <c r="E3221" s="16" t="s">
        <v>11666</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45">
      <c r="A3222" s="15" t="s">
        <v>11565</v>
      </c>
      <c r="B3222" s="16" t="s">
        <v>5</v>
      </c>
      <c r="C3222" s="17" t="s">
        <v>11888</v>
      </c>
      <c r="D3222" s="22" t="s">
        <v>11889</v>
      </c>
      <c r="E3222" s="16" t="s">
        <v>11666</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45">
      <c r="A3223" s="15" t="s">
        <v>11566</v>
      </c>
      <c r="B3223" s="16" t="s">
        <v>5</v>
      </c>
      <c r="C3223" s="17" t="s">
        <v>11890</v>
      </c>
      <c r="D3223" s="22" t="s">
        <v>11891</v>
      </c>
      <c r="E3223" s="16" t="s">
        <v>11671</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45">
      <c r="A3224" s="15" t="s">
        <v>11567</v>
      </c>
      <c r="B3224" s="16" t="s">
        <v>5</v>
      </c>
      <c r="C3224" s="17" t="s">
        <v>11892</v>
      </c>
      <c r="D3224" s="22" t="s">
        <v>11893</v>
      </c>
      <c r="E3224" s="16" t="s">
        <v>11664</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45">
      <c r="A3225" s="15" t="s">
        <v>11568</v>
      </c>
      <c r="B3225" s="16" t="s">
        <v>5</v>
      </c>
      <c r="C3225" s="17" t="s">
        <v>11894</v>
      </c>
      <c r="D3225" s="22" t="s">
        <v>11895</v>
      </c>
      <c r="E3225" s="16" t="s">
        <v>11667</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45">
      <c r="A3226" s="15" t="s">
        <v>11569</v>
      </c>
      <c r="B3226" s="16" t="s">
        <v>5</v>
      </c>
      <c r="C3226" s="17" t="s">
        <v>11896</v>
      </c>
      <c r="D3226" s="22" t="s">
        <v>11897</v>
      </c>
      <c r="E3226" s="16" t="s">
        <v>11667</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45">
      <c r="A3227" s="15" t="s">
        <v>11570</v>
      </c>
      <c r="B3227" s="16" t="s">
        <v>5</v>
      </c>
      <c r="C3227" s="17" t="s">
        <v>11898</v>
      </c>
      <c r="D3227" s="22" t="s">
        <v>11899</v>
      </c>
      <c r="E3227" s="16" t="s">
        <v>11666</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45">
      <c r="A3228" s="15" t="s">
        <v>11571</v>
      </c>
      <c r="B3228" s="16" t="s">
        <v>5</v>
      </c>
      <c r="C3228" s="17" t="s">
        <v>11900</v>
      </c>
      <c r="D3228" s="22" t="s">
        <v>11901</v>
      </c>
      <c r="E3228" s="16" t="s">
        <v>11666</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45">
      <c r="A3229" s="15" t="s">
        <v>11572</v>
      </c>
      <c r="B3229" s="16" t="s">
        <v>5</v>
      </c>
      <c r="C3229" s="17" t="s">
        <v>11902</v>
      </c>
      <c r="D3229" s="22" t="s">
        <v>11903</v>
      </c>
      <c r="E3229" s="16" t="s">
        <v>11666</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45">
      <c r="A3230" s="15" t="s">
        <v>11573</v>
      </c>
      <c r="B3230" s="16" t="s">
        <v>5</v>
      </c>
      <c r="C3230" s="17" t="s">
        <v>11904</v>
      </c>
      <c r="D3230" s="22" t="s">
        <v>11905</v>
      </c>
      <c r="E3230" s="16" t="s">
        <v>11664</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45">
      <c r="A3231" s="15" t="s">
        <v>11574</v>
      </c>
      <c r="B3231" s="16" t="s">
        <v>5</v>
      </c>
      <c r="C3231" s="17" t="s">
        <v>11906</v>
      </c>
      <c r="D3231" s="22" t="s">
        <v>11907</v>
      </c>
      <c r="E3231" s="16" t="s">
        <v>11666</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45">
      <c r="A3232" s="15" t="s">
        <v>11575</v>
      </c>
      <c r="B3232" s="16" t="s">
        <v>5</v>
      </c>
      <c r="C3232" s="17" t="s">
        <v>11908</v>
      </c>
      <c r="D3232" s="22" t="s">
        <v>11909</v>
      </c>
      <c r="E3232" s="16" t="s">
        <v>11666</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45">
      <c r="A3233" s="15" t="s">
        <v>11576</v>
      </c>
      <c r="B3233" s="16" t="s">
        <v>5</v>
      </c>
      <c r="C3233" s="17" t="s">
        <v>11910</v>
      </c>
      <c r="D3233" s="22" t="s">
        <v>11911</v>
      </c>
      <c r="E3233" s="16" t="s">
        <v>11668</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45">
      <c r="A3234" s="15" t="s">
        <v>11577</v>
      </c>
      <c r="B3234" s="16" t="s">
        <v>5</v>
      </c>
      <c r="C3234" s="17" t="s">
        <v>11912</v>
      </c>
      <c r="D3234" s="22" t="s">
        <v>11913</v>
      </c>
      <c r="E3234" s="16" t="s">
        <v>11667</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45">
      <c r="A3235" s="15" t="s">
        <v>11578</v>
      </c>
      <c r="B3235" s="16" t="s">
        <v>5</v>
      </c>
      <c r="C3235" s="17" t="s">
        <v>11914</v>
      </c>
      <c r="D3235" s="22" t="s">
        <v>11915</v>
      </c>
      <c r="E3235" s="16" t="s">
        <v>11666</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45">
      <c r="A3236" s="15" t="s">
        <v>11579</v>
      </c>
      <c r="B3236" s="16" t="s">
        <v>5</v>
      </c>
      <c r="C3236" s="17" t="s">
        <v>11916</v>
      </c>
      <c r="D3236" s="22" t="s">
        <v>11917</v>
      </c>
      <c r="E3236" s="16" t="s">
        <v>11463</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45">
      <c r="A3237" s="15" t="s">
        <v>11580</v>
      </c>
      <c r="B3237" s="16" t="s">
        <v>5</v>
      </c>
      <c r="C3237" s="17" t="s">
        <v>11918</v>
      </c>
      <c r="D3237" s="22" t="s">
        <v>11919</v>
      </c>
      <c r="E3237" s="16" t="s">
        <v>11666</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45">
      <c r="A3238" s="15" t="s">
        <v>11581</v>
      </c>
      <c r="B3238" s="16" t="s">
        <v>5</v>
      </c>
      <c r="C3238" s="17" t="s">
        <v>11920</v>
      </c>
      <c r="D3238" s="22" t="s">
        <v>11921</v>
      </c>
      <c r="E3238" s="16" t="s">
        <v>11666</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45">
      <c r="A3239" s="15" t="s">
        <v>11582</v>
      </c>
      <c r="B3239" s="16" t="s">
        <v>5</v>
      </c>
      <c r="C3239" s="17" t="s">
        <v>11922</v>
      </c>
      <c r="D3239" s="22" t="s">
        <v>11923</v>
      </c>
      <c r="E3239" s="16" t="s">
        <v>11463</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45">
      <c r="A3240" s="15" t="s">
        <v>11583</v>
      </c>
      <c r="B3240" s="16" t="s">
        <v>5</v>
      </c>
      <c r="C3240" s="17" t="s">
        <v>11924</v>
      </c>
      <c r="D3240" s="22" t="s">
        <v>11925</v>
      </c>
      <c r="E3240" s="16" t="s">
        <v>11671</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45">
      <c r="A3241" s="15" t="s">
        <v>11584</v>
      </c>
      <c r="B3241" s="16" t="s">
        <v>5</v>
      </c>
      <c r="C3241" s="17" t="s">
        <v>11926</v>
      </c>
      <c r="D3241" s="22" t="s">
        <v>11927</v>
      </c>
      <c r="E3241" s="16" t="s">
        <v>11671</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45">
      <c r="A3242" s="15" t="s">
        <v>11585</v>
      </c>
      <c r="B3242" s="16" t="s">
        <v>5</v>
      </c>
      <c r="C3242" s="17" t="s">
        <v>11928</v>
      </c>
      <c r="D3242" s="22" t="s">
        <v>11929</v>
      </c>
      <c r="E3242" s="16" t="s">
        <v>11463</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45">
      <c r="A3243" s="15" t="s">
        <v>11586</v>
      </c>
      <c r="B3243" s="16" t="s">
        <v>5</v>
      </c>
      <c r="C3243" s="17" t="s">
        <v>11930</v>
      </c>
      <c r="D3243" s="22" t="s">
        <v>11931</v>
      </c>
      <c r="E3243" s="16" t="s">
        <v>11668</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45">
      <c r="A3244" s="15" t="s">
        <v>11587</v>
      </c>
      <c r="B3244" s="16" t="s">
        <v>5</v>
      </c>
      <c r="C3244" s="17" t="s">
        <v>11932</v>
      </c>
      <c r="D3244" s="22" t="s">
        <v>11933</v>
      </c>
      <c r="E3244" s="16" t="s">
        <v>11666</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45">
      <c r="A3245" s="15" t="s">
        <v>11588</v>
      </c>
      <c r="B3245" s="16" t="s">
        <v>5</v>
      </c>
      <c r="C3245" s="17" t="s">
        <v>11934</v>
      </c>
      <c r="D3245" s="22" t="s">
        <v>11935</v>
      </c>
      <c r="E3245" s="16" t="s">
        <v>11666</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45">
      <c r="A3246" s="15" t="s">
        <v>11589</v>
      </c>
      <c r="B3246" s="16" t="s">
        <v>5</v>
      </c>
      <c r="C3246" s="17" t="s">
        <v>11936</v>
      </c>
      <c r="D3246" s="22" t="s">
        <v>11937</v>
      </c>
      <c r="E3246" s="16" t="s">
        <v>11669</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45">
      <c r="A3247" s="15" t="s">
        <v>11590</v>
      </c>
      <c r="B3247" s="16" t="s">
        <v>5</v>
      </c>
      <c r="C3247" s="17" t="s">
        <v>11938</v>
      </c>
      <c r="D3247" s="22" t="s">
        <v>11939</v>
      </c>
      <c r="E3247" s="16" t="s">
        <v>11667</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45">
      <c r="A3248" s="15" t="s">
        <v>11591</v>
      </c>
      <c r="B3248" s="16" t="s">
        <v>5</v>
      </c>
      <c r="C3248" s="17" t="s">
        <v>11940</v>
      </c>
      <c r="D3248" s="22" t="s">
        <v>11941</v>
      </c>
      <c r="E3248" s="16" t="s">
        <v>11666</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45">
      <c r="A3249" s="15" t="s">
        <v>11592</v>
      </c>
      <c r="B3249" s="16" t="s">
        <v>5</v>
      </c>
      <c r="C3249" s="17" t="s">
        <v>11942</v>
      </c>
      <c r="D3249" s="22" t="s">
        <v>11943</v>
      </c>
      <c r="E3249" s="16" t="s">
        <v>11666</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45">
      <c r="A3250" s="15" t="s">
        <v>11593</v>
      </c>
      <c r="B3250" s="16" t="s">
        <v>5</v>
      </c>
      <c r="C3250" s="17" t="s">
        <v>11944</v>
      </c>
      <c r="D3250" s="22" t="s">
        <v>11945</v>
      </c>
      <c r="E3250" s="16" t="s">
        <v>11463</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45">
      <c r="A3251" s="15" t="s">
        <v>11594</v>
      </c>
      <c r="B3251" s="16" t="s">
        <v>5</v>
      </c>
      <c r="C3251" s="17" t="s">
        <v>11946</v>
      </c>
      <c r="D3251" s="22" t="s">
        <v>11947</v>
      </c>
      <c r="E3251" s="16" t="s">
        <v>11667</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45">
      <c r="A3252" s="15" t="s">
        <v>11595</v>
      </c>
      <c r="B3252" s="16" t="s">
        <v>5</v>
      </c>
      <c r="C3252" s="17" t="s">
        <v>11948</v>
      </c>
      <c r="D3252" s="22" t="s">
        <v>11949</v>
      </c>
      <c r="E3252" s="16" t="s">
        <v>11671</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45">
      <c r="A3253" s="15" t="s">
        <v>11596</v>
      </c>
      <c r="B3253" s="16" t="s">
        <v>5</v>
      </c>
      <c r="C3253" s="17" t="s">
        <v>11950</v>
      </c>
      <c r="D3253" s="22" t="s">
        <v>11951</v>
      </c>
      <c r="E3253" s="16" t="s">
        <v>11666</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45">
      <c r="A3254" s="15" t="s">
        <v>11597</v>
      </c>
      <c r="B3254" s="16" t="s">
        <v>5</v>
      </c>
      <c r="C3254" s="17" t="s">
        <v>11952</v>
      </c>
      <c r="D3254" s="22" t="s">
        <v>11953</v>
      </c>
      <c r="E3254" s="16" t="s">
        <v>11671</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45">
      <c r="A3255" s="15" t="s">
        <v>11598</v>
      </c>
      <c r="B3255" s="16" t="s">
        <v>5</v>
      </c>
      <c r="C3255" s="17" t="s">
        <v>11954</v>
      </c>
      <c r="D3255" s="22" t="s">
        <v>11955</v>
      </c>
      <c r="E3255" s="16" t="s">
        <v>11667</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45">
      <c r="A3256" s="15" t="s">
        <v>11599</v>
      </c>
      <c r="B3256" s="16" t="s">
        <v>5</v>
      </c>
      <c r="C3256" s="17" t="s">
        <v>11956</v>
      </c>
      <c r="D3256" s="22" t="s">
        <v>11957</v>
      </c>
      <c r="E3256" s="16" t="s">
        <v>11667</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45">
      <c r="A3257" s="15" t="s">
        <v>11600</v>
      </c>
      <c r="B3257" s="16" t="s">
        <v>5</v>
      </c>
      <c r="C3257" s="17" t="s">
        <v>11958</v>
      </c>
      <c r="D3257" s="22" t="s">
        <v>11959</v>
      </c>
      <c r="E3257" s="16" t="s">
        <v>11463</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45">
      <c r="A3258" s="15" t="s">
        <v>11601</v>
      </c>
      <c r="B3258" s="16" t="s">
        <v>5</v>
      </c>
      <c r="C3258" s="17" t="s">
        <v>11960</v>
      </c>
      <c r="D3258" s="22" t="s">
        <v>11961</v>
      </c>
      <c r="E3258" s="16" t="s">
        <v>11671</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45">
      <c r="A3259" s="15" t="s">
        <v>11602</v>
      </c>
      <c r="B3259" s="16" t="s">
        <v>5</v>
      </c>
      <c r="C3259" s="17" t="s">
        <v>11962</v>
      </c>
      <c r="D3259" s="22" t="s">
        <v>11963</v>
      </c>
      <c r="E3259" s="16" t="s">
        <v>11666</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45">
      <c r="A3260" s="15" t="s">
        <v>11603</v>
      </c>
      <c r="B3260" s="16" t="s">
        <v>5</v>
      </c>
      <c r="C3260" s="17" t="s">
        <v>11964</v>
      </c>
      <c r="D3260" s="22" t="s">
        <v>11965</v>
      </c>
      <c r="E3260" s="16" t="s">
        <v>11664</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45">
      <c r="A3261" s="15" t="s">
        <v>11604</v>
      </c>
      <c r="B3261" s="16" t="s">
        <v>5</v>
      </c>
      <c r="C3261" s="17" t="s">
        <v>11966</v>
      </c>
      <c r="D3261" s="22" t="s">
        <v>11967</v>
      </c>
      <c r="E3261" s="16" t="s">
        <v>11463</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45">
      <c r="A3262" s="15" t="s">
        <v>11605</v>
      </c>
      <c r="B3262" s="16" t="s">
        <v>5</v>
      </c>
      <c r="C3262" s="17" t="s">
        <v>11968</v>
      </c>
      <c r="D3262" s="22" t="s">
        <v>11969</v>
      </c>
      <c r="E3262" s="16" t="s">
        <v>11666</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45">
      <c r="A3263" s="15" t="s">
        <v>11606</v>
      </c>
      <c r="B3263" s="16" t="s">
        <v>5</v>
      </c>
      <c r="C3263" s="17" t="s">
        <v>11970</v>
      </c>
      <c r="D3263" s="22" t="s">
        <v>11971</v>
      </c>
      <c r="E3263" s="16" t="s">
        <v>11664</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45">
      <c r="A3264" s="15" t="s">
        <v>11607</v>
      </c>
      <c r="B3264" s="16" t="s">
        <v>5</v>
      </c>
      <c r="C3264" s="17" t="s">
        <v>11972</v>
      </c>
      <c r="D3264" s="22" t="s">
        <v>11973</v>
      </c>
      <c r="E3264" s="16" t="s">
        <v>11667</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45">
      <c r="A3265" s="15" t="s">
        <v>11608</v>
      </c>
      <c r="B3265" s="16" t="s">
        <v>5</v>
      </c>
      <c r="C3265" s="17" t="s">
        <v>11974</v>
      </c>
      <c r="D3265" s="22" t="s">
        <v>11975</v>
      </c>
      <c r="E3265" s="16" t="s">
        <v>11667</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45">
      <c r="A3266" s="15" t="s">
        <v>11609</v>
      </c>
      <c r="B3266" s="16" t="s">
        <v>5</v>
      </c>
      <c r="C3266" s="17" t="s">
        <v>11976</v>
      </c>
      <c r="D3266" s="22" t="s">
        <v>11977</v>
      </c>
      <c r="E3266" s="16" t="s">
        <v>11666</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45">
      <c r="A3267" s="15" t="s">
        <v>11610</v>
      </c>
      <c r="B3267" s="16" t="s">
        <v>5</v>
      </c>
      <c r="C3267" s="17" t="s">
        <v>11978</v>
      </c>
      <c r="D3267" s="22" t="s">
        <v>11979</v>
      </c>
      <c r="E3267" s="16" t="s">
        <v>11463</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45">
      <c r="A3268" s="15" t="s">
        <v>11611</v>
      </c>
      <c r="B3268" s="16" t="s">
        <v>5</v>
      </c>
      <c r="C3268" s="17" t="s">
        <v>11980</v>
      </c>
      <c r="D3268" s="22" t="s">
        <v>11981</v>
      </c>
      <c r="E3268" s="16" t="s">
        <v>11667</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45">
      <c r="A3269" s="15" t="s">
        <v>11612</v>
      </c>
      <c r="B3269" s="16" t="s">
        <v>5</v>
      </c>
      <c r="C3269" s="17" t="s">
        <v>11982</v>
      </c>
      <c r="D3269" s="22" t="s">
        <v>11983</v>
      </c>
      <c r="E3269" s="16" t="s">
        <v>11664</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45">
      <c r="A3270" s="15" t="s">
        <v>11613</v>
      </c>
      <c r="B3270" s="16" t="s">
        <v>5</v>
      </c>
      <c r="C3270" s="17" t="s">
        <v>11984</v>
      </c>
      <c r="D3270" s="22" t="s">
        <v>11985</v>
      </c>
      <c r="E3270" s="16" t="s">
        <v>11664</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45">
      <c r="A3271" s="15" t="s">
        <v>11614</v>
      </c>
      <c r="B3271" s="16" t="s">
        <v>5</v>
      </c>
      <c r="C3271" s="17" t="s">
        <v>11986</v>
      </c>
      <c r="D3271" s="22" t="s">
        <v>11987</v>
      </c>
      <c r="E3271" s="16" t="s">
        <v>11463</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45">
      <c r="A3272" s="15" t="s">
        <v>11615</v>
      </c>
      <c r="B3272" s="16" t="s">
        <v>5</v>
      </c>
      <c r="C3272" s="17" t="s">
        <v>11988</v>
      </c>
      <c r="D3272" s="22" t="s">
        <v>11989</v>
      </c>
      <c r="E3272" s="16" t="s">
        <v>11664</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45">
      <c r="A3273" s="15" t="s">
        <v>11616</v>
      </c>
      <c r="B3273" s="16" t="s">
        <v>5</v>
      </c>
      <c r="C3273" s="17" t="s">
        <v>11990</v>
      </c>
      <c r="D3273" s="22" t="s">
        <v>11991</v>
      </c>
      <c r="E3273" s="16" t="s">
        <v>11667</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45">
      <c r="A3274" s="15" t="s">
        <v>11617</v>
      </c>
      <c r="B3274" s="16" t="s">
        <v>5</v>
      </c>
      <c r="C3274" s="17" t="s">
        <v>11992</v>
      </c>
      <c r="D3274" s="22" t="s">
        <v>11993</v>
      </c>
      <c r="E3274" s="16" t="s">
        <v>11668</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45">
      <c r="A3275" s="15" t="s">
        <v>11618</v>
      </c>
      <c r="B3275" s="16" t="s">
        <v>5</v>
      </c>
      <c r="C3275" s="17" t="s">
        <v>11994</v>
      </c>
      <c r="D3275" s="22" t="s">
        <v>11995</v>
      </c>
      <c r="E3275" s="16" t="s">
        <v>11664</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45">
      <c r="A3276" s="15" t="s">
        <v>11619</v>
      </c>
      <c r="B3276" s="16" t="s">
        <v>5</v>
      </c>
      <c r="C3276" s="17" t="s">
        <v>11996</v>
      </c>
      <c r="D3276" s="22" t="s">
        <v>11997</v>
      </c>
      <c r="E3276" s="16" t="s">
        <v>11664</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45">
      <c r="A3277" s="15" t="s">
        <v>11620</v>
      </c>
      <c r="B3277" s="16" t="s">
        <v>5</v>
      </c>
      <c r="C3277" s="17" t="s">
        <v>11998</v>
      </c>
      <c r="D3277" s="22" t="s">
        <v>11999</v>
      </c>
      <c r="E3277" s="16" t="s">
        <v>11664</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45">
      <c r="A3278" s="15" t="s">
        <v>11621</v>
      </c>
      <c r="B3278" s="16" t="s">
        <v>5</v>
      </c>
      <c r="C3278" s="17" t="s">
        <v>12000</v>
      </c>
      <c r="D3278" s="22" t="s">
        <v>12001</v>
      </c>
      <c r="E3278" s="16" t="s">
        <v>11667</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45">
      <c r="A3279" s="15" t="s">
        <v>11622</v>
      </c>
      <c r="B3279" s="16" t="s">
        <v>5</v>
      </c>
      <c r="C3279" s="17" t="s">
        <v>12002</v>
      </c>
      <c r="D3279" s="22" t="s">
        <v>12003</v>
      </c>
      <c r="E3279" s="16" t="s">
        <v>11670</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45">
      <c r="A3280" s="15" t="s">
        <v>11623</v>
      </c>
      <c r="B3280" s="16" t="s">
        <v>5</v>
      </c>
      <c r="C3280" s="17" t="s">
        <v>12004</v>
      </c>
      <c r="D3280" s="22" t="s">
        <v>12005</v>
      </c>
      <c r="E3280" s="16" t="s">
        <v>11667</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45">
      <c r="A3281" s="15" t="s">
        <v>11624</v>
      </c>
      <c r="B3281" s="16" t="s">
        <v>5</v>
      </c>
      <c r="C3281" s="17" t="s">
        <v>12006</v>
      </c>
      <c r="D3281" s="22" t="s">
        <v>12007</v>
      </c>
      <c r="E3281" s="16" t="s">
        <v>11667</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45">
      <c r="A3282" s="15" t="s">
        <v>11625</v>
      </c>
      <c r="B3282" s="16" t="s">
        <v>5</v>
      </c>
      <c r="C3282" s="17" t="s">
        <v>12008</v>
      </c>
      <c r="D3282" s="22" t="s">
        <v>12009</v>
      </c>
      <c r="E3282" s="16" t="s">
        <v>11664</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45">
      <c r="A3283" s="15" t="s">
        <v>11626</v>
      </c>
      <c r="B3283" s="16" t="s">
        <v>5</v>
      </c>
      <c r="C3283" s="17" t="s">
        <v>12010</v>
      </c>
      <c r="D3283" s="22" t="s">
        <v>12011</v>
      </c>
      <c r="E3283" s="16" t="s">
        <v>11671</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45">
      <c r="A3284" s="15" t="s">
        <v>11627</v>
      </c>
      <c r="B3284" s="16" t="s">
        <v>5</v>
      </c>
      <c r="C3284" s="17" t="s">
        <v>12012</v>
      </c>
      <c r="D3284" s="22" t="s">
        <v>12013</v>
      </c>
      <c r="E3284" s="16" t="s">
        <v>11668</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45">
      <c r="A3285" s="15" t="s">
        <v>11628</v>
      </c>
      <c r="B3285" s="16" t="s">
        <v>5</v>
      </c>
      <c r="C3285" s="17" t="s">
        <v>12014</v>
      </c>
      <c r="D3285" s="22" t="s">
        <v>12015</v>
      </c>
      <c r="E3285" s="16" t="s">
        <v>11664</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45">
      <c r="A3286" s="15" t="s">
        <v>11629</v>
      </c>
      <c r="B3286" s="16" t="s">
        <v>5</v>
      </c>
      <c r="C3286" s="17" t="s">
        <v>12016</v>
      </c>
      <c r="D3286" s="22" t="s">
        <v>12017</v>
      </c>
      <c r="E3286" s="16" t="s">
        <v>11664</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45">
      <c r="A3287" s="15" t="s">
        <v>11630</v>
      </c>
      <c r="B3287" s="16" t="s">
        <v>5</v>
      </c>
      <c r="C3287" s="17" t="s">
        <v>12018</v>
      </c>
      <c r="D3287" s="22" t="s">
        <v>12019</v>
      </c>
      <c r="E3287" s="16" t="s">
        <v>11667</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45">
      <c r="A3288" s="15" t="s">
        <v>11631</v>
      </c>
      <c r="B3288" s="16" t="s">
        <v>5</v>
      </c>
      <c r="C3288" s="17" t="s">
        <v>12020</v>
      </c>
      <c r="D3288" s="22" t="s">
        <v>12021</v>
      </c>
      <c r="E3288" s="16" t="s">
        <v>11664</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45">
      <c r="A3289" s="15" t="s">
        <v>11632</v>
      </c>
      <c r="B3289" s="16" t="s">
        <v>5</v>
      </c>
      <c r="C3289" s="17" t="s">
        <v>12022</v>
      </c>
      <c r="D3289" s="22" t="s">
        <v>12023</v>
      </c>
      <c r="E3289" s="16" t="s">
        <v>11667</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45">
      <c r="A3290" s="15" t="s">
        <v>11633</v>
      </c>
      <c r="B3290" s="16" t="s">
        <v>5</v>
      </c>
      <c r="C3290" s="17" t="s">
        <v>12024</v>
      </c>
      <c r="D3290" s="22" t="s">
        <v>12025</v>
      </c>
      <c r="E3290" s="16" t="s">
        <v>11668</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45">
      <c r="A3291" s="15" t="s">
        <v>11634</v>
      </c>
      <c r="B3291" s="16" t="s">
        <v>5</v>
      </c>
      <c r="C3291" s="17" t="s">
        <v>12026</v>
      </c>
      <c r="D3291" s="22" t="s">
        <v>12027</v>
      </c>
      <c r="E3291" s="16" t="s">
        <v>11463</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45">
      <c r="A3292" s="15" t="s">
        <v>11635</v>
      </c>
      <c r="B3292" s="16" t="s">
        <v>5</v>
      </c>
      <c r="C3292" s="17" t="s">
        <v>12028</v>
      </c>
      <c r="D3292" s="22" t="s">
        <v>12029</v>
      </c>
      <c r="E3292" s="16" t="s">
        <v>11670</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45">
      <c r="A3293" s="15" t="s">
        <v>11636</v>
      </c>
      <c r="B3293" s="16" t="s">
        <v>5</v>
      </c>
      <c r="C3293" s="17" t="s">
        <v>12030</v>
      </c>
      <c r="D3293" s="22" t="s">
        <v>12031</v>
      </c>
      <c r="E3293" s="16" t="s">
        <v>11664</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45">
      <c r="A3294" s="15" t="s">
        <v>11637</v>
      </c>
      <c r="B3294" s="16" t="s">
        <v>5</v>
      </c>
      <c r="C3294" s="17" t="s">
        <v>12032</v>
      </c>
      <c r="D3294" s="22" t="s">
        <v>12033</v>
      </c>
      <c r="E3294" s="16" t="s">
        <v>11463</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45">
      <c r="A3295" s="15" t="s">
        <v>11638</v>
      </c>
      <c r="B3295" s="16" t="s">
        <v>5</v>
      </c>
      <c r="C3295" s="17" t="s">
        <v>12034</v>
      </c>
      <c r="D3295" s="22" t="s">
        <v>12035</v>
      </c>
      <c r="E3295" s="16" t="s">
        <v>11667</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45">
      <c r="A3296" s="15" t="s">
        <v>11639</v>
      </c>
      <c r="B3296" s="16" t="s">
        <v>5</v>
      </c>
      <c r="C3296" s="17" t="s">
        <v>12036</v>
      </c>
      <c r="D3296" s="22" t="s">
        <v>12037</v>
      </c>
      <c r="E3296" s="16" t="s">
        <v>11669</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45">
      <c r="A3297" s="15" t="s">
        <v>11640</v>
      </c>
      <c r="B3297" s="16" t="s">
        <v>5</v>
      </c>
      <c r="C3297" s="17" t="s">
        <v>12038</v>
      </c>
      <c r="D3297" s="22" t="s">
        <v>12039</v>
      </c>
      <c r="E3297" s="16" t="s">
        <v>11664</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45">
      <c r="A3298" s="15" t="s">
        <v>11641</v>
      </c>
      <c r="B3298" s="16" t="s">
        <v>5</v>
      </c>
      <c r="C3298" s="17" t="s">
        <v>12040</v>
      </c>
      <c r="D3298" s="22" t="s">
        <v>12041</v>
      </c>
      <c r="E3298" s="16" t="s">
        <v>11667</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45">
      <c r="A3299" s="15" t="s">
        <v>11642</v>
      </c>
      <c r="B3299" s="16" t="s">
        <v>5</v>
      </c>
      <c r="C3299" s="17" t="s">
        <v>12042</v>
      </c>
      <c r="D3299" s="22" t="s">
        <v>12043</v>
      </c>
      <c r="E3299" s="16" t="s">
        <v>11668</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45">
      <c r="A3300" s="15" t="s">
        <v>11643</v>
      </c>
      <c r="B3300" s="16" t="s">
        <v>5</v>
      </c>
      <c r="C3300" s="17" t="s">
        <v>12044</v>
      </c>
      <c r="D3300" s="22" t="s">
        <v>12045</v>
      </c>
      <c r="E3300" s="16" t="s">
        <v>11668</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45">
      <c r="A3301" s="15" t="s">
        <v>11644</v>
      </c>
      <c r="B3301" s="16" t="s">
        <v>5</v>
      </c>
      <c r="C3301" s="17" t="s">
        <v>12046</v>
      </c>
      <c r="D3301" s="22" t="s">
        <v>12047</v>
      </c>
      <c r="E3301" s="16" t="s">
        <v>11463</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45">
      <c r="A3302" s="15" t="s">
        <v>11645</v>
      </c>
      <c r="B3302" s="16" t="s">
        <v>5</v>
      </c>
      <c r="C3302" s="17" t="s">
        <v>12048</v>
      </c>
      <c r="D3302" s="22" t="s">
        <v>12049</v>
      </c>
      <c r="E3302" s="16" t="s">
        <v>11463</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45">
      <c r="A3303" s="15" t="s">
        <v>11646</v>
      </c>
      <c r="B3303" s="16" t="s">
        <v>5</v>
      </c>
      <c r="C3303" s="17" t="s">
        <v>12050</v>
      </c>
      <c r="D3303" s="22" t="s">
        <v>12051</v>
      </c>
      <c r="E3303" s="16" t="s">
        <v>11668</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45">
      <c r="A3304" s="15" t="s">
        <v>11647</v>
      </c>
      <c r="B3304" s="16" t="s">
        <v>5</v>
      </c>
      <c r="C3304" s="17" t="s">
        <v>12052</v>
      </c>
      <c r="D3304" s="22" t="s">
        <v>12053</v>
      </c>
      <c r="E3304" s="16" t="s">
        <v>11463</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45">
      <c r="A3305" s="15" t="s">
        <v>11648</v>
      </c>
      <c r="B3305" s="16" t="s">
        <v>5</v>
      </c>
      <c r="C3305" s="17" t="s">
        <v>12054</v>
      </c>
      <c r="D3305" s="22" t="s">
        <v>12055</v>
      </c>
      <c r="E3305" s="16" t="s">
        <v>11664</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45">
      <c r="A3306" s="15" t="s">
        <v>11649</v>
      </c>
      <c r="B3306" s="16" t="s">
        <v>5</v>
      </c>
      <c r="C3306" s="17" t="s">
        <v>12056</v>
      </c>
      <c r="D3306" s="22" t="s">
        <v>12057</v>
      </c>
      <c r="E3306" s="16" t="s">
        <v>11668</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45">
      <c r="A3307" s="15" t="s">
        <v>11650</v>
      </c>
      <c r="B3307" s="16" t="s">
        <v>5</v>
      </c>
      <c r="C3307" s="17" t="s">
        <v>12058</v>
      </c>
      <c r="D3307" s="22" t="s">
        <v>12059</v>
      </c>
      <c r="E3307" s="16" t="s">
        <v>11668</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45">
      <c r="A3308" s="15" t="s">
        <v>11651</v>
      </c>
      <c r="B3308" s="16" t="s">
        <v>5</v>
      </c>
      <c r="C3308" s="17" t="s">
        <v>12060</v>
      </c>
      <c r="D3308" s="22" t="s">
        <v>12061</v>
      </c>
      <c r="E3308" s="16" t="s">
        <v>11667</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45">
      <c r="A3309" s="15" t="s">
        <v>11652</v>
      </c>
      <c r="B3309" s="16" t="s">
        <v>5</v>
      </c>
      <c r="C3309" s="17" t="s">
        <v>12062</v>
      </c>
      <c r="D3309" s="22" t="s">
        <v>12063</v>
      </c>
      <c r="E3309" s="16" t="s">
        <v>11668</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45">
      <c r="A3310" s="15" t="s">
        <v>11653</v>
      </c>
      <c r="B3310" s="16" t="s">
        <v>5</v>
      </c>
      <c r="C3310" s="17" t="s">
        <v>12064</v>
      </c>
      <c r="D3310" s="22" t="s">
        <v>12065</v>
      </c>
      <c r="E3310" s="16" t="s">
        <v>11668</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45">
      <c r="A3311" s="15" t="s">
        <v>11654</v>
      </c>
      <c r="B3311" s="16" t="s">
        <v>5</v>
      </c>
      <c r="C3311" s="17" t="s">
        <v>12066</v>
      </c>
      <c r="D3311" s="22" t="s">
        <v>12067</v>
      </c>
      <c r="E3311" s="16" t="s">
        <v>11667</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45">
      <c r="A3312" s="15" t="s">
        <v>11655</v>
      </c>
      <c r="B3312" s="16" t="s">
        <v>5</v>
      </c>
      <c r="C3312" s="17" t="s">
        <v>12068</v>
      </c>
      <c r="D3312" s="22" t="s">
        <v>12069</v>
      </c>
      <c r="E3312" s="16" t="s">
        <v>11665</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45">
      <c r="A3313" s="15" t="s">
        <v>11656</v>
      </c>
      <c r="B3313" s="16" t="s">
        <v>5</v>
      </c>
      <c r="C3313" s="17" t="s">
        <v>12070</v>
      </c>
      <c r="D3313" s="22" t="s">
        <v>12071</v>
      </c>
      <c r="E3313" s="16" t="s">
        <v>11668</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45">
      <c r="A3314" s="15" t="s">
        <v>11657</v>
      </c>
      <c r="B3314" s="16" t="s">
        <v>5</v>
      </c>
      <c r="C3314" s="17" t="s">
        <v>12072</v>
      </c>
      <c r="D3314" s="22" t="s">
        <v>12073</v>
      </c>
      <c r="E3314" s="16" t="s">
        <v>11668</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45">
      <c r="A3315" s="15" t="s">
        <v>11658</v>
      </c>
      <c r="B3315" s="16" t="s">
        <v>5</v>
      </c>
      <c r="C3315" s="17" t="s">
        <v>12074</v>
      </c>
      <c r="D3315" s="22" t="s">
        <v>12075</v>
      </c>
      <c r="E3315" s="16" t="s">
        <v>11668</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45">
      <c r="A3316" s="15" t="s">
        <v>11659</v>
      </c>
      <c r="B3316" s="16" t="s">
        <v>5</v>
      </c>
      <c r="C3316" s="17" t="s">
        <v>12076</v>
      </c>
      <c r="D3316" s="22" t="s">
        <v>12077</v>
      </c>
      <c r="E3316" s="16" t="s">
        <v>11668</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45">
      <c r="A3317" s="15" t="s">
        <v>11660</v>
      </c>
      <c r="B3317" s="16" t="s">
        <v>5</v>
      </c>
      <c r="C3317" s="17" t="s">
        <v>12078</v>
      </c>
      <c r="D3317" s="22" t="s">
        <v>12079</v>
      </c>
      <c r="E3317" s="16" t="s">
        <v>11664</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45">
      <c r="A3318" s="15" t="s">
        <v>11661</v>
      </c>
      <c r="B3318" s="16" t="s">
        <v>5</v>
      </c>
      <c r="C3318" s="17" t="s">
        <v>12080</v>
      </c>
      <c r="D3318" s="22" t="s">
        <v>12081</v>
      </c>
      <c r="E3318" s="16" t="s">
        <v>11666</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45">
      <c r="A3319" s="15" t="s">
        <v>11662</v>
      </c>
      <c r="B3319" s="16" t="s">
        <v>5</v>
      </c>
      <c r="C3319" s="17" t="s">
        <v>12082</v>
      </c>
      <c r="D3319" s="22" t="s">
        <v>12083</v>
      </c>
      <c r="E3319" s="16" t="s">
        <v>11665</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45">
      <c r="A3320" s="15" t="s">
        <v>11663</v>
      </c>
      <c r="B3320" s="16" t="s">
        <v>5</v>
      </c>
      <c r="C3320" s="17" t="s">
        <v>12084</v>
      </c>
      <c r="D3320" s="22" t="s">
        <v>12085</v>
      </c>
      <c r="E3320" s="16" t="s">
        <v>11463</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45">
      <c r="A3321" s="15">
        <v>3001</v>
      </c>
      <c r="B3321" s="16" t="s">
        <v>5</v>
      </c>
      <c r="C3321" s="17" t="s">
        <v>12086</v>
      </c>
      <c r="D3321" s="22" t="s">
        <v>12087</v>
      </c>
      <c r="E3321" s="16" t="s">
        <v>11664</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45">
      <c r="A3322" s="15">
        <v>3003</v>
      </c>
      <c r="B3322" s="16" t="s">
        <v>5</v>
      </c>
      <c r="C3322" s="17" t="s">
        <v>12088</v>
      </c>
      <c r="D3322" s="22" t="s">
        <v>12089</v>
      </c>
      <c r="E3322" s="16" t="s">
        <v>11664</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45">
      <c r="A3323" s="15">
        <v>3006</v>
      </c>
      <c r="B3323" s="16" t="s">
        <v>5</v>
      </c>
      <c r="C3323" s="17" t="s">
        <v>12090</v>
      </c>
      <c r="D3323" s="22" t="s">
        <v>12091</v>
      </c>
      <c r="E3323" s="16" t="s">
        <v>11664</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45">
      <c r="A3324" s="15">
        <v>3098</v>
      </c>
      <c r="B3324" s="16" t="s">
        <v>5</v>
      </c>
      <c r="C3324" s="17" t="s">
        <v>12092</v>
      </c>
      <c r="D3324" s="22" t="s">
        <v>12093</v>
      </c>
      <c r="E3324" s="16" t="s">
        <v>11664</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45">
      <c r="A3325" s="15">
        <v>3099</v>
      </c>
      <c r="B3325" s="16" t="s">
        <v>5</v>
      </c>
      <c r="C3325" s="17" t="s">
        <v>12094</v>
      </c>
      <c r="D3325" s="22" t="s">
        <v>12095</v>
      </c>
      <c r="E3325" s="16" t="s">
        <v>11665</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45">
      <c r="A3326" s="15">
        <v>3111</v>
      </c>
      <c r="B3326" s="16" t="s">
        <v>5</v>
      </c>
      <c r="C3326" s="17" t="s">
        <v>12096</v>
      </c>
      <c r="D3326" s="22" t="s">
        <v>12097</v>
      </c>
      <c r="E3326" s="16" t="s">
        <v>11665</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45">
      <c r="A3327" s="15">
        <v>3128</v>
      </c>
      <c r="B3327" s="16" t="s">
        <v>5</v>
      </c>
      <c r="C3327" s="17" t="s">
        <v>12098</v>
      </c>
      <c r="D3327" s="22" t="s">
        <v>12099</v>
      </c>
      <c r="E3327" s="16" t="s">
        <v>11664</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45">
      <c r="A3328" s="15">
        <v>3194</v>
      </c>
      <c r="B3328" s="16" t="s">
        <v>5</v>
      </c>
      <c r="C3328" s="17" t="s">
        <v>12100</v>
      </c>
      <c r="D3328" s="22" t="s">
        <v>12101</v>
      </c>
      <c r="E3328" s="16" t="s">
        <v>11664</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45">
      <c r="A3329" s="15">
        <v>3202</v>
      </c>
      <c r="B3329" s="16" t="s">
        <v>5</v>
      </c>
      <c r="C3329" s="17" t="s">
        <v>12102</v>
      </c>
      <c r="D3329" s="22" t="s">
        <v>12103</v>
      </c>
      <c r="E3329" s="16" t="s">
        <v>11664</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45">
      <c r="A3330" s="15">
        <v>3234</v>
      </c>
      <c r="B3330" s="16" t="s">
        <v>5</v>
      </c>
      <c r="C3330" s="17" t="s">
        <v>12104</v>
      </c>
      <c r="D3330" s="22" t="s">
        <v>12105</v>
      </c>
      <c r="E3330" s="16" t="s">
        <v>11665</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45">
      <c r="A3331" s="15">
        <v>3252</v>
      </c>
      <c r="B3331" s="16" t="s">
        <v>5</v>
      </c>
      <c r="C3331" s="17" t="s">
        <v>12106</v>
      </c>
      <c r="D3331" s="22" t="s">
        <v>12107</v>
      </c>
      <c r="E3331" s="16" t="s">
        <v>11664</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45">
      <c r="A3332" s="15">
        <v>3269</v>
      </c>
      <c r="B3332" s="16" t="s">
        <v>5</v>
      </c>
      <c r="C3332" s="17" t="s">
        <v>12108</v>
      </c>
      <c r="D3332" s="22" t="s">
        <v>12109</v>
      </c>
      <c r="E3332" s="16" t="s">
        <v>11664</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45">
      <c r="A3333" s="15">
        <v>3297</v>
      </c>
      <c r="B3333" s="16" t="s">
        <v>5</v>
      </c>
      <c r="C3333" s="17" t="s">
        <v>12110</v>
      </c>
      <c r="D3333" s="22" t="s">
        <v>12111</v>
      </c>
      <c r="E3333" s="16" t="s">
        <v>11664</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45">
      <c r="A3334" s="15">
        <v>3306</v>
      </c>
      <c r="B3334" s="16" t="s">
        <v>5</v>
      </c>
      <c r="C3334" s="17" t="s">
        <v>12112</v>
      </c>
      <c r="D3334" s="22" t="s">
        <v>12113</v>
      </c>
      <c r="E3334" s="16" t="s">
        <v>11664</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45">
      <c r="A3335" s="15">
        <v>3418</v>
      </c>
      <c r="B3335" s="16" t="s">
        <v>5</v>
      </c>
      <c r="C3335" s="17" t="s">
        <v>12114</v>
      </c>
      <c r="D3335" s="22" t="s">
        <v>12115</v>
      </c>
      <c r="E3335" s="16" t="s">
        <v>11664</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45">
      <c r="A3336" s="15">
        <v>3458</v>
      </c>
      <c r="B3336" s="16" t="s">
        <v>5</v>
      </c>
      <c r="C3336" s="17" t="s">
        <v>12116</v>
      </c>
      <c r="D3336" s="22" t="s">
        <v>12117</v>
      </c>
      <c r="E3336" s="16" t="s">
        <v>11665</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45">
      <c r="A3337" s="15">
        <v>3459</v>
      </c>
      <c r="B3337" s="16" t="s">
        <v>5</v>
      </c>
      <c r="C3337" s="17" t="s">
        <v>12118</v>
      </c>
      <c r="D3337" s="22" t="s">
        <v>12119</v>
      </c>
      <c r="E3337" s="16" t="s">
        <v>11665</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45">
      <c r="A3338" s="15">
        <v>3481</v>
      </c>
      <c r="B3338" s="16" t="s">
        <v>5</v>
      </c>
      <c r="C3338" s="17" t="s">
        <v>12120</v>
      </c>
      <c r="D3338" s="22" t="s">
        <v>12121</v>
      </c>
      <c r="E3338" s="16" t="s">
        <v>11664</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45">
      <c r="A3339" s="15">
        <v>3510</v>
      </c>
      <c r="B3339" s="16" t="s">
        <v>5</v>
      </c>
      <c r="C3339" s="17" t="s">
        <v>12122</v>
      </c>
      <c r="D3339" s="22" t="s">
        <v>12123</v>
      </c>
      <c r="E3339" s="16" t="s">
        <v>11664</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45">
      <c r="A3340" s="15">
        <v>3514</v>
      </c>
      <c r="B3340" s="16" t="s">
        <v>5</v>
      </c>
      <c r="C3340" s="17" t="s">
        <v>12124</v>
      </c>
      <c r="D3340" s="22" t="s">
        <v>12125</v>
      </c>
      <c r="E3340" s="16" t="s">
        <v>11664</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45">
      <c r="A3341" s="15">
        <v>3561</v>
      </c>
      <c r="B3341" s="16" t="s">
        <v>5</v>
      </c>
      <c r="C3341" s="17" t="s">
        <v>12126</v>
      </c>
      <c r="D3341" s="22" t="s">
        <v>12127</v>
      </c>
      <c r="E3341" s="16" t="s">
        <v>11664</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45">
      <c r="A3342" s="15">
        <v>3577</v>
      </c>
      <c r="B3342" s="16" t="s">
        <v>5</v>
      </c>
      <c r="C3342" s="17" t="s">
        <v>12128</v>
      </c>
      <c r="D3342" s="22" t="s">
        <v>12129</v>
      </c>
      <c r="E3342" s="16" t="s">
        <v>11664</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45">
      <c r="A3343" s="15">
        <v>3581</v>
      </c>
      <c r="B3343" s="16" t="s">
        <v>5</v>
      </c>
      <c r="C3343" s="17" t="s">
        <v>12130</v>
      </c>
      <c r="D3343" s="22" t="s">
        <v>12131</v>
      </c>
      <c r="E3343" s="16" t="s">
        <v>11664</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45">
      <c r="A3344" s="15">
        <v>3610</v>
      </c>
      <c r="B3344" s="16" t="s">
        <v>5</v>
      </c>
      <c r="C3344" s="17" t="s">
        <v>12132</v>
      </c>
      <c r="D3344" s="22" t="s">
        <v>12133</v>
      </c>
      <c r="E3344" s="16" t="s">
        <v>11665</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45">
      <c r="A3345" s="15">
        <v>3665</v>
      </c>
      <c r="B3345" s="16" t="s">
        <v>5</v>
      </c>
      <c r="C3345" s="17" t="s">
        <v>12134</v>
      </c>
      <c r="D3345" s="22" t="s">
        <v>12135</v>
      </c>
      <c r="E3345" s="16" t="s">
        <v>11664</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45">
      <c r="A3346" s="15">
        <v>3672</v>
      </c>
      <c r="B3346" s="16" t="s">
        <v>5</v>
      </c>
      <c r="C3346" s="17" t="s">
        <v>12136</v>
      </c>
      <c r="D3346" s="22" t="s">
        <v>12137</v>
      </c>
      <c r="E3346" s="16" t="s">
        <v>11664</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45">
      <c r="A3347" s="15">
        <v>3674</v>
      </c>
      <c r="B3347" s="16" t="s">
        <v>5</v>
      </c>
      <c r="C3347" s="17" t="s">
        <v>12138</v>
      </c>
      <c r="D3347" s="22" t="s">
        <v>12139</v>
      </c>
      <c r="E3347" s="16" t="s">
        <v>11664</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45">
      <c r="A3348" s="15">
        <v>3704</v>
      </c>
      <c r="B3348" s="16" t="s">
        <v>5</v>
      </c>
      <c r="C3348" s="17" t="s">
        <v>12140</v>
      </c>
      <c r="D3348" s="22" t="s">
        <v>12141</v>
      </c>
      <c r="E3348" s="16" t="s">
        <v>11664</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45">
      <c r="A3349" s="15">
        <v>3733</v>
      </c>
      <c r="B3349" s="16" t="s">
        <v>5</v>
      </c>
      <c r="C3349" s="17" t="s">
        <v>12142</v>
      </c>
      <c r="D3349" s="22" t="s">
        <v>12143</v>
      </c>
      <c r="E3349" s="16" t="s">
        <v>11664</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45">
      <c r="A3350" s="15">
        <v>3737</v>
      </c>
      <c r="B3350" s="16" t="s">
        <v>5</v>
      </c>
      <c r="C3350" s="17" t="s">
        <v>12144</v>
      </c>
      <c r="D3350" s="22" t="s">
        <v>12145</v>
      </c>
      <c r="E3350" s="16" t="s">
        <v>11664</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45">
      <c r="A3351" s="15">
        <v>3739</v>
      </c>
      <c r="B3351" s="16" t="s">
        <v>5</v>
      </c>
      <c r="C3351" s="17" t="s">
        <v>12146</v>
      </c>
      <c r="D3351" s="22" t="s">
        <v>12147</v>
      </c>
      <c r="E3351" s="16" t="s">
        <v>11664</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45">
      <c r="A3352" s="15">
        <v>3744</v>
      </c>
      <c r="B3352" s="16" t="s">
        <v>5</v>
      </c>
      <c r="C3352" s="17" t="s">
        <v>12148</v>
      </c>
      <c r="D3352" s="22" t="s">
        <v>12149</v>
      </c>
      <c r="E3352" s="16" t="s">
        <v>11664</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45">
      <c r="A3353" s="15">
        <v>3746</v>
      </c>
      <c r="B3353" s="16" t="s">
        <v>5</v>
      </c>
      <c r="C3353" s="17" t="s">
        <v>12150</v>
      </c>
      <c r="D3353" s="22" t="s">
        <v>12151</v>
      </c>
      <c r="E3353" s="16" t="s">
        <v>11664</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45">
      <c r="A3354" s="15">
        <v>3748</v>
      </c>
      <c r="B3354" s="16" t="s">
        <v>5</v>
      </c>
      <c r="C3354" s="17" t="s">
        <v>12152</v>
      </c>
      <c r="D3354" s="22" t="s">
        <v>12153</v>
      </c>
      <c r="E3354" s="16" t="s">
        <v>11665</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45">
      <c r="A3355" s="15">
        <v>3756</v>
      </c>
      <c r="B3355" s="16" t="s">
        <v>5</v>
      </c>
      <c r="C3355" s="17" t="s">
        <v>12154</v>
      </c>
      <c r="D3355" s="22" t="s">
        <v>12155</v>
      </c>
      <c r="E3355" s="16" t="s">
        <v>11664</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45">
      <c r="A3356" s="15">
        <v>3773</v>
      </c>
      <c r="B3356" s="16" t="s">
        <v>5</v>
      </c>
      <c r="C3356" s="17" t="s">
        <v>12156</v>
      </c>
      <c r="D3356" s="22" t="s">
        <v>12157</v>
      </c>
      <c r="E3356" s="16" t="s">
        <v>11664</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45">
      <c r="A3357" s="15">
        <v>3782</v>
      </c>
      <c r="B3357" s="16" t="s">
        <v>5</v>
      </c>
      <c r="C3357" s="17" t="s">
        <v>12158</v>
      </c>
      <c r="D3357" s="22" t="s">
        <v>12159</v>
      </c>
      <c r="E3357" s="16" t="s">
        <v>11664</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45">
      <c r="A3358" s="15">
        <v>3784</v>
      </c>
      <c r="B3358" s="16" t="s">
        <v>5</v>
      </c>
      <c r="C3358" s="17" t="s">
        <v>12160</v>
      </c>
      <c r="D3358" s="22" t="s">
        <v>12161</v>
      </c>
      <c r="E3358" s="16" t="s">
        <v>11664</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45">
      <c r="A3359" s="15">
        <v>3789</v>
      </c>
      <c r="B3359" s="16" t="s">
        <v>5</v>
      </c>
      <c r="C3359" s="17" t="s">
        <v>12162</v>
      </c>
      <c r="D3359" s="22" t="s">
        <v>12163</v>
      </c>
      <c r="E3359" s="16" t="s">
        <v>11664</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45">
      <c r="A3360" s="15">
        <v>3792</v>
      </c>
      <c r="B3360" s="16" t="s">
        <v>5</v>
      </c>
      <c r="C3360" s="17" t="s">
        <v>12164</v>
      </c>
      <c r="D3360" s="22" t="s">
        <v>12165</v>
      </c>
      <c r="E3360" s="16" t="s">
        <v>11664</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45">
      <c r="A3361" s="15">
        <v>3794</v>
      </c>
      <c r="B3361" s="16" t="s">
        <v>5</v>
      </c>
      <c r="C3361" s="17" t="s">
        <v>12166</v>
      </c>
      <c r="D3361" s="22" t="s">
        <v>12167</v>
      </c>
      <c r="E3361" s="16" t="s">
        <v>11665</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45">
      <c r="A3362" s="15">
        <v>3797</v>
      </c>
      <c r="B3362" s="16" t="s">
        <v>5</v>
      </c>
      <c r="C3362" s="17" t="s">
        <v>12168</v>
      </c>
      <c r="D3362" s="22" t="s">
        <v>12169</v>
      </c>
      <c r="E3362" s="16" t="s">
        <v>11664</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45">
      <c r="A3363" s="15">
        <v>3801</v>
      </c>
      <c r="B3363" s="16" t="s">
        <v>5</v>
      </c>
      <c r="C3363" s="17" t="s">
        <v>12170</v>
      </c>
      <c r="D3363" s="22" t="s">
        <v>12171</v>
      </c>
      <c r="E3363" s="16" t="s">
        <v>11664</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45">
      <c r="A3364" s="15">
        <v>3819</v>
      </c>
      <c r="B3364" s="16" t="s">
        <v>5</v>
      </c>
      <c r="C3364" s="17" t="s">
        <v>12172</v>
      </c>
      <c r="D3364" s="22" t="s">
        <v>12173</v>
      </c>
      <c r="E3364" s="16" t="s">
        <v>11664</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45">
      <c r="A3365" s="15">
        <v>3835</v>
      </c>
      <c r="B3365" s="16" t="s">
        <v>5</v>
      </c>
      <c r="C3365" s="17" t="s">
        <v>12174</v>
      </c>
      <c r="D3365" s="22" t="s">
        <v>12175</v>
      </c>
      <c r="E3365" s="16" t="s">
        <v>11664</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45">
      <c r="A3366" s="15">
        <v>3854</v>
      </c>
      <c r="B3366" s="16" t="s">
        <v>5</v>
      </c>
      <c r="C3366" s="17" t="s">
        <v>12176</v>
      </c>
      <c r="D3366" s="22" t="s">
        <v>12177</v>
      </c>
      <c r="E3366" s="16" t="s">
        <v>11664</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45">
      <c r="A3367" s="15">
        <v>3874</v>
      </c>
      <c r="B3367" s="16" t="s">
        <v>5</v>
      </c>
      <c r="C3367" s="17" t="s">
        <v>12178</v>
      </c>
      <c r="D3367" s="22" t="s">
        <v>12179</v>
      </c>
      <c r="E3367" s="16" t="s">
        <v>11664</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45">
      <c r="A3368" s="15">
        <v>3885</v>
      </c>
      <c r="B3368" s="16" t="s">
        <v>5</v>
      </c>
      <c r="C3368" s="17" t="s">
        <v>12180</v>
      </c>
      <c r="D3368" s="22" t="s">
        <v>12181</v>
      </c>
      <c r="E3368" s="16" t="s">
        <v>11664</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45">
      <c r="A3369" s="15">
        <v>3915</v>
      </c>
      <c r="B3369" s="16" t="s">
        <v>5</v>
      </c>
      <c r="C3369" s="17" t="s">
        <v>12182</v>
      </c>
      <c r="D3369" s="22" t="s">
        <v>12183</v>
      </c>
      <c r="E3369" s="16" t="s">
        <v>11664</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45">
      <c r="A3370" s="15">
        <v>3930</v>
      </c>
      <c r="B3370" s="16" t="s">
        <v>5</v>
      </c>
      <c r="C3370" s="17" t="s">
        <v>12184</v>
      </c>
      <c r="D3370" s="22" t="s">
        <v>12185</v>
      </c>
      <c r="E3370" s="16" t="s">
        <v>11664</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45">
      <c r="A3371" s="15">
        <v>3935</v>
      </c>
      <c r="B3371" s="16" t="s">
        <v>5</v>
      </c>
      <c r="C3371" s="17" t="s">
        <v>12186</v>
      </c>
      <c r="D3371" s="22" t="s">
        <v>12187</v>
      </c>
      <c r="E3371" s="16" t="s">
        <v>11664</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45">
      <c r="A3372" s="15">
        <v>3937</v>
      </c>
      <c r="B3372" s="16" t="s">
        <v>5</v>
      </c>
      <c r="C3372" s="17" t="s">
        <v>12188</v>
      </c>
      <c r="D3372" s="22" t="s">
        <v>12189</v>
      </c>
      <c r="E3372" s="16" t="s">
        <v>11664</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45">
      <c r="A3373" s="15">
        <v>3956</v>
      </c>
      <c r="B3373" s="16" t="s">
        <v>5</v>
      </c>
      <c r="C3373" s="17" t="s">
        <v>12190</v>
      </c>
      <c r="D3373" s="22" t="s">
        <v>12191</v>
      </c>
      <c r="E3373" s="16" t="s">
        <v>11664</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45">
      <c r="A3374" s="15">
        <v>3985</v>
      </c>
      <c r="B3374" s="16" t="s">
        <v>5</v>
      </c>
      <c r="C3374" s="17" t="s">
        <v>12192</v>
      </c>
      <c r="D3374" s="22" t="s">
        <v>12193</v>
      </c>
      <c r="E3374" s="16" t="s">
        <v>11664</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45">
      <c r="A3375" s="15">
        <v>4034</v>
      </c>
      <c r="B3375" s="16" t="s">
        <v>5</v>
      </c>
      <c r="C3375" s="17" t="s">
        <v>12194</v>
      </c>
      <c r="D3375" s="22" t="s">
        <v>12195</v>
      </c>
      <c r="E3375" s="16" t="s">
        <v>11665</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45">
      <c r="A3376" s="15">
        <v>4062</v>
      </c>
      <c r="B3376" s="16" t="s">
        <v>5</v>
      </c>
      <c r="C3376" s="17" t="s">
        <v>12196</v>
      </c>
      <c r="D3376" s="22" t="s">
        <v>12197</v>
      </c>
      <c r="E3376" s="16" t="s">
        <v>11664</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45">
      <c r="A3377" s="15">
        <v>4063</v>
      </c>
      <c r="B3377" s="16" t="s">
        <v>5</v>
      </c>
      <c r="C3377" s="17" t="s">
        <v>12198</v>
      </c>
      <c r="D3377" s="22" t="s">
        <v>12199</v>
      </c>
      <c r="E3377" s="16" t="s">
        <v>11664</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45">
      <c r="A3378" s="15">
        <v>4071</v>
      </c>
      <c r="B3378" s="16" t="s">
        <v>5</v>
      </c>
      <c r="C3378" s="17" t="s">
        <v>12200</v>
      </c>
      <c r="D3378" s="22" t="s">
        <v>12201</v>
      </c>
      <c r="E3378" s="16" t="s">
        <v>11664</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45">
      <c r="A3379" s="15">
        <v>4075</v>
      </c>
      <c r="B3379" s="16" t="s">
        <v>5</v>
      </c>
      <c r="C3379" s="17" t="s">
        <v>12202</v>
      </c>
      <c r="D3379" s="22" t="s">
        <v>12203</v>
      </c>
      <c r="E3379" s="16" t="s">
        <v>11665</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45">
      <c r="A3380" s="15">
        <v>4083</v>
      </c>
      <c r="B3380" s="16" t="s">
        <v>5</v>
      </c>
      <c r="C3380" s="17" t="s">
        <v>12204</v>
      </c>
      <c r="D3380" s="22" t="s">
        <v>12205</v>
      </c>
      <c r="E3380" s="16" t="s">
        <v>11664</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45">
      <c r="A3381" s="15">
        <v>4157</v>
      </c>
      <c r="B3381" s="16" t="s">
        <v>5</v>
      </c>
      <c r="C3381" s="17" t="s">
        <v>12206</v>
      </c>
      <c r="D3381" s="22" t="s">
        <v>12207</v>
      </c>
      <c r="E3381" s="16" t="s">
        <v>11664</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45">
      <c r="A3382" s="15">
        <v>4164</v>
      </c>
      <c r="B3382" s="16" t="s">
        <v>5</v>
      </c>
      <c r="C3382" s="17" t="s">
        <v>12208</v>
      </c>
      <c r="D3382" s="22" t="s">
        <v>12209</v>
      </c>
      <c r="E3382" s="16" t="s">
        <v>11664</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45">
      <c r="A3383" s="15">
        <v>4254</v>
      </c>
      <c r="B3383" s="16" t="s">
        <v>5</v>
      </c>
      <c r="C3383" s="17" t="s">
        <v>12210</v>
      </c>
      <c r="D3383" s="22" t="s">
        <v>12211</v>
      </c>
      <c r="E3383" s="16" t="s">
        <v>11664</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45">
      <c r="A3384" s="15">
        <v>4279</v>
      </c>
      <c r="B3384" s="16" t="s">
        <v>5</v>
      </c>
      <c r="C3384" s="17" t="s">
        <v>12212</v>
      </c>
      <c r="D3384" s="22" t="s">
        <v>12213</v>
      </c>
      <c r="E3384" s="16" t="s">
        <v>11664</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45">
      <c r="A3385" s="15">
        <v>4315</v>
      </c>
      <c r="B3385" s="16" t="s">
        <v>5</v>
      </c>
      <c r="C3385" s="17" t="s">
        <v>12214</v>
      </c>
      <c r="D3385" s="22" t="s">
        <v>12215</v>
      </c>
      <c r="E3385" s="16" t="s">
        <v>11664</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45">
      <c r="A3386" s="15">
        <v>4316</v>
      </c>
      <c r="B3386" s="16" t="s">
        <v>5</v>
      </c>
      <c r="C3386" s="17" t="s">
        <v>12216</v>
      </c>
      <c r="D3386" s="22" t="s">
        <v>12217</v>
      </c>
      <c r="E3386" s="16" t="s">
        <v>11664</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45">
      <c r="A3387" s="15">
        <v>4346</v>
      </c>
      <c r="B3387" s="16" t="s">
        <v>5</v>
      </c>
      <c r="C3387" s="17" t="s">
        <v>12218</v>
      </c>
      <c r="D3387" s="22" t="s">
        <v>12219</v>
      </c>
      <c r="E3387" s="16" t="s">
        <v>11665</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45">
      <c r="A3388" s="15">
        <v>4359</v>
      </c>
      <c r="B3388" s="16" t="s">
        <v>5</v>
      </c>
      <c r="C3388" s="17" t="s">
        <v>12220</v>
      </c>
      <c r="D3388" s="22" t="s">
        <v>12221</v>
      </c>
      <c r="E3388" s="16" t="s">
        <v>11664</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45">
      <c r="A3389" s="15">
        <v>4413</v>
      </c>
      <c r="B3389" s="16" t="s">
        <v>5</v>
      </c>
      <c r="C3389" s="17" t="s">
        <v>12222</v>
      </c>
      <c r="D3389" s="22" t="s">
        <v>12223</v>
      </c>
      <c r="E3389" s="16" t="s">
        <v>11664</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45">
      <c r="A3390" s="15">
        <v>4422</v>
      </c>
      <c r="B3390" s="16" t="s">
        <v>5</v>
      </c>
      <c r="C3390" s="17" t="s">
        <v>12224</v>
      </c>
      <c r="D3390" s="22" t="s">
        <v>12225</v>
      </c>
      <c r="E3390" s="16" t="s">
        <v>11664</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45">
      <c r="A3391" s="15">
        <v>4434</v>
      </c>
      <c r="B3391" s="16" t="s">
        <v>5</v>
      </c>
      <c r="C3391" s="17" t="s">
        <v>12226</v>
      </c>
      <c r="D3391" s="22" t="s">
        <v>12227</v>
      </c>
      <c r="E3391" s="16" t="s">
        <v>11664</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45">
      <c r="A3392" s="15">
        <v>4439</v>
      </c>
      <c r="B3392" s="16" t="s">
        <v>5</v>
      </c>
      <c r="C3392" s="17" t="s">
        <v>12228</v>
      </c>
      <c r="D3392" s="22" t="s">
        <v>12229</v>
      </c>
      <c r="E3392" s="16" t="s">
        <v>11664</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45">
      <c r="A3393" s="15">
        <v>4474</v>
      </c>
      <c r="B3393" s="16" t="s">
        <v>5</v>
      </c>
      <c r="C3393" s="17" t="s">
        <v>12230</v>
      </c>
      <c r="D3393" s="22" t="s">
        <v>12231</v>
      </c>
      <c r="E3393" s="16" t="s">
        <v>11664</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45">
      <c r="A3394" s="15">
        <v>4475</v>
      </c>
      <c r="B3394" s="16" t="s">
        <v>5</v>
      </c>
      <c r="C3394" s="17" t="s">
        <v>12232</v>
      </c>
      <c r="D3394" s="22" t="s">
        <v>12233</v>
      </c>
      <c r="E3394" s="16" t="s">
        <v>11664</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45">
      <c r="A3395" s="15">
        <v>4476</v>
      </c>
      <c r="B3395" s="16" t="s">
        <v>5</v>
      </c>
      <c r="C3395" s="17" t="s">
        <v>12234</v>
      </c>
      <c r="D3395" s="22" t="s">
        <v>12235</v>
      </c>
      <c r="E3395" s="16" t="s">
        <v>11664</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45">
      <c r="A3396" s="15">
        <v>4489</v>
      </c>
      <c r="B3396" s="16" t="s">
        <v>5</v>
      </c>
      <c r="C3396" s="17" t="s">
        <v>12236</v>
      </c>
      <c r="D3396" s="22" t="s">
        <v>12237</v>
      </c>
      <c r="E3396" s="16" t="s">
        <v>11664</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45">
      <c r="A3397" s="15">
        <v>4495</v>
      </c>
      <c r="B3397" s="16" t="s">
        <v>5</v>
      </c>
      <c r="C3397" s="17" t="s">
        <v>12238</v>
      </c>
      <c r="D3397" s="22" t="s">
        <v>12239</v>
      </c>
      <c r="E3397" s="16" t="s">
        <v>11664</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45">
      <c r="A3398" s="15">
        <v>4496</v>
      </c>
      <c r="B3398" s="16" t="s">
        <v>5</v>
      </c>
      <c r="C3398" s="17" t="s">
        <v>12240</v>
      </c>
      <c r="D3398" s="22" t="s">
        <v>12241</v>
      </c>
      <c r="E3398" s="16" t="s">
        <v>11664</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45">
      <c r="A3399" s="15">
        <v>4527</v>
      </c>
      <c r="B3399" s="16" t="s">
        <v>5</v>
      </c>
      <c r="C3399" s="17" t="s">
        <v>12242</v>
      </c>
      <c r="D3399" s="22" t="s">
        <v>12243</v>
      </c>
      <c r="E3399" s="16" t="s">
        <v>11664</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45">
      <c r="A3400" s="15">
        <v>4528</v>
      </c>
      <c r="B3400" s="16" t="s">
        <v>5</v>
      </c>
      <c r="C3400" s="17" t="s">
        <v>12244</v>
      </c>
      <c r="D3400" s="22" t="s">
        <v>12245</v>
      </c>
      <c r="E3400" s="16" t="s">
        <v>11664</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45">
      <c r="A3401" s="15">
        <v>4529</v>
      </c>
      <c r="B3401" s="16" t="s">
        <v>5</v>
      </c>
      <c r="C3401" s="17" t="s">
        <v>12246</v>
      </c>
      <c r="D3401" s="22" t="s">
        <v>12247</v>
      </c>
      <c r="E3401" s="16" t="s">
        <v>11664</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45">
      <c r="A3402" s="15">
        <v>4544</v>
      </c>
      <c r="B3402" s="16" t="s">
        <v>5</v>
      </c>
      <c r="C3402" s="17" t="s">
        <v>12248</v>
      </c>
      <c r="D3402" s="22" t="s">
        <v>12249</v>
      </c>
      <c r="E3402" s="16" t="s">
        <v>11664</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45">
      <c r="A3403" s="15">
        <v>4545</v>
      </c>
      <c r="B3403" s="16" t="s">
        <v>5</v>
      </c>
      <c r="C3403" s="17" t="s">
        <v>12250</v>
      </c>
      <c r="D3403" s="22" t="s">
        <v>12251</v>
      </c>
      <c r="E3403" s="16" t="s">
        <v>11664</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45">
      <c r="A3404" s="15">
        <v>4559</v>
      </c>
      <c r="B3404" s="16" t="s">
        <v>5</v>
      </c>
      <c r="C3404" s="17" t="s">
        <v>12252</v>
      </c>
      <c r="D3404" s="22" t="s">
        <v>12253</v>
      </c>
      <c r="E3404" s="16" t="s">
        <v>11664</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45">
      <c r="A3405" s="15">
        <v>4624</v>
      </c>
      <c r="B3405" s="16" t="s">
        <v>5</v>
      </c>
      <c r="C3405" s="17" t="s">
        <v>12254</v>
      </c>
      <c r="D3405" s="22" t="s">
        <v>12255</v>
      </c>
      <c r="E3405" s="16" t="s">
        <v>11667</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45">
      <c r="A3406" s="15">
        <v>4629</v>
      </c>
      <c r="B3406" s="16" t="s">
        <v>5</v>
      </c>
      <c r="C3406" s="17" t="s">
        <v>12256</v>
      </c>
      <c r="D3406" s="22" t="s">
        <v>12257</v>
      </c>
      <c r="E3406" s="16" t="s">
        <v>11667</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45">
      <c r="A3407" s="15">
        <v>4648</v>
      </c>
      <c r="B3407" s="16" t="s">
        <v>5</v>
      </c>
      <c r="C3407" s="17" t="s">
        <v>12258</v>
      </c>
      <c r="D3407" s="22" t="s">
        <v>12259</v>
      </c>
      <c r="E3407" s="16" t="s">
        <v>11664</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45">
      <c r="A3408" s="15">
        <v>4689</v>
      </c>
      <c r="B3408" s="16" t="s">
        <v>5</v>
      </c>
      <c r="C3408" s="17" t="s">
        <v>12260</v>
      </c>
      <c r="D3408" s="22" t="s">
        <v>12261</v>
      </c>
      <c r="E3408" s="16" t="s">
        <v>11667</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45">
      <c r="A3409" s="15">
        <v>4700</v>
      </c>
      <c r="B3409" s="16" t="s">
        <v>5</v>
      </c>
      <c r="C3409" s="17" t="s">
        <v>12262</v>
      </c>
      <c r="D3409" s="22" t="s">
        <v>12263</v>
      </c>
      <c r="E3409" s="16" t="s">
        <v>11665</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45">
      <c r="A3410" s="15">
        <v>4717</v>
      </c>
      <c r="B3410" s="16" t="s">
        <v>5</v>
      </c>
      <c r="C3410" s="17" t="s">
        <v>12264</v>
      </c>
      <c r="D3410" s="22" t="s">
        <v>12265</v>
      </c>
      <c r="E3410" s="16" t="s">
        <v>11672</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45">
      <c r="A3411" s="15">
        <v>4718</v>
      </c>
      <c r="B3411" s="16" t="s">
        <v>5</v>
      </c>
      <c r="C3411" s="17" t="s">
        <v>12266</v>
      </c>
      <c r="D3411" s="22" t="s">
        <v>12267</v>
      </c>
      <c r="E3411" s="16" t="s">
        <v>11664</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45">
      <c r="A3412" s="15">
        <v>4727</v>
      </c>
      <c r="B3412" s="16" t="s">
        <v>5</v>
      </c>
      <c r="C3412" s="17" t="s">
        <v>12268</v>
      </c>
      <c r="D3412" s="22" t="s">
        <v>12269</v>
      </c>
      <c r="E3412" s="16" t="s">
        <v>11672</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45">
      <c r="A3413" s="15">
        <v>4732</v>
      </c>
      <c r="B3413" s="16" t="s">
        <v>5</v>
      </c>
      <c r="C3413" s="17" t="s">
        <v>12270</v>
      </c>
      <c r="D3413" s="22" t="s">
        <v>12271</v>
      </c>
      <c r="E3413" s="16" t="s">
        <v>11672</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45">
      <c r="A3414" s="15">
        <v>4743</v>
      </c>
      <c r="B3414" s="16" t="s">
        <v>5</v>
      </c>
      <c r="C3414" s="17" t="s">
        <v>12272</v>
      </c>
      <c r="D3414" s="22" t="s">
        <v>12273</v>
      </c>
      <c r="E3414" s="16" t="s">
        <v>11672</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45">
      <c r="A3415" s="15">
        <v>4752</v>
      </c>
      <c r="B3415" s="16" t="s">
        <v>5</v>
      </c>
      <c r="C3415" s="17" t="s">
        <v>12274</v>
      </c>
      <c r="D3415" s="22" t="s">
        <v>12275</v>
      </c>
      <c r="E3415" s="16" t="s">
        <v>11672</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45">
      <c r="A3416" s="15">
        <v>4755</v>
      </c>
      <c r="B3416" s="16" t="s">
        <v>5</v>
      </c>
      <c r="C3416" s="17" t="s">
        <v>12276</v>
      </c>
      <c r="D3416" s="22" t="s">
        <v>12277</v>
      </c>
      <c r="E3416" s="16" t="s">
        <v>11664</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45">
      <c r="A3417" s="15">
        <v>4773</v>
      </c>
      <c r="B3417" s="16" t="s">
        <v>5</v>
      </c>
      <c r="C3417" s="17" t="s">
        <v>12278</v>
      </c>
      <c r="D3417" s="22" t="s">
        <v>12279</v>
      </c>
      <c r="E3417" s="16" t="s">
        <v>11672</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45">
      <c r="A3418" s="15">
        <v>4806</v>
      </c>
      <c r="B3418" s="16" t="s">
        <v>5</v>
      </c>
      <c r="C3418" s="17" t="s">
        <v>12280</v>
      </c>
      <c r="D3418" s="22" t="s">
        <v>12281</v>
      </c>
      <c r="E3418" s="16" t="s">
        <v>11664</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45">
      <c r="A3419" s="15">
        <v>4807</v>
      </c>
      <c r="B3419" s="16" t="s">
        <v>5</v>
      </c>
      <c r="C3419" s="17" t="s">
        <v>12282</v>
      </c>
      <c r="D3419" s="22" t="s">
        <v>12283</v>
      </c>
      <c r="E3419" s="16" t="s">
        <v>11664</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45">
      <c r="A3420" s="15">
        <v>4836</v>
      </c>
      <c r="B3420" s="16" t="s">
        <v>5</v>
      </c>
      <c r="C3420" s="17" t="s">
        <v>12284</v>
      </c>
      <c r="D3420" s="22" t="s">
        <v>12285</v>
      </c>
      <c r="E3420" s="16" t="s">
        <v>11664</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45">
      <c r="A3421" s="15">
        <v>4838</v>
      </c>
      <c r="B3421" s="16" t="s">
        <v>5</v>
      </c>
      <c r="C3421" s="17" t="s">
        <v>12286</v>
      </c>
      <c r="D3421" s="22" t="s">
        <v>12287</v>
      </c>
      <c r="E3421" s="16" t="s">
        <v>11664</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45">
      <c r="A3422" s="15">
        <v>4845</v>
      </c>
      <c r="B3422" s="16" t="s">
        <v>5</v>
      </c>
      <c r="C3422" s="17" t="s">
        <v>12288</v>
      </c>
      <c r="D3422" s="22" t="s">
        <v>12289</v>
      </c>
      <c r="E3422" s="16" t="s">
        <v>11667</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45">
      <c r="A3423" s="15">
        <v>4859</v>
      </c>
      <c r="B3423" s="16" t="s">
        <v>5</v>
      </c>
      <c r="C3423" s="17" t="s">
        <v>12290</v>
      </c>
      <c r="D3423" s="22" t="s">
        <v>12291</v>
      </c>
      <c r="E3423" s="16" t="s">
        <v>11664</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45">
      <c r="A3424" s="15">
        <v>4879</v>
      </c>
      <c r="B3424" s="16" t="s">
        <v>5</v>
      </c>
      <c r="C3424" s="17" t="s">
        <v>12292</v>
      </c>
      <c r="D3424" s="22" t="s">
        <v>12293</v>
      </c>
      <c r="E3424" s="16" t="s">
        <v>11667</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45">
      <c r="A3425" s="15">
        <v>4899</v>
      </c>
      <c r="B3425" s="16" t="s">
        <v>5</v>
      </c>
      <c r="C3425" s="17" t="s">
        <v>12294</v>
      </c>
      <c r="D3425" s="22" t="s">
        <v>12295</v>
      </c>
      <c r="E3425" s="16" t="s">
        <v>11668</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45">
      <c r="A3426" s="15">
        <v>4900</v>
      </c>
      <c r="B3426" s="16" t="s">
        <v>5</v>
      </c>
      <c r="C3426" s="17" t="s">
        <v>12296</v>
      </c>
      <c r="D3426" s="22" t="s">
        <v>12297</v>
      </c>
      <c r="E3426" s="16" t="s">
        <v>11668</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45">
      <c r="A3427" s="15">
        <v>4907</v>
      </c>
      <c r="B3427" s="16" t="s">
        <v>5</v>
      </c>
      <c r="C3427" s="17" t="s">
        <v>12298</v>
      </c>
      <c r="D3427" s="22" t="s">
        <v>12299</v>
      </c>
      <c r="E3427" s="16" t="s">
        <v>11668</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45">
      <c r="A3428" s="15">
        <v>4909</v>
      </c>
      <c r="B3428" s="16" t="s">
        <v>5</v>
      </c>
      <c r="C3428" s="17" t="s">
        <v>12300</v>
      </c>
      <c r="D3428" s="22" t="s">
        <v>12301</v>
      </c>
      <c r="E3428" s="16" t="s">
        <v>11668</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45">
      <c r="A3429" s="15">
        <v>4910</v>
      </c>
      <c r="B3429" s="16" t="s">
        <v>5</v>
      </c>
      <c r="C3429" s="17" t="s">
        <v>12302</v>
      </c>
      <c r="D3429" s="22" t="s">
        <v>12303</v>
      </c>
      <c r="E3429" s="16" t="s">
        <v>11668</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45">
      <c r="A3430" s="15">
        <v>4947</v>
      </c>
      <c r="B3430" s="16" t="s">
        <v>5</v>
      </c>
      <c r="C3430" s="17" t="s">
        <v>12304</v>
      </c>
      <c r="D3430" s="22" t="s">
        <v>12305</v>
      </c>
      <c r="E3430" s="16" t="s">
        <v>11668</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45">
      <c r="A3431" s="15">
        <v>4949</v>
      </c>
      <c r="B3431" s="16" t="s">
        <v>5</v>
      </c>
      <c r="C3431" s="17" t="s">
        <v>12306</v>
      </c>
      <c r="D3431" s="22" t="s">
        <v>12307</v>
      </c>
      <c r="E3431" s="16" t="s">
        <v>11664</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45">
      <c r="A3432" s="15">
        <v>4980</v>
      </c>
      <c r="B3432" s="16" t="s">
        <v>5</v>
      </c>
      <c r="C3432" s="17" t="s">
        <v>12308</v>
      </c>
      <c r="D3432" s="22" t="s">
        <v>12309</v>
      </c>
      <c r="E3432" s="16" t="s">
        <v>11669</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45">
      <c r="A3433" s="15">
        <v>4981</v>
      </c>
      <c r="B3433" s="16" t="s">
        <v>5</v>
      </c>
      <c r="C3433" s="17" t="s">
        <v>12310</v>
      </c>
      <c r="D3433" s="22" t="s">
        <v>12311</v>
      </c>
      <c r="E3433" s="16" t="s">
        <v>11669</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45">
      <c r="A3434" s="15">
        <v>5011</v>
      </c>
      <c r="B3434" s="16" t="s">
        <v>5</v>
      </c>
      <c r="C3434" s="17" t="s">
        <v>12312</v>
      </c>
      <c r="D3434" s="22" t="s">
        <v>12313</v>
      </c>
      <c r="E3434" s="16" t="s">
        <v>11664</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45">
      <c r="A3435" s="15">
        <v>5012</v>
      </c>
      <c r="B3435" s="16" t="s">
        <v>5</v>
      </c>
      <c r="C3435" s="17" t="s">
        <v>12314</v>
      </c>
      <c r="D3435" s="22" t="s">
        <v>12315</v>
      </c>
      <c r="E3435" s="16" t="s">
        <v>11664</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45">
      <c r="A3436" s="15">
        <v>5033</v>
      </c>
      <c r="B3436" s="16" t="s">
        <v>5</v>
      </c>
      <c r="C3436" s="17" t="s">
        <v>12316</v>
      </c>
      <c r="D3436" s="22" t="s">
        <v>12317</v>
      </c>
      <c r="E3436" s="16" t="s">
        <v>11669</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45">
      <c r="A3437" s="15">
        <v>5034</v>
      </c>
      <c r="B3437" s="16" t="s">
        <v>5</v>
      </c>
      <c r="C3437" s="17" t="s">
        <v>12318</v>
      </c>
      <c r="D3437" s="22" t="s">
        <v>12319</v>
      </c>
      <c r="E3437" s="16" t="s">
        <v>11669</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45">
      <c r="A3438" s="15">
        <v>5035</v>
      </c>
      <c r="B3438" s="16" t="s">
        <v>5</v>
      </c>
      <c r="C3438" s="17" t="s">
        <v>12320</v>
      </c>
      <c r="D3438" s="22" t="s">
        <v>12321</v>
      </c>
      <c r="E3438" s="16" t="s">
        <v>11669</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45">
      <c r="A3439" s="15">
        <v>5137</v>
      </c>
      <c r="B3439" s="16" t="s">
        <v>5</v>
      </c>
      <c r="C3439" s="17" t="s">
        <v>12322</v>
      </c>
      <c r="D3439" s="22" t="s">
        <v>12323</v>
      </c>
      <c r="E3439" s="16" t="s">
        <v>11664</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45">
      <c r="A3440" s="15">
        <v>5152</v>
      </c>
      <c r="B3440" s="16" t="s">
        <v>5</v>
      </c>
      <c r="C3440" s="17" t="s">
        <v>12324</v>
      </c>
      <c r="D3440" s="22" t="s">
        <v>12325</v>
      </c>
      <c r="E3440" s="16" t="s">
        <v>11667</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45">
      <c r="A3441" s="15">
        <v>5169</v>
      </c>
      <c r="B3441" s="16" t="s">
        <v>5</v>
      </c>
      <c r="C3441" s="17" t="s">
        <v>12326</v>
      </c>
      <c r="D3441" s="22" t="s">
        <v>12327</v>
      </c>
      <c r="E3441" s="16" t="s">
        <v>11664</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45">
      <c r="A3442" s="15">
        <v>5170</v>
      </c>
      <c r="B3442" s="16" t="s">
        <v>5</v>
      </c>
      <c r="C3442" s="17" t="s">
        <v>12328</v>
      </c>
      <c r="D3442" s="22" t="s">
        <v>12329</v>
      </c>
      <c r="E3442" s="16" t="s">
        <v>11664</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45">
      <c r="A3443" s="15">
        <v>5179</v>
      </c>
      <c r="B3443" s="16" t="s">
        <v>5</v>
      </c>
      <c r="C3443" s="17" t="s">
        <v>12330</v>
      </c>
      <c r="D3443" s="22" t="s">
        <v>12331</v>
      </c>
      <c r="E3443" s="16" t="s">
        <v>11667</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45">
      <c r="A3444" s="15">
        <v>5181</v>
      </c>
      <c r="B3444" s="16" t="s">
        <v>5</v>
      </c>
      <c r="C3444" s="17" t="s">
        <v>12332</v>
      </c>
      <c r="D3444" s="22" t="s">
        <v>12333</v>
      </c>
      <c r="E3444" s="16" t="s">
        <v>11664</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45">
      <c r="A3445" s="15">
        <v>5215</v>
      </c>
      <c r="B3445" s="16" t="s">
        <v>5</v>
      </c>
      <c r="C3445" s="17" t="s">
        <v>12334</v>
      </c>
      <c r="D3445" s="22" t="s">
        <v>12335</v>
      </c>
      <c r="E3445" s="16" t="s">
        <v>11667</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45">
      <c r="A3446" s="15">
        <v>5216</v>
      </c>
      <c r="B3446" s="16" t="s">
        <v>5</v>
      </c>
      <c r="C3446" s="17" t="s">
        <v>12336</v>
      </c>
      <c r="D3446" s="22" t="s">
        <v>12337</v>
      </c>
      <c r="E3446" s="16" t="s">
        <v>11667</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45">
      <c r="A3447" s="15">
        <v>5217</v>
      </c>
      <c r="B3447" s="16" t="s">
        <v>5</v>
      </c>
      <c r="C3447" s="17" t="s">
        <v>12338</v>
      </c>
      <c r="D3447" s="22" t="s">
        <v>12339</v>
      </c>
      <c r="E3447" s="16" t="s">
        <v>11667</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45">
      <c r="A3448" s="15">
        <v>5220</v>
      </c>
      <c r="B3448" s="16" t="s">
        <v>5</v>
      </c>
      <c r="C3448" s="17" t="s">
        <v>12340</v>
      </c>
      <c r="D3448" s="22" t="s">
        <v>12341</v>
      </c>
      <c r="E3448" s="16" t="s">
        <v>11667</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45">
      <c r="A3449" s="15">
        <v>5235</v>
      </c>
      <c r="B3449" s="16" t="s">
        <v>5</v>
      </c>
      <c r="C3449" s="17" t="s">
        <v>12342</v>
      </c>
      <c r="D3449" s="22" t="s">
        <v>12343</v>
      </c>
      <c r="E3449" s="16" t="s">
        <v>11664</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45">
      <c r="A3450" s="15">
        <v>5236</v>
      </c>
      <c r="B3450" s="16" t="s">
        <v>5</v>
      </c>
      <c r="C3450" s="17" t="s">
        <v>12344</v>
      </c>
      <c r="D3450" s="22" t="s">
        <v>12345</v>
      </c>
      <c r="E3450" s="16" t="s">
        <v>11664</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45">
      <c r="A3451" s="15">
        <v>5254</v>
      </c>
      <c r="B3451" s="16" t="s">
        <v>5</v>
      </c>
      <c r="C3451" s="17" t="s">
        <v>12346</v>
      </c>
      <c r="D3451" s="22" t="s">
        <v>12347</v>
      </c>
      <c r="E3451" s="16" t="s">
        <v>11664</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45">
      <c r="A3452" s="15">
        <v>5258</v>
      </c>
      <c r="B3452" s="16" t="s">
        <v>5</v>
      </c>
      <c r="C3452" s="17" t="s">
        <v>12348</v>
      </c>
      <c r="D3452" s="22" t="s">
        <v>12349</v>
      </c>
      <c r="E3452" s="16" t="s">
        <v>11669</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45">
      <c r="A3453" s="15">
        <v>5260</v>
      </c>
      <c r="B3453" s="16" t="s">
        <v>5</v>
      </c>
      <c r="C3453" s="17" t="s">
        <v>12350</v>
      </c>
      <c r="D3453" s="22" t="s">
        <v>12351</v>
      </c>
      <c r="E3453" s="16" t="s">
        <v>11669</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45">
      <c r="A3454" s="15">
        <v>5261</v>
      </c>
      <c r="B3454" s="16" t="s">
        <v>5</v>
      </c>
      <c r="C3454" s="17" t="s">
        <v>12352</v>
      </c>
      <c r="D3454" s="22" t="s">
        <v>12353</v>
      </c>
      <c r="E3454" s="16" t="s">
        <v>11664</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45">
      <c r="A3455" s="15">
        <v>5279</v>
      </c>
      <c r="B3455" s="16" t="s">
        <v>5</v>
      </c>
      <c r="C3455" s="17" t="s">
        <v>12354</v>
      </c>
      <c r="D3455" s="22" t="s">
        <v>12355</v>
      </c>
      <c r="E3455" s="16" t="s">
        <v>11672</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45">
      <c r="A3456" s="15">
        <v>5331</v>
      </c>
      <c r="B3456" s="16" t="s">
        <v>5</v>
      </c>
      <c r="C3456" s="17" t="s">
        <v>12356</v>
      </c>
      <c r="D3456" s="22" t="s">
        <v>12357</v>
      </c>
      <c r="E3456" s="16" t="s">
        <v>11664</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45">
      <c r="A3457" s="15">
        <v>5398</v>
      </c>
      <c r="B3457" s="16" t="s">
        <v>5</v>
      </c>
      <c r="C3457" s="17" t="s">
        <v>12358</v>
      </c>
      <c r="D3457" s="22" t="s">
        <v>12359</v>
      </c>
      <c r="E3457" s="16" t="s">
        <v>11667</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45">
      <c r="A3458" s="15">
        <v>5412</v>
      </c>
      <c r="B3458" s="16" t="s">
        <v>5</v>
      </c>
      <c r="C3458" s="17" t="s">
        <v>12360</v>
      </c>
      <c r="D3458" s="22" t="s">
        <v>12361</v>
      </c>
      <c r="E3458" s="16" t="s">
        <v>11664</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45">
      <c r="A3459" s="15">
        <v>5421</v>
      </c>
      <c r="B3459" s="16" t="s">
        <v>5</v>
      </c>
      <c r="C3459" s="17" t="s">
        <v>12362</v>
      </c>
      <c r="D3459" s="22" t="s">
        <v>12363</v>
      </c>
      <c r="E3459" s="16" t="s">
        <v>11664</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45">
      <c r="A3460" s="15">
        <v>5424</v>
      </c>
      <c r="B3460" s="16" t="s">
        <v>5</v>
      </c>
      <c r="C3460" s="17" t="s">
        <v>12364</v>
      </c>
      <c r="D3460" s="22" t="s">
        <v>12365</v>
      </c>
      <c r="E3460" s="16" t="s">
        <v>11672</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45">
      <c r="A3461" s="15">
        <v>5458</v>
      </c>
      <c r="B3461" s="16" t="s">
        <v>5</v>
      </c>
      <c r="C3461" s="17" t="s">
        <v>12366</v>
      </c>
      <c r="D3461" s="22" t="s">
        <v>12367</v>
      </c>
      <c r="E3461" s="16" t="s">
        <v>11664</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45">
      <c r="A3462" s="15">
        <v>5527</v>
      </c>
      <c r="B3462" s="16" t="s">
        <v>5</v>
      </c>
      <c r="C3462" s="17" t="s">
        <v>12368</v>
      </c>
      <c r="D3462" s="22" t="s">
        <v>12369</v>
      </c>
      <c r="E3462" s="16" t="s">
        <v>11667</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45">
      <c r="A3463" s="15">
        <v>5627</v>
      </c>
      <c r="B3463" s="16" t="s">
        <v>5</v>
      </c>
      <c r="C3463" s="17" t="s">
        <v>12370</v>
      </c>
      <c r="D3463" s="22" t="s">
        <v>12371</v>
      </c>
      <c r="E3463" s="16" t="s">
        <v>11664</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45">
      <c r="A3464" s="15">
        <v>5639</v>
      </c>
      <c r="B3464" s="16" t="s">
        <v>5</v>
      </c>
      <c r="C3464" s="17" t="s">
        <v>12372</v>
      </c>
      <c r="D3464" s="22" t="s">
        <v>12373</v>
      </c>
      <c r="E3464" s="16" t="s">
        <v>11664</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45">
      <c r="A3465" s="15">
        <v>5641</v>
      </c>
      <c r="B3465" s="16" t="s">
        <v>5</v>
      </c>
      <c r="C3465" s="17" t="s">
        <v>12374</v>
      </c>
      <c r="D3465" s="22" t="s">
        <v>12375</v>
      </c>
      <c r="E3465" s="16" t="s">
        <v>11664</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45">
      <c r="A3466" s="15">
        <v>5645</v>
      </c>
      <c r="B3466" s="16" t="s">
        <v>5</v>
      </c>
      <c r="C3466" s="17" t="s">
        <v>12376</v>
      </c>
      <c r="D3466" s="22" t="s">
        <v>12377</v>
      </c>
      <c r="E3466" s="16" t="s">
        <v>11664</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45">
      <c r="A3467" s="15">
        <v>5649</v>
      </c>
      <c r="B3467" s="16" t="s">
        <v>5</v>
      </c>
      <c r="C3467" s="17" t="s">
        <v>12378</v>
      </c>
      <c r="D3467" s="22" t="s">
        <v>12379</v>
      </c>
      <c r="E3467" s="16" t="s">
        <v>11664</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45">
      <c r="A3468" s="15">
        <v>5769</v>
      </c>
      <c r="B3468" s="16" t="s">
        <v>5</v>
      </c>
      <c r="C3468" s="17" t="s">
        <v>12380</v>
      </c>
      <c r="D3468" s="22" t="s">
        <v>12381</v>
      </c>
      <c r="E3468" s="16" t="s">
        <v>11664</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45">
      <c r="A3469" s="15">
        <v>5780</v>
      </c>
      <c r="B3469" s="16" t="s">
        <v>5</v>
      </c>
      <c r="C3469" s="17" t="s">
        <v>12382</v>
      </c>
      <c r="D3469" s="22" t="s">
        <v>12383</v>
      </c>
      <c r="E3469" s="16" t="s">
        <v>11664</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45">
      <c r="A3470" s="15">
        <v>5783</v>
      </c>
      <c r="B3470" s="16" t="s">
        <v>5</v>
      </c>
      <c r="C3470" s="17" t="s">
        <v>12384</v>
      </c>
      <c r="D3470" s="22" t="s">
        <v>12385</v>
      </c>
      <c r="E3470" s="16" t="s">
        <v>11664</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45">
      <c r="A3471" s="15">
        <v>5834</v>
      </c>
      <c r="B3471" s="16" t="s">
        <v>5</v>
      </c>
      <c r="C3471" s="17" t="s">
        <v>12386</v>
      </c>
      <c r="D3471" s="22" t="s">
        <v>12387</v>
      </c>
      <c r="E3471" s="16" t="s">
        <v>11664</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45">
      <c r="A3472" s="15">
        <v>5860</v>
      </c>
      <c r="B3472" s="16" t="s">
        <v>5</v>
      </c>
      <c r="C3472" s="17" t="s">
        <v>12388</v>
      </c>
      <c r="D3472" s="22" t="s">
        <v>12389</v>
      </c>
      <c r="E3472" s="16" t="s">
        <v>11666</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45">
      <c r="A3473" s="15">
        <v>5864</v>
      </c>
      <c r="B3473" s="16" t="s">
        <v>5</v>
      </c>
      <c r="C3473" s="17" t="s">
        <v>12390</v>
      </c>
      <c r="D3473" s="22" t="s">
        <v>12391</v>
      </c>
      <c r="E3473" s="16" t="s">
        <v>11664</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45">
      <c r="A3474" s="15">
        <v>5883</v>
      </c>
      <c r="B3474" s="16" t="s">
        <v>5</v>
      </c>
      <c r="C3474" s="17" t="s">
        <v>12392</v>
      </c>
      <c r="D3474" s="22" t="s">
        <v>12393</v>
      </c>
      <c r="E3474" s="16" t="s">
        <v>11668</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45">
      <c r="A3475" s="15">
        <v>5893</v>
      </c>
      <c r="B3475" s="16" t="s">
        <v>5</v>
      </c>
      <c r="C3475" s="17" t="s">
        <v>12394</v>
      </c>
      <c r="D3475" s="22" t="s">
        <v>12395</v>
      </c>
      <c r="E3475" s="16" t="s">
        <v>11667</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45">
      <c r="A3476" s="15">
        <v>5902</v>
      </c>
      <c r="B3476" s="16" t="s">
        <v>5</v>
      </c>
      <c r="C3476" s="17" t="s">
        <v>12396</v>
      </c>
      <c r="D3476" s="22" t="s">
        <v>12397</v>
      </c>
      <c r="E3476" s="16" t="s">
        <v>11665</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45">
      <c r="A3477" s="15">
        <v>5962</v>
      </c>
      <c r="B3477" s="16" t="s">
        <v>5</v>
      </c>
      <c r="C3477" s="17" t="s">
        <v>12398</v>
      </c>
      <c r="D3477" s="22" t="s">
        <v>12399</v>
      </c>
      <c r="E3477" s="16" t="s">
        <v>11664</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45">
      <c r="A3478" s="15">
        <v>5975</v>
      </c>
      <c r="B3478" s="16" t="s">
        <v>5</v>
      </c>
      <c r="C3478" s="17" t="s">
        <v>12400</v>
      </c>
      <c r="D3478" s="22" t="s">
        <v>12401</v>
      </c>
      <c r="E3478" s="16" t="s">
        <v>11664</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45">
      <c r="A3479" s="15">
        <v>6005</v>
      </c>
      <c r="B3479" s="16" t="s">
        <v>5</v>
      </c>
      <c r="C3479" s="17" t="s">
        <v>12402</v>
      </c>
      <c r="D3479" s="22" t="s">
        <v>12403</v>
      </c>
      <c r="E3479" s="16" t="s">
        <v>11665</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45">
      <c r="A3480" s="15">
        <v>6098</v>
      </c>
      <c r="B3480" s="16" t="s">
        <v>5</v>
      </c>
      <c r="C3480" s="17" t="s">
        <v>12404</v>
      </c>
      <c r="D3480" s="22" t="s">
        <v>12405</v>
      </c>
      <c r="E3480" s="16" t="s">
        <v>11664</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45">
      <c r="A3481" s="15">
        <v>6170</v>
      </c>
      <c r="B3481" s="16" t="s">
        <v>5</v>
      </c>
      <c r="C3481" s="17" t="s">
        <v>12406</v>
      </c>
      <c r="D3481" s="22" t="s">
        <v>12407</v>
      </c>
      <c r="E3481" s="16" t="s">
        <v>11668</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45">
      <c r="A3482" s="15">
        <v>6193</v>
      </c>
      <c r="B3482" s="16" t="s">
        <v>5</v>
      </c>
      <c r="C3482" s="17" t="s">
        <v>12408</v>
      </c>
      <c r="D3482" s="22" t="s">
        <v>12409</v>
      </c>
      <c r="E3482" s="16" t="s">
        <v>11669</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45">
      <c r="A3483" s="15">
        <v>6198</v>
      </c>
      <c r="B3483" s="16" t="s">
        <v>5</v>
      </c>
      <c r="C3483" s="17" t="s">
        <v>12410</v>
      </c>
      <c r="D3483" s="22" t="s">
        <v>12411</v>
      </c>
      <c r="E3483" s="16" t="s">
        <v>11664</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45">
      <c r="A3484" s="15">
        <v>6199</v>
      </c>
      <c r="B3484" s="16" t="s">
        <v>5</v>
      </c>
      <c r="C3484" s="17" t="s">
        <v>12412</v>
      </c>
      <c r="D3484" s="22" t="s">
        <v>12413</v>
      </c>
      <c r="E3484" s="16" t="s">
        <v>11664</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45">
      <c r="A3485" s="15">
        <v>6200</v>
      </c>
      <c r="B3485" s="16" t="s">
        <v>5</v>
      </c>
      <c r="C3485" s="17" t="s">
        <v>12414</v>
      </c>
      <c r="D3485" s="22" t="s">
        <v>12415</v>
      </c>
      <c r="E3485" s="16" t="s">
        <v>11669</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45">
      <c r="A3486" s="15">
        <v>6268</v>
      </c>
      <c r="B3486" s="16" t="s">
        <v>5</v>
      </c>
      <c r="C3486" s="17" t="s">
        <v>12416</v>
      </c>
      <c r="D3486" s="22" t="s">
        <v>12417</v>
      </c>
      <c r="E3486" s="16" t="s">
        <v>11664</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45">
      <c r="A3487" s="15">
        <v>6284</v>
      </c>
      <c r="B3487" s="16" t="s">
        <v>5</v>
      </c>
      <c r="C3487" s="17" t="s">
        <v>12418</v>
      </c>
      <c r="D3487" s="22" t="s">
        <v>12419</v>
      </c>
      <c r="E3487" s="16" t="s">
        <v>11667</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45">
      <c r="A3488" s="15">
        <v>6285</v>
      </c>
      <c r="B3488" s="16" t="s">
        <v>5</v>
      </c>
      <c r="C3488" s="17" t="s">
        <v>12420</v>
      </c>
      <c r="D3488" s="22" t="s">
        <v>12421</v>
      </c>
      <c r="E3488" s="16" t="s">
        <v>11669</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45">
      <c r="A3489" s="15">
        <v>6286</v>
      </c>
      <c r="B3489" s="16" t="s">
        <v>5</v>
      </c>
      <c r="C3489" s="17" t="s">
        <v>12422</v>
      </c>
      <c r="D3489" s="22" t="s">
        <v>12423</v>
      </c>
      <c r="E3489" s="16" t="s">
        <v>11665</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45">
      <c r="A3490" s="15">
        <v>6299</v>
      </c>
      <c r="B3490" s="16" t="s">
        <v>5</v>
      </c>
      <c r="C3490" s="17" t="s">
        <v>12424</v>
      </c>
      <c r="D3490" s="22" t="s">
        <v>12425</v>
      </c>
      <c r="E3490" s="16" t="s">
        <v>11664</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45">
      <c r="A3491" s="15">
        <v>6301</v>
      </c>
      <c r="B3491" s="16" t="s">
        <v>5</v>
      </c>
      <c r="C3491" s="17" t="s">
        <v>12426</v>
      </c>
      <c r="D3491" s="22" t="s">
        <v>12427</v>
      </c>
      <c r="E3491" s="16" t="s">
        <v>11664</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45">
      <c r="A3492" s="15">
        <v>6344</v>
      </c>
      <c r="B3492" s="16" t="s">
        <v>5</v>
      </c>
      <c r="C3492" s="17" t="s">
        <v>12428</v>
      </c>
      <c r="D3492" s="22" t="s">
        <v>12429</v>
      </c>
      <c r="E3492" s="16" t="s">
        <v>11664</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45">
      <c r="A3493" s="15">
        <v>6349</v>
      </c>
      <c r="B3493" s="16" t="s">
        <v>5</v>
      </c>
      <c r="C3493" s="17" t="s">
        <v>12430</v>
      </c>
      <c r="D3493" s="22" t="s">
        <v>12431</v>
      </c>
      <c r="E3493" s="16" t="s">
        <v>11664</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45">
      <c r="A3494" s="15">
        <v>6351</v>
      </c>
      <c r="B3494" s="16" t="s">
        <v>5</v>
      </c>
      <c r="C3494" s="17" t="s">
        <v>12432</v>
      </c>
      <c r="D3494" s="22" t="s">
        <v>12433</v>
      </c>
      <c r="E3494" s="16" t="s">
        <v>11668</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45">
      <c r="A3495" s="15">
        <v>6355</v>
      </c>
      <c r="B3495" s="16" t="s">
        <v>5</v>
      </c>
      <c r="C3495" s="17" t="s">
        <v>12434</v>
      </c>
      <c r="D3495" s="22" t="s">
        <v>12435</v>
      </c>
      <c r="E3495" s="16" t="s">
        <v>11664</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45">
      <c r="A3496" s="15">
        <v>6356</v>
      </c>
      <c r="B3496" s="16" t="s">
        <v>5</v>
      </c>
      <c r="C3496" s="17" t="s">
        <v>12436</v>
      </c>
      <c r="D3496" s="22" t="s">
        <v>12437</v>
      </c>
      <c r="E3496" s="16" t="s">
        <v>11672</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45">
      <c r="A3497" s="15">
        <v>6361</v>
      </c>
      <c r="B3497" s="16" t="s">
        <v>5</v>
      </c>
      <c r="C3497" s="17" t="s">
        <v>12438</v>
      </c>
      <c r="D3497" s="22" t="s">
        <v>12439</v>
      </c>
      <c r="E3497" s="16" t="s">
        <v>11670</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45">
      <c r="A3498" s="15">
        <v>6365</v>
      </c>
      <c r="B3498" s="16" t="s">
        <v>5</v>
      </c>
      <c r="C3498" s="17" t="s">
        <v>12440</v>
      </c>
      <c r="D3498" s="22" t="s">
        <v>12441</v>
      </c>
      <c r="E3498" s="16" t="s">
        <v>11666</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45">
      <c r="A3499" s="15">
        <v>6412</v>
      </c>
      <c r="B3499" s="16" t="s">
        <v>5</v>
      </c>
      <c r="C3499" s="17" t="s">
        <v>12442</v>
      </c>
      <c r="D3499" s="22" t="s">
        <v>12443</v>
      </c>
      <c r="E3499" s="16" t="s">
        <v>11670</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45">
      <c r="A3500" s="15">
        <v>6420</v>
      </c>
      <c r="B3500" s="16" t="s">
        <v>5</v>
      </c>
      <c r="C3500" s="17" t="s">
        <v>12444</v>
      </c>
      <c r="D3500" s="22" t="s">
        <v>12445</v>
      </c>
      <c r="E3500" s="16" t="s">
        <v>11670</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45">
      <c r="A3501" s="15">
        <v>6445</v>
      </c>
      <c r="B3501" s="16" t="s">
        <v>5</v>
      </c>
      <c r="C3501" s="17" t="s">
        <v>12446</v>
      </c>
      <c r="D3501" s="22" t="s">
        <v>12447</v>
      </c>
      <c r="E3501" s="16" t="s">
        <v>11664</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45">
      <c r="A3502" s="15">
        <v>6494</v>
      </c>
      <c r="B3502" s="16" t="s">
        <v>5</v>
      </c>
      <c r="C3502" s="17" t="s">
        <v>12448</v>
      </c>
      <c r="D3502" s="22" t="s">
        <v>12449</v>
      </c>
      <c r="E3502" s="16" t="s">
        <v>11666</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45">
      <c r="A3503" s="15">
        <v>6498</v>
      </c>
      <c r="B3503" s="16" t="s">
        <v>5</v>
      </c>
      <c r="C3503" s="17" t="s">
        <v>12450</v>
      </c>
      <c r="D3503" s="22" t="s">
        <v>12451</v>
      </c>
      <c r="E3503" s="16" t="s">
        <v>11669</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45">
      <c r="A3504" s="15">
        <v>6503</v>
      </c>
      <c r="B3504" s="16" t="s">
        <v>5</v>
      </c>
      <c r="C3504" s="17" t="s">
        <v>12452</v>
      </c>
      <c r="D3504" s="22" t="s">
        <v>12453</v>
      </c>
      <c r="E3504" s="16" t="s">
        <v>11664</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45">
      <c r="A3505" s="15">
        <v>6514</v>
      </c>
      <c r="B3505" s="16" t="s">
        <v>5</v>
      </c>
      <c r="C3505" s="17" t="s">
        <v>12454</v>
      </c>
      <c r="D3505" s="22" t="s">
        <v>12455</v>
      </c>
      <c r="E3505" s="16" t="s">
        <v>11665</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45">
      <c r="A3506" s="15">
        <v>6553</v>
      </c>
      <c r="B3506" s="16" t="s">
        <v>5</v>
      </c>
      <c r="C3506" s="17" t="s">
        <v>12456</v>
      </c>
      <c r="D3506" s="22" t="s">
        <v>12457</v>
      </c>
      <c r="E3506" s="16" t="s">
        <v>11666</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45">
      <c r="A3507" s="15">
        <v>6555</v>
      </c>
      <c r="B3507" s="16" t="s">
        <v>5</v>
      </c>
      <c r="C3507" s="17" t="s">
        <v>12458</v>
      </c>
      <c r="D3507" s="22" t="s">
        <v>12459</v>
      </c>
      <c r="E3507" s="16" t="s">
        <v>11666</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45">
      <c r="A3508" s="15">
        <v>6556</v>
      </c>
      <c r="B3508" s="16" t="s">
        <v>5</v>
      </c>
      <c r="C3508" s="17" t="s">
        <v>12460</v>
      </c>
      <c r="D3508" s="22" t="s">
        <v>12461</v>
      </c>
      <c r="E3508" s="16" t="s">
        <v>11666</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45">
      <c r="A3509" s="15">
        <v>6599</v>
      </c>
      <c r="B3509" s="16" t="s">
        <v>5</v>
      </c>
      <c r="C3509" s="17" t="s">
        <v>12462</v>
      </c>
      <c r="D3509" s="22" t="s">
        <v>12463</v>
      </c>
      <c r="E3509" s="16" t="s">
        <v>11463</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45">
      <c r="A3510" s="15">
        <v>6637</v>
      </c>
      <c r="B3510" s="16" t="s">
        <v>5</v>
      </c>
      <c r="C3510" s="17" t="s">
        <v>12464</v>
      </c>
      <c r="D3510" s="22" t="s">
        <v>12465</v>
      </c>
      <c r="E3510" s="16" t="s">
        <v>11668</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45">
      <c r="A3511" s="15">
        <v>6638</v>
      </c>
      <c r="B3511" s="16" t="s">
        <v>5</v>
      </c>
      <c r="C3511" s="17" t="s">
        <v>12466</v>
      </c>
      <c r="D3511" s="22" t="s">
        <v>12467</v>
      </c>
      <c r="E3511" s="16" t="s">
        <v>11670</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45">
      <c r="A3512" s="15">
        <v>6640</v>
      </c>
      <c r="B3512" s="16" t="s">
        <v>5</v>
      </c>
      <c r="C3512" s="17" t="s">
        <v>12468</v>
      </c>
      <c r="D3512" s="22" t="s">
        <v>12469</v>
      </c>
      <c r="E3512" s="16" t="s">
        <v>11668</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45">
      <c r="A3513" s="15">
        <v>6645</v>
      </c>
      <c r="B3513" s="16" t="s">
        <v>5</v>
      </c>
      <c r="C3513" s="17" t="s">
        <v>12470</v>
      </c>
      <c r="D3513" s="22" t="s">
        <v>12471</v>
      </c>
      <c r="E3513" s="16" t="s">
        <v>11664</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45">
      <c r="A3514" s="15">
        <v>6648</v>
      </c>
      <c r="B3514" s="16" t="s">
        <v>5</v>
      </c>
      <c r="C3514" s="17" t="s">
        <v>12472</v>
      </c>
      <c r="D3514" s="22" t="s">
        <v>12473</v>
      </c>
      <c r="E3514" s="16" t="s">
        <v>11668</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45">
      <c r="A3515" s="15">
        <v>6679</v>
      </c>
      <c r="B3515" s="16" t="s">
        <v>5</v>
      </c>
      <c r="C3515" s="17" t="s">
        <v>12474</v>
      </c>
      <c r="D3515" s="22" t="s">
        <v>12475</v>
      </c>
      <c r="E3515" s="16" t="s">
        <v>11672</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45">
      <c r="A3516" s="15">
        <v>6718</v>
      </c>
      <c r="B3516" s="16" t="s">
        <v>5</v>
      </c>
      <c r="C3516" s="17" t="s">
        <v>12476</v>
      </c>
      <c r="D3516" s="22" t="s">
        <v>12477</v>
      </c>
      <c r="E3516" s="16" t="s">
        <v>11664</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45">
      <c r="A3517" s="15">
        <v>6719</v>
      </c>
      <c r="B3517" s="16" t="s">
        <v>5</v>
      </c>
      <c r="C3517" s="17" t="s">
        <v>12478</v>
      </c>
      <c r="D3517" s="22" t="s">
        <v>12479</v>
      </c>
      <c r="E3517" s="16" t="s">
        <v>11665</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45">
      <c r="A3518" s="15">
        <v>6720</v>
      </c>
      <c r="B3518" s="16" t="s">
        <v>5</v>
      </c>
      <c r="C3518" s="17" t="s">
        <v>12480</v>
      </c>
      <c r="D3518" s="22" t="s">
        <v>12481</v>
      </c>
      <c r="E3518" s="16" t="s">
        <v>11670</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45">
      <c r="A3519" s="15">
        <v>6732</v>
      </c>
      <c r="B3519" s="16" t="s">
        <v>5</v>
      </c>
      <c r="C3519" s="17" t="s">
        <v>12482</v>
      </c>
      <c r="D3519" s="22" t="s">
        <v>12483</v>
      </c>
      <c r="E3519" s="16" t="s">
        <v>11672</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45">
      <c r="A3520" s="15">
        <v>6733</v>
      </c>
      <c r="B3520" s="16" t="s">
        <v>5</v>
      </c>
      <c r="C3520" s="17" t="s">
        <v>12484</v>
      </c>
      <c r="D3520" s="22" t="s">
        <v>12485</v>
      </c>
      <c r="E3520" s="16" t="s">
        <v>11463</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45">
      <c r="A3521" s="15">
        <v>6736</v>
      </c>
      <c r="B3521" s="16" t="s">
        <v>5</v>
      </c>
      <c r="C3521" s="17" t="s">
        <v>12486</v>
      </c>
      <c r="D3521" s="22" t="s">
        <v>12487</v>
      </c>
      <c r="E3521" s="16" t="s">
        <v>11665</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45">
      <c r="A3522" s="15">
        <v>6745</v>
      </c>
      <c r="B3522" s="16" t="s">
        <v>5</v>
      </c>
      <c r="C3522" s="17" t="s">
        <v>12488</v>
      </c>
      <c r="D3522" s="22" t="s">
        <v>12489</v>
      </c>
      <c r="E3522" s="16" t="s">
        <v>11664</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45">
      <c r="A3523" s="15">
        <v>6811</v>
      </c>
      <c r="B3523" s="16" t="s">
        <v>5</v>
      </c>
      <c r="C3523" s="17" t="s">
        <v>12490</v>
      </c>
      <c r="D3523" s="22" t="s">
        <v>12491</v>
      </c>
      <c r="E3523" s="16" t="s">
        <v>11664</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45">
      <c r="A3524" s="15">
        <v>6901</v>
      </c>
      <c r="B3524" s="16" t="s">
        <v>5</v>
      </c>
      <c r="C3524" s="17" t="s">
        <v>12492</v>
      </c>
      <c r="D3524" s="22" t="s">
        <v>12493</v>
      </c>
      <c r="E3524" s="16" t="s">
        <v>11669</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45">
      <c r="A3525" s="15">
        <v>6902</v>
      </c>
      <c r="B3525" s="16" t="s">
        <v>5</v>
      </c>
      <c r="C3525" s="17" t="s">
        <v>12494</v>
      </c>
      <c r="D3525" s="22" t="s">
        <v>12495</v>
      </c>
      <c r="E3525" s="16" t="s">
        <v>11669</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45">
      <c r="A3526" s="15">
        <v>6903</v>
      </c>
      <c r="B3526" s="16" t="s">
        <v>5</v>
      </c>
      <c r="C3526" s="17" t="s">
        <v>12496</v>
      </c>
      <c r="D3526" s="22" t="s">
        <v>12497</v>
      </c>
      <c r="E3526" s="16" t="s">
        <v>11669</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45">
      <c r="A3527" s="15">
        <v>6904</v>
      </c>
      <c r="B3527" s="16" t="s">
        <v>5</v>
      </c>
      <c r="C3527" s="17" t="s">
        <v>12498</v>
      </c>
      <c r="D3527" s="22" t="s">
        <v>12499</v>
      </c>
      <c r="E3527" s="16" t="s">
        <v>11669</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45">
      <c r="A3528" s="15">
        <v>6905</v>
      </c>
      <c r="B3528" s="16" t="s">
        <v>5</v>
      </c>
      <c r="C3528" s="17" t="s">
        <v>12500</v>
      </c>
      <c r="D3528" s="22" t="s">
        <v>12501</v>
      </c>
      <c r="E3528" s="16" t="s">
        <v>11669</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45">
      <c r="A3529" s="15">
        <v>6906</v>
      </c>
      <c r="B3529" s="16" t="s">
        <v>5</v>
      </c>
      <c r="C3529" s="17" t="s">
        <v>12502</v>
      </c>
      <c r="D3529" s="22" t="s">
        <v>12503</v>
      </c>
      <c r="E3529" s="16" t="s">
        <v>11669</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45">
      <c r="A3530" s="15">
        <v>6936</v>
      </c>
      <c r="B3530" s="16" t="s">
        <v>5</v>
      </c>
      <c r="C3530" s="17" t="s">
        <v>12504</v>
      </c>
      <c r="D3530" s="22" t="s">
        <v>12505</v>
      </c>
      <c r="E3530" s="16" t="s">
        <v>11669</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45">
      <c r="A3531" s="15">
        <v>6944</v>
      </c>
      <c r="B3531" s="16" t="s">
        <v>5</v>
      </c>
      <c r="C3531" s="17" t="s">
        <v>12506</v>
      </c>
      <c r="D3531" s="22" t="s">
        <v>12507</v>
      </c>
      <c r="E3531" s="16" t="s">
        <v>11672</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45">
      <c r="A3532" s="15">
        <v>6945</v>
      </c>
      <c r="B3532" s="16" t="s">
        <v>5</v>
      </c>
      <c r="C3532" s="17" t="s">
        <v>12508</v>
      </c>
      <c r="D3532" s="22" t="s">
        <v>12509</v>
      </c>
      <c r="E3532" s="16" t="s">
        <v>11664</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45">
      <c r="A3533" s="15">
        <v>6955</v>
      </c>
      <c r="B3533" s="16" t="s">
        <v>5</v>
      </c>
      <c r="C3533" s="17" t="s">
        <v>12510</v>
      </c>
      <c r="D3533" s="22" t="s">
        <v>12511</v>
      </c>
      <c r="E3533" s="16" t="s">
        <v>11664</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45">
      <c r="A3534" s="15">
        <v>6963</v>
      </c>
      <c r="B3534" s="16" t="s">
        <v>5</v>
      </c>
      <c r="C3534" s="17" t="s">
        <v>12512</v>
      </c>
      <c r="D3534" s="22" t="s">
        <v>12513</v>
      </c>
      <c r="E3534" s="16" t="s">
        <v>11670</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45">
      <c r="A3535" s="15">
        <v>6971</v>
      </c>
      <c r="B3535" s="16" t="s">
        <v>5</v>
      </c>
      <c r="C3535" s="17" t="s">
        <v>12514</v>
      </c>
      <c r="D3535" s="22" t="s">
        <v>12515</v>
      </c>
      <c r="E3535" s="16" t="s">
        <v>11668</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45">
      <c r="A3536" s="15">
        <v>6972</v>
      </c>
      <c r="B3536" s="16" t="s">
        <v>5</v>
      </c>
      <c r="C3536" s="17" t="s">
        <v>12516</v>
      </c>
      <c r="D3536" s="22" t="s">
        <v>12517</v>
      </c>
      <c r="E3536" s="16" t="s">
        <v>11668</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45">
      <c r="A3537" s="15">
        <v>6973</v>
      </c>
      <c r="B3537" s="16" t="s">
        <v>5</v>
      </c>
      <c r="C3537" s="17" t="s">
        <v>12518</v>
      </c>
      <c r="D3537" s="22" t="s">
        <v>12519</v>
      </c>
      <c r="E3537" s="16" t="s">
        <v>11669</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45">
      <c r="A3538" s="15">
        <v>6979</v>
      </c>
      <c r="B3538" s="16" t="s">
        <v>5</v>
      </c>
      <c r="C3538" s="17" t="s">
        <v>12520</v>
      </c>
      <c r="D3538" s="22" t="s">
        <v>12521</v>
      </c>
      <c r="E3538" s="16" t="s">
        <v>11664</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45">
      <c r="A3539" s="12" t="s">
        <v>12540</v>
      </c>
      <c r="B3539" s="16" t="s">
        <v>5</v>
      </c>
      <c r="C3539" s="11" t="s">
        <v>12546</v>
      </c>
      <c r="D3539" s="22"/>
      <c r="E3539" s="37" t="s">
        <v>11436</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45">
      <c r="A3540" s="15" t="s">
        <v>12541</v>
      </c>
      <c r="B3540" s="16" t="s">
        <v>5</v>
      </c>
      <c r="C3540" s="17" t="s">
        <v>12547</v>
      </c>
      <c r="D3540" s="22"/>
      <c r="E3540" s="38" t="s">
        <v>11426</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45">
      <c r="A3541" s="15" t="s">
        <v>12542</v>
      </c>
      <c r="B3541" s="16" t="s">
        <v>5</v>
      </c>
      <c r="C3541" s="17" t="s">
        <v>12548</v>
      </c>
      <c r="D3541" s="22"/>
      <c r="E3541" s="38" t="s">
        <v>11428</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45">
      <c r="A3542" s="15" t="s">
        <v>12543</v>
      </c>
      <c r="B3542" s="16" t="s">
        <v>5</v>
      </c>
      <c r="C3542" s="17" t="s">
        <v>12549</v>
      </c>
      <c r="D3542" s="22"/>
      <c r="E3542" s="38" t="s">
        <v>11414</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45">
      <c r="A3543" s="15" t="s">
        <v>12544</v>
      </c>
      <c r="B3543" s="16" t="s">
        <v>5</v>
      </c>
      <c r="C3543" s="17" t="s">
        <v>12550</v>
      </c>
      <c r="D3543" s="22"/>
      <c r="E3543" s="38" t="s">
        <v>11419</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45">
      <c r="A3544" s="15" t="s">
        <v>12545</v>
      </c>
      <c r="B3544" s="16" t="s">
        <v>5</v>
      </c>
      <c r="C3544" s="17" t="s">
        <v>12551</v>
      </c>
      <c r="D3544" s="22"/>
      <c r="E3544" s="38" t="s">
        <v>11419</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45">
      <c r="A3545" s="12" t="s">
        <v>12552</v>
      </c>
      <c r="B3545" s="16" t="s">
        <v>5</v>
      </c>
      <c r="C3545" s="11" t="s">
        <v>12558</v>
      </c>
      <c r="D3545" s="22"/>
      <c r="E3545" s="37" t="s">
        <v>11436</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45">
      <c r="A3546" s="15" t="s">
        <v>12553</v>
      </c>
      <c r="B3546" s="16" t="s">
        <v>5</v>
      </c>
      <c r="C3546" s="17" t="s">
        <v>12559</v>
      </c>
      <c r="D3546" s="22"/>
      <c r="E3546" s="38" t="s">
        <v>11418</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45">
      <c r="A3547" s="15" t="s">
        <v>12554</v>
      </c>
      <c r="B3547" s="16" t="s">
        <v>5</v>
      </c>
      <c r="C3547" s="17" t="s">
        <v>12560</v>
      </c>
      <c r="D3547" s="22"/>
      <c r="E3547" s="38" t="s">
        <v>11419</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45">
      <c r="A3548" s="15" t="s">
        <v>12555</v>
      </c>
      <c r="B3548" s="16" t="s">
        <v>5</v>
      </c>
      <c r="C3548" s="17" t="s">
        <v>12561</v>
      </c>
      <c r="D3548" s="22"/>
      <c r="E3548" s="38" t="s">
        <v>11436</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45">
      <c r="A3549" s="15" t="s">
        <v>12556</v>
      </c>
      <c r="B3549" s="16" t="s">
        <v>5</v>
      </c>
      <c r="C3549" s="17" t="s">
        <v>12562</v>
      </c>
      <c r="D3549" s="22"/>
      <c r="E3549" s="38" t="s">
        <v>11419</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45">
      <c r="A3550" s="15" t="s">
        <v>12557</v>
      </c>
      <c r="B3550" s="16" t="s">
        <v>5</v>
      </c>
      <c r="C3550" s="17" t="s">
        <v>12563</v>
      </c>
      <c r="D3550" s="22"/>
      <c r="E3550" s="38" t="s">
        <v>11424</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45">
      <c r="A3551" s="12" t="s">
        <v>12568</v>
      </c>
      <c r="B3551" s="16" t="s">
        <v>5</v>
      </c>
      <c r="C3551" s="11" t="s">
        <v>12585</v>
      </c>
      <c r="D3551" s="22"/>
      <c r="E3551" s="37" t="s">
        <v>11439</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45">
      <c r="A3552" s="15" t="s">
        <v>12569</v>
      </c>
      <c r="B3552" s="16" t="s">
        <v>5</v>
      </c>
      <c r="C3552" s="17" t="s">
        <v>12586</v>
      </c>
      <c r="D3552" s="22"/>
      <c r="E3552" s="38" t="s">
        <v>11436</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45">
      <c r="A3553" s="15" t="s">
        <v>12570</v>
      </c>
      <c r="B3553" s="16" t="s">
        <v>5</v>
      </c>
      <c r="C3553" s="17" t="s">
        <v>12587</v>
      </c>
      <c r="D3553" s="22"/>
      <c r="E3553" s="38" t="s">
        <v>11437</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45">
      <c r="A3554" s="15" t="s">
        <v>12571</v>
      </c>
      <c r="B3554" s="16" t="s">
        <v>5</v>
      </c>
      <c r="C3554" s="17" t="s">
        <v>12588</v>
      </c>
      <c r="D3554" s="22"/>
      <c r="E3554" s="38" t="s">
        <v>11436</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45">
      <c r="A3555" s="15" t="s">
        <v>12572</v>
      </c>
      <c r="B3555" s="16" t="s">
        <v>5</v>
      </c>
      <c r="C3555" s="17" t="s">
        <v>12589</v>
      </c>
      <c r="D3555" s="22"/>
      <c r="E3555" s="38" t="s">
        <v>11420</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45">
      <c r="A3556" s="15" t="s">
        <v>12573</v>
      </c>
      <c r="B3556" s="16" t="s">
        <v>5</v>
      </c>
      <c r="C3556" s="17" t="s">
        <v>12590</v>
      </c>
      <c r="D3556" s="22"/>
      <c r="E3556" s="38" t="s">
        <v>11424</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45">
      <c r="A3557" s="15" t="s">
        <v>12574</v>
      </c>
      <c r="B3557" s="16" t="s">
        <v>5</v>
      </c>
      <c r="C3557" s="17" t="s">
        <v>12591</v>
      </c>
      <c r="D3557" s="22"/>
      <c r="E3557" s="38" t="s">
        <v>11437</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45">
      <c r="A3558" s="15" t="s">
        <v>12575</v>
      </c>
      <c r="B3558" s="16" t="s">
        <v>5</v>
      </c>
      <c r="C3558" s="17" t="s">
        <v>12592</v>
      </c>
      <c r="D3558" s="22"/>
      <c r="E3558" s="38" t="s">
        <v>11414</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45">
      <c r="A3559" s="15" t="s">
        <v>12576</v>
      </c>
      <c r="B3559" s="16" t="s">
        <v>5</v>
      </c>
      <c r="C3559" s="17" t="s">
        <v>12593</v>
      </c>
      <c r="D3559" s="22"/>
      <c r="E3559" s="38" t="s">
        <v>11432</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45">
      <c r="A3560" s="15" t="s">
        <v>12577</v>
      </c>
      <c r="B3560" s="16" t="s">
        <v>5</v>
      </c>
      <c r="C3560" s="17" t="s">
        <v>12594</v>
      </c>
      <c r="D3560" s="22"/>
      <c r="E3560" s="38" t="s">
        <v>11419</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45">
      <c r="A3561" s="15" t="s">
        <v>12578</v>
      </c>
      <c r="B3561" s="16" t="s">
        <v>5</v>
      </c>
      <c r="C3561" s="17" t="s">
        <v>12595</v>
      </c>
      <c r="D3561" s="22"/>
      <c r="E3561" s="38" t="s">
        <v>11419</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45">
      <c r="A3562" s="15" t="s">
        <v>12579</v>
      </c>
      <c r="B3562" s="16" t="s">
        <v>5</v>
      </c>
      <c r="C3562" s="17" t="s">
        <v>12596</v>
      </c>
      <c r="D3562" s="22"/>
      <c r="E3562" s="38" t="s">
        <v>11437</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45">
      <c r="A3563" s="15" t="s">
        <v>12580</v>
      </c>
      <c r="B3563" s="16" t="s">
        <v>5</v>
      </c>
      <c r="C3563" s="17" t="s">
        <v>12597</v>
      </c>
      <c r="D3563" s="22"/>
      <c r="E3563" s="38" t="s">
        <v>11424</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45">
      <c r="A3564" s="15" t="s">
        <v>12581</v>
      </c>
      <c r="B3564" s="16" t="s">
        <v>5</v>
      </c>
      <c r="C3564" s="17" t="s">
        <v>12598</v>
      </c>
      <c r="D3564" s="22"/>
      <c r="E3564" s="38" t="s">
        <v>11437</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45">
      <c r="A3565" s="15" t="s">
        <v>12582</v>
      </c>
      <c r="B3565" s="16" t="s">
        <v>5</v>
      </c>
      <c r="C3565" s="17" t="s">
        <v>12599</v>
      </c>
      <c r="D3565" s="22"/>
      <c r="E3565" s="38" t="s">
        <v>11417</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45">
      <c r="A3566" s="15" t="s">
        <v>12583</v>
      </c>
      <c r="B3566" s="16" t="s">
        <v>5</v>
      </c>
      <c r="C3566" s="17" t="s">
        <v>12600</v>
      </c>
      <c r="D3566" s="22"/>
      <c r="E3566" s="38" t="s">
        <v>11419</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45">
      <c r="A3567" s="15" t="s">
        <v>12584</v>
      </c>
      <c r="B3567" s="16" t="s">
        <v>5</v>
      </c>
      <c r="C3567" s="17" t="s">
        <v>12601</v>
      </c>
      <c r="D3567" s="22"/>
      <c r="E3567" s="38" t="s">
        <v>11419</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45">
      <c r="A3568" s="12" t="s">
        <v>12602</v>
      </c>
      <c r="B3568" s="10" t="s">
        <v>5</v>
      </c>
      <c r="C3568" s="11"/>
      <c r="D3568" s="22"/>
      <c r="E3568" s="38" t="s">
        <v>11432</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45">
      <c r="A3569" s="15" t="s">
        <v>12603</v>
      </c>
      <c r="B3569" s="10" t="s">
        <v>5</v>
      </c>
      <c r="C3569" s="17"/>
      <c r="D3569" s="22"/>
      <c r="E3569" s="38" t="s">
        <v>11424</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45">
      <c r="A3570" s="15" t="s">
        <v>12604</v>
      </c>
      <c r="B3570" s="10" t="s">
        <v>5</v>
      </c>
      <c r="C3570" s="17"/>
      <c r="D3570" s="22"/>
      <c r="E3570" s="38" t="s">
        <v>11424</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45">
      <c r="A3571" s="15" t="s">
        <v>12605</v>
      </c>
      <c r="B3571" s="10" t="s">
        <v>5</v>
      </c>
      <c r="C3571" s="17"/>
      <c r="D3571" s="22"/>
      <c r="E3571" s="38" t="s">
        <v>11424</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45">
      <c r="A3572" s="15" t="s">
        <v>12606</v>
      </c>
      <c r="B3572" s="10" t="s">
        <v>5</v>
      </c>
      <c r="C3572" s="17"/>
      <c r="D3572" s="22"/>
      <c r="E3572" s="38" t="s">
        <v>11432</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45">
      <c r="A3573" s="15" t="s">
        <v>12607</v>
      </c>
      <c r="B3573" s="10" t="s">
        <v>5</v>
      </c>
      <c r="C3573" s="17"/>
      <c r="D3573" s="22"/>
      <c r="E3573" s="38" t="s">
        <v>11426</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45">
      <c r="A3574" s="15" t="s">
        <v>12608</v>
      </c>
      <c r="B3574" s="10" t="s">
        <v>5</v>
      </c>
      <c r="C3574" s="17"/>
      <c r="D3574" s="22"/>
      <c r="E3574" s="38" t="s">
        <v>11437</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45">
      <c r="A3575" s="15" t="s">
        <v>12609</v>
      </c>
      <c r="B3575" s="10" t="s">
        <v>5</v>
      </c>
      <c r="C3575" s="17"/>
      <c r="D3575" s="22"/>
      <c r="E3575" s="38" t="s">
        <v>11417</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45">
      <c r="A3576" s="15" t="s">
        <v>12610</v>
      </c>
      <c r="B3576" s="10" t="s">
        <v>5</v>
      </c>
      <c r="C3576" s="17"/>
      <c r="D3576" s="22"/>
      <c r="E3576" s="38" t="s">
        <v>11419</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45">
      <c r="A3577" s="15" t="s">
        <v>12611</v>
      </c>
      <c r="B3577" s="10" t="s">
        <v>5</v>
      </c>
      <c r="C3577" s="17"/>
      <c r="D3577" s="22"/>
      <c r="E3577" s="38" t="s">
        <v>11428</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45">
      <c r="A3578" s="15" t="s">
        <v>12612</v>
      </c>
      <c r="B3578" s="10" t="s">
        <v>5</v>
      </c>
      <c r="C3578" s="17"/>
      <c r="D3578" s="22"/>
      <c r="E3578" s="38" t="s">
        <v>11417</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45">
      <c r="A3579" s="15" t="s">
        <v>12613</v>
      </c>
      <c r="B3579" s="10" t="s">
        <v>5</v>
      </c>
      <c r="C3579" s="17"/>
      <c r="D3579" s="22"/>
      <c r="E3579" s="38" t="s">
        <v>11417</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45">
      <c r="A3580" s="15" t="s">
        <v>12614</v>
      </c>
      <c r="B3580" s="10" t="s">
        <v>5</v>
      </c>
      <c r="C3580" s="17"/>
      <c r="D3580" s="22"/>
      <c r="E3580" s="38" t="s">
        <v>11420</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45">
      <c r="A3581" s="15" t="s">
        <v>12615</v>
      </c>
      <c r="B3581" s="10" t="s">
        <v>5</v>
      </c>
      <c r="C3581" s="17"/>
      <c r="D3581" s="22"/>
      <c r="E3581" s="38" t="s">
        <v>11419</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45">
      <c r="A3582" s="15" t="s">
        <v>12616</v>
      </c>
      <c r="B3582" s="10" t="s">
        <v>5</v>
      </c>
      <c r="C3582" s="17"/>
      <c r="D3582" s="22"/>
      <c r="E3582" s="38" t="s">
        <v>11417</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45">
      <c r="A3583" s="15" t="s">
        <v>12617</v>
      </c>
      <c r="B3583" s="10" t="s">
        <v>5</v>
      </c>
      <c r="C3583" s="17"/>
      <c r="D3583" s="22"/>
      <c r="E3583" s="38" t="s">
        <v>11436</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45">
      <c r="A3584" s="15" t="s">
        <v>12618</v>
      </c>
      <c r="B3584" s="10" t="s">
        <v>5</v>
      </c>
      <c r="C3584" s="17"/>
      <c r="D3584" s="22"/>
      <c r="E3584" s="38" t="s">
        <v>11414</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45">
      <c r="A3585" s="15" t="s">
        <v>12619</v>
      </c>
      <c r="B3585" s="10" t="s">
        <v>5</v>
      </c>
      <c r="C3585" s="17"/>
      <c r="D3585" s="22"/>
      <c r="E3585" s="38" t="s">
        <v>11414</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45">
      <c r="A3586" s="15" t="s">
        <v>12620</v>
      </c>
      <c r="B3586" s="10" t="s">
        <v>5</v>
      </c>
      <c r="C3586" s="17"/>
      <c r="D3586" s="22"/>
      <c r="E3586" s="38" t="s">
        <v>11417</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45">
      <c r="A3587" s="15" t="s">
        <v>12621</v>
      </c>
      <c r="B3587" s="10" t="s">
        <v>5</v>
      </c>
      <c r="C3587" s="17"/>
      <c r="D3587" s="22"/>
      <c r="E3587" s="38" t="s">
        <v>11437</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45">
      <c r="A3588" s="15" t="s">
        <v>12622</v>
      </c>
      <c r="B3588" s="10" t="s">
        <v>5</v>
      </c>
      <c r="C3588" s="17"/>
      <c r="D3588" s="22"/>
      <c r="E3588" s="38" t="s">
        <v>11419</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45">
      <c r="A3589" s="15" t="s">
        <v>12623</v>
      </c>
      <c r="B3589" s="10" t="s">
        <v>5</v>
      </c>
      <c r="C3589" s="17"/>
      <c r="D3589" s="22"/>
      <c r="E3589" s="38" t="s">
        <v>11437</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45">
      <c r="A3590" s="15" t="s">
        <v>12624</v>
      </c>
      <c r="B3590" s="10" t="s">
        <v>5</v>
      </c>
      <c r="C3590" s="17"/>
      <c r="D3590" s="22"/>
      <c r="E3590" s="38" t="s">
        <v>11432</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45">
      <c r="A3591" s="15" t="s">
        <v>12625</v>
      </c>
      <c r="B3591" s="10" t="s">
        <v>5</v>
      </c>
      <c r="C3591" s="17"/>
      <c r="D3591" s="22"/>
      <c r="E3591" s="38" t="s">
        <v>11417</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45">
      <c r="A3592" s="15" t="s">
        <v>12626</v>
      </c>
      <c r="B3592" s="10" t="s">
        <v>5</v>
      </c>
      <c r="C3592" s="17"/>
      <c r="D3592" s="22"/>
      <c r="E3592" s="38" t="s">
        <v>11437</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45">
      <c r="A3593" s="15" t="s">
        <v>12627</v>
      </c>
      <c r="B3593" s="10" t="s">
        <v>5</v>
      </c>
      <c r="C3593" s="17"/>
      <c r="D3593" s="22"/>
      <c r="E3593" s="38" t="s">
        <v>11436</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45">
      <c r="A3594" s="15" t="s">
        <v>12628</v>
      </c>
      <c r="B3594" s="10" t="s">
        <v>5</v>
      </c>
      <c r="C3594" s="17"/>
      <c r="D3594" s="22"/>
      <c r="E3594" s="38" t="s">
        <v>11436</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45">
      <c r="A3595" s="15" t="s">
        <v>12629</v>
      </c>
      <c r="B3595" s="10" t="s">
        <v>5</v>
      </c>
      <c r="C3595" s="17"/>
      <c r="D3595" s="22"/>
      <c r="E3595" s="38" t="s">
        <v>11436</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45">
      <c r="A3596" s="15" t="s">
        <v>12630</v>
      </c>
      <c r="B3596" s="10" t="s">
        <v>5</v>
      </c>
      <c r="C3596" s="17"/>
      <c r="D3596" s="22"/>
      <c r="E3596" s="38" t="s">
        <v>11419</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45">
      <c r="A3597" s="15" t="s">
        <v>12631</v>
      </c>
      <c r="B3597" s="10" t="s">
        <v>5</v>
      </c>
      <c r="C3597" s="17"/>
      <c r="D3597" s="22"/>
      <c r="E3597" s="38" t="s">
        <v>11436</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45">
      <c r="A3598" s="15" t="s">
        <v>12632</v>
      </c>
      <c r="B3598" s="10" t="s">
        <v>5</v>
      </c>
      <c r="C3598" s="17"/>
      <c r="D3598" s="22"/>
      <c r="E3598" s="39" t="s">
        <v>11428</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45">
      <c r="A3599" s="15" t="s">
        <v>12633</v>
      </c>
      <c r="B3599" s="10" t="s">
        <v>5</v>
      </c>
      <c r="C3599" s="17"/>
      <c r="D3599" s="22"/>
      <c r="E3599" s="38" t="s">
        <v>11437</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45">
      <c r="A3600" s="15" t="s">
        <v>12634</v>
      </c>
      <c r="B3600" s="10" t="s">
        <v>5</v>
      </c>
      <c r="C3600" s="17"/>
      <c r="D3600" s="22"/>
      <c r="E3600" s="38" t="s">
        <v>11437</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45">
      <c r="A3601" s="15" t="s">
        <v>12635</v>
      </c>
      <c r="B3601" s="10" t="s">
        <v>5</v>
      </c>
      <c r="C3601" s="17"/>
      <c r="D3601" s="22"/>
      <c r="E3601" s="38" t="s">
        <v>11417</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45">
      <c r="A3602" s="15" t="s">
        <v>12636</v>
      </c>
      <c r="B3602" s="10" t="s">
        <v>5</v>
      </c>
      <c r="C3602" s="17"/>
      <c r="D3602" s="22"/>
      <c r="E3602" s="16" t="s">
        <v>11420</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45">
      <c r="A3603" s="15" t="s">
        <v>12637</v>
      </c>
      <c r="B3603" s="10" t="s">
        <v>5</v>
      </c>
      <c r="C3603" s="17"/>
      <c r="D3603" s="22"/>
      <c r="E3603" s="38" t="s">
        <v>11419</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45">
      <c r="A3604" s="15" t="s">
        <v>12638</v>
      </c>
      <c r="B3604" s="10" t="s">
        <v>5</v>
      </c>
      <c r="C3604" s="17"/>
      <c r="D3604" s="22"/>
      <c r="E3604" s="38" t="s">
        <v>11417</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45">
      <c r="A3605" s="15" t="s">
        <v>12639</v>
      </c>
      <c r="B3605" s="10" t="s">
        <v>5</v>
      </c>
      <c r="C3605" s="17"/>
      <c r="D3605" s="22"/>
      <c r="E3605" s="38" t="s">
        <v>11417</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45">
      <c r="A3606" s="15" t="s">
        <v>12640</v>
      </c>
      <c r="B3606" s="10" t="s">
        <v>5</v>
      </c>
      <c r="C3606" s="17"/>
      <c r="D3606" s="22"/>
      <c r="E3606" s="38" t="s">
        <v>11427</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45">
      <c r="A3607" s="15" t="s">
        <v>12641</v>
      </c>
      <c r="B3607" s="10" t="s">
        <v>5</v>
      </c>
      <c r="C3607" s="17"/>
      <c r="D3607" s="22"/>
      <c r="E3607" s="38" t="s">
        <v>11425</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45">
      <c r="A3608" s="15" t="s">
        <v>12642</v>
      </c>
      <c r="B3608" s="10" t="s">
        <v>5</v>
      </c>
      <c r="C3608" s="17"/>
      <c r="D3608" s="22"/>
      <c r="E3608" s="38" t="s">
        <v>11432</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45">
      <c r="A3609" s="15" t="s">
        <v>12643</v>
      </c>
      <c r="B3609" s="10" t="s">
        <v>5</v>
      </c>
      <c r="C3609" s="17"/>
      <c r="D3609" s="22"/>
      <c r="E3609" s="38" t="s">
        <v>11417</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45">
      <c r="A3610" s="15" t="s">
        <v>12644</v>
      </c>
      <c r="B3610" s="10" t="s">
        <v>5</v>
      </c>
      <c r="C3610" s="17"/>
      <c r="D3610" s="22"/>
      <c r="E3610" s="38" t="s">
        <v>11418</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45">
      <c r="A3611" s="15" t="s">
        <v>12645</v>
      </c>
      <c r="B3611" s="10" t="s">
        <v>5</v>
      </c>
      <c r="C3611" s="17"/>
      <c r="D3611" s="22"/>
      <c r="E3611" s="38" t="s">
        <v>11436</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45">
      <c r="A3612" s="15" t="s">
        <v>12646</v>
      </c>
      <c r="B3612" s="10" t="s">
        <v>5</v>
      </c>
      <c r="C3612" s="17"/>
      <c r="D3612" s="22"/>
      <c r="E3612" s="38" t="s">
        <v>11436</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45">
      <c r="A3613" s="15" t="s">
        <v>12647</v>
      </c>
      <c r="B3613" s="10" t="s">
        <v>5</v>
      </c>
      <c r="C3613" s="17"/>
      <c r="D3613" s="22"/>
      <c r="E3613" s="38" t="s">
        <v>11436</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45">
      <c r="A3614" s="15" t="s">
        <v>12648</v>
      </c>
      <c r="B3614" s="10" t="s">
        <v>5</v>
      </c>
      <c r="C3614" s="17"/>
      <c r="D3614" s="22"/>
      <c r="E3614" s="38" t="s">
        <v>11417</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45">
      <c r="A3615" s="15" t="s">
        <v>12649</v>
      </c>
      <c r="B3615" s="10" t="s">
        <v>5</v>
      </c>
      <c r="C3615" s="17"/>
      <c r="D3615" s="22"/>
      <c r="E3615" s="38" t="s">
        <v>11437</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45">
      <c r="A3616" s="15" t="s">
        <v>12650</v>
      </c>
      <c r="B3616" s="10" t="s">
        <v>5</v>
      </c>
      <c r="C3616" s="17"/>
      <c r="D3616" s="22"/>
      <c r="E3616" s="38" t="s">
        <v>11437</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45">
      <c r="A3617" s="15" t="s">
        <v>12651</v>
      </c>
      <c r="B3617" s="10" t="s">
        <v>5</v>
      </c>
      <c r="C3617" s="17"/>
      <c r="D3617" s="22"/>
      <c r="E3617" s="38" t="s">
        <v>11419</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45">
      <c r="A3618" s="15" t="s">
        <v>12652</v>
      </c>
      <c r="B3618" s="10" t="s">
        <v>5</v>
      </c>
      <c r="C3618" s="17"/>
      <c r="D3618" s="22"/>
      <c r="E3618" s="38" t="s">
        <v>11414</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45">
      <c r="A3619" s="15" t="s">
        <v>12653</v>
      </c>
      <c r="B3619" s="10" t="s">
        <v>5</v>
      </c>
      <c r="C3619" s="17"/>
      <c r="D3619" s="22"/>
      <c r="E3619" s="38" t="s">
        <v>11414</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45">
      <c r="A3620" s="12" t="s">
        <v>12654</v>
      </c>
      <c r="B3620" s="10" t="s">
        <v>5</v>
      </c>
      <c r="C3620" s="11"/>
      <c r="D3620" s="22"/>
      <c r="E3620" s="37" t="s">
        <v>11432</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45">
      <c r="A3621" s="15" t="s">
        <v>12655</v>
      </c>
      <c r="B3621" s="10" t="s">
        <v>5</v>
      </c>
      <c r="C3621" s="17"/>
      <c r="D3621" s="22"/>
      <c r="E3621" s="38" t="s">
        <v>11414</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45">
      <c r="A3622" s="15" t="s">
        <v>12656</v>
      </c>
      <c r="B3622" s="10" t="s">
        <v>5</v>
      </c>
      <c r="C3622" s="17"/>
      <c r="D3622" s="22"/>
      <c r="E3622" s="38" t="s">
        <v>11414</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45">
      <c r="A3623" s="15" t="s">
        <v>12657</v>
      </c>
      <c r="B3623" s="10" t="s">
        <v>5</v>
      </c>
      <c r="C3623" s="17"/>
      <c r="D3623" s="22"/>
      <c r="E3623" s="38" t="s">
        <v>11417</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45">
      <c r="A3624" s="15" t="s">
        <v>12658</v>
      </c>
      <c r="B3624" s="10" t="s">
        <v>5</v>
      </c>
      <c r="C3624" s="17"/>
      <c r="D3624" s="22"/>
      <c r="E3624" s="38" t="s">
        <v>11420</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45">
      <c r="A3625" s="15" t="s">
        <v>12659</v>
      </c>
      <c r="B3625" s="10" t="s">
        <v>5</v>
      </c>
      <c r="C3625" s="17"/>
      <c r="D3625" s="22"/>
      <c r="E3625" s="38" t="s">
        <v>11417</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45">
      <c r="A3626" s="12" t="s">
        <v>12663</v>
      </c>
      <c r="B3626" s="10" t="s">
        <v>5</v>
      </c>
      <c r="C3626" s="11"/>
      <c r="D3626" s="22"/>
      <c r="E3626" s="37" t="s">
        <v>11432</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45">
      <c r="A3627" s="15" t="s">
        <v>12664</v>
      </c>
      <c r="B3627" s="10" t="s">
        <v>5</v>
      </c>
      <c r="C3627" s="17"/>
      <c r="D3627" s="22"/>
      <c r="E3627" s="38" t="s">
        <v>11414</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45">
      <c r="A3628" s="15" t="s">
        <v>12665</v>
      </c>
      <c r="B3628" s="10" t="s">
        <v>5</v>
      </c>
      <c r="C3628" s="17"/>
      <c r="D3628" s="22"/>
      <c r="E3628" s="38" t="s">
        <v>11436</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45">
      <c r="A3629" s="15" t="s">
        <v>12666</v>
      </c>
      <c r="B3629" s="10" t="s">
        <v>5</v>
      </c>
      <c r="C3629" s="17"/>
      <c r="D3629" s="22"/>
      <c r="E3629" s="38" t="s">
        <v>11419</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45">
      <c r="A3630" s="15" t="s">
        <v>12667</v>
      </c>
      <c r="B3630" s="10" t="s">
        <v>5</v>
      </c>
      <c r="C3630" s="17"/>
      <c r="D3630" s="22"/>
      <c r="E3630" s="38" t="s">
        <v>11432</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45">
      <c r="A3631" s="15" t="s">
        <v>12668</v>
      </c>
      <c r="B3631" s="10" t="s">
        <v>5</v>
      </c>
      <c r="C3631" s="17"/>
      <c r="D3631" s="22"/>
      <c r="E3631" s="38" t="s">
        <v>11424</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45">
      <c r="A3632" s="15" t="s">
        <v>12669</v>
      </c>
      <c r="B3632" s="10" t="s">
        <v>5</v>
      </c>
      <c r="C3632" s="17"/>
      <c r="D3632" s="22"/>
      <c r="E3632" s="38" t="s">
        <v>11414</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45">
      <c r="A3633" s="15" t="s">
        <v>12670</v>
      </c>
      <c r="B3633" s="10" t="s">
        <v>5</v>
      </c>
      <c r="C3633" s="17"/>
      <c r="D3633" s="22"/>
      <c r="E3633" s="38" t="s">
        <v>11420</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45">
      <c r="A3634" s="15" t="s">
        <v>12671</v>
      </c>
      <c r="B3634" s="10" t="s">
        <v>5</v>
      </c>
      <c r="C3634" s="17"/>
      <c r="D3634" s="22"/>
      <c r="E3634" s="38" t="s">
        <v>11436</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45">
      <c r="A3635" s="15" t="s">
        <v>12672</v>
      </c>
      <c r="B3635" s="10" t="s">
        <v>5</v>
      </c>
      <c r="C3635" s="17"/>
      <c r="D3635" s="22"/>
      <c r="E3635" s="38" t="s">
        <v>11420</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45">
      <c r="A3636" s="15" t="s">
        <v>12673</v>
      </c>
      <c r="B3636" s="10" t="s">
        <v>5</v>
      </c>
      <c r="C3636" s="17"/>
      <c r="D3636" s="22"/>
      <c r="E3636" s="38" t="s">
        <v>11414</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45">
      <c r="A3637" s="15" t="s">
        <v>12674</v>
      </c>
      <c r="B3637" s="10" t="s">
        <v>5</v>
      </c>
      <c r="C3637" s="17"/>
      <c r="D3637" s="22"/>
      <c r="E3637" s="38" t="s">
        <v>11417</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45">
      <c r="A3638" s="15" t="s">
        <v>12675</v>
      </c>
      <c r="B3638" s="10" t="s">
        <v>5</v>
      </c>
      <c r="C3638" s="17"/>
      <c r="D3638" s="22"/>
      <c r="E3638" s="38" t="s">
        <v>11439</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45">
      <c r="A3639" s="15" t="s">
        <v>12676</v>
      </c>
      <c r="B3639" s="10" t="s">
        <v>5</v>
      </c>
      <c r="C3639" s="17"/>
      <c r="D3639" s="22"/>
      <c r="E3639" s="38" t="s">
        <v>11424</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45">
      <c r="A3640" s="12" t="s">
        <v>12699</v>
      </c>
      <c r="B3640" s="10" t="s">
        <v>5</v>
      </c>
      <c r="C3640" s="11"/>
      <c r="D3640" s="22"/>
      <c r="E3640" s="37" t="s">
        <v>11428</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45">
      <c r="A3641" s="15" t="s">
        <v>12700</v>
      </c>
      <c r="B3641" s="10" t="s">
        <v>5</v>
      </c>
      <c r="C3641" s="17"/>
      <c r="D3641" s="22"/>
      <c r="E3641" s="38" t="s">
        <v>11436</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45">
      <c r="A3642" s="15" t="s">
        <v>12701</v>
      </c>
      <c r="B3642" s="10" t="s">
        <v>5</v>
      </c>
      <c r="C3642" s="17"/>
      <c r="D3642" s="22"/>
      <c r="E3642" s="38" t="s">
        <v>11414</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45">
      <c r="A3643" s="15" t="s">
        <v>12702</v>
      </c>
      <c r="B3643" s="10" t="s">
        <v>5</v>
      </c>
      <c r="C3643" s="17"/>
      <c r="D3643" s="22"/>
      <c r="E3643" s="38" t="s">
        <v>11437</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45">
      <c r="A3644" s="15" t="s">
        <v>12703</v>
      </c>
      <c r="B3644" s="10" t="s">
        <v>5</v>
      </c>
      <c r="C3644" s="17"/>
      <c r="D3644" s="22"/>
      <c r="E3644" s="38" t="s">
        <v>11424</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45">
      <c r="A3645" s="15" t="s">
        <v>12704</v>
      </c>
      <c r="B3645" s="10" t="s">
        <v>5</v>
      </c>
      <c r="C3645" s="17"/>
      <c r="D3645" s="22"/>
      <c r="E3645" s="38" t="s">
        <v>11418</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45">
      <c r="A3646" s="15" t="s">
        <v>12705</v>
      </c>
      <c r="B3646" s="10" t="s">
        <v>5</v>
      </c>
      <c r="C3646" s="17"/>
      <c r="D3646" s="22"/>
      <c r="E3646" s="38" t="s">
        <v>11414</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45">
      <c r="A3647" s="15" t="s">
        <v>12706</v>
      </c>
      <c r="B3647" s="10" t="s">
        <v>5</v>
      </c>
      <c r="C3647" s="17"/>
      <c r="D3647" s="22"/>
      <c r="E3647" s="38" t="s">
        <v>11417</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45">
      <c r="A3648" s="15" t="s">
        <v>12707</v>
      </c>
      <c r="B3648" s="10" t="s">
        <v>5</v>
      </c>
      <c r="C3648" s="17"/>
      <c r="D3648" s="22"/>
      <c r="E3648" s="38" t="s">
        <v>11418</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45">
      <c r="A3649" s="15" t="s">
        <v>12708</v>
      </c>
      <c r="B3649" s="10" t="s">
        <v>5</v>
      </c>
      <c r="C3649" s="17"/>
      <c r="D3649" s="22"/>
      <c r="E3649" s="38" t="s">
        <v>11436</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45">
      <c r="A3650" s="15" t="s">
        <v>12709</v>
      </c>
      <c r="B3650" s="10" t="s">
        <v>5</v>
      </c>
      <c r="C3650" s="17"/>
      <c r="D3650" s="22"/>
      <c r="E3650" s="38" t="s">
        <v>11417</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45">
      <c r="A3651" s="15" t="s">
        <v>12710</v>
      </c>
      <c r="B3651" s="10" t="s">
        <v>5</v>
      </c>
      <c r="C3651" s="17"/>
      <c r="D3651" s="22"/>
      <c r="E3651" s="38" t="s">
        <v>11420</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45">
      <c r="A3652" s="15" t="s">
        <v>12711</v>
      </c>
      <c r="B3652" s="10" t="s">
        <v>5</v>
      </c>
      <c r="C3652" s="17"/>
      <c r="D3652" s="22"/>
      <c r="E3652" s="38" t="s">
        <v>11437</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45">
      <c r="A3653" s="15" t="s">
        <v>12712</v>
      </c>
      <c r="B3653" s="10" t="s">
        <v>5</v>
      </c>
      <c r="C3653" s="17"/>
      <c r="D3653" s="22"/>
      <c r="E3653" s="38" t="s">
        <v>11419</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45">
      <c r="A3654" s="15" t="s">
        <v>12713</v>
      </c>
      <c r="B3654" s="10" t="s">
        <v>5</v>
      </c>
      <c r="C3654" s="17"/>
      <c r="D3654" s="22"/>
      <c r="E3654" s="38" t="s">
        <v>11425</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45">
      <c r="A3655" s="15" t="s">
        <v>12714</v>
      </c>
      <c r="B3655" s="10" t="s">
        <v>5</v>
      </c>
      <c r="C3655" s="17"/>
      <c r="D3655" s="22"/>
      <c r="E3655" s="38" t="s">
        <v>11437</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45">
      <c r="A3656" s="15" t="s">
        <v>12715</v>
      </c>
      <c r="B3656" s="10" t="s">
        <v>5</v>
      </c>
      <c r="C3656" s="17"/>
      <c r="D3656" s="22"/>
      <c r="E3656" s="38" t="s">
        <v>11436</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45">
      <c r="A3657" s="15" t="s">
        <v>12716</v>
      </c>
      <c r="B3657" s="10" t="s">
        <v>5</v>
      </c>
      <c r="C3657" s="17"/>
      <c r="D3657" s="22"/>
      <c r="E3657" s="38" t="s">
        <v>11425</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45">
      <c r="A3658" s="15" t="s">
        <v>12717</v>
      </c>
      <c r="B3658" s="10" t="s">
        <v>5</v>
      </c>
      <c r="C3658" s="17"/>
      <c r="D3658" s="22"/>
      <c r="E3658" s="38" t="s">
        <v>11414</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45">
      <c r="A3659" s="15" t="s">
        <v>12718</v>
      </c>
      <c r="B3659" s="10" t="s">
        <v>5</v>
      </c>
      <c r="C3659" s="17" t="s">
        <v>12749</v>
      </c>
      <c r="D3659" s="22"/>
      <c r="E3659" s="38" t="s">
        <v>11420</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45">
      <c r="A3660" s="15" t="s">
        <v>12719</v>
      </c>
      <c r="B3660" s="10" t="s">
        <v>5</v>
      </c>
      <c r="C3660" s="17" t="s">
        <v>12750</v>
      </c>
      <c r="D3660" s="22"/>
      <c r="E3660" s="38" t="s">
        <v>11420</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45">
      <c r="A3661" s="15" t="s">
        <v>12720</v>
      </c>
      <c r="B3661" s="10" t="s">
        <v>5</v>
      </c>
      <c r="C3661" s="17" t="s">
        <v>12751</v>
      </c>
      <c r="D3661" s="22"/>
      <c r="E3661" s="38" t="s">
        <v>11417</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45">
      <c r="A3662" s="15" t="s">
        <v>12721</v>
      </c>
      <c r="B3662" s="10" t="s">
        <v>5</v>
      </c>
      <c r="C3662" s="17" t="s">
        <v>12752</v>
      </c>
      <c r="D3662" s="22"/>
      <c r="E3662" s="38" t="s">
        <v>11436</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45">
      <c r="A3663" s="15" t="s">
        <v>12722</v>
      </c>
      <c r="B3663" s="10" t="s">
        <v>5</v>
      </c>
      <c r="C3663" s="17" t="s">
        <v>12753</v>
      </c>
      <c r="D3663" s="22"/>
      <c r="E3663" s="38" t="s">
        <v>11436</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45">
      <c r="A3664" s="15" t="s">
        <v>12723</v>
      </c>
      <c r="B3664" s="10" t="s">
        <v>5</v>
      </c>
      <c r="C3664" s="17" t="s">
        <v>12754</v>
      </c>
      <c r="D3664" s="22"/>
      <c r="E3664" s="38" t="s">
        <v>11436</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45">
      <c r="A3665" s="15" t="s">
        <v>12724</v>
      </c>
      <c r="B3665" s="10" t="s">
        <v>5</v>
      </c>
      <c r="C3665" s="17" t="s">
        <v>12755</v>
      </c>
      <c r="D3665" s="22"/>
      <c r="E3665" s="38" t="s">
        <v>11417</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45">
      <c r="A3666" s="15" t="s">
        <v>12725</v>
      </c>
      <c r="B3666" s="10" t="s">
        <v>5</v>
      </c>
      <c r="C3666" s="17" t="s">
        <v>12756</v>
      </c>
      <c r="D3666" s="22"/>
      <c r="E3666" s="38" t="s">
        <v>11425</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45">
      <c r="A3667" s="15" t="s">
        <v>12726</v>
      </c>
      <c r="B3667" s="10" t="s">
        <v>5</v>
      </c>
      <c r="C3667" s="17" t="s">
        <v>12757</v>
      </c>
      <c r="D3667" s="22"/>
      <c r="E3667" s="38" t="s">
        <v>11436</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45">
      <c r="A3668" s="15" t="s">
        <v>12727</v>
      </c>
      <c r="B3668" s="10" t="s">
        <v>5</v>
      </c>
      <c r="C3668" s="17" t="s">
        <v>12758</v>
      </c>
      <c r="D3668" s="22"/>
      <c r="E3668" s="38" t="s">
        <v>11420</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45">
      <c r="A3669" s="15" t="s">
        <v>12728</v>
      </c>
      <c r="B3669" s="10" t="s">
        <v>5</v>
      </c>
      <c r="C3669" s="17" t="s">
        <v>12759</v>
      </c>
      <c r="D3669" s="22"/>
      <c r="E3669" s="38" t="s">
        <v>11425</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45">
      <c r="A3670" s="15" t="s">
        <v>12729</v>
      </c>
      <c r="B3670" s="10" t="s">
        <v>5</v>
      </c>
      <c r="C3670" s="17" t="s">
        <v>12760</v>
      </c>
      <c r="D3670" s="22"/>
      <c r="E3670" s="38" t="s">
        <v>11417</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45">
      <c r="A3671" s="15" t="s">
        <v>12730</v>
      </c>
      <c r="B3671" s="10" t="s">
        <v>5</v>
      </c>
      <c r="C3671" s="17" t="s">
        <v>12761</v>
      </c>
      <c r="D3671" s="22"/>
      <c r="E3671" s="38" t="s">
        <v>11418</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45">
      <c r="A3672" s="15" t="s">
        <v>12731</v>
      </c>
      <c r="B3672" s="10" t="s">
        <v>5</v>
      </c>
      <c r="C3672" s="17" t="s">
        <v>12762</v>
      </c>
      <c r="D3672" s="22"/>
      <c r="E3672" s="38" t="s">
        <v>11418</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45">
      <c r="A3673" s="15" t="s">
        <v>12732</v>
      </c>
      <c r="B3673" s="10" t="s">
        <v>5</v>
      </c>
      <c r="C3673" s="17" t="s">
        <v>12763</v>
      </c>
      <c r="D3673" s="22"/>
      <c r="E3673" s="38" t="s">
        <v>11427</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45">
      <c r="A3674" s="15" t="s">
        <v>12733</v>
      </c>
      <c r="B3674" s="10" t="s">
        <v>5</v>
      </c>
      <c r="C3674" s="17" t="s">
        <v>12764</v>
      </c>
      <c r="D3674" s="22"/>
      <c r="E3674" s="38" t="s">
        <v>11437</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45">
      <c r="A3675" s="15" t="s">
        <v>12734</v>
      </c>
      <c r="B3675" s="10" t="s">
        <v>5</v>
      </c>
      <c r="C3675" s="17" t="s">
        <v>12765</v>
      </c>
      <c r="D3675" s="22"/>
      <c r="E3675" s="38" t="s">
        <v>11437</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45">
      <c r="A3676" s="15" t="s">
        <v>12735</v>
      </c>
      <c r="B3676" s="10" t="s">
        <v>5</v>
      </c>
      <c r="C3676" s="17" t="s">
        <v>12766</v>
      </c>
      <c r="D3676" s="22"/>
      <c r="E3676" s="38" t="s">
        <v>11420</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45">
      <c r="A3677" s="15" t="s">
        <v>12736</v>
      </c>
      <c r="B3677" s="10" t="s">
        <v>5</v>
      </c>
      <c r="C3677" s="17" t="s">
        <v>12767</v>
      </c>
      <c r="D3677" s="22"/>
      <c r="E3677" s="38" t="s">
        <v>11414</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45">
      <c r="A3678" s="15" t="s">
        <v>12737</v>
      </c>
      <c r="B3678" s="10" t="s">
        <v>5</v>
      </c>
      <c r="C3678" s="17" t="s">
        <v>12768</v>
      </c>
      <c r="D3678" s="22"/>
      <c r="E3678" s="38" t="s">
        <v>11419</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45">
      <c r="A3679" s="15" t="s">
        <v>12738</v>
      </c>
      <c r="B3679" s="10" t="s">
        <v>5</v>
      </c>
      <c r="C3679" s="17" t="s">
        <v>12769</v>
      </c>
      <c r="D3679" s="22"/>
      <c r="E3679" s="38" t="s">
        <v>11436</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45">
      <c r="A3680" s="15" t="s">
        <v>12739</v>
      </c>
      <c r="B3680" s="10" t="s">
        <v>5</v>
      </c>
      <c r="C3680" s="17" t="s">
        <v>12770</v>
      </c>
      <c r="D3680" s="22"/>
      <c r="E3680" s="38" t="s">
        <v>11417</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45">
      <c r="A3681" s="15" t="s">
        <v>12740</v>
      </c>
      <c r="B3681" s="10" t="s">
        <v>5</v>
      </c>
      <c r="C3681" s="17" t="s">
        <v>12771</v>
      </c>
      <c r="D3681" s="22"/>
      <c r="E3681" s="38" t="s">
        <v>11437</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45">
      <c r="A3682" s="15" t="s">
        <v>12741</v>
      </c>
      <c r="B3682" s="10" t="s">
        <v>5</v>
      </c>
      <c r="C3682" s="17" t="s">
        <v>12772</v>
      </c>
      <c r="D3682" s="22"/>
      <c r="E3682" s="38" t="s">
        <v>11420</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45">
      <c r="A3683" s="15" t="s">
        <v>12742</v>
      </c>
      <c r="B3683" s="10" t="s">
        <v>5</v>
      </c>
      <c r="C3683" s="17" t="s">
        <v>12773</v>
      </c>
      <c r="D3683" s="22"/>
      <c r="E3683" s="38" t="s">
        <v>11436</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45">
      <c r="A3684" s="15" t="s">
        <v>12743</v>
      </c>
      <c r="B3684" s="10" t="s">
        <v>5</v>
      </c>
      <c r="C3684" s="17" t="s">
        <v>12774</v>
      </c>
      <c r="D3684" s="22"/>
      <c r="E3684" s="38" t="s">
        <v>11436</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45">
      <c r="A3685" s="15" t="s">
        <v>12744</v>
      </c>
      <c r="B3685" s="10" t="s">
        <v>5</v>
      </c>
      <c r="C3685" s="17" t="s">
        <v>12775</v>
      </c>
      <c r="D3685" s="22"/>
      <c r="E3685" s="38" t="s">
        <v>11414</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45">
      <c r="A3686" s="15" t="s">
        <v>12745</v>
      </c>
      <c r="B3686" s="10" t="s">
        <v>5</v>
      </c>
      <c r="C3686" s="17" t="s">
        <v>12776</v>
      </c>
      <c r="D3686" s="22"/>
      <c r="E3686" s="38" t="s">
        <v>11439</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45">
      <c r="A3687" s="15" t="s">
        <v>12746</v>
      </c>
      <c r="B3687" s="10" t="s">
        <v>5</v>
      </c>
      <c r="C3687" s="17" t="s">
        <v>12777</v>
      </c>
      <c r="D3687" s="22"/>
      <c r="E3687" s="38" t="s">
        <v>11419</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45">
      <c r="A3688" s="15" t="s">
        <v>12747</v>
      </c>
      <c r="B3688" s="10" t="s">
        <v>5</v>
      </c>
      <c r="C3688" s="17" t="s">
        <v>12778</v>
      </c>
      <c r="D3688" s="22"/>
      <c r="E3688" s="38" t="s">
        <v>11414</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45">
      <c r="A3689" s="15" t="s">
        <v>12748</v>
      </c>
      <c r="B3689" s="10" t="s">
        <v>5</v>
      </c>
      <c r="C3689" s="17" t="s">
        <v>12779</v>
      </c>
      <c r="D3689" s="22"/>
      <c r="E3689" s="38" t="s">
        <v>11436</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45">
      <c r="A3690" s="12" t="s">
        <v>12780</v>
      </c>
      <c r="B3690" s="10" t="s">
        <v>5</v>
      </c>
      <c r="C3690" s="11" t="s">
        <v>12815</v>
      </c>
      <c r="D3690" s="22"/>
      <c r="E3690" s="37" t="s">
        <v>11424</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45">
      <c r="A3691" s="15" t="s">
        <v>12781</v>
      </c>
      <c r="B3691" s="10" t="s">
        <v>5</v>
      </c>
      <c r="C3691" s="17" t="s">
        <v>12816</v>
      </c>
      <c r="D3691" s="22"/>
      <c r="E3691" s="38" t="s">
        <v>11425</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45">
      <c r="A3692" s="15" t="s">
        <v>12782</v>
      </c>
      <c r="B3692" s="10" t="s">
        <v>5</v>
      </c>
      <c r="C3692" s="17" t="s">
        <v>12817</v>
      </c>
      <c r="D3692" s="22"/>
      <c r="E3692" s="38" t="s">
        <v>11426</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45">
      <c r="A3693" s="15" t="s">
        <v>12783</v>
      </c>
      <c r="B3693" s="10" t="s">
        <v>5</v>
      </c>
      <c r="C3693" s="17" t="s">
        <v>12818</v>
      </c>
      <c r="D3693" s="22"/>
      <c r="E3693" s="38" t="s">
        <v>11414</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45">
      <c r="A3694" s="15" t="s">
        <v>12784</v>
      </c>
      <c r="B3694" s="10" t="s">
        <v>5</v>
      </c>
      <c r="C3694" s="17" t="s">
        <v>12819</v>
      </c>
      <c r="D3694" s="22"/>
      <c r="E3694" s="38" t="s">
        <v>11436</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45">
      <c r="A3695" s="15" t="s">
        <v>12785</v>
      </c>
      <c r="B3695" s="10" t="s">
        <v>5</v>
      </c>
      <c r="C3695" s="17" t="s">
        <v>12820</v>
      </c>
      <c r="D3695" s="22"/>
      <c r="E3695" s="38" t="s">
        <v>11436</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45">
      <c r="A3696" s="15" t="s">
        <v>12786</v>
      </c>
      <c r="B3696" s="10" t="s">
        <v>5</v>
      </c>
      <c r="C3696" s="17" t="s">
        <v>12821</v>
      </c>
      <c r="D3696" s="22"/>
      <c r="E3696" s="38" t="s">
        <v>11424</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45">
      <c r="A3697" s="15" t="s">
        <v>12787</v>
      </c>
      <c r="B3697" s="10" t="s">
        <v>5</v>
      </c>
      <c r="C3697" s="17" t="s">
        <v>12822</v>
      </c>
      <c r="D3697" s="22"/>
      <c r="E3697" s="38" t="s">
        <v>11426</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45">
      <c r="A3698" s="15" t="s">
        <v>12788</v>
      </c>
      <c r="B3698" s="10" t="s">
        <v>5</v>
      </c>
      <c r="C3698" s="17" t="s">
        <v>12823</v>
      </c>
      <c r="D3698" s="22"/>
      <c r="E3698" s="38" t="s">
        <v>11424</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45">
      <c r="A3699" s="15" t="s">
        <v>12789</v>
      </c>
      <c r="B3699" s="10" t="s">
        <v>5</v>
      </c>
      <c r="C3699" s="17" t="s">
        <v>12824</v>
      </c>
      <c r="D3699" s="22"/>
      <c r="E3699" s="38" t="s">
        <v>11420</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45">
      <c r="A3700" s="15" t="s">
        <v>12790</v>
      </c>
      <c r="B3700" s="10" t="s">
        <v>5</v>
      </c>
      <c r="C3700" s="17" t="s">
        <v>12825</v>
      </c>
      <c r="D3700" s="22"/>
      <c r="E3700" s="38" t="s">
        <v>11428</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45">
      <c r="A3701" s="15" t="s">
        <v>12791</v>
      </c>
      <c r="B3701" s="10" t="s">
        <v>5</v>
      </c>
      <c r="C3701" s="17" t="s">
        <v>12826</v>
      </c>
      <c r="D3701" s="22"/>
      <c r="E3701" s="38" t="s">
        <v>11417</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45">
      <c r="A3702" s="15" t="s">
        <v>12792</v>
      </c>
      <c r="B3702" s="10" t="s">
        <v>5</v>
      </c>
      <c r="C3702" s="17" t="s">
        <v>12827</v>
      </c>
      <c r="D3702" s="22"/>
      <c r="E3702" s="38" t="s">
        <v>11417</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45">
      <c r="A3703" s="15" t="s">
        <v>12793</v>
      </c>
      <c r="B3703" s="10" t="s">
        <v>5</v>
      </c>
      <c r="C3703" s="17" t="s">
        <v>12828</v>
      </c>
      <c r="D3703" s="22"/>
      <c r="E3703" s="38" t="s">
        <v>11432</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45">
      <c r="A3704" s="15" t="s">
        <v>12794</v>
      </c>
      <c r="B3704" s="10" t="s">
        <v>5</v>
      </c>
      <c r="C3704" s="17" t="s">
        <v>12829</v>
      </c>
      <c r="D3704" s="22"/>
      <c r="E3704" s="38" t="s">
        <v>11419</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45">
      <c r="A3705" s="15" t="s">
        <v>12795</v>
      </c>
      <c r="B3705" s="10" t="s">
        <v>5</v>
      </c>
      <c r="C3705" s="17" t="s">
        <v>12830</v>
      </c>
      <c r="D3705" s="22"/>
      <c r="E3705" s="38" t="s">
        <v>11420</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45">
      <c r="A3706" s="15" t="s">
        <v>12796</v>
      </c>
      <c r="B3706" s="10" t="s">
        <v>5</v>
      </c>
      <c r="C3706" s="17" t="s">
        <v>12831</v>
      </c>
      <c r="D3706" s="22"/>
      <c r="E3706" s="38" t="s">
        <v>11417</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45">
      <c r="A3707" s="15" t="s">
        <v>12797</v>
      </c>
      <c r="B3707" s="10" t="s">
        <v>5</v>
      </c>
      <c r="C3707" s="17" t="s">
        <v>12832</v>
      </c>
      <c r="D3707" s="22"/>
      <c r="E3707" s="38" t="s">
        <v>11424</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45">
      <c r="A3708" s="15" t="s">
        <v>12798</v>
      </c>
      <c r="B3708" s="10" t="s">
        <v>5</v>
      </c>
      <c r="C3708" s="17" t="s">
        <v>12833</v>
      </c>
      <c r="D3708" s="22"/>
      <c r="E3708" s="38" t="s">
        <v>11417</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45">
      <c r="A3709" s="15" t="s">
        <v>12799</v>
      </c>
      <c r="B3709" s="10" t="s">
        <v>5</v>
      </c>
      <c r="C3709" s="17" t="s">
        <v>12834</v>
      </c>
      <c r="D3709" s="22"/>
      <c r="E3709" s="38" t="s">
        <v>11436</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45">
      <c r="A3710" s="15" t="s">
        <v>12800</v>
      </c>
      <c r="B3710" s="10" t="s">
        <v>5</v>
      </c>
      <c r="C3710" s="17" t="s">
        <v>12835</v>
      </c>
      <c r="D3710" s="22"/>
      <c r="E3710" s="38" t="s">
        <v>11426</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45">
      <c r="A3711" s="15" t="s">
        <v>12801</v>
      </c>
      <c r="B3711" s="10" t="s">
        <v>5</v>
      </c>
      <c r="C3711" s="17" t="s">
        <v>12836</v>
      </c>
      <c r="D3711" s="22"/>
      <c r="E3711" s="38" t="s">
        <v>11418</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45">
      <c r="A3712" s="15" t="s">
        <v>12802</v>
      </c>
      <c r="B3712" s="10" t="s">
        <v>5</v>
      </c>
      <c r="C3712" s="17" t="s">
        <v>12837</v>
      </c>
      <c r="D3712" s="22"/>
      <c r="E3712" s="38" t="s">
        <v>11425</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45">
      <c r="A3713" s="15" t="s">
        <v>12803</v>
      </c>
      <c r="B3713" s="10" t="s">
        <v>5</v>
      </c>
      <c r="C3713" s="17" t="s">
        <v>12838</v>
      </c>
      <c r="D3713" s="22"/>
      <c r="E3713" s="38" t="s">
        <v>11424</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45">
      <c r="A3714" s="15" t="s">
        <v>12804</v>
      </c>
      <c r="B3714" s="10" t="s">
        <v>5</v>
      </c>
      <c r="C3714" s="17" t="s">
        <v>12839</v>
      </c>
      <c r="D3714" s="22"/>
      <c r="E3714" s="38" t="s">
        <v>11424</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45">
      <c r="A3715" s="15" t="s">
        <v>12805</v>
      </c>
      <c r="B3715" s="10" t="s">
        <v>5</v>
      </c>
      <c r="C3715" s="17" t="s">
        <v>12840</v>
      </c>
      <c r="D3715" s="22"/>
      <c r="E3715" s="38" t="s">
        <v>11419</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45">
      <c r="A3716" s="15" t="s">
        <v>12806</v>
      </c>
      <c r="B3716" s="10" t="s">
        <v>5</v>
      </c>
      <c r="C3716" s="17" t="s">
        <v>12841</v>
      </c>
      <c r="D3716" s="22"/>
      <c r="E3716" s="38" t="s">
        <v>11425</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45">
      <c r="A3717" s="15" t="s">
        <v>12807</v>
      </c>
      <c r="B3717" s="10" t="s">
        <v>5</v>
      </c>
      <c r="C3717" s="17" t="s">
        <v>12842</v>
      </c>
      <c r="D3717" s="22"/>
      <c r="E3717" s="38" t="s">
        <v>11417</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45">
      <c r="A3718" s="15" t="s">
        <v>12808</v>
      </c>
      <c r="B3718" s="10" t="s">
        <v>5</v>
      </c>
      <c r="C3718" s="17" t="s">
        <v>12843</v>
      </c>
      <c r="D3718" s="22"/>
      <c r="E3718" s="38" t="s">
        <v>11418</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45">
      <c r="A3719" s="15" t="s">
        <v>12809</v>
      </c>
      <c r="B3719" s="10" t="s">
        <v>5</v>
      </c>
      <c r="C3719" s="17" t="s">
        <v>12844</v>
      </c>
      <c r="D3719" s="22"/>
      <c r="E3719" s="38" t="s">
        <v>11437</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45">
      <c r="A3720" s="15" t="s">
        <v>12810</v>
      </c>
      <c r="B3720" s="10" t="s">
        <v>5</v>
      </c>
      <c r="C3720" s="17" t="s">
        <v>12845</v>
      </c>
      <c r="D3720" s="22"/>
      <c r="E3720" s="38" t="s">
        <v>11437</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45">
      <c r="A3721" s="15" t="s">
        <v>12811</v>
      </c>
      <c r="B3721" s="10" t="s">
        <v>5</v>
      </c>
      <c r="C3721" s="17" t="s">
        <v>12846</v>
      </c>
      <c r="D3721" s="22"/>
      <c r="E3721" s="38" t="s">
        <v>11426</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45">
      <c r="A3722" s="15" t="s">
        <v>12812</v>
      </c>
      <c r="B3722" s="10" t="s">
        <v>5</v>
      </c>
      <c r="C3722" s="17" t="s">
        <v>12847</v>
      </c>
      <c r="D3722" s="22"/>
      <c r="E3722" s="38" t="s">
        <v>11439</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45">
      <c r="A3723" s="15" t="s">
        <v>12813</v>
      </c>
      <c r="B3723" s="10" t="s">
        <v>5</v>
      </c>
      <c r="C3723" s="17" t="s">
        <v>12848</v>
      </c>
      <c r="D3723" s="22"/>
      <c r="E3723" s="38" t="s">
        <v>11437</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45">
      <c r="A3724" s="15" t="s">
        <v>12814</v>
      </c>
      <c r="B3724" s="10" t="s">
        <v>5</v>
      </c>
      <c r="C3724" s="17" t="s">
        <v>12849</v>
      </c>
      <c r="D3724" s="22"/>
      <c r="E3724" s="38" t="s">
        <v>11432</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45">
      <c r="A3725" s="12" t="s">
        <v>12856</v>
      </c>
      <c r="B3725" s="10" t="s">
        <v>5</v>
      </c>
      <c r="C3725" s="11" t="s">
        <v>12897</v>
      </c>
      <c r="D3725" s="22"/>
      <c r="E3725" s="37" t="s">
        <v>11424</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45">
      <c r="A3726" s="12" t="s">
        <v>12857</v>
      </c>
      <c r="B3726" s="10" t="s">
        <v>5</v>
      </c>
      <c r="C3726" s="11" t="s">
        <v>12898</v>
      </c>
      <c r="D3726" s="22"/>
      <c r="E3726" s="37" t="s">
        <v>11424</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45">
      <c r="A3727" s="12" t="s">
        <v>12858</v>
      </c>
      <c r="B3727" s="10" t="s">
        <v>5</v>
      </c>
      <c r="C3727" s="11" t="s">
        <v>12899</v>
      </c>
      <c r="D3727" s="22"/>
      <c r="E3727" s="37" t="s">
        <v>11424</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45">
      <c r="A3728" s="15" t="s">
        <v>12859</v>
      </c>
      <c r="B3728" s="10" t="s">
        <v>5</v>
      </c>
      <c r="C3728" s="17" t="s">
        <v>12900</v>
      </c>
      <c r="D3728" s="22"/>
      <c r="E3728" s="38" t="s">
        <v>11432</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45">
      <c r="A3729" s="12" t="s">
        <v>12860</v>
      </c>
      <c r="B3729" s="10" t="s">
        <v>5</v>
      </c>
      <c r="C3729" s="11" t="s">
        <v>12901</v>
      </c>
      <c r="D3729" s="22"/>
      <c r="E3729" s="37" t="s">
        <v>11432</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45">
      <c r="A3730" s="12" t="s">
        <v>12861</v>
      </c>
      <c r="B3730" s="10" t="s">
        <v>5</v>
      </c>
      <c r="C3730" s="11" t="s">
        <v>12902</v>
      </c>
      <c r="D3730" s="22"/>
      <c r="E3730" s="37" t="s">
        <v>11426</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45">
      <c r="A3731" s="12" t="s">
        <v>12862</v>
      </c>
      <c r="B3731" s="10" t="s">
        <v>5</v>
      </c>
      <c r="C3731" s="11" t="s">
        <v>12903</v>
      </c>
      <c r="D3731" s="22"/>
      <c r="E3731" s="37" t="s">
        <v>11418</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45">
      <c r="A3732" s="15" t="s">
        <v>12863</v>
      </c>
      <c r="B3732" s="10" t="s">
        <v>5</v>
      </c>
      <c r="C3732" s="17" t="s">
        <v>12904</v>
      </c>
      <c r="D3732" s="22"/>
      <c r="E3732" s="38" t="s">
        <v>11414</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45">
      <c r="A3733" s="15" t="s">
        <v>12864</v>
      </c>
      <c r="B3733" s="10" t="s">
        <v>5</v>
      </c>
      <c r="C3733" s="17" t="s">
        <v>12905</v>
      </c>
      <c r="D3733" s="22"/>
      <c r="E3733" s="38" t="s">
        <v>11432</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45">
      <c r="A3734" s="15" t="s">
        <v>12865</v>
      </c>
      <c r="B3734" s="10" t="s">
        <v>5</v>
      </c>
      <c r="C3734" s="17" t="s">
        <v>12906</v>
      </c>
      <c r="D3734" s="22"/>
      <c r="E3734" s="38" t="s">
        <v>11414</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45">
      <c r="A3735" s="15" t="s">
        <v>12866</v>
      </c>
      <c r="B3735" s="10" t="s">
        <v>5</v>
      </c>
      <c r="C3735" s="17" t="s">
        <v>12907</v>
      </c>
      <c r="D3735" s="22"/>
      <c r="E3735" s="38" t="s">
        <v>11436</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45">
      <c r="A3736" s="15" t="s">
        <v>12867</v>
      </c>
      <c r="B3736" s="10" t="s">
        <v>5</v>
      </c>
      <c r="C3736" s="17" t="s">
        <v>12908</v>
      </c>
      <c r="D3736" s="22"/>
      <c r="E3736" s="38" t="s">
        <v>11418</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45">
      <c r="A3737" s="15" t="s">
        <v>12868</v>
      </c>
      <c r="B3737" s="10" t="s">
        <v>5</v>
      </c>
      <c r="C3737" s="17" t="s">
        <v>12909</v>
      </c>
      <c r="D3737" s="22"/>
      <c r="E3737" s="38" t="s">
        <v>11427</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45">
      <c r="A3738" s="15" t="s">
        <v>12869</v>
      </c>
      <c r="B3738" s="10" t="s">
        <v>5</v>
      </c>
      <c r="C3738" s="17" t="s">
        <v>12910</v>
      </c>
      <c r="D3738" s="22"/>
      <c r="E3738" s="38" t="s">
        <v>11414</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45">
      <c r="A3739" s="15" t="s">
        <v>12870</v>
      </c>
      <c r="B3739" s="10" t="s">
        <v>5</v>
      </c>
      <c r="C3739" s="17" t="s">
        <v>12911</v>
      </c>
      <c r="D3739" s="22"/>
      <c r="E3739" s="38" t="s">
        <v>11420</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45">
      <c r="A3740" s="15" t="s">
        <v>12871</v>
      </c>
      <c r="B3740" s="10" t="s">
        <v>5</v>
      </c>
      <c r="C3740" s="17" t="s">
        <v>12912</v>
      </c>
      <c r="D3740" s="22"/>
      <c r="E3740" s="38" t="s">
        <v>11426</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45">
      <c r="A3741" s="15" t="s">
        <v>12872</v>
      </c>
      <c r="B3741" s="10" t="s">
        <v>5</v>
      </c>
      <c r="C3741" s="17" t="s">
        <v>12913</v>
      </c>
      <c r="D3741" s="22"/>
      <c r="E3741" s="38" t="s">
        <v>11436</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45">
      <c r="A3742" s="15" t="s">
        <v>12873</v>
      </c>
      <c r="B3742" s="10" t="s">
        <v>5</v>
      </c>
      <c r="C3742" s="17" t="s">
        <v>12914</v>
      </c>
      <c r="D3742" s="22"/>
      <c r="E3742" s="38" t="s">
        <v>11417</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45">
      <c r="A3743" s="15" t="s">
        <v>12874</v>
      </c>
      <c r="B3743" s="10" t="s">
        <v>5</v>
      </c>
      <c r="C3743" s="17" t="s">
        <v>12915</v>
      </c>
      <c r="D3743" s="22"/>
      <c r="E3743" s="38" t="s">
        <v>11432</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45">
      <c r="A3744" s="15" t="s">
        <v>12875</v>
      </c>
      <c r="B3744" s="10" t="s">
        <v>5</v>
      </c>
      <c r="C3744" s="17" t="s">
        <v>12916</v>
      </c>
      <c r="D3744" s="22"/>
      <c r="E3744" s="38" t="s">
        <v>11424</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45">
      <c r="A3745" s="15" t="s">
        <v>12876</v>
      </c>
      <c r="B3745" s="10" t="s">
        <v>5</v>
      </c>
      <c r="C3745" s="17" t="s">
        <v>12917</v>
      </c>
      <c r="D3745" s="22"/>
      <c r="E3745" s="38" t="s">
        <v>11414</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45">
      <c r="A3746" s="15" t="s">
        <v>12877</v>
      </c>
      <c r="B3746" s="10" t="s">
        <v>5</v>
      </c>
      <c r="C3746" s="17" t="s">
        <v>12918</v>
      </c>
      <c r="D3746" s="22"/>
      <c r="E3746" s="38" t="s">
        <v>11420</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45">
      <c r="A3747" s="15" t="s">
        <v>12878</v>
      </c>
      <c r="B3747" s="10" t="s">
        <v>5</v>
      </c>
      <c r="C3747" s="17" t="s">
        <v>12919</v>
      </c>
      <c r="D3747" s="22"/>
      <c r="E3747" s="38" t="s">
        <v>11417</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45">
      <c r="A3748" s="15" t="s">
        <v>12879</v>
      </c>
      <c r="B3748" s="10" t="s">
        <v>5</v>
      </c>
      <c r="C3748" s="17" t="s">
        <v>12920</v>
      </c>
      <c r="D3748" s="22"/>
      <c r="E3748" s="38" t="s">
        <v>11419</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45">
      <c r="A3749" s="15" t="s">
        <v>12880</v>
      </c>
      <c r="B3749" s="10" t="s">
        <v>5</v>
      </c>
      <c r="C3749" s="17" t="s">
        <v>12921</v>
      </c>
      <c r="D3749" s="22"/>
      <c r="E3749" s="38" t="s">
        <v>11432</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45">
      <c r="A3750" s="15" t="s">
        <v>12881</v>
      </c>
      <c r="B3750" s="10" t="s">
        <v>5</v>
      </c>
      <c r="C3750" s="17" t="s">
        <v>12922</v>
      </c>
      <c r="D3750" s="22"/>
      <c r="E3750" s="38" t="s">
        <v>11417</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45">
      <c r="A3751" s="15" t="s">
        <v>12882</v>
      </c>
      <c r="B3751" s="10" t="s">
        <v>5</v>
      </c>
      <c r="C3751" s="17" t="s">
        <v>12923</v>
      </c>
      <c r="D3751" s="22"/>
      <c r="E3751" s="38" t="s">
        <v>11424</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45">
      <c r="A3752" s="15" t="s">
        <v>12883</v>
      </c>
      <c r="B3752" s="10" t="s">
        <v>5</v>
      </c>
      <c r="C3752" s="17" t="s">
        <v>12924</v>
      </c>
      <c r="D3752" s="22"/>
      <c r="E3752" s="38" t="s">
        <v>11418</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45">
      <c r="A3753" s="15" t="s">
        <v>12884</v>
      </c>
      <c r="B3753" s="10" t="s">
        <v>5</v>
      </c>
      <c r="C3753" s="17" t="s">
        <v>12925</v>
      </c>
      <c r="D3753" s="22"/>
      <c r="E3753" s="38" t="s">
        <v>11437</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45">
      <c r="A3754" s="15" t="s">
        <v>12885</v>
      </c>
      <c r="B3754" s="10" t="s">
        <v>5</v>
      </c>
      <c r="C3754" s="17" t="s">
        <v>12926</v>
      </c>
      <c r="D3754" s="22"/>
      <c r="E3754" s="38" t="s">
        <v>11420</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45">
      <c r="A3755" s="15" t="s">
        <v>12886</v>
      </c>
      <c r="B3755" s="10" t="s">
        <v>5</v>
      </c>
      <c r="C3755" s="17" t="s">
        <v>12927</v>
      </c>
      <c r="D3755" s="22"/>
      <c r="E3755" s="38" t="s">
        <v>11419</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45">
      <c r="A3756" s="15" t="s">
        <v>12887</v>
      </c>
      <c r="B3756" s="10" t="s">
        <v>5</v>
      </c>
      <c r="C3756" s="17" t="s">
        <v>12928</v>
      </c>
      <c r="D3756" s="22"/>
      <c r="E3756" s="38" t="s">
        <v>11437</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45">
      <c r="A3757" s="15" t="s">
        <v>12888</v>
      </c>
      <c r="B3757" s="10" t="s">
        <v>5</v>
      </c>
      <c r="C3757" s="17" t="s">
        <v>12929</v>
      </c>
      <c r="D3757" s="22"/>
      <c r="E3757" s="38" t="s">
        <v>11417</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45">
      <c r="A3758" s="15" t="s">
        <v>12889</v>
      </c>
      <c r="B3758" s="10" t="s">
        <v>5</v>
      </c>
      <c r="C3758" s="17" t="s">
        <v>12930</v>
      </c>
      <c r="D3758" s="22"/>
      <c r="E3758" s="38" t="s">
        <v>11439</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45">
      <c r="A3759" s="15" t="s">
        <v>12890</v>
      </c>
      <c r="B3759" s="10" t="s">
        <v>5</v>
      </c>
      <c r="C3759" s="17" t="s">
        <v>12931</v>
      </c>
      <c r="D3759" s="22"/>
      <c r="E3759" s="38" t="s">
        <v>11427</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45">
      <c r="A3760" s="15" t="s">
        <v>12891</v>
      </c>
      <c r="B3760" s="10" t="s">
        <v>5</v>
      </c>
      <c r="C3760" s="17" t="s">
        <v>12932</v>
      </c>
      <c r="D3760" s="22"/>
      <c r="E3760" s="38" t="s">
        <v>11424</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45">
      <c r="A3761" s="15" t="s">
        <v>12892</v>
      </c>
      <c r="B3761" s="10" t="s">
        <v>5</v>
      </c>
      <c r="C3761" s="17" t="s">
        <v>12933</v>
      </c>
      <c r="D3761" s="22"/>
      <c r="E3761" s="38" t="s">
        <v>11425</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45">
      <c r="A3762" s="15" t="s">
        <v>12893</v>
      </c>
      <c r="B3762" s="10" t="s">
        <v>5</v>
      </c>
      <c r="C3762" s="17" t="s">
        <v>12934</v>
      </c>
      <c r="D3762" s="22"/>
      <c r="E3762" s="38" t="s">
        <v>11439</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45">
      <c r="A3763" s="15" t="s">
        <v>12894</v>
      </c>
      <c r="B3763" s="10" t="s">
        <v>5</v>
      </c>
      <c r="C3763" s="17" t="s">
        <v>12935</v>
      </c>
      <c r="D3763" s="22"/>
      <c r="E3763" s="38" t="s">
        <v>11420</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45">
      <c r="A3764" s="15" t="s">
        <v>12895</v>
      </c>
      <c r="B3764" s="10" t="s">
        <v>5</v>
      </c>
      <c r="C3764" s="17" t="s">
        <v>12936</v>
      </c>
      <c r="D3764" s="22"/>
      <c r="E3764" s="38" t="s">
        <v>11437</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45">
      <c r="A3765" s="15" t="s">
        <v>12896</v>
      </c>
      <c r="B3765" s="10" t="s">
        <v>5</v>
      </c>
      <c r="C3765" s="17" t="s">
        <v>12937</v>
      </c>
      <c r="D3765" s="22"/>
      <c r="E3765" s="38" t="s">
        <v>11414</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sheetData>
  <phoneticPr fontId="5" type="noConversion"/>
  <conditionalFormatting sqref="A2:A3765">
    <cfRule type="duplicateValues" dxfId="5" priority="1"/>
    <cfRule type="duplicateValues" dxfId="4" priority="4"/>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7FE82A07-E9E7-476A-A5C3-2610B74CE638}">
          <x14:formula1>
            <xm:f>'Data Validation'!$C$2:$C$4</xm:f>
          </x14:formula1>
          <xm:sqref>C3113:C3114 B2:B3765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heetViews>
  <sheetFormatPr defaultRowHeight="14.25" x14ac:dyDescent="0.45"/>
  <cols>
    <col min="1" max="1" width="15.73046875" bestFit="1" customWidth="1"/>
    <col min="2" max="2" width="84.73046875" bestFit="1" customWidth="1"/>
    <col min="3" max="5" width="19.1328125" customWidth="1"/>
  </cols>
  <sheetData>
    <row r="1" spans="1:6" x14ac:dyDescent="0.45">
      <c r="A1" t="s">
        <v>537</v>
      </c>
      <c r="B1" t="s">
        <v>539</v>
      </c>
      <c r="C1" t="s">
        <v>538</v>
      </c>
      <c r="D1" t="s">
        <v>9569</v>
      </c>
      <c r="E1" t="s">
        <v>11293</v>
      </c>
    </row>
    <row r="2" spans="1:6" x14ac:dyDescent="0.45">
      <c r="A2" s="15" t="s">
        <v>11414</v>
      </c>
      <c r="B2" t="s">
        <v>544</v>
      </c>
      <c r="C2" t="s">
        <v>543</v>
      </c>
      <c r="D2" t="s">
        <v>9589</v>
      </c>
      <c r="E2" t="s">
        <v>11290</v>
      </c>
      <c r="F2" s="15"/>
    </row>
    <row r="3" spans="1:6" x14ac:dyDescent="0.45">
      <c r="A3" s="15" t="s">
        <v>11415</v>
      </c>
      <c r="B3" t="s">
        <v>551</v>
      </c>
      <c r="C3" t="s">
        <v>543</v>
      </c>
      <c r="D3" t="s">
        <v>9589</v>
      </c>
      <c r="E3" t="s">
        <v>11290</v>
      </c>
      <c r="F3" s="15"/>
    </row>
    <row r="4" spans="1:6" x14ac:dyDescent="0.45">
      <c r="A4" s="15" t="s">
        <v>11416</v>
      </c>
      <c r="B4" t="s">
        <v>555</v>
      </c>
      <c r="C4" t="s">
        <v>543</v>
      </c>
      <c r="D4" t="s">
        <v>9589</v>
      </c>
      <c r="E4" t="s">
        <v>11290</v>
      </c>
      <c r="F4" s="15"/>
    </row>
    <row r="5" spans="1:6" x14ac:dyDescent="0.45">
      <c r="A5" s="15" t="s">
        <v>11437</v>
      </c>
      <c r="B5" t="s">
        <v>676</v>
      </c>
      <c r="C5" t="s">
        <v>675</v>
      </c>
      <c r="D5" t="s">
        <v>9589</v>
      </c>
      <c r="E5" t="s">
        <v>11290</v>
      </c>
      <c r="F5" s="15"/>
    </row>
    <row r="6" spans="1:6" x14ac:dyDescent="0.45">
      <c r="A6" s="15" t="s">
        <v>11419</v>
      </c>
      <c r="B6" t="s">
        <v>1353</v>
      </c>
      <c r="C6" t="s">
        <v>1352</v>
      </c>
      <c r="D6" t="s">
        <v>9589</v>
      </c>
      <c r="E6" t="s">
        <v>11290</v>
      </c>
      <c r="F6" s="15"/>
    </row>
    <row r="7" spans="1:6" x14ac:dyDescent="0.45">
      <c r="A7" s="15" t="s">
        <v>11430</v>
      </c>
      <c r="B7" t="s">
        <v>1390</v>
      </c>
      <c r="C7" t="s">
        <v>11466</v>
      </c>
      <c r="D7" t="s">
        <v>9589</v>
      </c>
      <c r="E7" t="s">
        <v>11290</v>
      </c>
      <c r="F7" s="15"/>
    </row>
    <row r="8" spans="1:6" x14ac:dyDescent="0.45">
      <c r="A8" s="15" t="s">
        <v>11426</v>
      </c>
      <c r="B8" t="s">
        <v>1397</v>
      </c>
      <c r="C8" t="s">
        <v>11466</v>
      </c>
      <c r="D8" t="s">
        <v>9589</v>
      </c>
      <c r="E8" t="s">
        <v>11290</v>
      </c>
      <c r="F8" s="15"/>
    </row>
    <row r="9" spans="1:6" x14ac:dyDescent="0.45">
      <c r="A9" s="15" t="s">
        <v>11432</v>
      </c>
      <c r="B9" t="s">
        <v>1413</v>
      </c>
      <c r="C9" t="s">
        <v>11466</v>
      </c>
      <c r="D9" t="s">
        <v>9589</v>
      </c>
      <c r="E9" t="s">
        <v>11290</v>
      </c>
      <c r="F9" s="15"/>
    </row>
    <row r="10" spans="1:6" x14ac:dyDescent="0.45">
      <c r="A10" s="15" t="s">
        <v>11421</v>
      </c>
      <c r="B10" t="s">
        <v>1417</v>
      </c>
      <c r="C10" t="s">
        <v>1352</v>
      </c>
      <c r="D10" t="s">
        <v>9589</v>
      </c>
      <c r="E10" t="s">
        <v>11290</v>
      </c>
      <c r="F10" s="15"/>
    </row>
    <row r="11" spans="1:6" x14ac:dyDescent="0.45">
      <c r="A11" s="15" t="s">
        <v>11438</v>
      </c>
      <c r="B11" t="s">
        <v>1421</v>
      </c>
      <c r="C11" t="s">
        <v>543</v>
      </c>
      <c r="D11" t="s">
        <v>9589</v>
      </c>
      <c r="E11" t="s">
        <v>11290</v>
      </c>
      <c r="F11" s="15"/>
    </row>
    <row r="12" spans="1:6" x14ac:dyDescent="0.45">
      <c r="A12" s="15" t="s">
        <v>11424</v>
      </c>
      <c r="B12" t="s">
        <v>1428</v>
      </c>
      <c r="C12" t="s">
        <v>11466</v>
      </c>
      <c r="D12" t="s">
        <v>9589</v>
      </c>
      <c r="E12" t="s">
        <v>11290</v>
      </c>
      <c r="F12" s="15"/>
    </row>
    <row r="13" spans="1:6" x14ac:dyDescent="0.45">
      <c r="A13" s="15" t="s">
        <v>11428</v>
      </c>
      <c r="B13" t="s">
        <v>1438</v>
      </c>
      <c r="C13" t="s">
        <v>543</v>
      </c>
      <c r="D13" t="s">
        <v>9589</v>
      </c>
      <c r="E13" t="s">
        <v>11290</v>
      </c>
      <c r="F13" s="15"/>
    </row>
    <row r="14" spans="1:6" x14ac:dyDescent="0.45">
      <c r="A14" s="15" t="s">
        <v>11423</v>
      </c>
      <c r="B14" t="s">
        <v>1445</v>
      </c>
      <c r="C14" t="s">
        <v>675</v>
      </c>
      <c r="D14" t="s">
        <v>9589</v>
      </c>
      <c r="E14" t="s">
        <v>11290</v>
      </c>
      <c r="F14" s="15"/>
    </row>
    <row r="15" spans="1:6" x14ac:dyDescent="0.45">
      <c r="A15" s="15" t="s">
        <v>11422</v>
      </c>
      <c r="B15" t="s">
        <v>1461</v>
      </c>
      <c r="C15" t="s">
        <v>1352</v>
      </c>
      <c r="D15" t="s">
        <v>9589</v>
      </c>
      <c r="E15" t="s">
        <v>11290</v>
      </c>
      <c r="F15" s="15"/>
    </row>
    <row r="16" spans="1:6" x14ac:dyDescent="0.45">
      <c r="A16" s="15" t="s">
        <v>11420</v>
      </c>
      <c r="B16" t="s">
        <v>1465</v>
      </c>
      <c r="C16" t="s">
        <v>675</v>
      </c>
      <c r="D16" t="s">
        <v>9589</v>
      </c>
      <c r="E16" t="s">
        <v>11290</v>
      </c>
      <c r="F16" s="15"/>
    </row>
    <row r="17" spans="1:6" x14ac:dyDescent="0.45">
      <c r="A17" s="15" t="s">
        <v>11418</v>
      </c>
      <c r="B17" t="s">
        <v>1496</v>
      </c>
      <c r="C17" t="s">
        <v>1352</v>
      </c>
      <c r="D17" t="s">
        <v>9589</v>
      </c>
      <c r="E17" t="s">
        <v>11290</v>
      </c>
      <c r="F17" s="15"/>
    </row>
    <row r="18" spans="1:6" x14ac:dyDescent="0.45">
      <c r="A18" s="15" t="s">
        <v>11417</v>
      </c>
      <c r="B18" t="s">
        <v>1500</v>
      </c>
      <c r="C18" t="s">
        <v>1352</v>
      </c>
      <c r="D18" t="s">
        <v>9589</v>
      </c>
      <c r="E18" t="s">
        <v>11290</v>
      </c>
      <c r="F18" s="15"/>
    </row>
    <row r="19" spans="1:6" x14ac:dyDescent="0.45">
      <c r="A19" s="15" t="s">
        <v>11439</v>
      </c>
      <c r="B19" t="s">
        <v>1513</v>
      </c>
      <c r="C19" t="s">
        <v>675</v>
      </c>
      <c r="D19" t="s">
        <v>9589</v>
      </c>
      <c r="E19" t="s">
        <v>11290</v>
      </c>
      <c r="F19" s="15"/>
    </row>
    <row r="20" spans="1:6" x14ac:dyDescent="0.45">
      <c r="A20" s="15" t="s">
        <v>11440</v>
      </c>
      <c r="B20" t="s">
        <v>1538</v>
      </c>
      <c r="C20" t="s">
        <v>1352</v>
      </c>
      <c r="D20" t="s">
        <v>9589</v>
      </c>
      <c r="E20" t="s">
        <v>11290</v>
      </c>
      <c r="F20" s="15"/>
    </row>
    <row r="21" spans="1:6" x14ac:dyDescent="0.45">
      <c r="A21" s="15" t="s">
        <v>11431</v>
      </c>
      <c r="B21" t="s">
        <v>1554</v>
      </c>
      <c r="C21" t="s">
        <v>675</v>
      </c>
      <c r="D21" t="s">
        <v>9589</v>
      </c>
      <c r="E21" t="s">
        <v>11290</v>
      </c>
      <c r="F21" s="15"/>
    </row>
    <row r="22" spans="1:6" x14ac:dyDescent="0.45">
      <c r="A22" s="15" t="s">
        <v>11441</v>
      </c>
      <c r="B22" t="s">
        <v>1597</v>
      </c>
      <c r="C22" t="s">
        <v>543</v>
      </c>
      <c r="D22" t="s">
        <v>9589</v>
      </c>
      <c r="E22" t="s">
        <v>11290</v>
      </c>
      <c r="F22" s="15"/>
    </row>
    <row r="23" spans="1:6" x14ac:dyDescent="0.45">
      <c r="A23" s="15" t="s">
        <v>11433</v>
      </c>
      <c r="B23" t="s">
        <v>1640</v>
      </c>
      <c r="C23" t="s">
        <v>675</v>
      </c>
      <c r="D23" t="s">
        <v>9589</v>
      </c>
      <c r="E23" t="s">
        <v>11290</v>
      </c>
      <c r="F23" s="15"/>
    </row>
    <row r="24" spans="1:6" x14ac:dyDescent="0.45">
      <c r="A24" s="15" t="s">
        <v>11434</v>
      </c>
      <c r="B24" t="s">
        <v>1680</v>
      </c>
      <c r="C24" t="s">
        <v>543</v>
      </c>
      <c r="D24" t="s">
        <v>9589</v>
      </c>
      <c r="E24" t="s">
        <v>11290</v>
      </c>
      <c r="F24" s="15"/>
    </row>
    <row r="25" spans="1:6" x14ac:dyDescent="0.45">
      <c r="A25" s="15" t="s">
        <v>11427</v>
      </c>
      <c r="B25" t="s">
        <v>1687</v>
      </c>
      <c r="C25" t="s">
        <v>675</v>
      </c>
      <c r="D25" t="s">
        <v>9589</v>
      </c>
      <c r="E25" t="s">
        <v>11290</v>
      </c>
      <c r="F25" s="15"/>
    </row>
    <row r="26" spans="1:6" x14ac:dyDescent="0.45">
      <c r="A26" s="15" t="s">
        <v>11442</v>
      </c>
      <c r="B26" t="s">
        <v>1694</v>
      </c>
      <c r="C26" t="s">
        <v>675</v>
      </c>
      <c r="D26" t="s">
        <v>9589</v>
      </c>
      <c r="E26" t="s">
        <v>11290</v>
      </c>
      <c r="F26" s="15"/>
    </row>
    <row r="27" spans="1:6" x14ac:dyDescent="0.45">
      <c r="A27" s="15" t="s">
        <v>11435</v>
      </c>
      <c r="B27" t="s">
        <v>1719</v>
      </c>
      <c r="C27" t="s">
        <v>675</v>
      </c>
      <c r="D27" t="s">
        <v>9589</v>
      </c>
      <c r="E27" t="s">
        <v>11290</v>
      </c>
      <c r="F27" s="15"/>
    </row>
    <row r="28" spans="1:6" x14ac:dyDescent="0.45">
      <c r="A28" s="15" t="s">
        <v>11429</v>
      </c>
      <c r="B28" t="s">
        <v>2050</v>
      </c>
      <c r="C28" t="s">
        <v>543</v>
      </c>
      <c r="D28" t="s">
        <v>9589</v>
      </c>
      <c r="E28" t="s">
        <v>11290</v>
      </c>
      <c r="F28" s="15"/>
    </row>
    <row r="29" spans="1:6" x14ac:dyDescent="0.45">
      <c r="A29" s="15" t="s">
        <v>11425</v>
      </c>
      <c r="B29" t="s">
        <v>2520</v>
      </c>
      <c r="C29" t="s">
        <v>543</v>
      </c>
      <c r="D29" t="s">
        <v>9589</v>
      </c>
      <c r="E29" t="s">
        <v>11290</v>
      </c>
      <c r="F29" s="15"/>
    </row>
    <row r="30" spans="1:6" x14ac:dyDescent="0.45">
      <c r="A30" s="15" t="s">
        <v>11443</v>
      </c>
      <c r="B30" t="s">
        <v>3568</v>
      </c>
      <c r="C30" t="s">
        <v>543</v>
      </c>
      <c r="D30" t="s">
        <v>9589</v>
      </c>
      <c r="E30" t="s">
        <v>11290</v>
      </c>
      <c r="F30" s="15"/>
    </row>
    <row r="31" spans="1:6" x14ac:dyDescent="0.45">
      <c r="A31" s="15" t="s">
        <v>11436</v>
      </c>
      <c r="B31" t="s">
        <v>555</v>
      </c>
      <c r="C31" t="s">
        <v>675</v>
      </c>
      <c r="D31" t="s">
        <v>9589</v>
      </c>
      <c r="E31" t="s">
        <v>11290</v>
      </c>
      <c r="F31" s="15"/>
    </row>
    <row r="32" spans="1:6" x14ac:dyDescent="0.45">
      <c r="A32" s="15" t="s">
        <v>11444</v>
      </c>
      <c r="B32" t="s">
        <v>676</v>
      </c>
      <c r="C32" t="s">
        <v>675</v>
      </c>
      <c r="D32" t="s">
        <v>9598</v>
      </c>
      <c r="E32" t="s">
        <v>11291</v>
      </c>
      <c r="F32" s="15"/>
    </row>
    <row r="33" spans="1:6" x14ac:dyDescent="0.45">
      <c r="A33" s="15" t="s">
        <v>11445</v>
      </c>
      <c r="B33" t="s">
        <v>544</v>
      </c>
      <c r="C33" t="s">
        <v>675</v>
      </c>
      <c r="D33" t="s">
        <v>9598</v>
      </c>
      <c r="E33" t="s">
        <v>11291</v>
      </c>
      <c r="F33" s="15"/>
    </row>
    <row r="34" spans="1:6" x14ac:dyDescent="0.45">
      <c r="A34" s="15" t="s">
        <v>11446</v>
      </c>
      <c r="B34" t="s">
        <v>1465</v>
      </c>
      <c r="C34" t="s">
        <v>675</v>
      </c>
      <c r="D34" t="s">
        <v>9598</v>
      </c>
      <c r="E34" t="s">
        <v>11295</v>
      </c>
      <c r="F34" s="15"/>
    </row>
    <row r="35" spans="1:6" x14ac:dyDescent="0.45">
      <c r="A35" s="15" t="s">
        <v>11447</v>
      </c>
      <c r="B35" t="s">
        <v>11276</v>
      </c>
      <c r="C35" t="s">
        <v>675</v>
      </c>
      <c r="D35" t="s">
        <v>9598</v>
      </c>
      <c r="E35" t="s">
        <v>11292</v>
      </c>
      <c r="F35" s="15"/>
    </row>
    <row r="36" spans="1:6" x14ac:dyDescent="0.45">
      <c r="A36" s="15" t="s">
        <v>11448</v>
      </c>
      <c r="B36" t="s">
        <v>1353</v>
      </c>
      <c r="C36" t="s">
        <v>675</v>
      </c>
      <c r="D36" t="s">
        <v>9598</v>
      </c>
      <c r="E36" t="s">
        <v>11291</v>
      </c>
      <c r="F36" s="15"/>
    </row>
    <row r="37" spans="1:6" x14ac:dyDescent="0.45">
      <c r="A37" s="15" t="s">
        <v>11449</v>
      </c>
      <c r="B37" t="s">
        <v>676</v>
      </c>
      <c r="C37" t="s">
        <v>543</v>
      </c>
      <c r="D37" t="s">
        <v>9598</v>
      </c>
      <c r="E37" t="s">
        <v>11291</v>
      </c>
      <c r="F37" s="15"/>
    </row>
    <row r="38" spans="1:6" x14ac:dyDescent="0.45">
      <c r="A38" s="15" t="s">
        <v>11450</v>
      </c>
      <c r="B38" t="s">
        <v>544</v>
      </c>
      <c r="C38" t="s">
        <v>543</v>
      </c>
      <c r="D38" t="s">
        <v>9598</v>
      </c>
      <c r="E38" t="s">
        <v>11291</v>
      </c>
      <c r="F38" s="15"/>
    </row>
    <row r="39" spans="1:6" x14ac:dyDescent="0.45">
      <c r="A39" s="15" t="s">
        <v>11462</v>
      </c>
      <c r="B39" t="s">
        <v>11464</v>
      </c>
      <c r="C39" t="s">
        <v>11466</v>
      </c>
      <c r="D39" t="s">
        <v>9589</v>
      </c>
      <c r="E39" t="s">
        <v>11472</v>
      </c>
    </row>
    <row r="40" spans="1:6" x14ac:dyDescent="0.45">
      <c r="A40" s="15" t="s">
        <v>11463</v>
      </c>
      <c r="B40" t="s">
        <v>11465</v>
      </c>
      <c r="C40" t="s">
        <v>11467</v>
      </c>
      <c r="D40" t="s">
        <v>9589</v>
      </c>
      <c r="E40" t="s">
        <v>11473</v>
      </c>
    </row>
    <row r="41" spans="1:6" x14ac:dyDescent="0.45">
      <c r="A41" s="15" t="s">
        <v>11664</v>
      </c>
      <c r="B41" t="s">
        <v>11464</v>
      </c>
      <c r="C41" t="s">
        <v>11466</v>
      </c>
      <c r="D41" t="s">
        <v>9589</v>
      </c>
      <c r="E41" t="s">
        <v>11472</v>
      </c>
    </row>
    <row r="42" spans="1:6" x14ac:dyDescent="0.45">
      <c r="A42" s="15" t="s">
        <v>11665</v>
      </c>
      <c r="B42" t="s">
        <v>12522</v>
      </c>
      <c r="C42" t="s">
        <v>11467</v>
      </c>
      <c r="D42" t="s">
        <v>9589</v>
      </c>
      <c r="E42" t="s">
        <v>11473</v>
      </c>
    </row>
    <row r="43" spans="1:6" x14ac:dyDescent="0.45">
      <c r="A43" s="15" t="s">
        <v>11666</v>
      </c>
      <c r="B43" t="s">
        <v>12523</v>
      </c>
      <c r="C43" t="s">
        <v>11466</v>
      </c>
      <c r="D43" t="s">
        <v>9589</v>
      </c>
      <c r="E43" t="s">
        <v>11472</v>
      </c>
    </row>
    <row r="44" spans="1:6" x14ac:dyDescent="0.45">
      <c r="A44" s="15" t="s">
        <v>11667</v>
      </c>
      <c r="B44" t="s">
        <v>12524</v>
      </c>
      <c r="C44" t="s">
        <v>11466</v>
      </c>
      <c r="D44" t="s">
        <v>9589</v>
      </c>
      <c r="E44" t="s">
        <v>11472</v>
      </c>
    </row>
    <row r="45" spans="1:6" x14ac:dyDescent="0.45">
      <c r="A45" s="15" t="s">
        <v>11668</v>
      </c>
      <c r="B45" t="s">
        <v>12525</v>
      </c>
      <c r="C45" t="s">
        <v>543</v>
      </c>
      <c r="D45" t="s">
        <v>9589</v>
      </c>
      <c r="E45" t="s">
        <v>11473</v>
      </c>
    </row>
    <row r="46" spans="1:6" x14ac:dyDescent="0.45">
      <c r="A46" s="15" t="s">
        <v>11669</v>
      </c>
      <c r="B46" t="s">
        <v>12530</v>
      </c>
      <c r="C46" t="s">
        <v>11466</v>
      </c>
      <c r="D46" t="s">
        <v>9589</v>
      </c>
      <c r="E46" t="s">
        <v>11472</v>
      </c>
    </row>
    <row r="47" spans="1:6" x14ac:dyDescent="0.45">
      <c r="A47" s="15" t="s">
        <v>11670</v>
      </c>
      <c r="B47" t="s">
        <v>12526</v>
      </c>
      <c r="C47" t="s">
        <v>11467</v>
      </c>
      <c r="D47" t="s">
        <v>9589</v>
      </c>
      <c r="E47" t="s">
        <v>11473</v>
      </c>
    </row>
    <row r="48" spans="1:6" x14ac:dyDescent="0.45">
      <c r="A48" s="15" t="s">
        <v>11671</v>
      </c>
      <c r="B48" t="s">
        <v>12527</v>
      </c>
      <c r="C48" t="s">
        <v>11466</v>
      </c>
      <c r="D48" t="s">
        <v>9589</v>
      </c>
      <c r="E48" t="s">
        <v>11472</v>
      </c>
    </row>
    <row r="49" spans="1:5" x14ac:dyDescent="0.45">
      <c r="A49" s="15" t="s">
        <v>11672</v>
      </c>
      <c r="B49" t="s">
        <v>12528</v>
      </c>
      <c r="C49" t="s">
        <v>11467</v>
      </c>
      <c r="D49" t="s">
        <v>9589</v>
      </c>
      <c r="E49" t="s">
        <v>11473</v>
      </c>
    </row>
    <row r="50" spans="1:5" x14ac:dyDescent="0.45">
      <c r="A50" s="15" t="s">
        <v>11673</v>
      </c>
      <c r="B50" t="s">
        <v>12529</v>
      </c>
      <c r="C50" t="s">
        <v>11467</v>
      </c>
      <c r="D50" t="s">
        <v>9589</v>
      </c>
      <c r="E50" t="s">
        <v>11473</v>
      </c>
    </row>
  </sheetData>
  <conditionalFormatting sqref="A1:A1048576">
    <cfRule type="duplicateValues" dxfId="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A5" sqref="A5"/>
    </sheetView>
  </sheetViews>
  <sheetFormatPr defaultRowHeight="14.25" x14ac:dyDescent="0.45"/>
  <cols>
    <col min="1" max="3" width="20.1328125" customWidth="1"/>
    <col min="4" max="4" width="27" bestFit="1" customWidth="1"/>
  </cols>
  <sheetData>
    <row r="1" spans="1:4" x14ac:dyDescent="0.45">
      <c r="A1" s="20" t="s">
        <v>9570</v>
      </c>
      <c r="B1" s="20" t="s">
        <v>538</v>
      </c>
      <c r="C1" s="20" t="s">
        <v>9571</v>
      </c>
      <c r="D1" s="20" t="s">
        <v>9572</v>
      </c>
    </row>
    <row r="2" spans="1:4" x14ac:dyDescent="0.45">
      <c r="A2" t="s">
        <v>9573</v>
      </c>
      <c r="B2" t="s">
        <v>675</v>
      </c>
      <c r="C2" s="15" t="s">
        <v>9574</v>
      </c>
      <c r="D2" t="s">
        <v>11277</v>
      </c>
    </row>
    <row r="3" spans="1:4" x14ac:dyDescent="0.45">
      <c r="A3" t="s">
        <v>9598</v>
      </c>
      <c r="B3" t="s">
        <v>675</v>
      </c>
      <c r="C3" s="15" t="s">
        <v>9575</v>
      </c>
      <c r="D3" t="s">
        <v>11278</v>
      </c>
    </row>
    <row r="4" spans="1:4" x14ac:dyDescent="0.45">
      <c r="A4" t="s">
        <v>9625</v>
      </c>
      <c r="B4" t="s">
        <v>675</v>
      </c>
      <c r="C4" s="15" t="s">
        <v>9576</v>
      </c>
      <c r="D4" t="s">
        <v>11279</v>
      </c>
    </row>
    <row r="5" spans="1:4" x14ac:dyDescent="0.45">
      <c r="A5" t="s">
        <v>9589</v>
      </c>
      <c r="B5" t="s">
        <v>675</v>
      </c>
      <c r="C5" s="15" t="s">
        <v>9577</v>
      </c>
      <c r="D5" t="s">
        <v>11280</v>
      </c>
    </row>
    <row r="6" spans="1:4" x14ac:dyDescent="0.45">
      <c r="A6" t="s">
        <v>9573</v>
      </c>
      <c r="B6" t="s">
        <v>543</v>
      </c>
      <c r="C6" s="15" t="s">
        <v>9578</v>
      </c>
      <c r="D6" t="s">
        <v>11281</v>
      </c>
    </row>
    <row r="7" spans="1:4" x14ac:dyDescent="0.45">
      <c r="A7" t="s">
        <v>9598</v>
      </c>
      <c r="B7" t="s">
        <v>543</v>
      </c>
      <c r="C7" s="15" t="s">
        <v>9579</v>
      </c>
      <c r="D7" t="s">
        <v>11282</v>
      </c>
    </row>
    <row r="8" spans="1:4" x14ac:dyDescent="0.45">
      <c r="A8" t="s">
        <v>9625</v>
      </c>
      <c r="B8" t="s">
        <v>543</v>
      </c>
      <c r="C8" s="15" t="s">
        <v>9580</v>
      </c>
      <c r="D8" t="s">
        <v>11283</v>
      </c>
    </row>
    <row r="9" spans="1:4" x14ac:dyDescent="0.45">
      <c r="A9" t="s">
        <v>9589</v>
      </c>
      <c r="B9" t="s">
        <v>543</v>
      </c>
      <c r="C9" s="15" t="s">
        <v>9581</v>
      </c>
      <c r="D9" t="s">
        <v>11284</v>
      </c>
    </row>
    <row r="10" spans="1:4" x14ac:dyDescent="0.45">
      <c r="A10" t="s">
        <v>9573</v>
      </c>
      <c r="B10" t="s">
        <v>1352</v>
      </c>
      <c r="C10" s="15" t="s">
        <v>9582</v>
      </c>
      <c r="D10" t="s">
        <v>11285</v>
      </c>
    </row>
    <row r="11" spans="1:4" x14ac:dyDescent="0.45">
      <c r="A11" t="s">
        <v>9598</v>
      </c>
      <c r="B11" t="s">
        <v>12535</v>
      </c>
      <c r="C11" s="15" t="s">
        <v>9583</v>
      </c>
      <c r="D11" t="s">
        <v>11286</v>
      </c>
    </row>
    <row r="12" spans="1:4" x14ac:dyDescent="0.45">
      <c r="A12" t="s">
        <v>9625</v>
      </c>
      <c r="B12" t="s">
        <v>12535</v>
      </c>
      <c r="C12" s="15" t="s">
        <v>9584</v>
      </c>
      <c r="D12" t="s">
        <v>11287</v>
      </c>
    </row>
    <row r="13" spans="1:4" x14ac:dyDescent="0.45">
      <c r="A13" t="s">
        <v>9589</v>
      </c>
      <c r="B13" t="s">
        <v>1352</v>
      </c>
      <c r="C13" s="15" t="s">
        <v>11451</v>
      </c>
      <c r="D13" t="s">
        <v>11288</v>
      </c>
    </row>
    <row r="14" spans="1:4" x14ac:dyDescent="0.45">
      <c r="A14" t="s">
        <v>9589</v>
      </c>
      <c r="B14" t="s">
        <v>11467</v>
      </c>
      <c r="C14" t="s">
        <v>11468</v>
      </c>
      <c r="D14" t="s">
        <v>11470</v>
      </c>
    </row>
    <row r="15" spans="1:4" x14ac:dyDescent="0.45">
      <c r="A15" t="s">
        <v>9589</v>
      </c>
      <c r="B15" t="s">
        <v>11466</v>
      </c>
      <c r="C15" t="s">
        <v>11469</v>
      </c>
      <c r="D15" t="s">
        <v>11471</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I11" sqref="I11"/>
    </sheetView>
  </sheetViews>
  <sheetFormatPr defaultColWidth="9" defaultRowHeight="18" x14ac:dyDescent="0.55000000000000004"/>
  <cols>
    <col min="1" max="1" width="12.73046875" style="8" bestFit="1" customWidth="1"/>
    <col min="2" max="2" width="9" style="8"/>
    <col min="3" max="3" width="13.73046875" style="8" bestFit="1" customWidth="1"/>
    <col min="4" max="4" width="7.1328125" style="8" customWidth="1"/>
    <col min="5" max="5" width="22.59765625" style="8" bestFit="1" customWidth="1"/>
    <col min="6" max="6" width="9" style="8"/>
    <col min="7" max="7" width="16.1328125" style="8" bestFit="1" customWidth="1"/>
    <col min="8" max="8" width="9" style="8"/>
    <col min="9" max="9" width="24" style="8" bestFit="1" customWidth="1"/>
    <col min="10" max="10" width="9" style="8"/>
    <col min="11" max="11" width="23.73046875" style="8" bestFit="1" customWidth="1"/>
    <col min="12" max="12" width="9" style="8"/>
    <col min="13" max="13" width="12.06640625" style="8" bestFit="1" customWidth="1"/>
    <col min="14" max="14" width="12.3984375" style="8" bestFit="1" customWidth="1"/>
    <col min="15" max="16384" width="9" style="8"/>
  </cols>
  <sheetData>
    <row r="1" spans="1:14" x14ac:dyDescent="0.55000000000000004">
      <c r="A1" s="8" t="s">
        <v>495</v>
      </c>
      <c r="C1" s="8" t="s">
        <v>1</v>
      </c>
      <c r="E1" s="8" t="s">
        <v>506</v>
      </c>
      <c r="G1" s="19" t="s">
        <v>11289</v>
      </c>
      <c r="I1" s="19" t="s">
        <v>9587</v>
      </c>
      <c r="K1" s="8" t="s">
        <v>538</v>
      </c>
      <c r="M1" s="8" t="s">
        <v>11293</v>
      </c>
      <c r="N1" s="8" t="s">
        <v>11294</v>
      </c>
    </row>
    <row r="2" spans="1:14" x14ac:dyDescent="0.55000000000000004">
      <c r="A2" s="8" t="s">
        <v>498</v>
      </c>
      <c r="C2" s="8" t="s">
        <v>502</v>
      </c>
      <c r="E2" s="8" t="s">
        <v>508</v>
      </c>
      <c r="G2" s="8" t="s">
        <v>9589</v>
      </c>
      <c r="I2" s="8" t="s">
        <v>9589</v>
      </c>
      <c r="K2" s="8" t="s">
        <v>675</v>
      </c>
      <c r="M2" s="8" t="s">
        <v>11290</v>
      </c>
    </row>
    <row r="3" spans="1:14" x14ac:dyDescent="0.55000000000000004">
      <c r="A3" s="8" t="s">
        <v>499</v>
      </c>
      <c r="C3" s="8" t="s">
        <v>5</v>
      </c>
      <c r="E3" s="8" t="s">
        <v>507</v>
      </c>
      <c r="G3" s="8" t="s">
        <v>9598</v>
      </c>
      <c r="I3" s="8" t="s">
        <v>9598</v>
      </c>
      <c r="K3" s="8" t="s">
        <v>543</v>
      </c>
      <c r="M3" s="8" t="s">
        <v>11291</v>
      </c>
    </row>
    <row r="4" spans="1:14" x14ac:dyDescent="0.55000000000000004">
      <c r="A4" s="8" t="s">
        <v>500</v>
      </c>
      <c r="C4" s="8" t="s">
        <v>183</v>
      </c>
      <c r="I4" s="8" t="s">
        <v>9573</v>
      </c>
      <c r="K4" s="8" t="s">
        <v>1352</v>
      </c>
      <c r="M4" s="8" t="s">
        <v>11295</v>
      </c>
    </row>
    <row r="5" spans="1:14" x14ac:dyDescent="0.55000000000000004">
      <c r="A5" s="8" t="s">
        <v>501</v>
      </c>
      <c r="I5" s="8" t="s">
        <v>9625</v>
      </c>
      <c r="K5" s="8" t="s">
        <v>11466</v>
      </c>
      <c r="M5" s="8" t="s">
        <v>11292</v>
      </c>
    </row>
    <row r="6" spans="1:14" x14ac:dyDescent="0.55000000000000004">
      <c r="K6" s="8" t="s">
        <v>11467</v>
      </c>
      <c r="M6" s="8" t="s">
        <v>11472</v>
      </c>
    </row>
    <row r="7" spans="1:14" x14ac:dyDescent="0.55000000000000004">
      <c r="K7" s="8" t="s">
        <v>12533</v>
      </c>
      <c r="M7" s="8" t="s">
        <v>11473</v>
      </c>
    </row>
    <row r="8" spans="1:14" x14ac:dyDescent="0.55000000000000004">
      <c r="K8" s="8" t="s">
        <v>12534</v>
      </c>
    </row>
    <row r="9" spans="1:14" x14ac:dyDescent="0.55000000000000004">
      <c r="K9" s="8" t="s">
        <v>12535</v>
      </c>
    </row>
    <row r="1048576" spans="11:11" x14ac:dyDescent="0.55000000000000004">
      <c r="K1048576" s="28"/>
    </row>
  </sheetData>
  <pageMargins left="0.7" right="0.7" top="0.75" bottom="0.75" header="0.3" footer="0.3"/>
  <tableParts count="7">
    <tablePart r:id="rId1"/>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F8612-800E-4ABB-A6AD-08D01EF1E783}">
  <dimension ref="A1"/>
  <sheetViews>
    <sheetView workbookViewId="0"/>
  </sheetViews>
  <sheetFormatPr defaultRowHeight="14.25" x14ac:dyDescent="0.4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Sản phẩm</vt:lpstr>
      <vt:lpstr>Giá gốc</vt:lpstr>
      <vt:lpstr>Chương trình khuyến mãi</vt:lpstr>
      <vt:lpstr>Thông tin điểm giao</vt:lpstr>
      <vt:lpstr>Khách hàng</vt:lpstr>
      <vt:lpstr>Cost Center</vt:lpstr>
      <vt:lpstr>Data Validation</vt:lpstr>
      <vt:lpstr>Sheet1</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2026-05-26T05:35:46Z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