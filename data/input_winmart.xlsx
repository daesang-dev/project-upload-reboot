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Projects\project-upload-reboot\data\"/>
    </mc:Choice>
  </mc:AlternateContent>
  <xr:revisionPtr revIDLastSave="0" documentId="13_ncr:1_{F2D6E7B2-CECC-429B-BEF7-4352F3C63DEA}" xr6:coauthVersionLast="47" xr6:coauthVersionMax="47" xr10:uidLastSave="{00000000-0000-0000-0000-000000000000}"/>
  <bookViews>
    <workbookView xWindow="-120" yWindow="-120" windowWidth="29040" windowHeight="15720" tabRatio="711" activeTab="2"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s>
  <definedNames>
    <definedName name="ExternalData_1" localSheetId="0" hidden="1">'Sản phẩm'!$A$1:$E$979</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169" i="2" l="1"/>
  <c r="O169" i="2" s="1"/>
  <c r="A169" i="2"/>
  <c r="H169" i="2"/>
  <c r="I169" i="2" s="1"/>
  <c r="A170" i="2"/>
  <c r="H170" i="2"/>
  <c r="J170" i="2" s="1"/>
  <c r="L170" i="2" s="1"/>
  <c r="O170" i="2"/>
  <c r="A168" i="2"/>
  <c r="H168" i="2"/>
  <c r="I168" i="2" s="1"/>
  <c r="O168" i="2"/>
  <c r="F4031" i="4"/>
  <c r="F4032" i="4"/>
  <c r="F4033" i="4"/>
  <c r="F4034" i="4"/>
  <c r="F4035" i="4"/>
  <c r="F4036" i="4"/>
  <c r="F4037" i="4"/>
  <c r="F4038" i="4"/>
  <c r="F4039" i="4"/>
  <c r="F4040" i="4"/>
  <c r="F4041" i="4"/>
  <c r="F4042" i="4"/>
  <c r="F4043" i="4"/>
  <c r="F4044" i="4"/>
  <c r="F4045" i="4"/>
  <c r="F4046" i="4"/>
  <c r="F4047" i="4"/>
  <c r="F4048" i="4"/>
  <c r="F4049" i="4"/>
  <c r="F4050" i="4"/>
  <c r="F4051" i="4"/>
  <c r="F4052" i="4"/>
  <c r="F4053" i="4"/>
  <c r="F4054" i="4"/>
  <c r="F4055" i="4"/>
  <c r="F4056" i="4"/>
  <c r="F4057" i="4"/>
  <c r="F4058" i="4"/>
  <c r="F4059" i="4"/>
  <c r="F4060" i="4"/>
  <c r="F4061" i="4"/>
  <c r="F4062" i="4"/>
  <c r="F4063" i="4"/>
  <c r="F4064" i="4"/>
  <c r="F4065" i="4"/>
  <c r="G4031" i="4"/>
  <c r="G4032" i="4"/>
  <c r="G4033" i="4"/>
  <c r="G4034" i="4"/>
  <c r="G4035" i="4"/>
  <c r="G4036" i="4"/>
  <c r="G4037" i="4"/>
  <c r="G4038" i="4"/>
  <c r="G4039" i="4"/>
  <c r="G4040" i="4"/>
  <c r="G4041" i="4"/>
  <c r="G4042" i="4"/>
  <c r="G4043" i="4"/>
  <c r="G4044" i="4"/>
  <c r="G4045" i="4"/>
  <c r="G4046" i="4"/>
  <c r="G4047" i="4"/>
  <c r="G4048" i="4"/>
  <c r="G4049" i="4"/>
  <c r="G4050" i="4"/>
  <c r="G4051" i="4"/>
  <c r="G4052" i="4"/>
  <c r="G4053" i="4"/>
  <c r="G4054" i="4"/>
  <c r="G4055" i="4"/>
  <c r="G4056" i="4"/>
  <c r="G4057" i="4"/>
  <c r="G4058" i="4"/>
  <c r="G4059" i="4"/>
  <c r="G4060" i="4"/>
  <c r="G4061" i="4"/>
  <c r="G4062" i="4"/>
  <c r="G4063" i="4"/>
  <c r="G4064" i="4"/>
  <c r="G4065" i="4"/>
  <c r="H4031" i="4"/>
  <c r="H4032" i="4"/>
  <c r="H4033" i="4"/>
  <c r="H4034" i="4"/>
  <c r="H4035" i="4"/>
  <c r="H4036" i="4"/>
  <c r="H4037" i="4"/>
  <c r="H4038" i="4"/>
  <c r="H4039" i="4"/>
  <c r="H4040" i="4"/>
  <c r="H4041" i="4"/>
  <c r="H4042" i="4"/>
  <c r="H4043" i="4"/>
  <c r="H4044" i="4"/>
  <c r="H4045" i="4"/>
  <c r="H4046" i="4"/>
  <c r="H4047" i="4"/>
  <c r="H4048" i="4"/>
  <c r="H4049" i="4"/>
  <c r="H4050" i="4"/>
  <c r="H4051" i="4"/>
  <c r="H4052" i="4"/>
  <c r="H4053" i="4"/>
  <c r="H4054" i="4"/>
  <c r="H4055" i="4"/>
  <c r="H4056" i="4"/>
  <c r="H4057" i="4"/>
  <c r="H4058" i="4"/>
  <c r="H4059" i="4"/>
  <c r="H4060" i="4"/>
  <c r="H4061" i="4"/>
  <c r="H4062" i="4"/>
  <c r="H4063" i="4"/>
  <c r="H4064" i="4"/>
  <c r="H4065" i="4"/>
  <c r="I4031" i="4"/>
  <c r="I4032" i="4"/>
  <c r="I4033" i="4"/>
  <c r="I4034" i="4"/>
  <c r="I4035" i="4"/>
  <c r="I4036" i="4"/>
  <c r="I4037" i="4"/>
  <c r="I4038" i="4"/>
  <c r="I4039" i="4"/>
  <c r="I4040" i="4"/>
  <c r="I4041" i="4"/>
  <c r="I4042" i="4"/>
  <c r="I4043" i="4"/>
  <c r="I4044" i="4"/>
  <c r="I4045" i="4"/>
  <c r="I4046" i="4"/>
  <c r="I4047" i="4"/>
  <c r="I4048" i="4"/>
  <c r="I4049" i="4"/>
  <c r="I4050" i="4"/>
  <c r="I4051" i="4"/>
  <c r="I4052" i="4"/>
  <c r="I4053" i="4"/>
  <c r="I4054" i="4"/>
  <c r="I4055" i="4"/>
  <c r="I4056" i="4"/>
  <c r="I4057" i="4"/>
  <c r="I4058" i="4"/>
  <c r="I4059" i="4"/>
  <c r="I4060" i="4"/>
  <c r="I4061" i="4"/>
  <c r="I4062" i="4"/>
  <c r="I4063" i="4"/>
  <c r="I4064" i="4"/>
  <c r="I4065" i="4"/>
  <c r="A167" i="2"/>
  <c r="H167" i="2"/>
  <c r="I167" i="2" s="1"/>
  <c r="O167" i="2"/>
  <c r="N166" i="2"/>
  <c r="O166" i="2" s="1"/>
  <c r="A166" i="2"/>
  <c r="H166" i="2"/>
  <c r="I166" i="2" s="1"/>
  <c r="A160" i="2"/>
  <c r="A161" i="2"/>
  <c r="A162" i="2"/>
  <c r="A163" i="2"/>
  <c r="A164" i="2"/>
  <c r="A165" i="2"/>
  <c r="H160" i="2"/>
  <c r="I160" i="2" s="1"/>
  <c r="H161" i="2"/>
  <c r="I161" i="2" s="1"/>
  <c r="H162" i="2"/>
  <c r="Q162" i="2" s="1"/>
  <c r="H163" i="2"/>
  <c r="J163" i="2" s="1"/>
  <c r="L163" i="2" s="1"/>
  <c r="H164" i="2"/>
  <c r="I164" i="2" s="1"/>
  <c r="H165" i="2"/>
  <c r="I165" i="2" s="1"/>
  <c r="I162" i="2"/>
  <c r="I163" i="2"/>
  <c r="J160" i="2"/>
  <c r="L160" i="2" s="1"/>
  <c r="O160" i="2"/>
  <c r="O161" i="2"/>
  <c r="O162" i="2"/>
  <c r="O163" i="2"/>
  <c r="O164" i="2"/>
  <c r="O165" i="2"/>
  <c r="Q163" i="2"/>
  <c r="A159" i="2"/>
  <c r="H159" i="2"/>
  <c r="I159" i="2" s="1"/>
  <c r="O159" i="2"/>
  <c r="F3986" i="4"/>
  <c r="F3987" i="4"/>
  <c r="F3988" i="4"/>
  <c r="F3989" i="4"/>
  <c r="F3990" i="4"/>
  <c r="F3991" i="4"/>
  <c r="F3992" i="4"/>
  <c r="F3993" i="4"/>
  <c r="F3994" i="4"/>
  <c r="F3995" i="4"/>
  <c r="F3996" i="4"/>
  <c r="F3997" i="4"/>
  <c r="F3998" i="4"/>
  <c r="F3999" i="4"/>
  <c r="F4000" i="4"/>
  <c r="F4001" i="4"/>
  <c r="F4002" i="4"/>
  <c r="F4003" i="4"/>
  <c r="F4004" i="4"/>
  <c r="F4005" i="4"/>
  <c r="F4006" i="4"/>
  <c r="F4007" i="4"/>
  <c r="F4008" i="4"/>
  <c r="F4009" i="4"/>
  <c r="F4010" i="4"/>
  <c r="F4011" i="4"/>
  <c r="F4012" i="4"/>
  <c r="F4013" i="4"/>
  <c r="F4014" i="4"/>
  <c r="F4015" i="4"/>
  <c r="F4016" i="4"/>
  <c r="F4017" i="4"/>
  <c r="F4018" i="4"/>
  <c r="F4019" i="4"/>
  <c r="F4020" i="4"/>
  <c r="F4021" i="4"/>
  <c r="F4022" i="4"/>
  <c r="F4023" i="4"/>
  <c r="F4024" i="4"/>
  <c r="F4025" i="4"/>
  <c r="F4026" i="4"/>
  <c r="F4027" i="4"/>
  <c r="F4028" i="4"/>
  <c r="F4029" i="4"/>
  <c r="F4030" i="4"/>
  <c r="G3986" i="4"/>
  <c r="G3987" i="4"/>
  <c r="G3988" i="4"/>
  <c r="G3989" i="4"/>
  <c r="G3990" i="4"/>
  <c r="G3991" i="4"/>
  <c r="G3992" i="4"/>
  <c r="G3993" i="4"/>
  <c r="G3994" i="4"/>
  <c r="G3995" i="4"/>
  <c r="G3996" i="4"/>
  <c r="G3997" i="4"/>
  <c r="G3998" i="4"/>
  <c r="G3999" i="4"/>
  <c r="G4000" i="4"/>
  <c r="G4001" i="4"/>
  <c r="G4002" i="4"/>
  <c r="G4003" i="4"/>
  <c r="G4004" i="4"/>
  <c r="G4005" i="4"/>
  <c r="G4006" i="4"/>
  <c r="G4007" i="4"/>
  <c r="G4008" i="4"/>
  <c r="G4009" i="4"/>
  <c r="G4010" i="4"/>
  <c r="G4011" i="4"/>
  <c r="G4012" i="4"/>
  <c r="G4013" i="4"/>
  <c r="G4014" i="4"/>
  <c r="G4015" i="4"/>
  <c r="G4016" i="4"/>
  <c r="G4017" i="4"/>
  <c r="G4018" i="4"/>
  <c r="G4019" i="4"/>
  <c r="G4020" i="4"/>
  <c r="G4021" i="4"/>
  <c r="G4022" i="4"/>
  <c r="G4023" i="4"/>
  <c r="G4024" i="4"/>
  <c r="G4025" i="4"/>
  <c r="G4026" i="4"/>
  <c r="G4027" i="4"/>
  <c r="G4028" i="4"/>
  <c r="G4029" i="4"/>
  <c r="G4030" i="4"/>
  <c r="H3986" i="4"/>
  <c r="H3987" i="4"/>
  <c r="H3988" i="4"/>
  <c r="H3989" i="4"/>
  <c r="H3990" i="4"/>
  <c r="H3991" i="4"/>
  <c r="H3992" i="4"/>
  <c r="H3993" i="4"/>
  <c r="H3994" i="4"/>
  <c r="H3995" i="4"/>
  <c r="H3996" i="4"/>
  <c r="H3997" i="4"/>
  <c r="H3998" i="4"/>
  <c r="H3999" i="4"/>
  <c r="H4000" i="4"/>
  <c r="H4001" i="4"/>
  <c r="H4002" i="4"/>
  <c r="H4003" i="4"/>
  <c r="H4004" i="4"/>
  <c r="H4005" i="4"/>
  <c r="H4006" i="4"/>
  <c r="H4007" i="4"/>
  <c r="H4008" i="4"/>
  <c r="H4009" i="4"/>
  <c r="H4010" i="4"/>
  <c r="H4011" i="4"/>
  <c r="H4012" i="4"/>
  <c r="H4013" i="4"/>
  <c r="H4014" i="4"/>
  <c r="H4015" i="4"/>
  <c r="H4016" i="4"/>
  <c r="H4017" i="4"/>
  <c r="H4018" i="4"/>
  <c r="H4019" i="4"/>
  <c r="H4020" i="4"/>
  <c r="H4021" i="4"/>
  <c r="H4022" i="4"/>
  <c r="H4023" i="4"/>
  <c r="H4024" i="4"/>
  <c r="H4025" i="4"/>
  <c r="H4026" i="4"/>
  <c r="H4027" i="4"/>
  <c r="H4028" i="4"/>
  <c r="H4029" i="4"/>
  <c r="H4030" i="4"/>
  <c r="I3986" i="4"/>
  <c r="I3987" i="4"/>
  <c r="I3988" i="4"/>
  <c r="I3989" i="4"/>
  <c r="I3990" i="4"/>
  <c r="I3991" i="4"/>
  <c r="I3992" i="4"/>
  <c r="I3993" i="4"/>
  <c r="I3994" i="4"/>
  <c r="I3995" i="4"/>
  <c r="I3996" i="4"/>
  <c r="I3997" i="4"/>
  <c r="I3998" i="4"/>
  <c r="I3999" i="4"/>
  <c r="I4000" i="4"/>
  <c r="I4001" i="4"/>
  <c r="I4002" i="4"/>
  <c r="I4003" i="4"/>
  <c r="I4004" i="4"/>
  <c r="I4005" i="4"/>
  <c r="I4006" i="4"/>
  <c r="I4007" i="4"/>
  <c r="I4008" i="4"/>
  <c r="I4009" i="4"/>
  <c r="I4010" i="4"/>
  <c r="I4011" i="4"/>
  <c r="I4012" i="4"/>
  <c r="I4013" i="4"/>
  <c r="I4014" i="4"/>
  <c r="I4015" i="4"/>
  <c r="I4016" i="4"/>
  <c r="I4017" i="4"/>
  <c r="I4018" i="4"/>
  <c r="I4019" i="4"/>
  <c r="I4020" i="4"/>
  <c r="I4021" i="4"/>
  <c r="I4022" i="4"/>
  <c r="I4023" i="4"/>
  <c r="I4024" i="4"/>
  <c r="I4025" i="4"/>
  <c r="I4026" i="4"/>
  <c r="I4027" i="4"/>
  <c r="I4028" i="4"/>
  <c r="I4029" i="4"/>
  <c r="I4030" i="4"/>
  <c r="A157" i="2"/>
  <c r="A158" i="2"/>
  <c r="O157" i="2"/>
  <c r="O158" i="2"/>
  <c r="H157" i="2"/>
  <c r="J157" i="2" s="1"/>
  <c r="L157" i="2" s="1"/>
  <c r="H158" i="2"/>
  <c r="J158" i="2" s="1"/>
  <c r="L158" i="2" s="1"/>
  <c r="H154" i="2"/>
  <c r="I154" i="2" s="1"/>
  <c r="H155" i="2"/>
  <c r="I155" i="2" s="1"/>
  <c r="H156" i="2"/>
  <c r="Q156" i="2" s="1"/>
  <c r="O156" i="2"/>
  <c r="A156" i="2"/>
  <c r="N155" i="2"/>
  <c r="O155" i="2" s="1"/>
  <c r="A155" i="2"/>
  <c r="A153" i="2"/>
  <c r="A154" i="2"/>
  <c r="H153" i="2"/>
  <c r="I153" i="2" s="1"/>
  <c r="O153" i="2"/>
  <c r="O154" i="2"/>
  <c r="A152" i="2"/>
  <c r="H152" i="2"/>
  <c r="I152" i="2" s="1"/>
  <c r="O152" i="2"/>
  <c r="A149" i="2"/>
  <c r="A150" i="2"/>
  <c r="A151" i="2"/>
  <c r="H149" i="2"/>
  <c r="J149" i="2" s="1"/>
  <c r="L149" i="2" s="1"/>
  <c r="H150" i="2"/>
  <c r="J150" i="2" s="1"/>
  <c r="L150" i="2" s="1"/>
  <c r="H151" i="2"/>
  <c r="I151" i="2" s="1"/>
  <c r="O149" i="2"/>
  <c r="O150" i="2"/>
  <c r="O151" i="2"/>
  <c r="A148" i="2"/>
  <c r="H148" i="2"/>
  <c r="I148" i="2" s="1"/>
  <c r="O148" i="2"/>
  <c r="A147" i="2"/>
  <c r="H147" i="2"/>
  <c r="J147" i="2" s="1"/>
  <c r="L147" i="2" s="1"/>
  <c r="O147" i="2"/>
  <c r="A146" i="2"/>
  <c r="H146" i="2"/>
  <c r="I146" i="2" s="1"/>
  <c r="O146" i="2"/>
  <c r="A144" i="2"/>
  <c r="A145" i="2"/>
  <c r="H144" i="2"/>
  <c r="I144" i="2" s="1"/>
  <c r="H145" i="2"/>
  <c r="I145" i="2" s="1"/>
  <c r="O144" i="2"/>
  <c r="O145" i="2"/>
  <c r="F3979" i="4"/>
  <c r="F3980" i="4"/>
  <c r="F3981" i="4"/>
  <c r="F3982" i="4"/>
  <c r="F3983" i="4"/>
  <c r="F3984" i="4"/>
  <c r="F3985" i="4"/>
  <c r="G3979" i="4"/>
  <c r="G3980" i="4"/>
  <c r="G3981" i="4"/>
  <c r="G3982" i="4"/>
  <c r="G3983" i="4"/>
  <c r="G3984" i="4"/>
  <c r="G3985" i="4"/>
  <c r="H3979" i="4"/>
  <c r="H3980" i="4"/>
  <c r="H3981" i="4"/>
  <c r="H3982" i="4"/>
  <c r="H3983" i="4"/>
  <c r="H3984" i="4"/>
  <c r="H3985" i="4"/>
  <c r="I3979" i="4"/>
  <c r="I3980" i="4"/>
  <c r="I3981" i="4"/>
  <c r="I3982" i="4"/>
  <c r="I3983" i="4"/>
  <c r="I3984" i="4"/>
  <c r="I3985" i="4"/>
  <c r="F3974" i="4"/>
  <c r="F3975" i="4"/>
  <c r="F3976" i="4"/>
  <c r="F3977" i="4"/>
  <c r="F3978" i="4"/>
  <c r="G3974" i="4"/>
  <c r="G3975" i="4"/>
  <c r="G3976" i="4"/>
  <c r="G3977" i="4"/>
  <c r="G3978" i="4"/>
  <c r="H3974" i="4"/>
  <c r="H3975" i="4"/>
  <c r="H3976" i="4"/>
  <c r="H3977" i="4"/>
  <c r="H3978" i="4"/>
  <c r="I3974" i="4"/>
  <c r="I3975" i="4"/>
  <c r="I3976" i="4"/>
  <c r="I3977" i="4"/>
  <c r="I3978" i="4"/>
  <c r="F3972" i="4"/>
  <c r="F3973" i="4"/>
  <c r="G3972" i="4"/>
  <c r="G3973" i="4"/>
  <c r="H3972" i="4"/>
  <c r="H3973" i="4"/>
  <c r="I3972" i="4"/>
  <c r="I3973" i="4"/>
  <c r="F3971" i="4"/>
  <c r="G3971" i="4"/>
  <c r="H3971" i="4"/>
  <c r="I3971" i="4"/>
  <c r="F3969" i="4"/>
  <c r="F3970" i="4"/>
  <c r="G3969" i="4"/>
  <c r="G3970" i="4"/>
  <c r="H3969" i="4"/>
  <c r="H3970" i="4"/>
  <c r="I3969" i="4"/>
  <c r="I3970" i="4"/>
  <c r="F3968" i="4"/>
  <c r="G3968" i="4"/>
  <c r="H3968" i="4"/>
  <c r="I3968" i="4"/>
  <c r="F3967" i="4"/>
  <c r="G3967" i="4"/>
  <c r="H3967" i="4"/>
  <c r="I3967" i="4"/>
  <c r="F3965" i="4"/>
  <c r="F3966" i="4"/>
  <c r="G3965" i="4"/>
  <c r="G3966" i="4"/>
  <c r="H3965" i="4"/>
  <c r="H3966" i="4"/>
  <c r="I3965" i="4"/>
  <c r="I3966" i="4"/>
  <c r="F3964" i="4"/>
  <c r="G3964" i="4"/>
  <c r="H3964" i="4"/>
  <c r="I3964" i="4"/>
  <c r="F3963" i="4"/>
  <c r="G3963" i="4"/>
  <c r="H3963" i="4"/>
  <c r="I3963" i="4"/>
  <c r="F3962" i="4"/>
  <c r="G3962" i="4"/>
  <c r="H3962" i="4"/>
  <c r="I3962" i="4"/>
  <c r="A135" i="2"/>
  <c r="A136" i="2"/>
  <c r="A137" i="2"/>
  <c r="A138" i="2"/>
  <c r="A139" i="2"/>
  <c r="A140" i="2"/>
  <c r="A141" i="2"/>
  <c r="A142" i="2"/>
  <c r="A143" i="2"/>
  <c r="H135" i="2"/>
  <c r="I135" i="2" s="1"/>
  <c r="H136" i="2"/>
  <c r="Q136" i="2" s="1"/>
  <c r="H137" i="2"/>
  <c r="I137" i="2" s="1"/>
  <c r="H138" i="2"/>
  <c r="Q138" i="2" s="1"/>
  <c r="H139" i="2"/>
  <c r="J139" i="2" s="1"/>
  <c r="L139" i="2" s="1"/>
  <c r="H140" i="2"/>
  <c r="Q140" i="2" s="1"/>
  <c r="H141" i="2"/>
  <c r="I141" i="2" s="1"/>
  <c r="H142" i="2"/>
  <c r="J142" i="2" s="1"/>
  <c r="L142" i="2" s="1"/>
  <c r="H143" i="2"/>
  <c r="I143" i="2" s="1"/>
  <c r="I136" i="2"/>
  <c r="O135" i="2"/>
  <c r="O136" i="2"/>
  <c r="O137" i="2"/>
  <c r="O138" i="2"/>
  <c r="O139" i="2"/>
  <c r="O140" i="2"/>
  <c r="O141" i="2"/>
  <c r="O142" i="2"/>
  <c r="O143" i="2"/>
  <c r="A134" i="2"/>
  <c r="H134" i="2"/>
  <c r="I134" i="2" s="1"/>
  <c r="O134" i="2"/>
  <c r="A128" i="2"/>
  <c r="A129" i="2"/>
  <c r="A130" i="2"/>
  <c r="A131" i="2"/>
  <c r="A132" i="2"/>
  <c r="A133" i="2"/>
  <c r="H128" i="2"/>
  <c r="I128" i="2" s="1"/>
  <c r="H129" i="2"/>
  <c r="I129" i="2" s="1"/>
  <c r="H130" i="2"/>
  <c r="I130" i="2" s="1"/>
  <c r="H131" i="2"/>
  <c r="J131" i="2" s="1"/>
  <c r="L131" i="2" s="1"/>
  <c r="H132" i="2"/>
  <c r="I132" i="2" s="1"/>
  <c r="H133" i="2"/>
  <c r="I133" i="2" s="1"/>
  <c r="O128" i="2"/>
  <c r="O129" i="2"/>
  <c r="O130" i="2"/>
  <c r="O131" i="2"/>
  <c r="O132" i="2"/>
  <c r="O133" i="2"/>
  <c r="F3922" i="4"/>
  <c r="F3923" i="4"/>
  <c r="F3924" i="4"/>
  <c r="F3925" i="4"/>
  <c r="F3926" i="4"/>
  <c r="F3927" i="4"/>
  <c r="F3928" i="4"/>
  <c r="F3929" i="4"/>
  <c r="F3930" i="4"/>
  <c r="F3931" i="4"/>
  <c r="F3932" i="4"/>
  <c r="F3933" i="4"/>
  <c r="F3934" i="4"/>
  <c r="F3935" i="4"/>
  <c r="F3936" i="4"/>
  <c r="F3937" i="4"/>
  <c r="F3938" i="4"/>
  <c r="F3939" i="4"/>
  <c r="F3940" i="4"/>
  <c r="F3941" i="4"/>
  <c r="F3942" i="4"/>
  <c r="F3943" i="4"/>
  <c r="F3944" i="4"/>
  <c r="F3945" i="4"/>
  <c r="F3946" i="4"/>
  <c r="F3947" i="4"/>
  <c r="F3948" i="4"/>
  <c r="F3949" i="4"/>
  <c r="F3950" i="4"/>
  <c r="F3951" i="4"/>
  <c r="F3952" i="4"/>
  <c r="F3953" i="4"/>
  <c r="F3954" i="4"/>
  <c r="F3955" i="4"/>
  <c r="F3956" i="4"/>
  <c r="F3957" i="4"/>
  <c r="F3958" i="4"/>
  <c r="F3959" i="4"/>
  <c r="F3960" i="4"/>
  <c r="F3961" i="4"/>
  <c r="G3922" i="4"/>
  <c r="G3923" i="4"/>
  <c r="G3924" i="4"/>
  <c r="G3925" i="4"/>
  <c r="G3926" i="4"/>
  <c r="G3927" i="4"/>
  <c r="G3928" i="4"/>
  <c r="G3929" i="4"/>
  <c r="G3930" i="4"/>
  <c r="G3931" i="4"/>
  <c r="G3932" i="4"/>
  <c r="G3933" i="4"/>
  <c r="G3934" i="4"/>
  <c r="G3935" i="4"/>
  <c r="G3936" i="4"/>
  <c r="G3937" i="4"/>
  <c r="G3938" i="4"/>
  <c r="G3939" i="4"/>
  <c r="G3940" i="4"/>
  <c r="G3941" i="4"/>
  <c r="G3942" i="4"/>
  <c r="G3943" i="4"/>
  <c r="G3944" i="4"/>
  <c r="G3945" i="4"/>
  <c r="G3946" i="4"/>
  <c r="G3947" i="4"/>
  <c r="G3948" i="4"/>
  <c r="G3949" i="4"/>
  <c r="G3950" i="4"/>
  <c r="G3951" i="4"/>
  <c r="G3952" i="4"/>
  <c r="G3953" i="4"/>
  <c r="G3954" i="4"/>
  <c r="G3955" i="4"/>
  <c r="G3956" i="4"/>
  <c r="G3957" i="4"/>
  <c r="G3958" i="4"/>
  <c r="G3959" i="4"/>
  <c r="G3960" i="4"/>
  <c r="G3961" i="4"/>
  <c r="H3922" i="4"/>
  <c r="H3923" i="4"/>
  <c r="H3924" i="4"/>
  <c r="H3925" i="4"/>
  <c r="H3926" i="4"/>
  <c r="H3927" i="4"/>
  <c r="H3928" i="4"/>
  <c r="H3929" i="4"/>
  <c r="H3930" i="4"/>
  <c r="H3931" i="4"/>
  <c r="H3932" i="4"/>
  <c r="H3933" i="4"/>
  <c r="H3934" i="4"/>
  <c r="H3935" i="4"/>
  <c r="H3936" i="4"/>
  <c r="H3937" i="4"/>
  <c r="H3938" i="4"/>
  <c r="H3939" i="4"/>
  <c r="H3940" i="4"/>
  <c r="H3941" i="4"/>
  <c r="H3942" i="4"/>
  <c r="H3943" i="4"/>
  <c r="H3944" i="4"/>
  <c r="H3945" i="4"/>
  <c r="H3946" i="4"/>
  <c r="H3947" i="4"/>
  <c r="H3948" i="4"/>
  <c r="H3949" i="4"/>
  <c r="H3950" i="4"/>
  <c r="H3951" i="4"/>
  <c r="H3952" i="4"/>
  <c r="H3953" i="4"/>
  <c r="H3954" i="4"/>
  <c r="H3955" i="4"/>
  <c r="H3956" i="4"/>
  <c r="H3957" i="4"/>
  <c r="H3958" i="4"/>
  <c r="H3959" i="4"/>
  <c r="H3960" i="4"/>
  <c r="H3961" i="4"/>
  <c r="I3922" i="4"/>
  <c r="I3923" i="4"/>
  <c r="I3924" i="4"/>
  <c r="I3925" i="4"/>
  <c r="I3926" i="4"/>
  <c r="I3927" i="4"/>
  <c r="I3928" i="4"/>
  <c r="I3929" i="4"/>
  <c r="I3930" i="4"/>
  <c r="I3931" i="4"/>
  <c r="I3932" i="4"/>
  <c r="I3933" i="4"/>
  <c r="I3934" i="4"/>
  <c r="I3935" i="4"/>
  <c r="I3936" i="4"/>
  <c r="I3937" i="4"/>
  <c r="I3938" i="4"/>
  <c r="I3939" i="4"/>
  <c r="I3940" i="4"/>
  <c r="I3941" i="4"/>
  <c r="I3942" i="4"/>
  <c r="I3943" i="4"/>
  <c r="I3944" i="4"/>
  <c r="I3945" i="4"/>
  <c r="I3946" i="4"/>
  <c r="I3947" i="4"/>
  <c r="I3948" i="4"/>
  <c r="I3949" i="4"/>
  <c r="I3950" i="4"/>
  <c r="I3951" i="4"/>
  <c r="I3952" i="4"/>
  <c r="I3953" i="4"/>
  <c r="I3954" i="4"/>
  <c r="I3955" i="4"/>
  <c r="I3956" i="4"/>
  <c r="I3957" i="4"/>
  <c r="I3958" i="4"/>
  <c r="I3959" i="4"/>
  <c r="I3960" i="4"/>
  <c r="I3961" i="4"/>
  <c r="F3921" i="4"/>
  <c r="G3921" i="4"/>
  <c r="H3921" i="4"/>
  <c r="I3921" i="4"/>
  <c r="F3870" i="4"/>
  <c r="F3871" i="4"/>
  <c r="F3872" i="4"/>
  <c r="F3873" i="4"/>
  <c r="F3874" i="4"/>
  <c r="F3875" i="4"/>
  <c r="F3876" i="4"/>
  <c r="F3877" i="4"/>
  <c r="F3878" i="4"/>
  <c r="F3879" i="4"/>
  <c r="F3880" i="4"/>
  <c r="F3881" i="4"/>
  <c r="F3882" i="4"/>
  <c r="F3883" i="4"/>
  <c r="F3884" i="4"/>
  <c r="F3885" i="4"/>
  <c r="F3886" i="4"/>
  <c r="F3887" i="4"/>
  <c r="F3888" i="4"/>
  <c r="F3889" i="4"/>
  <c r="F3890" i="4"/>
  <c r="F3891" i="4"/>
  <c r="F3892" i="4"/>
  <c r="F3893" i="4"/>
  <c r="F3894" i="4"/>
  <c r="F3895" i="4"/>
  <c r="F3896" i="4"/>
  <c r="F3897" i="4"/>
  <c r="F3898" i="4"/>
  <c r="F3899" i="4"/>
  <c r="F3900" i="4"/>
  <c r="F3901" i="4"/>
  <c r="F3902" i="4"/>
  <c r="F3903" i="4"/>
  <c r="F3904" i="4"/>
  <c r="F3905" i="4"/>
  <c r="F3906" i="4"/>
  <c r="F3907" i="4"/>
  <c r="F3908" i="4"/>
  <c r="F3909" i="4"/>
  <c r="F3910" i="4"/>
  <c r="F3911" i="4"/>
  <c r="F3912" i="4"/>
  <c r="F3913" i="4"/>
  <c r="F3914" i="4"/>
  <c r="F3915" i="4"/>
  <c r="F3916" i="4"/>
  <c r="F3917" i="4"/>
  <c r="F3918" i="4"/>
  <c r="F3919" i="4"/>
  <c r="F3920" i="4"/>
  <c r="G3870" i="4"/>
  <c r="G3871" i="4"/>
  <c r="G3872" i="4"/>
  <c r="G3873" i="4"/>
  <c r="G3874" i="4"/>
  <c r="G3875" i="4"/>
  <c r="G3876" i="4"/>
  <c r="G3877" i="4"/>
  <c r="G3878" i="4"/>
  <c r="G3879" i="4"/>
  <c r="G3880" i="4"/>
  <c r="G3881" i="4"/>
  <c r="G3882" i="4"/>
  <c r="G3883" i="4"/>
  <c r="G3884" i="4"/>
  <c r="G3885" i="4"/>
  <c r="G3886" i="4"/>
  <c r="G3887" i="4"/>
  <c r="G3888" i="4"/>
  <c r="G3889" i="4"/>
  <c r="G3890" i="4"/>
  <c r="G3891" i="4"/>
  <c r="G3892" i="4"/>
  <c r="G3893" i="4"/>
  <c r="G3894" i="4"/>
  <c r="G3895" i="4"/>
  <c r="G3896" i="4"/>
  <c r="G3897" i="4"/>
  <c r="G3898" i="4"/>
  <c r="G3899" i="4"/>
  <c r="G3900" i="4"/>
  <c r="G3901" i="4"/>
  <c r="G3902" i="4"/>
  <c r="G3903" i="4"/>
  <c r="G3904" i="4"/>
  <c r="G3905" i="4"/>
  <c r="G3906" i="4"/>
  <c r="G3907" i="4"/>
  <c r="G3908" i="4"/>
  <c r="G3909" i="4"/>
  <c r="G3910" i="4"/>
  <c r="G3911" i="4"/>
  <c r="G3912" i="4"/>
  <c r="G3913" i="4"/>
  <c r="G3914" i="4"/>
  <c r="G3915" i="4"/>
  <c r="G3916" i="4"/>
  <c r="G3917" i="4"/>
  <c r="G3918" i="4"/>
  <c r="G3919" i="4"/>
  <c r="G3920" i="4"/>
  <c r="H3870" i="4"/>
  <c r="H3871" i="4"/>
  <c r="H3872" i="4"/>
  <c r="H3873" i="4"/>
  <c r="H3874" i="4"/>
  <c r="H3875" i="4"/>
  <c r="H3876" i="4"/>
  <c r="H3877" i="4"/>
  <c r="H3878" i="4"/>
  <c r="H3879" i="4"/>
  <c r="H3880" i="4"/>
  <c r="H3881" i="4"/>
  <c r="H3882" i="4"/>
  <c r="H3883" i="4"/>
  <c r="H3884" i="4"/>
  <c r="H3885" i="4"/>
  <c r="H3886" i="4"/>
  <c r="H3887" i="4"/>
  <c r="H3888" i="4"/>
  <c r="H3889" i="4"/>
  <c r="H3890" i="4"/>
  <c r="H3891" i="4"/>
  <c r="H3892" i="4"/>
  <c r="H3893" i="4"/>
  <c r="H3894" i="4"/>
  <c r="H3895" i="4"/>
  <c r="H3896" i="4"/>
  <c r="H3897" i="4"/>
  <c r="H3898" i="4"/>
  <c r="H3899" i="4"/>
  <c r="H3900" i="4"/>
  <c r="H3901" i="4"/>
  <c r="H3902" i="4"/>
  <c r="H3903" i="4"/>
  <c r="H3904" i="4"/>
  <c r="H3905" i="4"/>
  <c r="H3906" i="4"/>
  <c r="H3907" i="4"/>
  <c r="H3908" i="4"/>
  <c r="H3909" i="4"/>
  <c r="H3910" i="4"/>
  <c r="H3911" i="4"/>
  <c r="H3912" i="4"/>
  <c r="H3913" i="4"/>
  <c r="H3914" i="4"/>
  <c r="H3915" i="4"/>
  <c r="H3916" i="4"/>
  <c r="H3917" i="4"/>
  <c r="H3918" i="4"/>
  <c r="H3919" i="4"/>
  <c r="H3920" i="4"/>
  <c r="I3870" i="4"/>
  <c r="I3871" i="4"/>
  <c r="I3872" i="4"/>
  <c r="I3873" i="4"/>
  <c r="I3874" i="4"/>
  <c r="I3875" i="4"/>
  <c r="I3876" i="4"/>
  <c r="I3877" i="4"/>
  <c r="I3878" i="4"/>
  <c r="I3879" i="4"/>
  <c r="I3880" i="4"/>
  <c r="I3881" i="4"/>
  <c r="I3882" i="4"/>
  <c r="I3883" i="4"/>
  <c r="I3884" i="4"/>
  <c r="I3885" i="4"/>
  <c r="I3886" i="4"/>
  <c r="I3887" i="4"/>
  <c r="I3888" i="4"/>
  <c r="I3889" i="4"/>
  <c r="I3890" i="4"/>
  <c r="I3891" i="4"/>
  <c r="I3892" i="4"/>
  <c r="I3893" i="4"/>
  <c r="I3894" i="4"/>
  <c r="I3895" i="4"/>
  <c r="I3896" i="4"/>
  <c r="I3897" i="4"/>
  <c r="I3898" i="4"/>
  <c r="I3899" i="4"/>
  <c r="I3900" i="4"/>
  <c r="I3901" i="4"/>
  <c r="I3902" i="4"/>
  <c r="I3903" i="4"/>
  <c r="I3904" i="4"/>
  <c r="I3905" i="4"/>
  <c r="I3906" i="4"/>
  <c r="I3907" i="4"/>
  <c r="I3908" i="4"/>
  <c r="I3909" i="4"/>
  <c r="I3910" i="4"/>
  <c r="I3911" i="4"/>
  <c r="I3912" i="4"/>
  <c r="I3913" i="4"/>
  <c r="I3914" i="4"/>
  <c r="I3915" i="4"/>
  <c r="I3916" i="4"/>
  <c r="I3917" i="4"/>
  <c r="I3918" i="4"/>
  <c r="I3919" i="4"/>
  <c r="I3920" i="4"/>
  <c r="N126" i="2"/>
  <c r="O126" i="2" s="1"/>
  <c r="N125" i="2"/>
  <c r="O125" i="2" s="1"/>
  <c r="A127" i="2"/>
  <c r="H127" i="2"/>
  <c r="I127" i="2" s="1"/>
  <c r="O127" i="2"/>
  <c r="A118" i="2"/>
  <c r="H118" i="2"/>
  <c r="I118" i="2" s="1"/>
  <c r="O118" i="2"/>
  <c r="A119" i="2"/>
  <c r="H119" i="2"/>
  <c r="I119" i="2" s="1"/>
  <c r="O119" i="2"/>
  <c r="A120" i="2"/>
  <c r="H120" i="2"/>
  <c r="J120" i="2" s="1"/>
  <c r="L120" i="2" s="1"/>
  <c r="O120" i="2"/>
  <c r="A121" i="2"/>
  <c r="H121" i="2"/>
  <c r="I121" i="2" s="1"/>
  <c r="O121" i="2"/>
  <c r="A122" i="2"/>
  <c r="H122" i="2"/>
  <c r="I122" i="2" s="1"/>
  <c r="O122" i="2"/>
  <c r="A123" i="2"/>
  <c r="H123" i="2"/>
  <c r="I123" i="2" s="1"/>
  <c r="O123" i="2"/>
  <c r="A124" i="2"/>
  <c r="H124" i="2"/>
  <c r="I124" i="2" s="1"/>
  <c r="O124" i="2"/>
  <c r="A125" i="2"/>
  <c r="H125" i="2"/>
  <c r="I125" i="2" s="1"/>
  <c r="A126" i="2"/>
  <c r="H126" i="2"/>
  <c r="J126" i="2" s="1"/>
  <c r="L126" i="2" s="1"/>
  <c r="A117" i="2"/>
  <c r="H117" i="2"/>
  <c r="I117" i="2" s="1"/>
  <c r="O117" i="2"/>
  <c r="F3868" i="4"/>
  <c r="F3869" i="4"/>
  <c r="G3868" i="4"/>
  <c r="G3869" i="4"/>
  <c r="H3868" i="4"/>
  <c r="H3869" i="4"/>
  <c r="I3868" i="4"/>
  <c r="I3869" i="4"/>
  <c r="F3866" i="4"/>
  <c r="F3867" i="4"/>
  <c r="G3866" i="4"/>
  <c r="G3867" i="4"/>
  <c r="H3866" i="4"/>
  <c r="H3867" i="4"/>
  <c r="I3866" i="4"/>
  <c r="I3867" i="4"/>
  <c r="F3865" i="4"/>
  <c r="G3865" i="4"/>
  <c r="H3865" i="4"/>
  <c r="I3865" i="4"/>
  <c r="A116" i="2"/>
  <c r="H116" i="2"/>
  <c r="I116" i="2" s="1"/>
  <c r="O116" i="2"/>
  <c r="A115" i="2"/>
  <c r="H115" i="2"/>
  <c r="I115" i="2" s="1"/>
  <c r="O115" i="2"/>
  <c r="A114" i="2"/>
  <c r="H114" i="2"/>
  <c r="I114" i="2" s="1"/>
  <c r="O114" i="2"/>
  <c r="A113" i="2"/>
  <c r="H113" i="2"/>
  <c r="I113" i="2" s="1"/>
  <c r="O113" i="2"/>
  <c r="A112" i="2"/>
  <c r="H112" i="2"/>
  <c r="I112" i="2" s="1"/>
  <c r="O112" i="2"/>
  <c r="A111" i="2"/>
  <c r="H111" i="2"/>
  <c r="I111" i="2" s="1"/>
  <c r="O111" i="2"/>
  <c r="A110" i="2"/>
  <c r="H110" i="2"/>
  <c r="I110" i="2" s="1"/>
  <c r="O110" i="2"/>
  <c r="A109" i="2"/>
  <c r="H109" i="2"/>
  <c r="I109" i="2" s="1"/>
  <c r="O109" i="2"/>
  <c r="A108" i="2"/>
  <c r="H108" i="2"/>
  <c r="I108" i="2" s="1"/>
  <c r="O108" i="2"/>
  <c r="F3864" i="4"/>
  <c r="G3864" i="4"/>
  <c r="H3864" i="4"/>
  <c r="I3864" i="4"/>
  <c r="F3845" i="4"/>
  <c r="F3846" i="4"/>
  <c r="F3847" i="4"/>
  <c r="F3848" i="4"/>
  <c r="F3849" i="4"/>
  <c r="F3850" i="4"/>
  <c r="F3851" i="4"/>
  <c r="F3852" i="4"/>
  <c r="F3853" i="4"/>
  <c r="F3854" i="4"/>
  <c r="F3855" i="4"/>
  <c r="F3856" i="4"/>
  <c r="F3857" i="4"/>
  <c r="F3858" i="4"/>
  <c r="F3859" i="4"/>
  <c r="F3860" i="4"/>
  <c r="F3861" i="4"/>
  <c r="F3862" i="4"/>
  <c r="F3863" i="4"/>
  <c r="G3845" i="4"/>
  <c r="G3846" i="4"/>
  <c r="G3847" i="4"/>
  <c r="G3848" i="4"/>
  <c r="G3849" i="4"/>
  <c r="G3850" i="4"/>
  <c r="G3851" i="4"/>
  <c r="G3852" i="4"/>
  <c r="G3853" i="4"/>
  <c r="G3854" i="4"/>
  <c r="G3855" i="4"/>
  <c r="G3856" i="4"/>
  <c r="G3857" i="4"/>
  <c r="G3858" i="4"/>
  <c r="G3859" i="4"/>
  <c r="G3860" i="4"/>
  <c r="G3861" i="4"/>
  <c r="G3862" i="4"/>
  <c r="G3863" i="4"/>
  <c r="H3845" i="4"/>
  <c r="H3846" i="4"/>
  <c r="H3847" i="4"/>
  <c r="H3848" i="4"/>
  <c r="H3849" i="4"/>
  <c r="H3850" i="4"/>
  <c r="H3851" i="4"/>
  <c r="H3852" i="4"/>
  <c r="H3853" i="4"/>
  <c r="H3854" i="4"/>
  <c r="H3855" i="4"/>
  <c r="H3856" i="4"/>
  <c r="H3857" i="4"/>
  <c r="H3858" i="4"/>
  <c r="H3859" i="4"/>
  <c r="H3860" i="4"/>
  <c r="H3861" i="4"/>
  <c r="H3862" i="4"/>
  <c r="H3863" i="4"/>
  <c r="I3845" i="4"/>
  <c r="I3846" i="4"/>
  <c r="I3847" i="4"/>
  <c r="I3848" i="4"/>
  <c r="I3849" i="4"/>
  <c r="I3850" i="4"/>
  <c r="I3851" i="4"/>
  <c r="I3852" i="4"/>
  <c r="I3853" i="4"/>
  <c r="I3854" i="4"/>
  <c r="I3855" i="4"/>
  <c r="I3856" i="4"/>
  <c r="I3857" i="4"/>
  <c r="I3858" i="4"/>
  <c r="I3859" i="4"/>
  <c r="I3860" i="4"/>
  <c r="I3861" i="4"/>
  <c r="I3862" i="4"/>
  <c r="I3863" i="4"/>
  <c r="F3843" i="4"/>
  <c r="F3844" i="4"/>
  <c r="G3843" i="4"/>
  <c r="G3844" i="4"/>
  <c r="H3843" i="4"/>
  <c r="H3844" i="4"/>
  <c r="I3843" i="4"/>
  <c r="I3844" i="4"/>
  <c r="F3841" i="4"/>
  <c r="F3842" i="4"/>
  <c r="G3841" i="4"/>
  <c r="G3842" i="4"/>
  <c r="H3841" i="4"/>
  <c r="H3842" i="4"/>
  <c r="I3841" i="4"/>
  <c r="I3842" i="4"/>
  <c r="N107" i="2"/>
  <c r="A2" i="2"/>
  <c r="H2" i="2"/>
  <c r="I2" i="2" s="1"/>
  <c r="O2" i="2"/>
  <c r="A3" i="2"/>
  <c r="H3" i="2"/>
  <c r="J3" i="2" s="1"/>
  <c r="L3" i="2" s="1"/>
  <c r="O3" i="2"/>
  <c r="A4" i="2"/>
  <c r="H4" i="2"/>
  <c r="I4" i="2" s="1"/>
  <c r="O4" i="2"/>
  <c r="A5" i="2"/>
  <c r="H5" i="2"/>
  <c r="I5" i="2" s="1"/>
  <c r="O5" i="2"/>
  <c r="A6" i="2"/>
  <c r="H6" i="2"/>
  <c r="I6" i="2" s="1"/>
  <c r="O6" i="2"/>
  <c r="A7" i="2"/>
  <c r="H7" i="2"/>
  <c r="J7" i="2" s="1"/>
  <c r="L7" i="2" s="1"/>
  <c r="O7" i="2"/>
  <c r="A8" i="2"/>
  <c r="H8" i="2"/>
  <c r="I8" i="2" s="1"/>
  <c r="O8" i="2"/>
  <c r="A9" i="2"/>
  <c r="H9" i="2"/>
  <c r="I9" i="2" s="1"/>
  <c r="O9" i="2"/>
  <c r="A10" i="2"/>
  <c r="H10" i="2"/>
  <c r="I10" i="2" s="1"/>
  <c r="O10" i="2"/>
  <c r="A11" i="2"/>
  <c r="H11" i="2"/>
  <c r="J11" i="2" s="1"/>
  <c r="L11" i="2" s="1"/>
  <c r="O11" i="2"/>
  <c r="A12" i="2"/>
  <c r="H12" i="2"/>
  <c r="I12" i="2" s="1"/>
  <c r="O12" i="2"/>
  <c r="A13" i="2"/>
  <c r="H13" i="2"/>
  <c r="I13" i="2" s="1"/>
  <c r="O13" i="2"/>
  <c r="A14" i="2"/>
  <c r="H14" i="2"/>
  <c r="I14" i="2" s="1"/>
  <c r="O14" i="2"/>
  <c r="A15" i="2"/>
  <c r="H15" i="2"/>
  <c r="J15" i="2" s="1"/>
  <c r="L15" i="2" s="1"/>
  <c r="O15" i="2"/>
  <c r="A16" i="2"/>
  <c r="H16" i="2"/>
  <c r="I16" i="2" s="1"/>
  <c r="O16" i="2"/>
  <c r="A17" i="2"/>
  <c r="H17" i="2"/>
  <c r="I17" i="2" s="1"/>
  <c r="O17" i="2"/>
  <c r="A18" i="2"/>
  <c r="H18" i="2"/>
  <c r="I18" i="2" s="1"/>
  <c r="O18" i="2"/>
  <c r="A19" i="2"/>
  <c r="H19" i="2"/>
  <c r="J19" i="2" s="1"/>
  <c r="L19" i="2" s="1"/>
  <c r="O19" i="2"/>
  <c r="A20" i="2"/>
  <c r="H20" i="2"/>
  <c r="I20" i="2" s="1"/>
  <c r="O20" i="2"/>
  <c r="A21" i="2"/>
  <c r="H21" i="2"/>
  <c r="J21" i="2" s="1"/>
  <c r="L21" i="2" s="1"/>
  <c r="O21" i="2"/>
  <c r="A22" i="2"/>
  <c r="H22" i="2"/>
  <c r="I22" i="2" s="1"/>
  <c r="O22" i="2"/>
  <c r="A23" i="2"/>
  <c r="H23" i="2"/>
  <c r="J23" i="2" s="1"/>
  <c r="L23" i="2" s="1"/>
  <c r="O23" i="2"/>
  <c r="A24" i="2"/>
  <c r="H24" i="2"/>
  <c r="O24" i="2"/>
  <c r="A25" i="2"/>
  <c r="H25" i="2"/>
  <c r="J25" i="2" s="1"/>
  <c r="L25" i="2" s="1"/>
  <c r="O25" i="2"/>
  <c r="A26" i="2"/>
  <c r="H26" i="2"/>
  <c r="I26" i="2" s="1"/>
  <c r="O26" i="2"/>
  <c r="A27" i="2"/>
  <c r="H27" i="2"/>
  <c r="J27" i="2" s="1"/>
  <c r="L27" i="2" s="1"/>
  <c r="O27" i="2"/>
  <c r="A28" i="2"/>
  <c r="H28" i="2"/>
  <c r="O28" i="2"/>
  <c r="A29" i="2"/>
  <c r="H29" i="2"/>
  <c r="I29" i="2" s="1"/>
  <c r="O29" i="2"/>
  <c r="A30" i="2"/>
  <c r="H30" i="2"/>
  <c r="I30" i="2" s="1"/>
  <c r="O30" i="2"/>
  <c r="A31" i="2"/>
  <c r="H31" i="2"/>
  <c r="J31" i="2" s="1"/>
  <c r="L31" i="2" s="1"/>
  <c r="O31" i="2"/>
  <c r="A32" i="2"/>
  <c r="H32" i="2"/>
  <c r="J32" i="2" s="1"/>
  <c r="L32" i="2" s="1"/>
  <c r="O32" i="2"/>
  <c r="A33" i="2"/>
  <c r="H33" i="2"/>
  <c r="J33" i="2" s="1"/>
  <c r="L33" i="2" s="1"/>
  <c r="O33" i="2"/>
  <c r="A34" i="2"/>
  <c r="H34" i="2"/>
  <c r="J34" i="2" s="1"/>
  <c r="L34" i="2" s="1"/>
  <c r="O34" i="2"/>
  <c r="A35" i="2"/>
  <c r="H35" i="2"/>
  <c r="J35" i="2" s="1"/>
  <c r="L35" i="2" s="1"/>
  <c r="O35" i="2"/>
  <c r="A36" i="2"/>
  <c r="H36" i="2"/>
  <c r="J36" i="2" s="1"/>
  <c r="L36" i="2" s="1"/>
  <c r="O36" i="2"/>
  <c r="A37" i="2"/>
  <c r="H37" i="2"/>
  <c r="I37" i="2" s="1"/>
  <c r="O37" i="2"/>
  <c r="A38" i="2"/>
  <c r="H38" i="2"/>
  <c r="J38" i="2" s="1"/>
  <c r="L38" i="2" s="1"/>
  <c r="O38" i="2"/>
  <c r="A39" i="2"/>
  <c r="H39" i="2"/>
  <c r="J39" i="2" s="1"/>
  <c r="L39" i="2" s="1"/>
  <c r="O39" i="2"/>
  <c r="A40" i="2"/>
  <c r="H40" i="2"/>
  <c r="I40" i="2" s="1"/>
  <c r="O40" i="2"/>
  <c r="A41" i="2"/>
  <c r="H41" i="2"/>
  <c r="J41" i="2" s="1"/>
  <c r="L41" i="2" s="1"/>
  <c r="O41" i="2"/>
  <c r="A42" i="2"/>
  <c r="H42" i="2"/>
  <c r="J42" i="2" s="1"/>
  <c r="L42" i="2" s="1"/>
  <c r="O42" i="2"/>
  <c r="A43" i="2"/>
  <c r="H43" i="2"/>
  <c r="J43" i="2" s="1"/>
  <c r="L43" i="2" s="1"/>
  <c r="O43" i="2"/>
  <c r="A44" i="2"/>
  <c r="H44" i="2"/>
  <c r="I44" i="2" s="1"/>
  <c r="O44" i="2"/>
  <c r="A45" i="2"/>
  <c r="H45" i="2"/>
  <c r="I45" i="2" s="1"/>
  <c r="O45" i="2"/>
  <c r="A46" i="2"/>
  <c r="H46" i="2"/>
  <c r="J46" i="2" s="1"/>
  <c r="L46" i="2" s="1"/>
  <c r="O46" i="2"/>
  <c r="A47" i="2"/>
  <c r="H47" i="2"/>
  <c r="J47" i="2" s="1"/>
  <c r="L47" i="2" s="1"/>
  <c r="O47" i="2"/>
  <c r="A48" i="2"/>
  <c r="H48" i="2"/>
  <c r="I48" i="2" s="1"/>
  <c r="O48" i="2"/>
  <c r="A49" i="2"/>
  <c r="H49" i="2"/>
  <c r="I49" i="2" s="1"/>
  <c r="N49" i="2"/>
  <c r="O49" i="2" s="1"/>
  <c r="A50" i="2"/>
  <c r="H50" i="2"/>
  <c r="J50" i="2" s="1"/>
  <c r="L50" i="2" s="1"/>
  <c r="O50" i="2"/>
  <c r="A51" i="2"/>
  <c r="H51" i="2"/>
  <c r="J51" i="2" s="1"/>
  <c r="L51" i="2" s="1"/>
  <c r="O51" i="2"/>
  <c r="A52" i="2"/>
  <c r="H52" i="2"/>
  <c r="J52" i="2" s="1"/>
  <c r="L52" i="2" s="1"/>
  <c r="O52" i="2"/>
  <c r="A53" i="2"/>
  <c r="H53" i="2"/>
  <c r="I53" i="2" s="1"/>
  <c r="N53" i="2"/>
  <c r="O53" i="2" s="1"/>
  <c r="A54" i="2"/>
  <c r="H54" i="2"/>
  <c r="J54" i="2" s="1"/>
  <c r="L54" i="2" s="1"/>
  <c r="N54" i="2"/>
  <c r="O54" i="2" s="1"/>
  <c r="A55" i="2"/>
  <c r="H55" i="2"/>
  <c r="J55" i="2" s="1"/>
  <c r="L55" i="2" s="1"/>
  <c r="O55" i="2"/>
  <c r="A56" i="2"/>
  <c r="H56" i="2"/>
  <c r="I56" i="2" s="1"/>
  <c r="N56" i="2"/>
  <c r="O56" i="2" s="1"/>
  <c r="A57" i="2"/>
  <c r="H57" i="2"/>
  <c r="I57" i="2" s="1"/>
  <c r="O57" i="2"/>
  <c r="A58" i="2"/>
  <c r="H58" i="2"/>
  <c r="J58" i="2" s="1"/>
  <c r="L58" i="2" s="1"/>
  <c r="O58" i="2"/>
  <c r="A59" i="2"/>
  <c r="H59" i="2"/>
  <c r="J59" i="2" s="1"/>
  <c r="L59" i="2" s="1"/>
  <c r="O59" i="2"/>
  <c r="A60" i="2"/>
  <c r="H60" i="2"/>
  <c r="I60" i="2" s="1"/>
  <c r="N60" i="2"/>
  <c r="O60" i="2" s="1"/>
  <c r="A61" i="2"/>
  <c r="H61" i="2"/>
  <c r="J61" i="2" s="1"/>
  <c r="L61" i="2" s="1"/>
  <c r="N61" i="2"/>
  <c r="O61" i="2" s="1"/>
  <c r="A62" i="2"/>
  <c r="H62" i="2"/>
  <c r="I62" i="2" s="1"/>
  <c r="O62" i="2"/>
  <c r="A63" i="2"/>
  <c r="H63" i="2"/>
  <c r="I63" i="2" s="1"/>
  <c r="O63" i="2"/>
  <c r="A64" i="2"/>
  <c r="H64" i="2"/>
  <c r="J64" i="2" s="1"/>
  <c r="L64" i="2" s="1"/>
  <c r="O64" i="2"/>
  <c r="A65" i="2"/>
  <c r="H65" i="2"/>
  <c r="J65" i="2" s="1"/>
  <c r="L65" i="2" s="1"/>
  <c r="O65" i="2"/>
  <c r="A66" i="2"/>
  <c r="H66" i="2"/>
  <c r="I66" i="2" s="1"/>
  <c r="O66" i="2"/>
  <c r="A67" i="2"/>
  <c r="H67" i="2"/>
  <c r="I67" i="2" s="1"/>
  <c r="O67" i="2"/>
  <c r="A68" i="2"/>
  <c r="H68" i="2"/>
  <c r="J68" i="2" s="1"/>
  <c r="L68" i="2" s="1"/>
  <c r="O68" i="2"/>
  <c r="A69" i="2"/>
  <c r="H69" i="2"/>
  <c r="J69" i="2" s="1"/>
  <c r="L69" i="2" s="1"/>
  <c r="O69" i="2"/>
  <c r="A70" i="2"/>
  <c r="H70" i="2"/>
  <c r="I70" i="2" s="1"/>
  <c r="O70" i="2"/>
  <c r="A71" i="2"/>
  <c r="H71" i="2"/>
  <c r="J71" i="2" s="1"/>
  <c r="L71" i="2" s="1"/>
  <c r="O71" i="2"/>
  <c r="A72" i="2"/>
  <c r="H72" i="2"/>
  <c r="J72" i="2" s="1"/>
  <c r="L72" i="2" s="1"/>
  <c r="O72" i="2"/>
  <c r="A73" i="2"/>
  <c r="H73" i="2"/>
  <c r="J73" i="2" s="1"/>
  <c r="L73" i="2" s="1"/>
  <c r="O73" i="2"/>
  <c r="A74" i="2"/>
  <c r="H74" i="2"/>
  <c r="I74" i="2" s="1"/>
  <c r="O74" i="2"/>
  <c r="A75" i="2"/>
  <c r="H75" i="2"/>
  <c r="J75" i="2" s="1"/>
  <c r="L75" i="2" s="1"/>
  <c r="O75" i="2"/>
  <c r="A76" i="2"/>
  <c r="H76" i="2"/>
  <c r="I76" i="2" s="1"/>
  <c r="O76" i="2"/>
  <c r="A77" i="2"/>
  <c r="H77" i="2"/>
  <c r="I77" i="2" s="1"/>
  <c r="O77" i="2"/>
  <c r="A78" i="2"/>
  <c r="H78" i="2"/>
  <c r="O78" i="2"/>
  <c r="A79" i="2"/>
  <c r="H79" i="2"/>
  <c r="J79" i="2" s="1"/>
  <c r="L79" i="2" s="1"/>
  <c r="O79" i="2"/>
  <c r="A80" i="2"/>
  <c r="H80" i="2"/>
  <c r="J80" i="2" s="1"/>
  <c r="L80" i="2" s="1"/>
  <c r="N80" i="2"/>
  <c r="O80" i="2" s="1"/>
  <c r="A81" i="2"/>
  <c r="H81" i="2"/>
  <c r="I81" i="2" s="1"/>
  <c r="N81" i="2"/>
  <c r="O81" i="2" s="1"/>
  <c r="A82" i="2"/>
  <c r="H82" i="2"/>
  <c r="I82" i="2" s="1"/>
  <c r="N82" i="2"/>
  <c r="O82" i="2" s="1"/>
  <c r="A83" i="2"/>
  <c r="H83" i="2"/>
  <c r="I83" i="2" s="1"/>
  <c r="O83" i="2"/>
  <c r="A84" i="2"/>
  <c r="H84" i="2"/>
  <c r="J84" i="2" s="1"/>
  <c r="L84" i="2" s="1"/>
  <c r="O84" i="2"/>
  <c r="A85" i="2"/>
  <c r="H85" i="2"/>
  <c r="J85" i="2" s="1"/>
  <c r="L85" i="2" s="1"/>
  <c r="O85" i="2"/>
  <c r="A86" i="2"/>
  <c r="H86" i="2"/>
  <c r="J86" i="2" s="1"/>
  <c r="L86" i="2" s="1"/>
  <c r="O86" i="2"/>
  <c r="A87" i="2"/>
  <c r="H87" i="2"/>
  <c r="I87" i="2" s="1"/>
  <c r="O87" i="2"/>
  <c r="A88" i="2"/>
  <c r="H88" i="2"/>
  <c r="I88" i="2" s="1"/>
  <c r="O88" i="2"/>
  <c r="A89" i="2"/>
  <c r="H89" i="2"/>
  <c r="I89" i="2" s="1"/>
  <c r="O89" i="2"/>
  <c r="A90" i="2"/>
  <c r="H90" i="2"/>
  <c r="J90" i="2" s="1"/>
  <c r="L90" i="2" s="1"/>
  <c r="O90" i="2"/>
  <c r="A91" i="2"/>
  <c r="H91" i="2"/>
  <c r="I91" i="2" s="1"/>
  <c r="O91" i="2"/>
  <c r="A92" i="2"/>
  <c r="H92" i="2"/>
  <c r="I92" i="2" s="1"/>
  <c r="O92" i="2"/>
  <c r="A93" i="2"/>
  <c r="H93" i="2"/>
  <c r="I93" i="2" s="1"/>
  <c r="O93" i="2"/>
  <c r="H94" i="2"/>
  <c r="I94" i="2" s="1"/>
  <c r="N94" i="2"/>
  <c r="O94" i="2" s="1"/>
  <c r="A95" i="2"/>
  <c r="H95" i="2"/>
  <c r="I95" i="2" s="1"/>
  <c r="O95" i="2"/>
  <c r="A96" i="2"/>
  <c r="H96" i="2"/>
  <c r="I96" i="2" s="1"/>
  <c r="O96" i="2"/>
  <c r="A97" i="2"/>
  <c r="H97" i="2"/>
  <c r="I97" i="2" s="1"/>
  <c r="O97" i="2"/>
  <c r="A98" i="2"/>
  <c r="H98" i="2"/>
  <c r="J98" i="2" s="1"/>
  <c r="L98" i="2" s="1"/>
  <c r="O98" i="2"/>
  <c r="A99" i="2"/>
  <c r="H99" i="2"/>
  <c r="I99" i="2" s="1"/>
  <c r="O99" i="2"/>
  <c r="A100" i="2"/>
  <c r="H100" i="2"/>
  <c r="J100" i="2" s="1"/>
  <c r="L100" i="2" s="1"/>
  <c r="O100" i="2"/>
  <c r="A101" i="2"/>
  <c r="H101" i="2"/>
  <c r="I101" i="2" s="1"/>
  <c r="O101" i="2"/>
  <c r="A102" i="2"/>
  <c r="H102" i="2"/>
  <c r="J102" i="2" s="1"/>
  <c r="L102" i="2" s="1"/>
  <c r="O102" i="2"/>
  <c r="A103" i="2"/>
  <c r="H103" i="2"/>
  <c r="I103" i="2" s="1"/>
  <c r="O103" i="2"/>
  <c r="A104" i="2"/>
  <c r="H104" i="2"/>
  <c r="I104" i="2" s="1"/>
  <c r="O104" i="2"/>
  <c r="A105" i="2"/>
  <c r="H105" i="2"/>
  <c r="I105" i="2" s="1"/>
  <c r="O105" i="2"/>
  <c r="A106" i="2"/>
  <c r="H106" i="2"/>
  <c r="J106" i="2" s="1"/>
  <c r="L106" i="2" s="1"/>
  <c r="O106" i="2"/>
  <c r="A107" i="2"/>
  <c r="O107" i="2"/>
  <c r="F3835" i="4"/>
  <c r="F3836" i="4"/>
  <c r="F3837" i="4"/>
  <c r="F3838" i="4"/>
  <c r="F3839" i="4"/>
  <c r="F3840" i="4"/>
  <c r="G3835" i="4"/>
  <c r="G3836" i="4"/>
  <c r="G3837" i="4"/>
  <c r="G3838" i="4"/>
  <c r="G3839" i="4"/>
  <c r="G3840" i="4"/>
  <c r="H3835" i="4"/>
  <c r="H3836" i="4"/>
  <c r="H3837" i="4"/>
  <c r="H3838" i="4"/>
  <c r="H3839" i="4"/>
  <c r="H3840" i="4"/>
  <c r="I3835" i="4"/>
  <c r="I3836" i="4"/>
  <c r="I3837" i="4"/>
  <c r="I3838" i="4"/>
  <c r="I3839" i="4"/>
  <c r="I3840" i="4"/>
  <c r="F3820" i="4"/>
  <c r="F3821" i="4"/>
  <c r="F3822" i="4"/>
  <c r="F3823" i="4"/>
  <c r="F3824" i="4"/>
  <c r="F3825" i="4"/>
  <c r="F3826" i="4"/>
  <c r="F3827" i="4"/>
  <c r="F3828" i="4"/>
  <c r="F3829" i="4"/>
  <c r="F3830" i="4"/>
  <c r="F3831" i="4"/>
  <c r="F3832" i="4"/>
  <c r="F3833" i="4"/>
  <c r="F3834" i="4"/>
  <c r="G3820" i="4"/>
  <c r="G3821" i="4"/>
  <c r="G3822" i="4"/>
  <c r="G3823" i="4"/>
  <c r="G3824" i="4"/>
  <c r="G3825" i="4"/>
  <c r="G3826" i="4"/>
  <c r="G3827" i="4"/>
  <c r="G3828" i="4"/>
  <c r="G3829" i="4"/>
  <c r="G3830" i="4"/>
  <c r="G3831" i="4"/>
  <c r="G3832" i="4"/>
  <c r="G3833" i="4"/>
  <c r="G3834" i="4"/>
  <c r="H3820" i="4"/>
  <c r="H3821" i="4"/>
  <c r="H3822" i="4"/>
  <c r="H3823" i="4"/>
  <c r="H3824" i="4"/>
  <c r="H3825" i="4"/>
  <c r="H3826" i="4"/>
  <c r="H3827" i="4"/>
  <c r="H3828" i="4"/>
  <c r="H3829" i="4"/>
  <c r="H3830" i="4"/>
  <c r="H3831" i="4"/>
  <c r="H3832" i="4"/>
  <c r="H3833" i="4"/>
  <c r="H3834" i="4"/>
  <c r="I3820" i="4"/>
  <c r="I3821" i="4"/>
  <c r="I3822" i="4"/>
  <c r="I3823" i="4"/>
  <c r="I3824" i="4"/>
  <c r="I3825" i="4"/>
  <c r="I3826" i="4"/>
  <c r="I3827" i="4"/>
  <c r="I3828" i="4"/>
  <c r="I3829" i="4"/>
  <c r="I3830" i="4"/>
  <c r="I3831" i="4"/>
  <c r="I3832" i="4"/>
  <c r="I3833" i="4"/>
  <c r="I3834" i="4"/>
  <c r="F3815" i="4"/>
  <c r="F3816" i="4"/>
  <c r="F3817" i="4"/>
  <c r="F3818" i="4"/>
  <c r="F3819" i="4"/>
  <c r="G3815" i="4"/>
  <c r="G3816" i="4"/>
  <c r="G3817" i="4"/>
  <c r="G3818" i="4"/>
  <c r="G3819" i="4"/>
  <c r="H3815" i="4"/>
  <c r="H3816" i="4"/>
  <c r="H3817" i="4"/>
  <c r="H3818" i="4"/>
  <c r="H3819" i="4"/>
  <c r="I3815" i="4"/>
  <c r="I3816" i="4"/>
  <c r="I3817" i="4"/>
  <c r="I3818" i="4"/>
  <c r="I3819" i="4"/>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G3781" i="4"/>
  <c r="G3782" i="4"/>
  <c r="G3783" i="4"/>
  <c r="G3784" i="4"/>
  <c r="G3785" i="4"/>
  <c r="G3786" i="4"/>
  <c r="G3787" i="4"/>
  <c r="G3788" i="4"/>
  <c r="G3789" i="4"/>
  <c r="G3790" i="4"/>
  <c r="G3791" i="4"/>
  <c r="G3792" i="4"/>
  <c r="G3793" i="4"/>
  <c r="G3794" i="4"/>
  <c r="G3795" i="4"/>
  <c r="G3796" i="4"/>
  <c r="G3797" i="4"/>
  <c r="G3798" i="4"/>
  <c r="G3799" i="4"/>
  <c r="G3800" i="4"/>
  <c r="G3801" i="4"/>
  <c r="G3802" i="4"/>
  <c r="G3803" i="4"/>
  <c r="G3804" i="4"/>
  <c r="G3805" i="4"/>
  <c r="G3806" i="4"/>
  <c r="G3807" i="4"/>
  <c r="G3808" i="4"/>
  <c r="G3809" i="4"/>
  <c r="G3810" i="4"/>
  <c r="G3811" i="4"/>
  <c r="G3812" i="4"/>
  <c r="G3813" i="4"/>
  <c r="G3814" i="4"/>
  <c r="H3781" i="4"/>
  <c r="H3782" i="4"/>
  <c r="H3783" i="4"/>
  <c r="H3784" i="4"/>
  <c r="H3785" i="4"/>
  <c r="H3786" i="4"/>
  <c r="H3787" i="4"/>
  <c r="H3788" i="4"/>
  <c r="H3789" i="4"/>
  <c r="H3790" i="4"/>
  <c r="H3791" i="4"/>
  <c r="H3792" i="4"/>
  <c r="H3793" i="4"/>
  <c r="H3794" i="4"/>
  <c r="H3795" i="4"/>
  <c r="H3796" i="4"/>
  <c r="H3797" i="4"/>
  <c r="H3798" i="4"/>
  <c r="H3799" i="4"/>
  <c r="H3800" i="4"/>
  <c r="H3801" i="4"/>
  <c r="H3802" i="4"/>
  <c r="H3803" i="4"/>
  <c r="H3804" i="4"/>
  <c r="H3805" i="4"/>
  <c r="H3806" i="4"/>
  <c r="H3807" i="4"/>
  <c r="H3808" i="4"/>
  <c r="H3809" i="4"/>
  <c r="H3810" i="4"/>
  <c r="H3811" i="4"/>
  <c r="H3812" i="4"/>
  <c r="H3813" i="4"/>
  <c r="H3814"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F3766" i="4"/>
  <c r="F3767" i="4"/>
  <c r="F3768" i="4"/>
  <c r="F3769" i="4"/>
  <c r="F3770" i="4"/>
  <c r="F3771" i="4"/>
  <c r="F3772" i="4"/>
  <c r="F3773" i="4"/>
  <c r="F3774" i="4"/>
  <c r="F3775" i="4"/>
  <c r="F3776" i="4"/>
  <c r="F3777" i="4"/>
  <c r="F3778" i="4"/>
  <c r="F3779" i="4"/>
  <c r="F3780" i="4"/>
  <c r="G3766" i="4"/>
  <c r="G3767" i="4"/>
  <c r="G3768" i="4"/>
  <c r="G3769" i="4"/>
  <c r="G3770" i="4"/>
  <c r="G3771" i="4"/>
  <c r="G3772" i="4"/>
  <c r="G3773" i="4"/>
  <c r="G3774" i="4"/>
  <c r="G3775" i="4"/>
  <c r="G3776" i="4"/>
  <c r="G3777" i="4"/>
  <c r="G3778" i="4"/>
  <c r="G3779" i="4"/>
  <c r="G3780" i="4"/>
  <c r="H3766" i="4"/>
  <c r="H3767" i="4"/>
  <c r="H3768" i="4"/>
  <c r="H3769" i="4"/>
  <c r="H3770" i="4"/>
  <c r="H3771" i="4"/>
  <c r="H3772" i="4"/>
  <c r="H3773" i="4"/>
  <c r="H3774" i="4"/>
  <c r="H3775" i="4"/>
  <c r="H3776" i="4"/>
  <c r="H3777" i="4"/>
  <c r="H3778" i="4"/>
  <c r="H3779" i="4"/>
  <c r="H3780" i="4"/>
  <c r="I3766" i="4"/>
  <c r="I3767" i="4"/>
  <c r="I3768" i="4"/>
  <c r="I3769" i="4"/>
  <c r="I3770" i="4"/>
  <c r="I3771" i="4"/>
  <c r="I3772" i="4"/>
  <c r="I3773" i="4"/>
  <c r="I3774" i="4"/>
  <c r="I3775" i="4"/>
  <c r="I3776" i="4"/>
  <c r="I3777" i="4"/>
  <c r="I3778" i="4"/>
  <c r="I3779" i="4"/>
  <c r="I3780" i="4"/>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Q170" i="2" l="1"/>
  <c r="I170" i="2"/>
  <c r="J169" i="2"/>
  <c r="L169" i="2" s="1"/>
  <c r="Q169" i="2"/>
  <c r="J168" i="2"/>
  <c r="L168" i="2" s="1"/>
  <c r="Q166" i="2"/>
  <c r="Q167" i="2"/>
  <c r="Q168" i="2"/>
  <c r="J166" i="2"/>
  <c r="L166" i="2" s="1"/>
  <c r="J167" i="2"/>
  <c r="L167" i="2" s="1"/>
  <c r="J162" i="2"/>
  <c r="L162" i="2" s="1"/>
  <c r="J165" i="2"/>
  <c r="L165" i="2" s="1"/>
  <c r="J164" i="2"/>
  <c r="L164" i="2" s="1"/>
  <c r="J161" i="2"/>
  <c r="L161" i="2" s="1"/>
  <c r="Q165" i="2"/>
  <c r="Q161" i="2"/>
  <c r="Q164" i="2"/>
  <c r="Q160" i="2"/>
  <c r="Q159" i="2"/>
  <c r="J159" i="2"/>
  <c r="L159" i="2" s="1"/>
  <c r="I158" i="2"/>
  <c r="Q158" i="2"/>
  <c r="Q157" i="2"/>
  <c r="I157" i="2"/>
  <c r="J156" i="2"/>
  <c r="L156" i="2" s="1"/>
  <c r="I156" i="2"/>
  <c r="J153" i="2"/>
  <c r="L153" i="2" s="1"/>
  <c r="J155" i="2"/>
  <c r="L155" i="2" s="1"/>
  <c r="Q155" i="2"/>
  <c r="J154" i="2"/>
  <c r="L154" i="2" s="1"/>
  <c r="Q151" i="2"/>
  <c r="Q147" i="2"/>
  <c r="Q150" i="2"/>
  <c r="J151" i="2"/>
  <c r="L151" i="2" s="1"/>
  <c r="Q154" i="2"/>
  <c r="J152" i="2"/>
  <c r="L152" i="2" s="1"/>
  <c r="Q153" i="2"/>
  <c r="Q152" i="2"/>
  <c r="I150" i="2"/>
  <c r="I147" i="2"/>
  <c r="Q149" i="2"/>
  <c r="I149" i="2"/>
  <c r="I142" i="2"/>
  <c r="J140" i="2"/>
  <c r="L140" i="2" s="1"/>
  <c r="J146" i="2"/>
  <c r="L146" i="2" s="1"/>
  <c r="I140" i="2"/>
  <c r="Q148" i="2"/>
  <c r="J148" i="2"/>
  <c r="L148" i="2" s="1"/>
  <c r="J136" i="2"/>
  <c r="L136" i="2" s="1"/>
  <c r="J144" i="2"/>
  <c r="L144" i="2" s="1"/>
  <c r="Q146" i="2"/>
  <c r="J145" i="2"/>
  <c r="L145" i="2" s="1"/>
  <c r="Q129" i="2"/>
  <c r="Q145" i="2"/>
  <c r="J138" i="2"/>
  <c r="L138" i="2" s="1"/>
  <c r="Q144" i="2"/>
  <c r="Q142" i="2"/>
  <c r="Q135" i="2"/>
  <c r="Q139" i="2"/>
  <c r="I138" i="2"/>
  <c r="Q133" i="2"/>
  <c r="I131" i="2"/>
  <c r="Q143" i="2"/>
  <c r="J135" i="2"/>
  <c r="L135" i="2" s="1"/>
  <c r="J143" i="2"/>
  <c r="L143" i="2" s="1"/>
  <c r="I139" i="2"/>
  <c r="Q134" i="2"/>
  <c r="Q130" i="2"/>
  <c r="J130" i="2"/>
  <c r="L130" i="2" s="1"/>
  <c r="J134" i="2"/>
  <c r="L134" i="2" s="1"/>
  <c r="J129" i="2"/>
  <c r="L129" i="2" s="1"/>
  <c r="J133" i="2"/>
  <c r="L133" i="2" s="1"/>
  <c r="Q132" i="2"/>
  <c r="Q128" i="2"/>
  <c r="J132" i="2"/>
  <c r="L132" i="2" s="1"/>
  <c r="J128" i="2"/>
  <c r="L128" i="2" s="1"/>
  <c r="J141" i="2"/>
  <c r="L141" i="2" s="1"/>
  <c r="J137" i="2"/>
  <c r="L137" i="2" s="1"/>
  <c r="Q131" i="2"/>
  <c r="Q141" i="2"/>
  <c r="Q137" i="2"/>
  <c r="Q124" i="2"/>
  <c r="J127" i="2"/>
  <c r="L127" i="2" s="1"/>
  <c r="J124" i="2"/>
  <c r="L124" i="2" s="1"/>
  <c r="Q127" i="2"/>
  <c r="I126" i="2"/>
  <c r="Q125" i="2"/>
  <c r="J125" i="2"/>
  <c r="L125" i="2" s="1"/>
  <c r="Q126" i="2"/>
  <c r="J121" i="2"/>
  <c r="L121" i="2" s="1"/>
  <c r="Q121" i="2"/>
  <c r="J118" i="2"/>
  <c r="L118" i="2" s="1"/>
  <c r="Q118" i="2"/>
  <c r="I120" i="2"/>
  <c r="Q123" i="2"/>
  <c r="J123" i="2"/>
  <c r="L123" i="2" s="1"/>
  <c r="J119" i="2"/>
  <c r="L119" i="2" s="1"/>
  <c r="Q120" i="2"/>
  <c r="Q119" i="2"/>
  <c r="J122" i="2"/>
  <c r="L122" i="2" s="1"/>
  <c r="J117" i="2"/>
  <c r="L117" i="2" s="1"/>
  <c r="Q122" i="2"/>
  <c r="Q117" i="2"/>
  <c r="Q115" i="2"/>
  <c r="J113" i="2"/>
  <c r="L113" i="2" s="1"/>
  <c r="J114" i="2"/>
  <c r="L114" i="2" s="1"/>
  <c r="J116" i="2"/>
  <c r="L116" i="2" s="1"/>
  <c r="J115" i="2"/>
  <c r="L115" i="2" s="1"/>
  <c r="Q116" i="2"/>
  <c r="Q114" i="2"/>
  <c r="J111" i="2"/>
  <c r="L111" i="2" s="1"/>
  <c r="J112" i="2"/>
  <c r="L112" i="2" s="1"/>
  <c r="I50" i="2"/>
  <c r="J45" i="2"/>
  <c r="L45" i="2" s="1"/>
  <c r="Q25" i="2"/>
  <c r="Q113" i="2"/>
  <c r="Q9" i="2"/>
  <c r="I41" i="2"/>
  <c r="I36" i="2"/>
  <c r="I19" i="2"/>
  <c r="J18" i="2"/>
  <c r="L18" i="2" s="1"/>
  <c r="Q112" i="2"/>
  <c r="J9" i="2"/>
  <c r="L9" i="2" s="1"/>
  <c r="J110" i="2"/>
  <c r="L110" i="2" s="1"/>
  <c r="I33" i="2"/>
  <c r="I23" i="2"/>
  <c r="J22" i="2"/>
  <c r="L22" i="2" s="1"/>
  <c r="Q111" i="2"/>
  <c r="J67" i="2"/>
  <c r="L67" i="2" s="1"/>
  <c r="Q45" i="2"/>
  <c r="Q33" i="2"/>
  <c r="J108" i="2"/>
  <c r="L108" i="2" s="1"/>
  <c r="J109" i="2"/>
  <c r="L109" i="2" s="1"/>
  <c r="Q47" i="2"/>
  <c r="Q11" i="2"/>
  <c r="Q110" i="2"/>
  <c r="Q67" i="2"/>
  <c r="Q41" i="2"/>
  <c r="Q79" i="2"/>
  <c r="Q74" i="2"/>
  <c r="Q39" i="2"/>
  <c r="I102" i="2"/>
  <c r="Q82" i="2"/>
  <c r="Q31" i="2"/>
  <c r="Q109" i="2"/>
  <c r="I84" i="2"/>
  <c r="J82" i="2"/>
  <c r="L82" i="2" s="1"/>
  <c r="J56" i="2"/>
  <c r="L56" i="2" s="1"/>
  <c r="Q88" i="2"/>
  <c r="Q63" i="2"/>
  <c r="J104" i="2"/>
  <c r="L104" i="2" s="1"/>
  <c r="Q80" i="2"/>
  <c r="Q66" i="2"/>
  <c r="I55" i="2"/>
  <c r="J48" i="2"/>
  <c r="L48" i="2" s="1"/>
  <c r="Q44" i="2"/>
  <c r="I25" i="2"/>
  <c r="Q108" i="2"/>
  <c r="I39" i="2"/>
  <c r="Q29" i="2"/>
  <c r="I100" i="2"/>
  <c r="J99" i="2"/>
  <c r="L99" i="2" s="1"/>
  <c r="J94" i="2"/>
  <c r="L94" i="2" s="1"/>
  <c r="I80" i="2"/>
  <c r="Q55" i="2"/>
  <c r="I52" i="2"/>
  <c r="Q100" i="2"/>
  <c r="Q87" i="2"/>
  <c r="Q86" i="2"/>
  <c r="Q77" i="2"/>
  <c r="Q73" i="2"/>
  <c r="Q71" i="2"/>
  <c r="Q61" i="2"/>
  <c r="Q59" i="2"/>
  <c r="Q57" i="2"/>
  <c r="Q43" i="2"/>
  <c r="Q27" i="2"/>
  <c r="I21" i="2"/>
  <c r="J13" i="2"/>
  <c r="L13" i="2" s="1"/>
  <c r="I7" i="2"/>
  <c r="J6" i="2"/>
  <c r="L6" i="2" s="1"/>
  <c r="Q90" i="2"/>
  <c r="Q102" i="2"/>
  <c r="Q94" i="2"/>
  <c r="J92" i="2"/>
  <c r="L92" i="2" s="1"/>
  <c r="I90" i="2"/>
  <c r="J88" i="2"/>
  <c r="L88" i="2" s="1"/>
  <c r="Q84" i="2"/>
  <c r="J74" i="2"/>
  <c r="L74" i="2" s="1"/>
  <c r="J66" i="2"/>
  <c r="L66" i="2" s="1"/>
  <c r="J63" i="2"/>
  <c r="L63" i="2" s="1"/>
  <c r="Q56" i="2"/>
  <c r="Q52" i="2"/>
  <c r="Q50" i="2"/>
  <c r="J29" i="2"/>
  <c r="L29" i="2" s="1"/>
  <c r="Q23" i="2"/>
  <c r="I79" i="2"/>
  <c r="J77" i="2"/>
  <c r="I71" i="2"/>
  <c r="J57" i="2"/>
  <c r="L57" i="2" s="1"/>
  <c r="I43" i="2"/>
  <c r="Q40" i="2"/>
  <c r="Q35" i="2"/>
  <c r="Q21" i="2"/>
  <c r="Q7" i="2"/>
  <c r="Q106" i="2"/>
  <c r="Q104" i="2"/>
  <c r="J103" i="2"/>
  <c r="L103" i="2" s="1"/>
  <c r="I98" i="2"/>
  <c r="Q92" i="2"/>
  <c r="J91" i="2"/>
  <c r="L91" i="2" s="1"/>
  <c r="Q89" i="2"/>
  <c r="Q76" i="2"/>
  <c r="I75" i="2"/>
  <c r="J70" i="2"/>
  <c r="L70" i="2" s="1"/>
  <c r="Q62" i="2"/>
  <c r="I61" i="2"/>
  <c r="Q15" i="2"/>
  <c r="Q75" i="2"/>
  <c r="J49" i="2"/>
  <c r="L49" i="2" s="1"/>
  <c r="Q48" i="2"/>
  <c r="I47" i="2"/>
  <c r="J44" i="2"/>
  <c r="L44" i="2" s="1"/>
  <c r="J40" i="2"/>
  <c r="L40" i="2" s="1"/>
  <c r="J37" i="2"/>
  <c r="L37" i="2" s="1"/>
  <c r="Q36" i="2"/>
  <c r="I35" i="2"/>
  <c r="I31" i="2"/>
  <c r="J30" i="2"/>
  <c r="L30" i="2" s="1"/>
  <c r="I27" i="2"/>
  <c r="J26" i="2"/>
  <c r="L26" i="2" s="1"/>
  <c r="Q19" i="2"/>
  <c r="J17" i="2"/>
  <c r="L17" i="2" s="1"/>
  <c r="Q13" i="2"/>
  <c r="I11" i="2"/>
  <c r="J10" i="2"/>
  <c r="L10" i="2" s="1"/>
  <c r="Q3" i="2"/>
  <c r="J96" i="2"/>
  <c r="L96" i="2" s="1"/>
  <c r="I106" i="2"/>
  <c r="Q98" i="2"/>
  <c r="Q96" i="2"/>
  <c r="J95" i="2"/>
  <c r="L95" i="2" s="1"/>
  <c r="J89" i="2"/>
  <c r="L89" i="2" s="1"/>
  <c r="Q83" i="2"/>
  <c r="J81" i="2"/>
  <c r="L81" i="2" s="1"/>
  <c r="J76" i="2"/>
  <c r="Q70" i="2"/>
  <c r="Q65" i="2"/>
  <c r="J62" i="2"/>
  <c r="L62" i="2" s="1"/>
  <c r="Q49" i="2"/>
  <c r="Q37" i="2"/>
  <c r="Q17" i="2"/>
  <c r="I15" i="2"/>
  <c r="J14" i="2"/>
  <c r="L14" i="2" s="1"/>
  <c r="J5" i="2"/>
  <c r="L5" i="2" s="1"/>
  <c r="Q69" i="2"/>
  <c r="Q5" i="2"/>
  <c r="I3" i="2"/>
  <c r="J2" i="2"/>
  <c r="L2" i="2" s="1"/>
  <c r="Q105" i="2"/>
  <c r="J60" i="2"/>
  <c r="L60" i="2" s="1"/>
  <c r="Q54" i="2"/>
  <c r="I54" i="2"/>
  <c r="I78" i="2"/>
  <c r="Q78" i="2"/>
  <c r="Q103" i="2"/>
  <c r="Q99" i="2"/>
  <c r="Q95" i="2"/>
  <c r="Q91" i="2"/>
  <c r="I86" i="2"/>
  <c r="Q81" i="2"/>
  <c r="I73" i="2"/>
  <c r="I69" i="2"/>
  <c r="I65" i="2"/>
  <c r="Q60" i="2"/>
  <c r="I58" i="2"/>
  <c r="Q58" i="2"/>
  <c r="I32" i="2"/>
  <c r="Q32" i="2"/>
  <c r="I28" i="2"/>
  <c r="Q28" i="2"/>
  <c r="J28" i="2"/>
  <c r="L28" i="2" s="1"/>
  <c r="I24" i="2"/>
  <c r="Q24" i="2"/>
  <c r="J24" i="2"/>
  <c r="L24" i="2" s="1"/>
  <c r="J53" i="2"/>
  <c r="L53" i="2" s="1"/>
  <c r="I34" i="2"/>
  <c r="Q34" i="2"/>
  <c r="J105" i="2"/>
  <c r="L105" i="2" s="1"/>
  <c r="J101" i="2"/>
  <c r="L101" i="2" s="1"/>
  <c r="J97" i="2"/>
  <c r="L97" i="2" s="1"/>
  <c r="J93" i="2"/>
  <c r="L93" i="2" s="1"/>
  <c r="J87" i="2"/>
  <c r="L87" i="2" s="1"/>
  <c r="J83" i="2"/>
  <c r="L83" i="2" s="1"/>
  <c r="Q101" i="2"/>
  <c r="Q97" i="2"/>
  <c r="Q93" i="2"/>
  <c r="I85" i="2"/>
  <c r="Q85" i="2"/>
  <c r="J78" i="2"/>
  <c r="L78" i="2" s="1"/>
  <c r="I72" i="2"/>
  <c r="Q72" i="2"/>
  <c r="I68" i="2"/>
  <c r="Q68" i="2"/>
  <c r="I64" i="2"/>
  <c r="Q64" i="2"/>
  <c r="I59" i="2"/>
  <c r="Q53" i="2"/>
  <c r="I51" i="2"/>
  <c r="Q51" i="2"/>
  <c r="I46" i="2"/>
  <c r="Q46" i="2"/>
  <c r="I42" i="2"/>
  <c r="Q42" i="2"/>
  <c r="I38" i="2"/>
  <c r="Q38" i="2"/>
  <c r="Q30" i="2"/>
  <c r="Q26" i="2"/>
  <c r="Q22" i="2"/>
  <c r="Q18" i="2"/>
  <c r="Q14" i="2"/>
  <c r="Q10" i="2"/>
  <c r="Q6" i="2"/>
  <c r="Q2" i="2"/>
  <c r="J20" i="2"/>
  <c r="L20" i="2" s="1"/>
  <c r="J16" i="2"/>
  <c r="L16" i="2" s="1"/>
  <c r="J12" i="2"/>
  <c r="L12" i="2" s="1"/>
  <c r="J8" i="2"/>
  <c r="L8" i="2" s="1"/>
  <c r="J4" i="2"/>
  <c r="L4" i="2" s="1"/>
  <c r="Q20" i="2"/>
  <c r="Q16" i="2"/>
  <c r="Q12" i="2"/>
  <c r="Q8" i="2"/>
  <c r="Q4"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I3" i="4" l="1"/>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 r="H107" i="2"/>
  <c r="I107" i="2" l="1"/>
  <c r="Q107" i="2"/>
  <c r="J107" i="2"/>
  <c r="L107"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7624DD-4958-4B28-9ADD-D293A4E90301}"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<sst xmlns="http://schemas.openxmlformats.org/spreadsheetml/2006/main" count="26363" uniqueCount="13415">
  <si>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</si>
  <si>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</si>
  <si>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</si>
  <si>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</si>
  <si>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</si>
  <si>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</si>
  <si>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</si>
  <si>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</si>
  <si>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</si>
  <si>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</si>
  <si>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</si>
  <si>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</si>
  <si>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</si>
  <si>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</si>
  <si>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</si>
  <si>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</si>
  <si>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</si>
  <si>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</si>
  <si>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</si>
  <si>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</si>
  <si>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</si>
  <si>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</si>
  <si>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</si>
  <si>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</si>
  <si>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</si>
  <si>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</si>
  <si>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</si>
  <si>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</si>
  <si>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</si>
  <si>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</si>
  <si>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</si>
  <si>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</si>
  <si>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</si>
  <si>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</si>
  <si>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</si>
  <si>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</si>
  <si>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</si>
  <si>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</si>
  <si>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</si>
  <si>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</si>
  <si>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</si>
  <si>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</si>
  <si>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</si>
  <si>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</si>
  <si>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</si>
  <si>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</si>
  <si>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</si>
  <si>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</si>
  <si>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</si>
  <si>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</si>
  <si>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</si>
  <si>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</si>
  <si>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</si>
  <si>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</si>
  <si>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</si>
  <si>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</si>
  <si>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</si>
  <si>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</si>
  <si>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</si>
  <si>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</si>
  <si>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</si>
  <si>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</si>
  <si>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</si>
  <si>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</si>
  <si>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</si>
  <si>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</si>
  <si>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</si>
  <si>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</si>
  <si>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</si>
  <si>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</si>
  <si>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</si>
  <si>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</si>
  <si>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</si>
  <si>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</si>
  <si>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</si>
  <si>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</si>
  <si>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</si>
  <si>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</si>
  <si>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</si>
  <si>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</si>
  <si>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</si>
  <si>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</si>
  <si>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</si>
  <si>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</si>
  <si>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</si>
  <si>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</si>
  <si>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</si>
  <si>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</si>
  <si>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</si>
  <si>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</si>
  <si>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</si>
  <si>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</si>
  <si>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</si>
  <si>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</si>
  <si>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</si>
  <si>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</si>
  <si>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</si>
  <si>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</si>
  <si>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</si>
  <si>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</si>
  <si>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</si>
  <si>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</si>
  <si>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</si>
  <si>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</si>
  <si>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</si>
  <si>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</si>
  <si>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</si>
  <si>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</si>
  <si>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</si>
  <si>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</si>
  <si>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</si>
  <si>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</si>
  <si>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</si>
  <si>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</si>
  <si>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</si>
  <si>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</si>
  <si>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</si>
  <si>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</si>
  <si>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</si>
  <si>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</si>
  <si>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</si>
  <si>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</si>
  <si>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</si>
  <si>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</si>
  <si>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</si>
  <si>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</si>
  <si>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</si>
  <si>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</si>
  <si>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</si>
  <si>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</si>
  <si>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</si>
  <si>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</si>
  <si>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</si>
  <si>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</si>
  <si>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</si>
  <si>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</si>
  <si>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</si>
  <si>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</si>
  <si>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</si>
  <si>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</si>
  <si>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</si>
  <si>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</si>
  <si>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</si>
  <si>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</si>
  <si>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</si>
  <si>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</si>
  <si>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</si>
  <si>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</si>
  <si>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</si>
  <si>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</si>
  <si>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</si>
  <si>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</si>
  <si>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</si>
  <si>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</si>
  <si>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</si>
  <si>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</si>
  <si>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</si>
  <si>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</si>
  <si>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</si>
  <si>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</si>
  <si>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</si>
  <si>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</si>
  <si>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</si>
  <si>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</si>
  <si>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</si>
  <si>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</si>
  <si>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</si>
  <si>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</si>
  <si>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</si>
  <si>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</si>
  <si>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</si>
  <si>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</si>
  <si>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</si>
  <si>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</si>
  <si>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</si>
  <si>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</si>
  <si>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</si>
  <si>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</si>
  <si>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</si>
  <si>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</si>
  <si>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</si>
  <si>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</si>
  <si>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</si>
  <si>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</si>
  <si>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</si>
  <si>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</si>
  <si>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</si>
  <si>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</si>
  <si>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</si>
  <si>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</si>
  <si>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</si>
  <si>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</si>
  <si>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</si>
  <si>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</si>
  <si>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</si>
  <si>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</si>
  <si>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</si>
  <si>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</si>
  <si>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</si>
  <si>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</si>
  <si>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</si>
  <si>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</si>
  <si>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</si>
  <si>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</si>
  <si>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</si>
  <si>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</si>
  <si>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</si>
  <si>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</si>
  <si>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</si>
  <si>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</si>
  <si>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</si>
  <si>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</si>
  <si>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</si>
  <si>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</si>
  <si>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</si>
  <si>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</si>
  <si>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</si>
  <si>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</si>
  <si>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</si>
  <si>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</si>
  <si>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</si>
  <si>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</si>
  <si>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</si>
  <si>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</si>
  <si>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</si>
  <si>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</si>
  <si>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</si>
  <si>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</si>
  <si>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</si>
  <si>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</si>
  <si>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</si>
  <si>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</si>
  <si>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</si>
  <si>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</si>
  <si>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</si>
  <si>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</si>
  <si>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</si>
  <si>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</si>
  <si>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</si>
  <si>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</si>
  <si>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</si>
  <si>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</si>
  <si>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</si>
  <si>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</si>
  <si>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</si>
  <si>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</si>
  <si>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</si>
  <si>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</si>
  <si>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</si>
  <si>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</si>
  <si>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</si>
  <si>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</si>
  <si>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</si>
  <si>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</si>
  <si>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</si>
  <si>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</si>
  <si>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</si>
  <si>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</si>
  <si>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</si>
  <si>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</si>
  <si>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</si>
  <si>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</si>
  <si>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</si>
  <si>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</si>
  <si>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</si>
  <si>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</si>
  <si>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</si>
  <si>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</si>
  <si>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</si>
  <si>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</si>
  <si>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</si>
  <si>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</si>
  <si>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</si>
  <si>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</si>
  <si>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</si>
  <si>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</si>
  <si>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</si>
  <si>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</si>
  <si>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</si>
  <si>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</si>
  <si>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</si>
  <si>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</si>
  <si>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</si>
  <si>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</si>
  <si>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</si>
  <si>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</si>
  <si>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</si>
  <si>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</si>
  <si>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</si>
  <si>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</si>
  <si>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</si>
  <si>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</si>
  <si>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</si>
  <si>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</si>
  <si>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</si>
  <si>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</si>
  <si>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</si>
  <si>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</si>
  <si>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</si>
  <si>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</si>
  <si>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</si>
  <si>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</si>
  <si>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</si>
  <si>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</si>
  <si>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</si>
  <si>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</si>
  <si>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</si>
  <si>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</si>
  <si>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</si>
  <si>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</si>
  <si>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</si>
  <si>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</si>
  <si>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</si>
  <si>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</si>
  <si>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</si>
  <si>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</si>
  <si>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</si>
  <si>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</si>
  <si>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</si>
  <si>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</si>
  <si>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</si>
  <si>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</si>
  <si>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</si>
  <si>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</si>
  <si>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</si>
  <si>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</si>
  <si>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</si>
  <si>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</si>
  <si>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</si>
  <si>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</si>
  <si>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</si>
  <si>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</si>
  <si>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</si>
  <si>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</si>
  <si>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</si>
  <si>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</si>
  <si>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</si>
  <si>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</si>
  <si>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</si>
  <si>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</si>
  <si>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</si>
  <si>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</si>
  <si>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</si>
  <si>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</si>
  <si>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</si>
  <si>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</si>
  <si>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</si>
  <si>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</si>
  <si>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</si>
  <si>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</si>
  <si>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</si>
  <si>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</si>
  <si>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</si>
  <si>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</si>
  <si>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</si>
  <si>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</si>
  <si>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</si>
  <si>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</si>
  <si>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</si>
  <si>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</si>
  <si>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</si>
  <si>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</si>
  <si>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</si>
  <si>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</si>
  <si>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</si>
  <si>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</si>
  <si>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</si>
  <si>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</si>
  <si>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</si>
  <si>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</si>
  <si>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</si>
  <si>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</si>
  <si>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</si>
  <si>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</si>
  <si>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</si>
  <si>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</si>
  <si>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</si>
  <si>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</si>
  <si>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</si>
  <si>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</si>
  <si>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</si>
  <si>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</si>
  <si>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</si>
  <si>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</si>
  <si>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</si>
  <si>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</si>
  <si>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</si>
  <si>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</si>
  <si>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</si>
  <si>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</si>
  <si>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</si>
  <si>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</si>
  <si>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</si>
  <si>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</si>
  <si>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</si>
  <si>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</si>
  <si>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</si>
  <si>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</si>
  <si>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</si>
  <si>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</si>
  <si>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</si>
  <si>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</si>
  <si>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</si>
  <si>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</si>
  <si>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</si>
  <si>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</si>
  <si>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</si>
  <si>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</si>
  <si>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</si>
  <si>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</si>
  <si>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</si>
  <si>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</si>
  <si>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</si>
  <si>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</si>
  <si>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</si>
  <si>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</si>
  <si>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</si>
  <si>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</si>
  <si>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</si>
  <si>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</si>
  <si>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</si>
  <si>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</si>
  <si>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</si>
  <si>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</si>
  <si>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</si>
  <si>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</si>
  <si>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</si>
  <si>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</si>
  <si>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</si>
  <si>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</si>
  <si>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</si>
  <si>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</si>
  <si>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</si>
  <si>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</si>
  <si>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</si>
  <si>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</si>
  <si>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</si>
  <si>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</si>
  <si>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</si>
  <si>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</si>
  <si>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</si>
  <si>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</si>
  <si>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</si>
  <si>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</si>
  <si>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</si>
  <si>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</si>
  <si>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</si>
  <si>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</si>
  <si>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</si>
  <si>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</si>
  <si>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</si>
  <si>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</si>
  <si>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</si>
  <si>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</si>
  <si>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</si>
  <si>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</si>
  <si>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</si>
  <si>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</si>
  <si>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</si>
  <si>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</si>
  <si>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</si>
  <si>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</si>
  <si>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</si>
  <si>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</si>
  <si>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</si>
  <si>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</si>
  <si>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</si>
  <si>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</si>
  <si>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</si>
  <si>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</si>
  <si>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</si>
  <si>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</si>
  <si>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</si>
  <si>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</si>
  <si>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</si>
  <si>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</si>
  <si>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</si>
  <si>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</si>
  <si>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</si>
  <si>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</si>
  <si>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</si>
  <si>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</si>
  <si>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</si>
  <si>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</si>
  <si>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</si>
  <si>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</si>
  <si>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</si>
  <si>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</si>
  <si>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</si>
  <si>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</si>
  <si>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</si>
  <si>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</si>
  <si>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</si>
  <si>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</si>
  <si>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</si>
  <si>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</si>
  <si>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Toàn quốc</t>
  </si>
  <si>
    <t>Miền Bắc</t>
  </si>
  <si>
    <t>Miền Nam</t>
  </si>
  <si>
    <t>Miền Trung</t>
  </si>
  <si>
    <t>Toàn bộ</t>
  </si>
  <si>
    <t>Chương trình KM</t>
  </si>
  <si>
    <t>Mua 2 tặng 1</t>
  </si>
  <si>
    <t>Mua 1 tặng 1</t>
  </si>
  <si>
    <t>STT</t>
  </si>
  <si>
    <t>Mì Ý Spaghetti O'Food 250g * 40EA</t>
  </si>
  <si>
    <t>1025313</t>
  </si>
  <si>
    <t>Lá Kim tẩm dầu Ô liu 4g lốc 3 * 24 lốc (HD) + 12 lốc KM</t>
  </si>
  <si>
    <t>Mì Spaghetti 250g</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</si>
  <si>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</si>
  <si>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</si>
  <si>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</si>
  <si>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</si>
  <si>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</si>
  <si>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</si>
  <si>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</si>
  <si>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</si>
  <si>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</si>
  <si>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</si>
  <si>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</si>
  <si>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</si>
  <si>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</si>
  <si>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</si>
  <si>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</si>
  <si>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</si>
  <si>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</si>
  <si>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</si>
  <si>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</si>
  <si>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</si>
  <si>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</si>
  <si>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</si>
  <si>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</si>
  <si>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</si>
  <si>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</si>
  <si>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</si>
  <si>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</si>
  <si>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</si>
  <si>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</si>
  <si>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</si>
  <si>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</si>
  <si>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</si>
  <si>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</si>
  <si>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</si>
  <si>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</si>
  <si>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</si>
  <si>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</si>
  <si>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</si>
  <si>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</si>
  <si>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</si>
  <si>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</si>
  <si>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</si>
  <si>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</si>
  <si>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</si>
  <si>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</si>
  <si>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</si>
  <si>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</si>
  <si>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</si>
  <si>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</si>
  <si>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</si>
  <si>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</si>
  <si>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</si>
  <si>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</si>
  <si>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</si>
  <si>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</si>
  <si>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TP Hà Nội, Khu đô thị Tân Tây Đô, Xã Tân Lập, TP. Hà Nội Việt Nam</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</si>
  <si>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</si>
  <si>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</si>
  <si>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</si>
  <si>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</si>
  <si>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</si>
  <si>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</si>
  <si>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</si>
  <si>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</si>
  <si>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</si>
  <si>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</si>
  <si>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</si>
  <si>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</si>
  <si>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</si>
  <si>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</si>
  <si>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</si>
  <si>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</si>
  <si>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</si>
  <si>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</si>
  <si>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</si>
  <si>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</si>
  <si>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</si>
  <si>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</si>
  <si>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</si>
  <si>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</si>
  <si>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</si>
  <si>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</si>
  <si>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</si>
  <si>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</si>
  <si>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</si>
  <si>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</si>
  <si>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</si>
  <si>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</si>
  <si>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</si>
  <si>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</si>
  <si>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</si>
  <si>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</si>
  <si>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</si>
  <si>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</si>
  <si>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</si>
  <si>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</si>
  <si>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</si>
  <si>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</si>
  <si>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</si>
  <si>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</si>
  <si>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</si>
  <si>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</si>
  <si>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</si>
  <si>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</si>
  <si>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</si>
  <si>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</si>
  <si>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</si>
  <si>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</si>
  <si>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</si>
  <si>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</si>
  <si>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</si>
  <si>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</si>
  <si>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</si>
  <si>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</si>
  <si>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</si>
  <si>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</si>
  <si>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</si>
  <si>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</si>
  <si>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</si>
  <si>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</si>
  <si>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</si>
  <si>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</si>
  <si>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</si>
  <si>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</si>
  <si>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</si>
  <si>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</si>
  <si>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</si>
  <si>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</si>
  <si>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</si>
  <si>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</si>
  <si>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</si>
  <si>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</si>
  <si>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</si>
  <si>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</si>
  <si>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</si>
  <si>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</si>
  <si>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</si>
  <si>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</si>
  <si>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</si>
  <si>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</si>
  <si>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X. Tân Lập, KCN Yên Mỹ, H. Yên Mỹ T. Hưng Yên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</si>
  <si>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</si>
  <si>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</si>
  <si>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</si>
  <si>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</si>
  <si>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</si>
  <si>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</si>
  <si>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</si>
  <si>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</si>
  <si>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</si>
  <si>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</si>
  <si>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</si>
  <si>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</si>
  <si>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</si>
  <si>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</si>
  <si>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</si>
  <si>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</si>
  <si>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</si>
  <si>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</si>
  <si>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</si>
  <si>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</si>
  <si>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</si>
  <si>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</si>
  <si>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</si>
  <si>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</si>
  <si>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WM VC+ THA Tĩnh Gia</t>
  </si>
  <si>
    <t>Tầng 1, TTTM Vincom+ Tĩnh Gia , Xã Nguyên Bình , Huyện Tĩnh Gia , T. Thanh Hóa, Việt Nam</t>
  </si>
  <si>
    <t>1601</t>
  </si>
  <si>
    <t>WM VCP TQG Tuyên Quang</t>
  </si>
  <si>
    <t>Tầng 2, TTTM Vincom Tuyên Quang, Đường Quang Trung, P. Phan Thiết, TP. Tuyên Quang, T. Tuyên Quang Việt Nam</t>
  </si>
  <si>
    <t>1603</t>
  </si>
  <si>
    <t>TTTM Vincom+ Kỳ Anh, Tổ dân phố 1, Phường Sông Trí, Thị xã Kỳ Anh, T. Hà Tĩnh Việt Nam</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</si>
  <si>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</si>
  <si>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</si>
  <si>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</si>
  <si>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</si>
  <si>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</si>
  <si>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</si>
  <si>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</si>
  <si>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</si>
  <si>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</si>
  <si>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</si>
  <si>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</si>
  <si>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</si>
  <si>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</si>
  <si>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WM VCP QBH Quảng Bình</t>
  </si>
  <si>
    <t>Khu TTTM Đồng Hới, đường Quách Xuân Kỳ, phường Đồng Hải, TP. Đồng Hới, T. Quảng Bình Việt Nam</t>
  </si>
  <si>
    <t>1618</t>
  </si>
  <si>
    <t>WM VCP HNM Hà Nam</t>
  </si>
  <si>
    <t>TTTM Vincom Hà Nam, Phường Minh Khai, Thành phố Phủ Lý, T. Hà Nam Việt Nam</t>
  </si>
  <si>
    <t>1619</t>
  </si>
  <si>
    <t>WM VCP THA Thanh Hóa</t>
  </si>
  <si>
    <t>Số 27 – Đường Trần Phú – Phường Điện Biên, Thành phố Thanh Hóa, T. Thanh Hóa Việt Nam</t>
  </si>
  <si>
    <t>1626</t>
  </si>
  <si>
    <t>WM VCP HTH Hà Tĩnh</t>
  </si>
  <si>
    <t>Tầng 2, TTTM Vincom Hà Tĩnh, Góc ngã tư , Đ. Hàm Nghi và Đ. Hà Huy Tập , P. Hà Huy Tập, TP. Hà Tĩnh , T. Hà Tĩnh, Việt Nam</t>
  </si>
  <si>
    <t>1627</t>
  </si>
  <si>
    <t>Vincom+ Nam Đàn, Xã Vân Diên, Huyện Nam Đàn, T. Nghệ An Việt Nam</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</si>
  <si>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</si>
  <si>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</si>
  <si>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</si>
  <si>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</si>
  <si>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</si>
  <si>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</si>
  <si>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</si>
  <si>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</si>
  <si>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</si>
  <si>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</si>
  <si>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</si>
  <si>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</si>
  <si>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</si>
  <si>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</si>
  <si>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</si>
  <si>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</si>
  <si>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</si>
  <si>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</si>
  <si>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</si>
  <si>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</si>
  <si>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</si>
  <si>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</si>
  <si>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TTTM Vincom+ Thái Hòa, Khối 8, Phường Long Sơn, Thị xã Thái Hòa, T. Nghệ An Việt Nam</t>
  </si>
  <si>
    <t>1695</t>
  </si>
  <si>
    <t>WM LCU Lai Châu</t>
  </si>
  <si>
    <t>Đường Điện Biên Phủ, Tổ 9, Phường Tân Phong, Thành phố Lai Châu, T. Lai Châu Việt Nam</t>
  </si>
  <si>
    <t>1700</t>
  </si>
  <si>
    <t>WM NAN Vinh - Lê Lợi</t>
  </si>
  <si>
    <t>Tầng 1, tòa nhà Trung Đức, số 2 Lê Lợi T. Nghệ An Việt Nam</t>
  </si>
  <si>
    <t>1701</t>
  </si>
  <si>
    <t>WM NAN Vinh - Bến Thủy</t>
  </si>
  <si>
    <t>176 Nguyễn Du, P.Bến Thủy, TP.Nghệ An, Tỉnh Nghệ An T. Nghệ An Việt Nam</t>
  </si>
  <si>
    <t>1711</t>
  </si>
  <si>
    <t>Tầng L2, TTTM Vincom Plaza Vinh thuộc khu thương mại dịch vụ, khách sạn thuộc dự án cải tạo khu B, khu chung cư Quang Trung, phường Thành Vinh, Tỉnh Nghệ An Việt Nam</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</si>
  <si>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</si>
  <si>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</si>
  <si>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</si>
  <si>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</si>
  <si>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</si>
  <si>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</si>
  <si>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</si>
  <si>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</si>
  <si>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</si>
  <si>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</si>
  <si>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</si>
  <si>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</si>
  <si>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</si>
  <si>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</si>
  <si>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</si>
  <si>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</si>
  <si>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</si>
  <si>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</si>
  <si>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</si>
  <si>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</si>
  <si>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</si>
  <si>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</si>
  <si>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</si>
  <si>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</si>
  <si>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</si>
  <si>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</si>
  <si>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</si>
  <si>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</si>
  <si>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</si>
  <si>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</si>
  <si>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</si>
  <si>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</si>
  <si>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</si>
  <si>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</si>
  <si>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</si>
  <si>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</si>
  <si>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</si>
  <si>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</si>
  <si>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</si>
  <si>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</si>
  <si>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</si>
  <si>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</si>
  <si>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</si>
  <si>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</si>
  <si>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</si>
  <si>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</si>
  <si>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</si>
  <si>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</si>
  <si>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</si>
  <si>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</si>
  <si>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</si>
  <si>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</si>
  <si>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</si>
  <si>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</si>
  <si>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</si>
  <si>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</si>
  <si>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</si>
  <si>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</si>
  <si>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</si>
  <si>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</si>
  <si>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</si>
  <si>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</si>
  <si>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</si>
  <si>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</si>
  <si>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</si>
  <si>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</si>
  <si>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</si>
  <si>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</si>
  <si>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</si>
  <si>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</si>
  <si>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</si>
  <si>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</si>
  <si>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</si>
  <si>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</si>
  <si>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</si>
  <si>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</si>
  <si>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</si>
  <si>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</si>
  <si>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</si>
  <si>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</si>
  <si>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</si>
  <si>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</si>
  <si>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</si>
  <si>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</si>
  <si>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</si>
  <si>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</si>
  <si>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</si>
  <si>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</si>
  <si>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</si>
  <si>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</si>
  <si>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</si>
  <si>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</si>
  <si>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</si>
  <si>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</si>
  <si>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</si>
  <si>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</si>
  <si>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</si>
  <si>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</si>
  <si>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</si>
  <si>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</si>
  <si>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</si>
  <si>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</si>
  <si>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</si>
  <si>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</si>
  <si>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</si>
  <si>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</si>
  <si>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</si>
  <si>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</si>
  <si>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</si>
  <si>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</si>
  <si>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</si>
  <si>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</si>
  <si>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</si>
  <si>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</si>
  <si>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</si>
  <si>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</si>
  <si>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</si>
  <si>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</si>
  <si>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</si>
  <si>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</si>
  <si>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</si>
  <si>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</si>
  <si>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</si>
  <si>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</si>
  <si>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</si>
  <si>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</si>
  <si>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</si>
  <si>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</si>
  <si>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</si>
  <si>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</si>
  <si>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</si>
  <si>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</si>
  <si>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</si>
  <si>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</si>
  <si>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</si>
  <si>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</si>
  <si>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</si>
  <si>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</si>
  <si>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</si>
  <si>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</si>
  <si>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</si>
  <si>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</si>
  <si>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</si>
  <si>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</si>
  <si>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</si>
  <si>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</si>
  <si>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</si>
  <si>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</si>
  <si>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</si>
  <si>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</si>
  <si>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</si>
  <si>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</si>
  <si>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</si>
  <si>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</si>
  <si>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</si>
  <si>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</si>
  <si>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</si>
  <si>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</si>
  <si>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</si>
  <si>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</si>
  <si>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</si>
  <si>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</si>
  <si>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</si>
  <si>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</si>
  <si>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</si>
  <si>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</si>
  <si>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</si>
  <si>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</si>
  <si>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</si>
  <si>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</si>
  <si>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</si>
  <si>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</si>
  <si>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</si>
  <si>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</si>
  <si>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</si>
  <si>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</si>
  <si>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</si>
  <si>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</si>
  <si>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</si>
  <si>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</si>
  <si>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</si>
  <si>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</si>
  <si>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</si>
  <si>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</si>
  <si>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</si>
  <si>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</si>
  <si>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</si>
  <si>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</si>
  <si>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</si>
  <si>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</si>
  <si>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</si>
  <si>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</si>
  <si>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</si>
  <si>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</si>
  <si>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</si>
  <si>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</si>
  <si>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</si>
  <si>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</si>
  <si>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</si>
  <si>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</si>
  <si>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</si>
  <si>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</si>
  <si>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</si>
  <si>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</si>
  <si>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</si>
  <si>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</si>
  <si>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</si>
  <si>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</si>
  <si>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</si>
  <si>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</si>
  <si>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</si>
  <si>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</si>
  <si>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</si>
  <si>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</si>
  <si>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</si>
  <si>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</si>
  <si>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</si>
  <si>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</si>
  <si>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</si>
  <si>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</si>
  <si>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</si>
  <si>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</si>
  <si>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</si>
  <si>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</si>
  <si>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</si>
  <si>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</si>
  <si>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</si>
  <si>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</si>
  <si>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</si>
  <si>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</si>
  <si>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</si>
  <si>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</si>
  <si>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</si>
  <si>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</si>
  <si>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</si>
  <si>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</si>
  <si>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</si>
  <si>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</si>
  <si>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</si>
  <si>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</si>
  <si>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</si>
  <si>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</si>
  <si>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</si>
  <si>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</si>
  <si>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</si>
  <si>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</si>
  <si>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</si>
  <si>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</si>
  <si>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</si>
  <si>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</si>
  <si>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</si>
  <si>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</si>
  <si>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</si>
  <si>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</si>
  <si>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</si>
  <si>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</si>
  <si>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</si>
  <si>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</si>
  <si>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</si>
  <si>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</si>
  <si>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</si>
  <si>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</si>
  <si>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</si>
  <si>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</si>
  <si>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</si>
  <si>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</si>
  <si>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</si>
  <si>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</si>
  <si>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</si>
  <si>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</si>
  <si>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</si>
  <si>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</si>
  <si>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</si>
  <si>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</si>
  <si>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</si>
  <si>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</si>
  <si>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</si>
  <si>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</si>
  <si>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</si>
  <si>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</si>
  <si>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</si>
  <si>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</si>
  <si>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</si>
  <si>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</si>
  <si>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</si>
  <si>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</si>
  <si>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</si>
  <si>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</si>
  <si>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</si>
  <si>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</si>
  <si>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</si>
  <si>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</si>
  <si>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</si>
  <si>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</si>
  <si>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</si>
  <si>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</si>
  <si>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</si>
  <si>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</si>
  <si>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</si>
  <si>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</si>
  <si>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</si>
  <si>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</si>
  <si>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</si>
  <si>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</si>
  <si>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</si>
  <si>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</si>
  <si>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</si>
  <si>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</si>
  <si>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</si>
  <si>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</si>
  <si>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</si>
  <si>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</si>
  <si>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</si>
  <si>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</si>
  <si>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</si>
  <si>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</si>
  <si>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</si>
  <si>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</si>
  <si>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</si>
  <si>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</si>
  <si>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</si>
  <si>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</si>
  <si>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</si>
  <si>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</si>
  <si>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</si>
  <si>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</si>
  <si>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</si>
  <si>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</si>
  <si>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</si>
  <si>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</si>
  <si>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</si>
  <si>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</si>
  <si>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</si>
  <si>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</si>
  <si>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</si>
  <si>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</si>
  <si>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</si>
  <si>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</si>
  <si>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</si>
  <si>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</si>
  <si>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</si>
  <si>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</si>
  <si>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</si>
  <si>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</si>
  <si>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</si>
  <si>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</si>
  <si>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</si>
  <si>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</si>
  <si>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</si>
  <si>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</si>
  <si>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</si>
  <si>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</si>
  <si>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</si>
  <si>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</si>
  <si>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</si>
  <si>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</si>
  <si>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</si>
  <si>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</si>
  <si>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</si>
  <si>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</si>
  <si>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</si>
  <si>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</si>
  <si>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</si>
  <si>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</si>
  <si>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</si>
  <si>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</si>
  <si>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</si>
  <si>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</si>
  <si>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</si>
  <si>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</si>
  <si>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</si>
  <si>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</si>
  <si>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</si>
  <si>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</si>
  <si>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</si>
  <si>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</si>
  <si>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</si>
  <si>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</si>
  <si>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</si>
  <si>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</si>
  <si>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</si>
  <si>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</si>
  <si>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</si>
  <si>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</si>
  <si>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</si>
  <si>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</si>
  <si>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</si>
  <si>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</si>
  <si>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</si>
  <si>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</si>
  <si>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</si>
  <si>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</si>
  <si>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</si>
  <si>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</si>
  <si>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</si>
  <si>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</si>
  <si>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</si>
  <si>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</si>
  <si>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</si>
  <si>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</si>
  <si>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</si>
  <si>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</si>
  <si>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</si>
  <si>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</si>
  <si>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</si>
  <si>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</si>
  <si>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</si>
  <si>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</si>
  <si>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</si>
  <si>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</si>
  <si>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</si>
  <si>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</si>
  <si>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</si>
  <si>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</si>
  <si>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</si>
  <si>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</si>
  <si>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</si>
  <si>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</si>
  <si>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</si>
  <si>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</si>
  <si>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</si>
  <si>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</si>
  <si>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</si>
  <si>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</si>
  <si>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</si>
  <si>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</si>
  <si>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</si>
  <si>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</si>
  <si>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</si>
  <si>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</si>
  <si>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</si>
  <si>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</si>
  <si>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</si>
  <si>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</si>
  <si>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</si>
  <si>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</si>
  <si>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</si>
  <si>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</si>
  <si>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</si>
  <si>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</si>
  <si>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</si>
  <si>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</si>
  <si>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</si>
  <si>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</si>
  <si>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</si>
  <si>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</si>
  <si>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</si>
  <si>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</si>
  <si>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</si>
  <si>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</si>
  <si>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</si>
  <si>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</si>
  <si>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</si>
  <si>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</si>
  <si>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</si>
  <si>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</si>
  <si>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</si>
  <si>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</si>
  <si>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</si>
  <si>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</si>
  <si>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</si>
  <si>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</si>
  <si>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</si>
  <si>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</si>
  <si>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</si>
  <si>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</si>
  <si>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</si>
  <si>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Số 179 Thịnh Liệt, Phường Thịnh Liệt, TP. Hà Nội Việt Nam</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</si>
  <si>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</si>
  <si>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</si>
  <si>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</si>
  <si>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</si>
  <si>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</si>
  <si>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</si>
  <si>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</si>
  <si>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</si>
  <si>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</si>
  <si>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</si>
  <si>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</si>
  <si>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</si>
  <si>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</si>
  <si>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</si>
  <si>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</si>
  <si>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</si>
  <si>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</si>
  <si>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</si>
  <si>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</si>
  <si>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</si>
  <si>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</si>
  <si>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</si>
  <si>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</si>
  <si>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</si>
  <si>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</si>
  <si>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</si>
  <si>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</si>
  <si>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</si>
  <si>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</si>
  <si>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</si>
  <si>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</si>
  <si>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</si>
  <si>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</si>
  <si>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</si>
  <si>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</si>
  <si>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</si>
  <si>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</si>
  <si>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</si>
  <si>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</si>
  <si>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</si>
  <si>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</si>
  <si>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</si>
  <si>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</si>
  <si>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</si>
  <si>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</si>
  <si>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</si>
  <si>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</si>
  <si>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</si>
  <si>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</si>
  <si>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</si>
  <si>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</si>
  <si>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</si>
  <si>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</si>
  <si>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</si>
  <si>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</si>
  <si>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</si>
  <si>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</si>
  <si>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</si>
  <si>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</si>
  <si>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</si>
  <si>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</si>
  <si>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</si>
  <si>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</si>
  <si>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</si>
  <si>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</si>
  <si>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</si>
  <si>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</si>
  <si>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</si>
  <si>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</si>
  <si>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</si>
  <si>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</si>
  <si>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</si>
  <si>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</si>
  <si>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</si>
  <si>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</si>
  <si>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</si>
  <si>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</si>
  <si>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</si>
  <si>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</si>
  <si>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</si>
  <si>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</si>
  <si>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</si>
  <si>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</si>
  <si>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</si>
  <si>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</si>
  <si>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</si>
  <si>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</si>
  <si>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</si>
  <si>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</si>
  <si>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</si>
  <si>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</si>
  <si>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</si>
  <si>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</si>
  <si>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</si>
  <si>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</si>
  <si>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</si>
  <si>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</si>
  <si>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</si>
  <si>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</si>
  <si>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</si>
  <si>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</si>
  <si>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</si>
  <si>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</si>
  <si>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</si>
  <si>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</si>
  <si>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</si>
  <si>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</si>
  <si>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</si>
  <si>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</si>
  <si>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</si>
  <si>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</si>
  <si>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</si>
  <si>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</si>
  <si>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</si>
  <si>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</si>
  <si>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</si>
  <si>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</si>
  <si>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</si>
  <si>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</si>
  <si>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</si>
  <si>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</si>
  <si>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</si>
  <si>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</si>
  <si>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</si>
  <si>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</si>
  <si>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</si>
  <si>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</si>
  <si>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</si>
  <si>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</si>
  <si>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</si>
  <si>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</si>
  <si>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</si>
  <si>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</si>
  <si>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</si>
  <si>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</si>
  <si>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</si>
  <si>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</si>
  <si>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</si>
  <si>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</si>
  <si>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</si>
  <si>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</si>
  <si>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</si>
  <si>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</si>
  <si>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</si>
  <si>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</si>
  <si>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</si>
  <si>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</si>
  <si>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</si>
  <si>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</si>
  <si>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</si>
  <si>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WM+ QBH Trần Hưng Đạo, Bảo Ninh</t>
  </si>
  <si>
    <t>Đường Trần Hưng Đạo, Xã Bảo Ninh, Thành phố Đồng Hới, T. Quảng Bình Việt Nam</t>
  </si>
  <si>
    <t>CHI NHÁNH QUẢNG BÌNH - CÔNG TY CỔ PHẦN DỊCH VỤ THƯƠNG MẠI TỔNG HỢP WINCOMMERCE</t>
  </si>
  <si>
    <t>2A06</t>
  </si>
  <si>
    <t>WM+ HPG 36 Tổ 4 An Dương</t>
  </si>
  <si>
    <t>Số 36, tổ 4, Thị trấn An Dương, Huyện An Dương TP. Hải Phòng Việt Nam</t>
  </si>
  <si>
    <t>2A14</t>
  </si>
  <si>
    <t>WM+ HTH TDP Nam Mỹ, Can Lộc</t>
  </si>
  <si>
    <t>Tổ dân phố Nam Mỹ, Thị trấn Đồng Lộc, Huyện Can Lộc T. Hà Tĩnh Việt Nam</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</si>
  <si>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</si>
  <si>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</si>
  <si>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</si>
  <si>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</si>
  <si>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</si>
  <si>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</si>
  <si>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</si>
  <si>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</si>
  <si>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</si>
  <si>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</si>
  <si>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</si>
  <si>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Thôn Trung Hòa, Xã Tân Lâm Hương, Huyện Thạch Hà T. Hà Tĩnh Việt Nam</t>
  </si>
  <si>
    <t>2A24</t>
  </si>
  <si>
    <t>WM+ NAN Hồng Yên, Diễn Châu</t>
  </si>
  <si>
    <t>Xóm Hồng Yên, Xã Diễn Ngọc, Huyện Diễn Châu T. Nghệ An Việt Nam</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</si>
  <si>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</si>
  <si>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</si>
  <si>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</si>
  <si>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</si>
  <si>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</si>
  <si>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</si>
  <si>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</si>
  <si>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</si>
  <si>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</si>
  <si>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</si>
  <si>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WM+ NAN Sơn Hải, Quỳnh Lưu</t>
  </si>
  <si>
    <t>Xóm 10, Xã Sơn Hải, Huyện Quỳnh Lưu T. Nghệ An Việt Nam</t>
  </si>
  <si>
    <t>2A30</t>
  </si>
  <si>
    <t>Số 158 Thôn Đông Phú, Xã Hoa Lộc, Huyện Hậu Lộc, T. Thanh Hóa Việt Nam</t>
  </si>
  <si>
    <t>CHI NHÁNH THANH HÓA - CÔNG TY CỔ PHẦN DỊCH VỤ THƯƠNG MẠI TỔNG HỢP WINCOMMERCE</t>
  </si>
  <si>
    <t>2A34</t>
  </si>
  <si>
    <t>WM+ THA Chợ Già, Hoằng Hóa</t>
  </si>
  <si>
    <t>Ki ốt số 10 + 11 Chợ Già mới, Xã Hoằng Kim, Huyện Hoằng Hóa T. Thanh Hóa Việt Nam</t>
  </si>
  <si>
    <t>2A36</t>
  </si>
  <si>
    <t>WM+ QBH TDP Xuân Tiến, Bố Trạch</t>
  </si>
  <si>
    <t>Tổ dân phố Xuân Tiến, Thị trấn Phong Nha, Huyện Bố Trạch T. Quảng Bình Việt Nam</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</si>
  <si>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</si>
  <si>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</si>
  <si>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</si>
  <si>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</si>
  <si>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</si>
  <si>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Xóm 7, Xã Văn Kiều, Tỉnh Nghệ An T. Nghệ An Việt Nam</t>
  </si>
  <si>
    <t>2A43</t>
  </si>
  <si>
    <t>WM+ YBI Đoàn Kết, Yên Bình</t>
  </si>
  <si>
    <t>Thôn Đoàn Kết, Chợ Km 19, Xã Cảm Ân, Huyện Yên Bình T. Yên Bái Việt Nam</t>
  </si>
  <si>
    <t>CHI NHÁNH YÊN BÁI - CÔNG TY CỔ PHẦN DỊCH VỤ THƯƠNG MẠI TỔNG HỢP WINCOMMERCE</t>
  </si>
  <si>
    <t>2A45</t>
  </si>
  <si>
    <t>WM+ NAN 197 Khối 1, TT Cầu Giát</t>
  </si>
  <si>
    <t>Số 197, Khối 1, Thị Trấn Cầu Giát, Huyện Quỳnh Lưu T. Nghệ An Việt Nam</t>
  </si>
  <si>
    <t>2A50</t>
  </si>
  <si>
    <t>WM+ VPC TDP Trại Dật, Bình Xuyên</t>
  </si>
  <si>
    <t>TDP Trại Dật, Thị trấn Đạo Đức, Huyện Bình Xuyên T. Vĩnh Phúc Việt Nam</t>
  </si>
  <si>
    <t>2A52</t>
  </si>
  <si>
    <t>Thôn An Tiên, Xã Nghi Xuân, Tỉnh Hà Tĩnh T. Hà Tĩnh Việt Nam</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</si>
  <si>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</si>
  <si>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</si>
  <si>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</si>
  <si>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</si>
  <si>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</si>
  <si>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</si>
  <si>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</si>
  <si>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</si>
  <si>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</si>
  <si>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</si>
  <si>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</si>
  <si>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</si>
  <si>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</si>
  <si>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</si>
  <si>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</si>
  <si>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</si>
  <si>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</si>
  <si>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</si>
  <si>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</si>
  <si>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</si>
  <si>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</si>
  <si>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</si>
  <si>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</si>
  <si>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</si>
  <si>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</si>
  <si>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</si>
  <si>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</si>
  <si>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</si>
  <si>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</si>
  <si>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</si>
  <si>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</si>
  <si>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</si>
  <si>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WM+ THA 105A Nguyễn Trãi</t>
  </si>
  <si>
    <t>Số 105A Nguyễn Trãi, Lô 45+46 MBQH số 109 XD/UBTH, P. Ba Đình, TP. Thanh Hóa T. Thanh Hóa Việt Nam</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</si>
  <si>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</si>
  <si>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</si>
  <si>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</si>
  <si>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</si>
  <si>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</si>
  <si>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</si>
  <si>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</si>
  <si>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</si>
  <si>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</si>
  <si>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</si>
  <si>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</si>
  <si>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</si>
  <si>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</si>
  <si>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</si>
  <si>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</si>
  <si>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WM+ NAN 6 Tuệ Tĩnh</t>
  </si>
  <si>
    <t>Số 6 Đường Tuệ Tĩnh, Khối Trung Hưng, P. Hưng Dũng, TP. Vinh T. Nghệ An Việt Nam</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</si>
  <si>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</si>
  <si>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</si>
  <si>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</si>
  <si>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</si>
  <si>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</si>
  <si>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</si>
  <si>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</si>
  <si>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</si>
  <si>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</si>
  <si>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</si>
  <si>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</si>
  <si>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</si>
  <si>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</si>
  <si>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</si>
  <si>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WM+ THA 630 Lê Thái Tổ, Triệu Sơn</t>
  </si>
  <si>
    <t>630 đường Lê Thái Tổ, Tổ dân phố Giắt, Thị trấn Triệu Sơn Huyện Triệu Sơn T. Thanh Hóa Việt Nam</t>
  </si>
  <si>
    <t>2AAH</t>
  </si>
  <si>
    <t>Thôn Trung Sơn, Xã Thanh Sơn, Thị xã Nghi Sơn T. Thanh Hóa Việt Nam</t>
  </si>
  <si>
    <t>2AAI</t>
  </si>
  <si>
    <t>WM+ HNI 144, TDP Tân Xuân, Xuân Mai</t>
  </si>
  <si>
    <t>144, Tổ tự quản 3, TDP Tân Xuân, TT. Xuân Mai, H. Chương Mỹ TP. Hà Nội Việt Nam</t>
  </si>
  <si>
    <t>2AAL</t>
  </si>
  <si>
    <t>Xóm 13, Xã Quỳnh Thạch, Huyện Quỳnh Lưu T. Nghệ An Việt Nam</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</si>
  <si>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</si>
  <si>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</si>
  <si>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</si>
  <si>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</si>
  <si>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</si>
  <si>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</si>
  <si>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</si>
  <si>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</si>
  <si>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</si>
  <si>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</si>
  <si>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</si>
  <si>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</si>
  <si>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</si>
  <si>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</si>
  <si>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</si>
  <si>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</si>
  <si>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</si>
  <si>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</si>
  <si>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</si>
  <si>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</si>
  <si>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</si>
  <si>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</si>
  <si>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</si>
  <si>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</si>
  <si>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</si>
  <si>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</si>
  <si>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</si>
  <si>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</si>
  <si>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</si>
  <si>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</si>
  <si>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</si>
  <si>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</si>
  <si>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</si>
  <si>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</si>
  <si>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</si>
  <si>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</si>
  <si>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WM+ THA TM-05, CC Ruby Tower</t>
  </si>
  <si>
    <t>Căn hộ số TM-05, Tầng 1, CC Ruby Tower, thuộc P. Lam Sơn, P. Đông Vệ, TP. Thanh Hóa, T. Thanh Hóa Việt Nam</t>
  </si>
  <si>
    <t>2ABK</t>
  </si>
  <si>
    <t>WM+ THA 33 Nguyễn Đình Thuần</t>
  </si>
  <si>
    <t>33 Nguyễn Đình Thuần, Phố Tân Hạnh Thành phố Thanh Hóa, T. Thanh Hóa Việt Nam</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</si>
  <si>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</si>
  <si>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</si>
  <si>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</si>
  <si>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</si>
  <si>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</si>
  <si>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</si>
  <si>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</si>
  <si>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</si>
  <si>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</si>
  <si>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</si>
  <si>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</si>
  <si>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</si>
  <si>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</si>
  <si>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</si>
  <si>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</si>
  <si>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</si>
  <si>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WM+ QBH 69 Hùng Vương, Hoàn Lão</t>
  </si>
  <si>
    <t>69 đường Hùng Vương, Thị trấn Hoàn Lão, Huyện Bố Trạch, Tỉnh Quảng Bình Việt Nam</t>
  </si>
  <si>
    <t>2ABV</t>
  </si>
  <si>
    <t>Tiểu khu 2, Phường Hải Hòa, Thị Xã Nghi Sơn, Tỉnh Thanh Hóa Việt Nam</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</si>
  <si>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</si>
  <si>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</si>
  <si>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</si>
  <si>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</si>
  <si>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</si>
  <si>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</si>
  <si>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</si>
  <si>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</si>
  <si>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WM+ QBH 19 Lê Lợi</t>
  </si>
  <si>
    <t>Số 19 Đường Lê Lợi, P. Đồng Hải, TP. Đồng Hới T. Quảng Bình Việt Nam</t>
  </si>
  <si>
    <t>2AC6</t>
  </si>
  <si>
    <t>WM+ NAN Khối Tây Hồ 1, Quang Tiến</t>
  </si>
  <si>
    <t>Khối Tây Hồ 1, P. Quang Tiến, TX. Thái Hòa T. Nghệ An Việt Nam</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</si>
  <si>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</si>
  <si>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</si>
  <si>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</si>
  <si>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</si>
  <si>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</si>
  <si>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</si>
  <si>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</si>
  <si>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</si>
  <si>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</si>
  <si>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</si>
  <si>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WM+ QBH QL1A, Hải Phú</t>
  </si>
  <si>
    <t>Thôn Quốc Lộ 1A, Xã Hải Phú, Huyện Bố Trạch Tỉnh Quảng Bình Việt Nam</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</si>
  <si>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</si>
  <si>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</si>
  <si>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</si>
  <si>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</si>
  <si>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</si>
  <si>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</si>
  <si>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</si>
  <si>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WM+ THA L05-06, Khu A4 MBQH 65</t>
  </si>
  <si>
    <t>Lô 05 – 06 khu A4 MBQH số 65, P. Long Anh, TP. Thanh Hóa, T. Thanh Hóa Việt Nam</t>
  </si>
  <si>
    <t>2ACJ</t>
  </si>
  <si>
    <t>WM+ BNH Tiêu Long, Tương Giang</t>
  </si>
  <si>
    <t>Khu phố Tiêu Long, Phường Tương Giang, Thành phố Từ Sơn Tỉnh Bắc Ninh Việt Nam</t>
  </si>
  <si>
    <t>2ACM</t>
  </si>
  <si>
    <t>WM+ THA 162 Nguyễn Du</t>
  </si>
  <si>
    <t>162 Nguyễn Du, Khu phố Bắc Kỳ, Phường Trung Sơn Thành phố Sầm Sơn, Tỉnh Thanh Hóa Việt Nam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</si>
  <si>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</si>
  <si>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</si>
  <si>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</si>
  <si>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</si>
  <si>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</si>
  <si>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</si>
  <si>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</si>
  <si>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</si>
  <si>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</si>
  <si>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</si>
  <si>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</si>
  <si>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</si>
  <si>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</si>
  <si>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</si>
  <si>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</si>
  <si>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</si>
  <si>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</si>
  <si>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</si>
  <si>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</si>
  <si>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</si>
  <si>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</si>
  <si>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</si>
  <si>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</si>
  <si>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</si>
  <si>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</si>
  <si>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</si>
  <si>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</si>
  <si>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</si>
  <si>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</si>
  <si>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</si>
  <si>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</si>
  <si>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</si>
  <si>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</si>
  <si>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</si>
  <si>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</si>
  <si>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</si>
  <si>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</si>
  <si>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</si>
  <si>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</si>
  <si>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</si>
  <si>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</si>
  <si>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</si>
  <si>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</si>
  <si>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</si>
  <si>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</si>
  <si>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</si>
  <si>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</si>
  <si>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</si>
  <si>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</si>
  <si>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</si>
  <si>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</si>
  <si>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</si>
  <si>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</si>
  <si>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</si>
  <si>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</si>
  <si>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</si>
  <si>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</si>
  <si>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</si>
  <si>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</si>
  <si>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</si>
  <si>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</si>
  <si>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</si>
  <si>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</si>
  <si>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</si>
  <si>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</si>
  <si>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</si>
  <si>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</si>
  <si>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</si>
  <si>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</si>
  <si>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</si>
  <si>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</si>
  <si>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</si>
  <si>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</si>
  <si>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</si>
  <si>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</si>
  <si>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</si>
  <si>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</si>
  <si>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</si>
  <si>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Số 176, Tổ 13, Phường Sông Cầu T. Bắc Kạn Việt Nam</t>
  </si>
  <si>
    <t>2ADQ</t>
  </si>
  <si>
    <t>WM+ LCU 260A Nguyễn Trãi</t>
  </si>
  <si>
    <t>Số 260A Nguyễn Trãi, Tổ 9, P. Quyết Thắng T. Lai Châu Việt Nam</t>
  </si>
  <si>
    <t>CHI NHÁNH LAI CHÂU - CÔNG TY CỔ PHẦN DỊCH VỤ THƯƠNG MẠI TỔNG HỢP WINCOMMERCE</t>
  </si>
  <si>
    <t>2ADR</t>
  </si>
  <si>
    <t>WM+ SLA Hua Mường, Sốp Cộp</t>
  </si>
  <si>
    <t>Bản Hua Mường, Xã Sốp Cộp, T. Sơn La Việt Nam</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</si>
  <si>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</si>
  <si>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</si>
  <si>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</si>
  <si>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</si>
  <si>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</si>
  <si>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</si>
  <si>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</si>
  <si>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</si>
  <si>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Đường Nguyễn Du, Tổ 2, Thị Trấn Mèo Vạc T. Hà Giang Việt Nam</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</si>
  <si>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</si>
  <si>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</si>
  <si>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</si>
  <si>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</si>
  <si>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</si>
  <si>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</si>
  <si>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</si>
  <si>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</si>
  <si>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</si>
  <si>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</si>
  <si>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</si>
  <si>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</si>
  <si>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</si>
  <si>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</si>
  <si>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</si>
  <si>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</si>
  <si>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</si>
  <si>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</si>
  <si>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</si>
  <si>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WM+ THA Chung Cư Tân Thành Eco2</t>
  </si>
  <si>
    <t>Lô 36-37 Khu dân cư Đông Nam, KĐT Đông Phát T. Thanh Hóa Việt Nam</t>
  </si>
  <si>
    <t>2AEI</t>
  </si>
  <si>
    <t>WM+ HNI 50 Chùa Thông</t>
  </si>
  <si>
    <t>Số 50, Phố Chùa Thông, P. Sơn Lộc TP. Hà Nội Việt Nam</t>
  </si>
  <si>
    <t>2AEK</t>
  </si>
  <si>
    <t>Số 123 Hoàng Hoa Thám, Phường Yên Giang, TX. Quảng Yên T. Quảng Ninh Việt Nam</t>
  </si>
  <si>
    <t>2AEL</t>
  </si>
  <si>
    <t>WM+ HTH 175A - 175B Lý Tự Trọng</t>
  </si>
  <si>
    <t>Số 175A - 175B, đường Lý Tự Trọng, Tổ dân phố 7, Thị trấn Thạch Hà, T. Hà Tĩnh Việt Nam</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</si>
  <si>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</si>
  <si>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</si>
  <si>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</si>
  <si>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</si>
  <si>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</si>
  <si>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</si>
  <si>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</si>
  <si>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</si>
  <si>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</si>
  <si>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</si>
  <si>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</si>
  <si>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</si>
  <si>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</si>
  <si>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</si>
  <si>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</si>
  <si>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</si>
  <si>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</si>
  <si>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</si>
  <si>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</si>
  <si>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WM+ THA Khu 6, Thọ Xuân</t>
  </si>
  <si>
    <t>Khu 6, Thị trấn Thọ Xuân T. Thanh Hóa Việt Nam</t>
  </si>
  <si>
    <t>2AF1</t>
  </si>
  <si>
    <t>WM+ HNI Cống Đặng, Thạch Thất</t>
  </si>
  <si>
    <t>Thôn Cống Đặng, Xã Bình Phú, Huyện Thạch Thất TP. Hà Nội Việt Nam</t>
  </si>
  <si>
    <t>2AF2</t>
  </si>
  <si>
    <t>WM+ QBH TDP 14, Nam Lý</t>
  </si>
  <si>
    <t>Tổ Dân phố 14, Phường Nam Lý, Thành phố Đồng Hới T. Quảng Bình Việt Nam</t>
  </si>
  <si>
    <t>2AFC</t>
  </si>
  <si>
    <t>WM+ THA Tân Hải, Hải Bình</t>
  </si>
  <si>
    <t>Tổ dân phố Tân Hải, Phường Hải Bình, Thị xã Nghi Sơn T. Thanh Hóa Việt Nam</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</si>
  <si>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</si>
  <si>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</si>
  <si>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</si>
  <si>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</si>
  <si>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</si>
  <si>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</si>
  <si>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</si>
  <si>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</si>
  <si>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</si>
  <si>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</si>
  <si>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</si>
  <si>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</si>
  <si>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</si>
  <si>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</si>
  <si>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</si>
  <si>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</si>
  <si>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WM+ NAN Trung Sơn, Kim Sơn</t>
  </si>
  <si>
    <t>Khối Trung Sơn, Thị Trấn Kim Sơn, T. Nghệ An Việt Nam</t>
  </si>
  <si>
    <t>2AFL</t>
  </si>
  <si>
    <t>Xóm Lạc Hồng, Xã Nghi Diên T. Nghệ An Việt Nam</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</si>
  <si>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</si>
  <si>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</si>
  <si>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</si>
  <si>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</si>
  <si>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</si>
  <si>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</si>
  <si>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</si>
  <si>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</si>
  <si>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</si>
  <si>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</si>
  <si>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</si>
  <si>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</si>
  <si>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</si>
  <si>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Số 85 Đường Trần Hưng Đạo, Khối 11, Phường Đội Cung T. Nghệ An Việt Nam</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</si>
  <si>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</si>
  <si>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</si>
  <si>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</si>
  <si>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</si>
  <si>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</si>
  <si>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</si>
  <si>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</si>
  <si>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</si>
  <si>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</si>
  <si>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</si>
  <si>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</si>
  <si>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</si>
  <si>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</si>
  <si>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</si>
  <si>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</si>
  <si>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</si>
  <si>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WM+ NAN Khối 4, TT Yên Thành</t>
  </si>
  <si>
    <t>Khối 4, Thị Trấn Yên Thành, Huyện Yên Thành T. Nghệ An Việt Nam</t>
  </si>
  <si>
    <t>2AG5</t>
  </si>
  <si>
    <t>WM+ HBH 841 An Dương Vương</t>
  </si>
  <si>
    <t>841 An Dương Vương, Tổ 6, Phường Thái Bình, T. Hòa Bình Việt Nam</t>
  </si>
  <si>
    <t>2AG6</t>
  </si>
  <si>
    <t>Thôn Phú Thuận Hợp, Xã Cổ Đạm, Huyện Nghi Xuân T. Hà Tĩnh Việt Nam</t>
  </si>
  <si>
    <t>2AG8</t>
  </si>
  <si>
    <t>WM+ HTH 138 Hà Huy Tập</t>
  </si>
  <si>
    <t>Số 138 Đường Hà Huy Tập, Thị trấn Cẩm Xuyên, Huyện Cẩm Xuyên Tỉnh Hà Tĩnh Việt Nam</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</si>
  <si>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</si>
  <si>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</si>
  <si>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</si>
  <si>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</si>
  <si>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</si>
  <si>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</si>
  <si>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</si>
  <si>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</si>
  <si>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</si>
  <si>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</si>
  <si>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</si>
  <si>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</si>
  <si>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</si>
  <si>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</si>
  <si>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</si>
  <si>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</si>
  <si>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</si>
  <si>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</si>
  <si>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</si>
  <si>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</si>
  <si>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</si>
  <si>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</si>
  <si>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WM+ THA 223 Nguyễn Trãi</t>
  </si>
  <si>
    <t>Số 223 Nguyễn Trãi, Phường Tân Sơn, Thành phố Thanh Hóa T. Thanh Hóa Việt Nam</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</si>
  <si>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</si>
  <si>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</si>
  <si>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</si>
  <si>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</si>
  <si>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</si>
  <si>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</si>
  <si>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</si>
  <si>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</si>
  <si>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</si>
  <si>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</si>
  <si>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</si>
  <si>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</si>
  <si>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</si>
  <si>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WM+ NAN 261 Đường 1 Tháng 9</t>
  </si>
  <si>
    <t>Số 261 Đường 1 Tháng 9, Khối 3A, Thị trấn Thanh Chương, H. Thanh Chương T. Nghệ An Việt Nam</t>
  </si>
  <si>
    <t>2AH2</t>
  </si>
  <si>
    <t>WM+ HPG 101 Ngô Quyền</t>
  </si>
  <si>
    <t>Số 101 Ngô Quyền, Thị trấn An Lão, Huyện An Lão TP. Hải Phòng Việt Nam</t>
  </si>
  <si>
    <t>2AH3</t>
  </si>
  <si>
    <t>Xóm 3, Xã Diễn Đồng, Huyện Diễn Châu T. Nghệ An Việt Nam</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</si>
  <si>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</si>
  <si>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</si>
  <si>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</si>
  <si>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</si>
  <si>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</si>
  <si>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</si>
  <si>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</si>
  <si>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</si>
  <si>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</si>
  <si>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</si>
  <si>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</si>
  <si>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</si>
  <si>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</si>
  <si>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</si>
  <si>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</si>
  <si>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</si>
  <si>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</si>
  <si>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</si>
  <si>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</si>
  <si>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</si>
  <si>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</si>
  <si>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</si>
  <si>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</si>
  <si>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</si>
  <si>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</si>
  <si>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</si>
  <si>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</si>
  <si>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</si>
  <si>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</si>
  <si>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</si>
  <si>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</si>
  <si>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</si>
  <si>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</si>
  <si>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</si>
  <si>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</si>
  <si>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</si>
  <si>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</si>
  <si>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</si>
  <si>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</si>
  <si>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</si>
  <si>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</si>
  <si>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</si>
  <si>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</si>
  <si>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Thôn Lộc Ân, Xã Lưu Vĩnh Sơn, Huyện Thạch Hà T. Hà Tĩnh Việt Nam</t>
  </si>
  <si>
    <t>2AI2</t>
  </si>
  <si>
    <t>WM+ NAN Đô Thành, Yên Thành</t>
  </si>
  <si>
    <t>Xóm Vách Bắc, Xã Đô Thành, Huyện Yên Thành T. Nghệ An Việt Nam</t>
  </si>
  <si>
    <t>2AI3</t>
  </si>
  <si>
    <t>WM+ THA Yên Khoái, Nga Sơn</t>
  </si>
  <si>
    <t>Thôn Yên Khoái, Xã Nga Yên, Huyện Nga Sơn T. Thanh Hóa Việt Nam</t>
  </si>
  <si>
    <t>2AI6</t>
  </si>
  <si>
    <t>WM+ NAN 400 Phạm Nguyễn Du</t>
  </si>
  <si>
    <t>400 Đường Phạm Nguyễn Du, Phường Cửa Lò, Tỉnh Nghệ An T. Nghệ An Việt Nam</t>
  </si>
  <si>
    <t>2AI7</t>
  </si>
  <si>
    <t>WM+ HTH Hòa Bình, Kỳ Anh</t>
  </si>
  <si>
    <t>Thôn Hòa Bình, Xã Kỳ Phong, Huyện Kỳ Anh T. Hà Tĩnh Việt Nam</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</si>
  <si>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</si>
  <si>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</si>
  <si>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</si>
  <si>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</si>
  <si>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</si>
  <si>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</si>
  <si>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</si>
  <si>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Đường 4B, Thôn Nga Linh, Xã Quảng Lộc, Huyện Quảng Xương H. Quảng Xương T. Thanh Hóa Việt Nam</t>
  </si>
  <si>
    <t>2AIG</t>
  </si>
  <si>
    <t>WM+ THA Khu 2, TT Hồi Xuân</t>
  </si>
  <si>
    <t>Khu 2, Thị trấn Hồi Xuân, Huyện Quan Hóa T. Thanh Hóa Việt Nam</t>
  </si>
  <si>
    <t>2AIH</t>
  </si>
  <si>
    <t>Số 63, Thôn Hữu Cần, Xã Tế Lợi, Huyện Nông Cống T. Thanh Hóa Việt Nam</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</si>
  <si>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</si>
  <si>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</si>
  <si>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</si>
  <si>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</si>
  <si>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</si>
  <si>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</si>
  <si>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</si>
  <si>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</si>
  <si>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</si>
  <si>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</si>
  <si>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</si>
  <si>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</si>
  <si>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</si>
  <si>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</si>
  <si>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</si>
  <si>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</si>
  <si>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</si>
  <si>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</si>
  <si>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</si>
  <si>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</si>
  <si>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</si>
  <si>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</si>
  <si>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</si>
  <si>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</si>
  <si>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</si>
  <si>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</si>
  <si>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</si>
  <si>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</si>
  <si>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WM+ THA Thôn 6, Nga Liên</t>
  </si>
  <si>
    <t>Thôn 6, Xã Nga Liên, Huyện Nga Sơn T. Thanh Hóa Việt Nam</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</si>
  <si>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</si>
  <si>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</si>
  <si>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</si>
  <si>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</si>
  <si>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</si>
  <si>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</si>
  <si>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</si>
  <si>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</si>
  <si>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</si>
  <si>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</si>
  <si>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</si>
  <si>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</si>
  <si>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</si>
  <si>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</si>
  <si>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</si>
  <si>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</si>
  <si>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Số 416 Đường Lê Viết Thuật, Phường Hưng Lộc, Thành Phố Vinh T. Nghệ An Việt Nam</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</si>
  <si>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</si>
  <si>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</si>
  <si>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</si>
  <si>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</si>
  <si>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</si>
  <si>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</si>
  <si>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</si>
  <si>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</si>
  <si>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</si>
  <si>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</si>
  <si>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</si>
  <si>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</si>
  <si>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</si>
  <si>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</si>
  <si>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</si>
  <si>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</si>
  <si>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Xóm 8, Xã Nghĩa Thuận, Thị Xã Thái Hòa T. Nghệ An Việt Nam</t>
  </si>
  <si>
    <t>2AJV</t>
  </si>
  <si>
    <t>Số 541 Đường Ngự Thiên, TDP Tây Xuyên, Thị Trấn Hưng Nhân, T. Thái Bình Việt Nam</t>
  </si>
  <si>
    <t>2AJX</t>
  </si>
  <si>
    <t>WM+ VPC Thôn Dùng, Cao Phong</t>
  </si>
  <si>
    <t>Thôn Dùng, Xã Cao Phong, Huyện Sông Lô T. Vĩnh Phúc Việt Nam</t>
  </si>
  <si>
    <t>2AJZ</t>
  </si>
  <si>
    <t>116 Đường Đội Cung, Khối 3, Thị Trấn Đô Lương, T. Nghệ An Việt Nam</t>
  </si>
  <si>
    <t>2AK0</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</si>
  <si>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</si>
  <si>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</si>
  <si>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</si>
  <si>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</si>
  <si>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</si>
  <si>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</si>
  <si>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WM+ NAN Minh Tân, Thanh Chương</t>
  </si>
  <si>
    <t>Xóm Minh Tân, Xã Võ Liệt, Huyện Thanh Chương T. Nghệ An Việt Nam</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</si>
  <si>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</si>
  <si>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</si>
  <si>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</si>
  <si>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</si>
  <si>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</si>
  <si>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</si>
  <si>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</si>
  <si>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</si>
  <si>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</si>
  <si>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</si>
  <si>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</si>
  <si>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</si>
  <si>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</si>
  <si>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</si>
  <si>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</si>
  <si>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</si>
  <si>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</si>
  <si>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</si>
  <si>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</si>
  <si>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</si>
  <si>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</si>
  <si>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</si>
  <si>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</si>
  <si>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</si>
  <si>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</si>
  <si>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</si>
  <si>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</si>
  <si>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</si>
  <si>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</si>
  <si>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</si>
  <si>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</si>
  <si>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</si>
  <si>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</si>
  <si>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</si>
  <si>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Số 184 Đường Định Đức, Thôn Thượng Đình 3, Xã Quảng Định, T. Thanh Hóa Việt Nam</t>
  </si>
  <si>
    <t>2AKQ</t>
  </si>
  <si>
    <t>WM+ VPC Cầu Tre, Hồ Sơn</t>
  </si>
  <si>
    <t>Thôn Cầu Tre, Xã Hồ Sơn, Huyện Tam Đảo T. Vĩnh Phúc Việt Nam</t>
  </si>
  <si>
    <t>2AKR</t>
  </si>
  <si>
    <t>WM+ NAN 35 Phan Bội Châu</t>
  </si>
  <si>
    <t>Số 35 Đường Phan Bội Châu, Khối 2, Phường Quán Bàu, T. Nghệ An Việt Nam</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</si>
  <si>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</si>
  <si>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</si>
  <si>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</si>
  <si>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</si>
  <si>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</si>
  <si>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</si>
  <si>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</si>
  <si>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</si>
  <si>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</si>
  <si>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</si>
  <si>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</si>
  <si>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</si>
  <si>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</si>
  <si>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</si>
  <si>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</si>
  <si>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</si>
  <si>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</si>
  <si>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</si>
  <si>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</si>
  <si>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</si>
  <si>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</si>
  <si>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</si>
  <si>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Số 640 Đường Trần Hưng Đạo, Thôn Liên Hải, Xã Quỳnh Liên, TX. Hoàng Mai T. Nghệ An Việt Nam</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</si>
  <si>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</si>
  <si>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</si>
  <si>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</si>
  <si>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</si>
  <si>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</si>
  <si>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</si>
  <si>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</si>
  <si>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WM+ NAN Minh Châu, Diễn Châu</t>
  </si>
  <si>
    <t>Xóm 7, Xã Minh Châu, Huyện Diễn Châu T. Nghệ An Việt Nam</t>
  </si>
  <si>
    <t>2ALE</t>
  </si>
  <si>
    <t>TDP 3, Thị trấn Cẩm Xuyên, Huyện Cẩm Xuyên T. Hà Tĩnh Việt Nam</t>
  </si>
  <si>
    <t>2ALF</t>
  </si>
  <si>
    <t>WM+ TBH Hưng Đạo, Quỳnh Thọ</t>
  </si>
  <si>
    <t>Thôn Hưng Đạo, Xã Quỳnh Thọ, Huyện Quỳnh Phụ T. Thái Bình Việt Nam</t>
  </si>
  <si>
    <t>2ALG</t>
  </si>
  <si>
    <t>Thôn 1 Tam Hòa, Xã Hòa Lộc, Huyện Hậu Lộc T. Thanh Hóa Việt Nam</t>
  </si>
  <si>
    <t>2ALI</t>
  </si>
  <si>
    <t>WM+ PTO Khu 1, Thanh Thủy</t>
  </si>
  <si>
    <t>Khu 01, Xã Thanh Thủy, Tỉnh Phú Thọ T. Phú Thọ Việt Nam</t>
  </si>
  <si>
    <t>2ALK</t>
  </si>
  <si>
    <t>WM+ NAN 40 Lê Lợi</t>
  </si>
  <si>
    <t>Số 40 Đường Lê Lợi, Khối 3, Thị Trấn Tân Lạc, H. Quỳ Châu T. Nghệ An Việt Nam</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</si>
  <si>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</si>
  <si>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</si>
  <si>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</si>
  <si>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</si>
  <si>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</si>
  <si>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</si>
  <si>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</si>
  <si>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</si>
  <si>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</si>
  <si>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</si>
  <si>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</si>
  <si>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</si>
  <si>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</si>
  <si>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</si>
  <si>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</si>
  <si>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</si>
  <si>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</si>
  <si>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</si>
  <si>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</si>
  <si>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</si>
  <si>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</si>
  <si>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</si>
  <si>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</si>
  <si>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</si>
  <si>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</si>
  <si>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Thôn 3, Xã Hoằng Thái, Huyện Hoằng Hóa T. Thanh Hóa Việt Nam</t>
  </si>
  <si>
    <t>2AMD</t>
  </si>
  <si>
    <t>WM+ HPG Ninh Sơn, Thuỷ Nguyên</t>
  </si>
  <si>
    <t>Thôn 5, Xã Ninh Sơn, Thành phố Thuỷ Nguyên, TP. Hải Phòng Việt Nam</t>
  </si>
  <si>
    <t>2AME</t>
  </si>
  <si>
    <t>TDP 8, Thị trấn Quý Lộc, Huyện Yên Định T. Thanh Hóa Việt Nam</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</si>
  <si>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</si>
  <si>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</si>
  <si>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</si>
  <si>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</si>
  <si>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</si>
  <si>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</si>
  <si>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</si>
  <si>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Số 73 QL47C, Thôn Thái Lai, Xã Thái Hòa, Huyện Triệu Sơn T. Thanh Hóa Việt Nam</t>
  </si>
  <si>
    <t>2AMK</t>
  </si>
  <si>
    <t>WM+ THA Văn Thắng, Đông Văn</t>
  </si>
  <si>
    <t>Thôn Văn Thắng, Xã Đông Văn, Huyện Đông Sơn T. Thanh Hóa Việt Nam</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</si>
  <si>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</si>
  <si>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</si>
  <si>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</si>
  <si>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</si>
  <si>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</si>
  <si>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</si>
  <si>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</si>
  <si>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</si>
  <si>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</si>
  <si>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</si>
  <si>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Thôn Quý Hòa, Xã Yên Hòa, Huyện Cẩm Xuyên T. Hà Tĩnh Việt Nam</t>
  </si>
  <si>
    <t>2AMV</t>
  </si>
  <si>
    <t>Xóm 5, Xã Quỳnh Tân, Huyện Quỳnh Lưu T. Nghệ An Việt Nam</t>
  </si>
  <si>
    <t>2AN1</t>
  </si>
  <si>
    <t>WIN HNI ED.104 Eco Dream</t>
  </si>
  <si>
    <t>Shophouse ED.104, Nhà ở cao tầng kết hợp TMDV Eco Dream, Ô đất TT6, Khu đô thị Tây Nam Kim GiangI Xã Tân Triều, Huyện Thanh Trì TP. Hà Nội Việt Nam</t>
  </si>
  <si>
    <t>2AN2</t>
  </si>
  <si>
    <t>Thôn Thị Tứ, Xã Dân Lực, Huyện Triệu Sơn T. Thanh Hóa Việt Nam</t>
  </si>
  <si>
    <t>2AN3</t>
  </si>
  <si>
    <t>WM+ THA Thổ Nam, Nông Cống</t>
  </si>
  <si>
    <t>Thôn Thổ Nam, Xã Tế Thắng, Huyện Nông Cống T. Thanh Hóa Việt Nam</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</si>
  <si>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</si>
  <si>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</si>
  <si>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</si>
  <si>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</si>
  <si>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</si>
  <si>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</si>
  <si>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</si>
  <si>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</si>
  <si>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</si>
  <si>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</si>
  <si>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</si>
  <si>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</si>
  <si>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</si>
  <si>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WM+ HTH Nam Thượng, Thạch Đài</t>
  </si>
  <si>
    <t>Thôn Nam Thượng, Xã Thạch Đài, Huyện Thạch Hà T. Hà Tĩnh Việt Nam</t>
  </si>
  <si>
    <t>2ANF</t>
  </si>
  <si>
    <t>WM+ TNN 228 Thắng Lợi</t>
  </si>
  <si>
    <t>Số 228 Đường Thắng Lợi, Phường Mỏ Chè, Thành phố Sông Công, T. Thái Nguyên Việt Nam</t>
  </si>
  <si>
    <t>2ANH</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</si>
  <si>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</si>
  <si>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</si>
  <si>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</si>
  <si>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</si>
  <si>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</si>
  <si>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</si>
  <si>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</si>
  <si>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</si>
  <si>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WM+ THA 178 Bà Triệu</t>
  </si>
  <si>
    <t>Số 178 Bà Triệu, Thị trấn Nưa, Huyện Triệu Sơn T. Thanh Hóa Việt Nam</t>
  </si>
  <si>
    <t>2ANS</t>
  </si>
  <si>
    <t>WM+ NAN Đình Tiến, Long Xá</t>
  </si>
  <si>
    <t>Xóm Đình Tiến, Xã Long Xá, Huyện Hưng Nguyên T. Nghệ An Việt Nam</t>
  </si>
  <si>
    <t>2ANV</t>
  </si>
  <si>
    <t>WM+ PTO Khu Km5, Hà Lộc</t>
  </si>
  <si>
    <t>Khu Km5, Xã Hà Lộc, Thị xã Phú Thọ T. Phú Thọ Việt Nam</t>
  </si>
  <si>
    <t>2ANX</t>
  </si>
  <si>
    <t>WM+ HDG Du La, Cẩm Việt</t>
  </si>
  <si>
    <t>Thôn Du La, Xã Cẩm Việt, Huyện Thanh Hà, T. Hải Dương Việt Nam</t>
  </si>
  <si>
    <t>2ANY</t>
  </si>
  <si>
    <t>Số 25, Tỉnh lộ 505, Thôn Ngọc Chẩm, Xã Thăng Long, H. Nông Cống T. Thanh Hóa Việt Nam</t>
  </si>
  <si>
    <t>2ANZ</t>
  </si>
  <si>
    <t>Thôn Tuy Yên, Xã Công Liêm, Huyện Nông Cống T. Thanh Hóa Việt Nam</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</si>
  <si>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</si>
  <si>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</si>
  <si>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</si>
  <si>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</si>
  <si>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</si>
  <si>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</si>
  <si>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</si>
  <si>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Thôn Phấn Thôn, Xã Thọ Hải, Huyện Thọ Xuân T. Thanh Hóa Việt Nam</t>
  </si>
  <si>
    <t>2AO6</t>
  </si>
  <si>
    <t>WM+ NAN 426 Khối Tân Phong</t>
  </si>
  <si>
    <t>Số 426 Khối Tân Phong, Phường Quỳnh Thiện, Thị Xã Hoàng Mai T. Nghệ An Việt Nam</t>
  </si>
  <si>
    <t>2AO8</t>
  </si>
  <si>
    <t>Số 332 Phố 1, Thị trấn Ngọc Lặc, Huyện Ngọc Lặc, Tỉnh Thanh Hóa T. Thanh Hóa Việt Nam</t>
  </si>
  <si>
    <t>2AO9</t>
  </si>
  <si>
    <t>WM+ THA Hải Thanh, Như Thanh</t>
  </si>
  <si>
    <t>Thôn Hải Thanh, Xã Hải Long, Huyện Như Thanh T. Thanh Hóa Việt Nam</t>
  </si>
  <si>
    <t>2AOC</t>
  </si>
  <si>
    <t>WM+ HNI 244 Đội Cấn</t>
  </si>
  <si>
    <t>Số 244 Đội Cấn, Phường Liễu Giai, Quận Ba Đình TP. Hà Nội Việt Nam</t>
  </si>
  <si>
    <t>2AOJ</t>
  </si>
  <si>
    <t>Thôn Đông Thành, Xã Đa Lộc, Huyện Hậu Lộc T. Thanh Hóa Việt Nam</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</si>
  <si>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</si>
  <si>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</si>
  <si>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</si>
  <si>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</si>
  <si>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</si>
  <si>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</si>
  <si>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</si>
  <si>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</si>
  <si>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</si>
  <si>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</si>
  <si>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</si>
  <si>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</si>
  <si>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</si>
  <si>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</si>
  <si>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WM+ THA Trịnh Lộc, Yên Phú</t>
  </si>
  <si>
    <t>Số nhà 02A, Tỉnh lộ 516B, Thôn Trịnh Lộc, Xã Yên Phú T. Thanh Hóa Việt Nam</t>
  </si>
  <si>
    <t>2AP0</t>
  </si>
  <si>
    <t>WM+ NAN Thuận Minh, Đô Lương</t>
  </si>
  <si>
    <t>Xóm Thuận Minh, Xã Thuận Sơn, Huyện Đô Lương T. Nghệ An Việt Nam</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</si>
  <si>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</si>
  <si>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</si>
  <si>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</si>
  <si>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</si>
  <si>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</si>
  <si>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</si>
  <si>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</si>
  <si>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</si>
  <si>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</si>
  <si>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</si>
  <si>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Thôn Hoa Trung, Xã Hoa Lộc, Huyện Hậu Lộc T. Thanh Hóa Việt Nam</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</si>
  <si>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</si>
  <si>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</si>
  <si>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</si>
  <si>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</si>
  <si>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</si>
  <si>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</si>
  <si>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</si>
  <si>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</si>
  <si>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</si>
  <si>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</si>
  <si>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</si>
  <si>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</si>
  <si>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</si>
  <si>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WM+ THA 127 Đường 515 KP Đồng Thanh</t>
  </si>
  <si>
    <t>Số 127 Đường 515 Khu Phố Đồng Thanh, Thị Trấn Hậu Hiền, H. Thiệu Hóa T. Thanh Hóa Việt Nam</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</si>
  <si>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</si>
  <si>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</si>
  <si>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</si>
  <si>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</si>
  <si>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</si>
  <si>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</si>
  <si>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</si>
  <si>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</si>
  <si>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</si>
  <si>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</si>
  <si>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Thôn Đông Hòa, Xã Hoằng Hải, Huyện Hoằng Hóa T. Thanh Hóa Việt Nam</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</si>
  <si>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</si>
  <si>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</si>
  <si>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</si>
  <si>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</si>
  <si>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</si>
  <si>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</si>
  <si>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</si>
  <si>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WM+ THA 117 Thị Tứ, Triệu Sơn</t>
  </si>
  <si>
    <t>Số 117 Thôn Thị Tứ, Xã Đồng Tiến, Huyện Triệu Sơn T. Thanh Hóa Việt Nam</t>
  </si>
  <si>
    <t>2AQA</t>
  </si>
  <si>
    <t>WM+ NAN Thái Thịnh, Diễn Kim</t>
  </si>
  <si>
    <t>Xóm Thái Thịnh, Xã Diễn Kim, Huyện Diễn Châu T. Nghệ An Việt Nam</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</si>
  <si>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</si>
  <si>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</si>
  <si>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</si>
  <si>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</si>
  <si>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</si>
  <si>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</si>
  <si>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</si>
  <si>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</si>
  <si>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</si>
  <si>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</si>
  <si>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</si>
  <si>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</si>
  <si>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</si>
  <si>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</si>
  <si>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</si>
  <si>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</si>
  <si>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</si>
  <si>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</si>
  <si>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</si>
  <si>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</si>
  <si>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</si>
  <si>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</si>
  <si>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WM+ THA Liên Minh, Hoằng Trường</t>
  </si>
  <si>
    <t>Số 72, ĐT 510B, Thôn Liên Minh, Xã Hoằng Trường, Huyện Hoằng T. Thanh Hóa Việt Nam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</si>
  <si>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</si>
  <si>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</si>
  <si>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</si>
  <si>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</si>
  <si>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</si>
  <si>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</si>
  <si>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</si>
  <si>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</si>
  <si>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</si>
  <si>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</si>
  <si>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</si>
  <si>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</si>
  <si>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</si>
  <si>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</si>
  <si>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</si>
  <si>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</si>
  <si>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</si>
  <si>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</si>
  <si>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</si>
  <si>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</si>
  <si>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</si>
  <si>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</si>
  <si>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Xóm Trung Tâm, Xã Thọ Thành, Huyện Yên Thành T. Nghệ An Việt Nam</t>
  </si>
  <si>
    <t>2AR2</t>
  </si>
  <si>
    <t>Khối 7, Thị Trấn Cầu Giát, Huyện Quỳnh Lưu T. Nghệ An Việt Nam</t>
  </si>
  <si>
    <t>2AR5</t>
  </si>
  <si>
    <t>WM+ HNI R1.05 Ocean Park</t>
  </si>
  <si>
    <t>Căn 01S16, Tầng 1, Tòa R1.05, Khu đô thị Vinhomes Ocean Park Thị trấn Trâu Quỳ, Huyện Gia Lâm TP. Hà Nội Việt Nam</t>
  </si>
  <si>
    <t>2ARA</t>
  </si>
  <si>
    <t>Đường ĐTX03, Thôn Diễn Hòa, Xã Hợp Thành, Huyện Triệu Sơn T. Thanh Hóa Việt Nam</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</si>
  <si>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</si>
  <si>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</si>
  <si>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</si>
  <si>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</si>
  <si>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</si>
  <si>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</si>
  <si>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</si>
  <si>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</si>
  <si>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</si>
  <si>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</si>
  <si>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</si>
  <si>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</si>
  <si>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</si>
  <si>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Số nhà 236 TDP Hành Chính, Thị trấn Yên Lâm, Huyện Yên Định T. Thanh Hóa Việt Nam</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</si>
  <si>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</si>
  <si>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</si>
  <si>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</si>
  <si>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</si>
  <si>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</si>
  <si>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</si>
  <si>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</si>
  <si>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</si>
  <si>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</si>
  <si>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</si>
  <si>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WM+ HTH Phú Trung, Kỳ Phú</t>
  </si>
  <si>
    <t>Thôn Phú Trung, Xã Kỳ Phú, Huyện Kỳ Anh T. Hà Tĩnh Việt Nam</t>
  </si>
  <si>
    <t>2ARL</t>
  </si>
  <si>
    <t>WM+ THA Kiot 6-7 Chợ Hà Phong</t>
  </si>
  <si>
    <t>Kiot 6-7 Chợ Hà Phong, Tiểu khu Phong Vận, Đường 217, T. Thanh Hóa Việt Nam</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</si>
  <si>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</si>
  <si>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</si>
  <si>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</si>
  <si>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</si>
  <si>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</si>
  <si>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</si>
  <si>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</si>
  <si>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</si>
  <si>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</si>
  <si>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</si>
  <si>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</si>
  <si>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</si>
  <si>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</si>
  <si>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</si>
  <si>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</si>
  <si>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</si>
  <si>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</si>
  <si>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</si>
  <si>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</si>
  <si>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</si>
  <si>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</si>
  <si>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</si>
  <si>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</si>
  <si>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</si>
  <si>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</si>
  <si>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</si>
  <si>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</si>
  <si>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</si>
  <si>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</si>
  <si>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</si>
  <si>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</si>
  <si>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</si>
  <si>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</si>
  <si>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</si>
  <si>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</si>
  <si>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</si>
  <si>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</si>
  <si>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</si>
  <si>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</si>
  <si>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</si>
  <si>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</si>
  <si>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</si>
  <si>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</si>
  <si>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</si>
  <si>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</si>
  <si>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</si>
  <si>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</si>
  <si>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</si>
  <si>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</si>
  <si>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</si>
  <si>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</si>
  <si>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</si>
  <si>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</si>
  <si>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</si>
  <si>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</si>
  <si>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</si>
  <si>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</si>
  <si>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</si>
  <si>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WM+ HTH Thống Nhất, Ích Hậu</t>
  </si>
  <si>
    <t>Thôn Thống Nhất, Xã Ích Hậu, Huyện Thạch Hà T. Hà Tĩnh Việt Nam</t>
  </si>
  <si>
    <t>2ASE</t>
  </si>
  <si>
    <t>WM+ HTH Phú Thượng, Cẩm Duệ</t>
  </si>
  <si>
    <t>Thôn Phú Thượng, Xã Cẩm Duệ, Huyện Cẩm Xuyên T. Hà Tĩnh Việt Nam</t>
  </si>
  <si>
    <t>2ASF</t>
  </si>
  <si>
    <t>WM+ NAN Xóm 3A, Quỳnh Tam</t>
  </si>
  <si>
    <t>Xóm 3A, Xã Quỳnh Tam, Huyện Quỳnh Lưu T. Nghệ An Việt Nam</t>
  </si>
  <si>
    <t>2ASO</t>
  </si>
  <si>
    <t>WM+ HPG 993 Ngô Gia Tự</t>
  </si>
  <si>
    <t>Số 993 Ngô Gia Tự, Phường Đằng Hải, Quận Hải An TP. Hải Phòng Việt Nam</t>
  </si>
  <si>
    <t>2ASP</t>
  </si>
  <si>
    <t>WM+ QBH Thôn 3, Phúc Trạch</t>
  </si>
  <si>
    <t>Thôn 3, Xã Phúc Trạch, Huyện Bố Trạch T. Quảng Bình Việt Nam</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</si>
  <si>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</si>
  <si>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</si>
  <si>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</si>
  <si>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</si>
  <si>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</si>
  <si>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</si>
  <si>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</si>
  <si>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</si>
  <si>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</si>
  <si>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</si>
  <si>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</si>
  <si>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</si>
  <si>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</si>
  <si>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</si>
  <si>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</si>
  <si>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</si>
  <si>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</si>
  <si>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</si>
  <si>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</si>
  <si>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</si>
  <si>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</si>
  <si>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</si>
  <si>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</si>
  <si>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</si>
  <si>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</si>
  <si>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</si>
  <si>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</si>
  <si>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</si>
  <si>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</si>
  <si>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Thôn Phố Mới, Xã Vạn Thắng, Huyện Nông Cống T. Thanh Hóa Việt Nam</t>
  </si>
  <si>
    <t>2AT5</t>
  </si>
  <si>
    <t>WM+ QBH 220 Lê Lợi</t>
  </si>
  <si>
    <t>Số 220 Lê Lợi, Xã Đức Ninh, Thành phố Đồng Hới T. Quảng Bình Việt Nam</t>
  </si>
  <si>
    <t>2AT6</t>
  </si>
  <si>
    <t>WM+ VPC SH4 La Fortuna, Phạm Văn Đồ</t>
  </si>
  <si>
    <t>SH4, Chung cư La Fortuna, Đường Phạm Văn Đồng, Phường Tích Sơn, Thành phố Vĩnh Yên T. Vĩnh Phúc Việt Nam</t>
  </si>
  <si>
    <t>2AT7</t>
  </si>
  <si>
    <t>WM+ THA 272 Bà Triệu</t>
  </si>
  <si>
    <t>Số 272 Đường Bà Triệu, Khu phố 1, Phường Bắc Sơn, Thị Xã Bỉm T. Thanh Hóa Việt Nam</t>
  </si>
  <si>
    <t>2AT8</t>
  </si>
  <si>
    <t>Đường Tái Định Cư, Xóm 5, Xã Diễn Thành, Huyện Diễn Châu T. Nghệ An Việt Nam</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</si>
  <si>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</si>
  <si>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</si>
  <si>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</si>
  <si>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</si>
  <si>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</si>
  <si>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</si>
  <si>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</si>
  <si>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TDP Phú Quý, Thị trấn Nông Trường Việt Trung, T. Quảng Bình Việt Nam</t>
  </si>
  <si>
    <t>2ATC</t>
  </si>
  <si>
    <t>WM+ HNI Cốc Thượng, Hoàng Diệu</t>
  </si>
  <si>
    <t>Số 25, Thôn Cốc Thượng, Xã Hoàng Diệu, Huyện Chương Mỹ TP. Hà Nội Việt Nam</t>
  </si>
  <si>
    <t>2ATD</t>
  </si>
  <si>
    <t>Thôn Đa Phạn, Xã Hải Lộc, Huyện Hậu Lộc T. Thanh Hóa Việt Nam</t>
  </si>
  <si>
    <t>2ATE</t>
  </si>
  <si>
    <t>Xóm Thị Tứ, Xã Tân Thành, Huyện Yên Thành T. Nghệ An Việt Nam</t>
  </si>
  <si>
    <t>2ATF</t>
  </si>
  <si>
    <t>WM+ NAN Diễn Trường, Diễn Châu</t>
  </si>
  <si>
    <t>Xóm 4, Xã Diễn Trường, Huyện Diễn Châu T. Nghệ An Việt Nam</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</si>
  <si>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</si>
  <si>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</si>
  <si>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</si>
  <si>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</si>
  <si>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</si>
  <si>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</si>
  <si>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</si>
  <si>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</si>
  <si>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</si>
  <si>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</si>
  <si>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WM+ QBH Xuân Dục 1, Xuân Ninh</t>
  </si>
  <si>
    <t>Thôn Xuân Dục 1, Xã Xuân Ninh, Huyện Quảng Ninh T. Quảng Bình Việt Nam</t>
  </si>
  <si>
    <t>2ATO</t>
  </si>
  <si>
    <t>Thôn Đông Thịnh, Xã Hồng Lộc, Huyện Thạch Hà, Tỉnh Hà Tĩnh T. Hà Tĩnh Việt Nam</t>
  </si>
  <si>
    <t>2ATQ</t>
  </si>
  <si>
    <t>WM+ HNI Cốc Thôn, Cam Thượng</t>
  </si>
  <si>
    <t>Số 81, Thôn Cốc Thôn, Xã Cam Thượng, Huyện Ba Vì TP. Hà Nội Việt Nam</t>
  </si>
  <si>
    <t>2ATR</t>
  </si>
  <si>
    <t>WM+ QBH Trung Thiện, Dương Thủy</t>
  </si>
  <si>
    <t>Thôn Trung Thiện, Xã Dương Thủy, Huyện Lệ Thủy T. Quảng Bình Việt Nam</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</si>
  <si>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</si>
  <si>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</si>
  <si>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</si>
  <si>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</si>
  <si>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</si>
  <si>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</si>
  <si>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</si>
  <si>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</si>
  <si>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</si>
  <si>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</si>
  <si>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</si>
  <si>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</si>
  <si>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</si>
  <si>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</si>
  <si>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</si>
  <si>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</si>
  <si>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</si>
  <si>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</si>
  <si>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</si>
  <si>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WM+ NAN Xóm 1, Xuân Sơn</t>
  </si>
  <si>
    <t>Xóm 1, Xã Xuân Sơn, Huyện Đô Lương T. Nghệ An Việt Nam</t>
  </si>
  <si>
    <t>2AU0</t>
  </si>
  <si>
    <t>WM+ NAN Thượng Sơn, Đô Lương</t>
  </si>
  <si>
    <t>Xóm 6, Xã Thượng Sơn, Huyện Đô Lương T. Nghệ An Việt Nam</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</si>
  <si>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</si>
  <si>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</si>
  <si>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</si>
  <si>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</si>
  <si>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</si>
  <si>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</si>
  <si>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</si>
  <si>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</si>
  <si>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</si>
  <si>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</si>
  <si>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WM+ NAN Nghĩa Đồng, Tân Kỳ</t>
  </si>
  <si>
    <t>Xóm 3, Xã Nghĩa Đồng, Huyện Tân Kỳ, Tỉnh Nghệ An Việt Nam</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</si>
  <si>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</si>
  <si>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</si>
  <si>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</si>
  <si>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</si>
  <si>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</si>
  <si>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</si>
  <si>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</si>
  <si>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</si>
  <si>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</si>
  <si>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</si>
  <si>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</si>
  <si>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</si>
  <si>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</si>
  <si>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WM+ THA Thôn 2, Yên Thịnh</t>
  </si>
  <si>
    <t>Thôn 2, Xã Yên Thịnh, Huyện Yên Định T. Thanh Hóa Việt Nam</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</si>
  <si>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</si>
  <si>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</si>
  <si>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</si>
  <si>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</si>
  <si>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</si>
  <si>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</si>
  <si>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</si>
  <si>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</si>
  <si>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</si>
  <si>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</si>
  <si>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</si>
  <si>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</si>
  <si>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</si>
  <si>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</si>
  <si>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</si>
  <si>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</si>
  <si>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</si>
  <si>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</si>
  <si>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</si>
  <si>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WM+ THA 195 Tống Duy Tân</t>
  </si>
  <si>
    <t>Số 195 Tống Duy Tân, Khu 1, Thị trấn Vĩnh Lộc, H. Vĩnh Lộc T. Thanh Hóa Việt Nam</t>
  </si>
  <si>
    <t>2AUO</t>
  </si>
  <si>
    <t>WM+ HTH Ninh Hòa, Xuân Phổ</t>
  </si>
  <si>
    <t>Thôn Ninh Hòa, Xã Xuân Phổ, Huyện Nghi Xuân T. Hà Tĩnh Việt Nam</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</si>
  <si>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</si>
  <si>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</si>
  <si>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</si>
  <si>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</si>
  <si>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</si>
  <si>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</si>
  <si>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</si>
  <si>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</si>
  <si>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</si>
  <si>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</si>
  <si>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</si>
  <si>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</si>
  <si>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</si>
  <si>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WM+ NAN Xóm Lũy, Mã Thành</t>
  </si>
  <si>
    <t>Xóm Lũy, Xã Mã Thành, Huyện Yên Thành T. Nghệ An Việt Nam</t>
  </si>
  <si>
    <t>2AUY</t>
  </si>
  <si>
    <t>WM+ HNI 60 Thu Thuận</t>
  </si>
  <si>
    <t>Số 60 Thu Thuận, Thôn Thu Quế, Xã Song Phượng, H. Đan Phượng TP. Hà Nội Việt Nam</t>
  </si>
  <si>
    <t>2AV0</t>
  </si>
  <si>
    <t>Thôn Mỹ Quan, Xã Yên Tâm, Huyện Yên Định T. Thanh Hóa Việt Nam</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</si>
  <si>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</si>
  <si>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</si>
  <si>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</si>
  <si>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</si>
  <si>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</si>
  <si>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</si>
  <si>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</si>
  <si>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</si>
  <si>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</si>
  <si>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</si>
  <si>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WM+ NAN Diễn Thọ, Diễn Châu</t>
  </si>
  <si>
    <t>Xóm 7, Xã Diễn Thọ, Huyện Diễn Châu T. Nghệ An Việt Nam</t>
  </si>
  <si>
    <t>2AV6</t>
  </si>
  <si>
    <t>WM+ HYN SO02 Sol Forest, KĐT Ecopar</t>
  </si>
  <si>
    <t>SO201S29-SO202S29 tòa SO02, Khu căn hộ Rừng Thông-Sol forest KĐT Thương mại và Du lịch Văn Giang (Ecopark), Xã Xuân Quan, H. Văn Giang T. Hưng Yên Việt Nam</t>
  </si>
  <si>
    <t>2AVF</t>
  </si>
  <si>
    <t>Tổ dân phố Đề Nắm, Thị trấn Phồn Xương, Huyện Yên Thế T. Bắc Giang Việt Nam</t>
  </si>
  <si>
    <t>2AVG</t>
  </si>
  <si>
    <t>Số 623 Triệu Quốc Đạt, Tổ dân phố 1, Thị trấn Triệu Sơn, Huy T. Thanh Hóa Việt Nam</t>
  </si>
  <si>
    <t>2AVH</t>
  </si>
  <si>
    <t>WM+ QBH 402 Quang Trung</t>
  </si>
  <si>
    <t>Số 402 Đường Quang Trung, Phường Phú Hải, Thành phố Đồng Hới T. Quảng Bình Việt Nam</t>
  </si>
  <si>
    <t>2AVL</t>
  </si>
  <si>
    <t>Số 62 Đường 4C, Thôn 7, Xã Quảng Thái, Huyện Quảng Xương T. Thanh Hóa Việt Nam</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</si>
  <si>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</si>
  <si>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</si>
  <si>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</si>
  <si>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</si>
  <si>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</si>
  <si>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</si>
  <si>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</si>
  <si>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</si>
  <si>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</si>
  <si>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</si>
  <si>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</si>
  <si>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</si>
  <si>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</si>
  <si>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</si>
  <si>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</si>
  <si>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</si>
  <si>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</si>
  <si>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</si>
  <si>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</si>
  <si>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</si>
  <si>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</si>
  <si>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</si>
  <si>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</si>
  <si>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</si>
  <si>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</si>
  <si>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</si>
  <si>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</si>
  <si>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</si>
  <si>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</si>
  <si>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</si>
  <si>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</si>
  <si>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WM+ NAN 136 Phạm Nguyễn Du</t>
  </si>
  <si>
    <t>136 Phạm Nguyễn Du, Khối Hải Lam, Phường Nghi Hải, Thành phố Vinh T. Nghệ An Việt Nam</t>
  </si>
  <si>
    <t>2AWP</t>
  </si>
  <si>
    <t>WM+ TBH Hoà Bình, Hà Giang</t>
  </si>
  <si>
    <t>Thôn Hoà Bình, Xã Hà Giang, Huyện Đông Hưng T. Thái Bình Việt Nam</t>
  </si>
  <si>
    <t>2AWQ</t>
  </si>
  <si>
    <t>WM+ NAN Trung Tâm, Nghi Ân</t>
  </si>
  <si>
    <t>Xóm Trung Tâm, Xã Nghi Ân, Thành phố Vinh T. Nghệ An Việt Nam</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</si>
  <si>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</si>
  <si>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</si>
  <si>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</si>
  <si>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</si>
  <si>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</si>
  <si>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</si>
  <si>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</si>
  <si>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</si>
  <si>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</si>
  <si>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</si>
  <si>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</si>
  <si>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</si>
  <si>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</si>
  <si>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</si>
  <si>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</si>
  <si>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</si>
  <si>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</si>
  <si>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</si>
  <si>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</si>
  <si>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</si>
  <si>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</si>
  <si>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</si>
  <si>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</si>
  <si>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</si>
  <si>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</si>
  <si>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</si>
  <si>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</si>
  <si>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</si>
  <si>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</si>
  <si>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</si>
  <si>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</si>
  <si>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WM+ THA 54 Nguyễn Đình Ngân</t>
  </si>
  <si>
    <t>Số 54 Nguyễn Đình Ngân, Phường Long Anh, Thành phố Thanh Hóa T. Thanh Hóa Việt Nam</t>
  </si>
  <si>
    <t>2AXE</t>
  </si>
  <si>
    <t>WM+ HTH Trung Ngọc, Xã Gia Hanh</t>
  </si>
  <si>
    <t>Thôn Trung Ngọc, Xã Gia Hanh, Huyện Can Lộc T. Hà Tĩnh Việt Nam</t>
  </si>
  <si>
    <t>2AXF</t>
  </si>
  <si>
    <t>WM+ HDG 686 Trần Hưng Đạo</t>
  </si>
  <si>
    <t>Số 686 Trần Hưng Đạo, Phường Hiệp Sơn, Thị Xã Kinh Môn T. Hải Dương Việt Nam</t>
  </si>
  <si>
    <t>2AXG</t>
  </si>
  <si>
    <t>WM+ THA TDP Thượng Hải, Hải Thanh</t>
  </si>
  <si>
    <t>Tổ dân phố Thượng Hải, Phường Hải Thanh, Thị xã Nghi Sơn T. Thanh Hóa Việt Nam</t>
  </si>
  <si>
    <t>2AXH</t>
  </si>
  <si>
    <t>WM+ NAN Tân Hoa, Trung Phúc Cường</t>
  </si>
  <si>
    <t>Xóm Tân Hoa, Xã Trung Phúc Cường, Huyện Nam Đàn T. Nghệ An Việt Nam</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</si>
  <si>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</si>
  <si>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</si>
  <si>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</si>
  <si>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</si>
  <si>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</si>
  <si>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</si>
  <si>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</si>
  <si>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</si>
  <si>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</si>
  <si>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</si>
  <si>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</si>
  <si>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</si>
  <si>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</si>
  <si>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</si>
  <si>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</si>
  <si>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</si>
  <si>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WM+ HTH Đô Hành, Mỹ Lộc</t>
  </si>
  <si>
    <t>Thôn Đô Hành, Xã Mỹ Lộc, Huyện Can Lộc T. Hà Tĩnh Việt Nam</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</si>
  <si>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</si>
  <si>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</si>
  <si>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</si>
  <si>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</si>
  <si>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</si>
  <si>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</si>
  <si>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</si>
  <si>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</si>
  <si>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</si>
  <si>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</si>
  <si>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</si>
  <si>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</si>
  <si>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</si>
  <si>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</si>
  <si>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</si>
  <si>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</si>
  <si>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Thôn Phú Sơn, Xã Tượng Sơn, Huyện Thạch Hà T. Hà Tĩnh Việt Nam</t>
  </si>
  <si>
    <t>2AY6</t>
  </si>
  <si>
    <t>WM+ PTO Khu Trung Phương, Việt Trì</t>
  </si>
  <si>
    <t>Khu Trung Phương, phường Minh Phương, Thành phố Việt Trì T. Phú Thọ Việt Nam</t>
  </si>
  <si>
    <t>2AY7</t>
  </si>
  <si>
    <t>WM+ THA 265 Triệu Quốc Đạt</t>
  </si>
  <si>
    <t>Số 265 Triệu Quốc Đạt, Thị trấn Nưa, Huyện Triệu Sơn T. Thanh Hóa Việt Nam</t>
  </si>
  <si>
    <t>2AY8</t>
  </si>
  <si>
    <t>WM+ HBH Khu 3, Lạc Thủy</t>
  </si>
  <si>
    <t>Khu 3, Thị trấn Chi Nê, Huyện Lạc Thủy T. Hòa Bình Việt Nam</t>
  </si>
  <si>
    <t>2AYB</t>
  </si>
  <si>
    <t>WM+ THA Đông Phú, Xã Hoằng Lộc</t>
  </si>
  <si>
    <t>Thôn Đông Phú, Xã Hoằng Lộc, Huyện Hoằng Hóa T. Thanh Hóa Việt Nam</t>
  </si>
  <si>
    <t>2AYC</t>
  </si>
  <si>
    <t>WM+ HNI 40 Hào Nam</t>
  </si>
  <si>
    <t>Số 40 Hào Nam, Phường Ô Chợ Dừa, Quận Đống Đa TP. Hà Nội Việt Nam</t>
  </si>
  <si>
    <t>2AYD</t>
  </si>
  <si>
    <t>WM+ THA Ngọc Phúc, Uy Bắc</t>
  </si>
  <si>
    <t>Đường Ngọc Phúc, Thôn Uy Bắc, Xã Quảng Ngọc, H. Quảng Xương T. Thanh Hóa Việt Nam</t>
  </si>
  <si>
    <t>2AYE</t>
  </si>
  <si>
    <t>WM+ HTH Thanh Đồng, Thanh Lộc</t>
  </si>
  <si>
    <t>Xóm Thanh Đồng, Xã Thanh Lộc, Huyện Can Lộc T. Hà Tĩnh Việt Nam</t>
  </si>
  <si>
    <t>2AYF</t>
  </si>
  <si>
    <t>WM+ THA 01 Ngõ Phủ, Thung Thượng</t>
  </si>
  <si>
    <t>Số 01 Ngõ Phủ, Thôn Thung Thượng, Xã Định Hoà, H. Yên Định T. Thanh Hóa Việt Nam</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</si>
  <si>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</si>
  <si>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</si>
  <si>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</si>
  <si>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</si>
  <si>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</si>
  <si>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</si>
  <si>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</si>
  <si>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</si>
  <si>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</si>
  <si>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</si>
  <si>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</si>
  <si>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</si>
  <si>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</si>
  <si>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WM+ THA 205 Khu phố 1, TT Bến Sung</t>
  </si>
  <si>
    <t>Số 205, Khu phố 1, Thị trấn Bến Sung, Huyện Như Thanh T. Thanh Hóa Việt Nam</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</si>
  <si>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</si>
  <si>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</si>
  <si>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</si>
  <si>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</si>
  <si>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</si>
  <si>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</si>
  <si>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</si>
  <si>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WM+ NAN Nguyễn Tạo, Giang Sơn Đông</t>
  </si>
  <si>
    <t>Xóm Nguyễn Tạo, Xã Giang Sơn Đông, Huyện Đô Lương T. Nghệ An Việt Nam</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</si>
  <si>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</si>
  <si>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</si>
  <si>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</si>
  <si>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</si>
  <si>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</si>
  <si>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</si>
  <si>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</si>
  <si>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WM+ NAN Dương Nam, Thanh Dương</t>
  </si>
  <si>
    <t>Xóm Dương Nam, Xã Thanh Dương, Huyện Thanh Chương T. Nghệ An Việt Nam</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</si>
  <si>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</si>
  <si>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</si>
  <si>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</si>
  <si>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</si>
  <si>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</si>
  <si>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</si>
  <si>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</si>
  <si>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</si>
  <si>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</si>
  <si>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</si>
  <si>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WM+ NAN Xóm 5, Vân Tụ</t>
  </si>
  <si>
    <t>Xóm 5, Xã Vân Tụ, Tỉnh Nghệ An Việt Nam</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</si>
  <si>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</si>
  <si>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</si>
  <si>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</si>
  <si>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</si>
  <si>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</si>
  <si>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</si>
  <si>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</si>
  <si>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</si>
  <si>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</si>
  <si>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</si>
  <si>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</si>
  <si>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</si>
  <si>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</si>
  <si>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</si>
  <si>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</si>
  <si>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</si>
  <si>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</si>
  <si>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</si>
  <si>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</si>
  <si>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</si>
  <si>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</si>
  <si>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</si>
  <si>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</si>
  <si>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</si>
  <si>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</si>
  <si>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</si>
  <si>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</si>
  <si>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</si>
  <si>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</si>
  <si>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</si>
  <si>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</si>
  <si>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</si>
  <si>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</si>
  <si>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</si>
  <si>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</si>
  <si>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</si>
  <si>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</si>
  <si>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</si>
  <si>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</si>
  <si>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WM+ THA Tiền Thôn, Hoằng Tiến</t>
  </si>
  <si>
    <t>ĐT510B, Thôn Tiền Thôn, Xã Hoằng Tiến, Huyện Hoằng Hóa T. Thanh Hóa Việt Nam</t>
  </si>
  <si>
    <t>2B04</t>
  </si>
  <si>
    <t>WM+ HNI 139 Lại Thượng</t>
  </si>
  <si>
    <t>Số 139 Lại Thượng, Xã Thạch Thất, Thành phố Hà Nội TP. Hà Nội Việt Nam</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</si>
  <si>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</si>
  <si>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</si>
  <si>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</si>
  <si>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</si>
  <si>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</si>
  <si>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</si>
  <si>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</si>
  <si>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</si>
  <si>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</si>
  <si>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</si>
  <si>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</si>
  <si>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</si>
  <si>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</si>
  <si>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</si>
  <si>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</si>
  <si>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</si>
  <si>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</si>
  <si>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</si>
  <si>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</si>
  <si>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WM+ NAN Xóm 4, Minh Châu</t>
  </si>
  <si>
    <t>Xóm 4, Xã Minh Châu, T. Nghệ An Việt Nam</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</si>
  <si>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</si>
  <si>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</si>
  <si>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</si>
  <si>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</si>
  <si>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</si>
  <si>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</si>
  <si>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</si>
  <si>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WM+ THA 57 Hải Thượng Lãn Ông</t>
  </si>
  <si>
    <t>Số 57 Hải Thượng Lãn Ông, Phường Hạc Thành, Tỉnh Thanh Hóa Việt Nam</t>
  </si>
  <si>
    <t>2B20</t>
  </si>
  <si>
    <t>WM+ NAN 184-186 Hồ Văn Sinh</t>
  </si>
  <si>
    <t>184-186 Đường Hồ Văn Sinh, Phường Quỳnh Phương, TX. Hoàng Mai T. Nghệ An Việt Nam</t>
  </si>
  <si>
    <t>2B21</t>
  </si>
  <si>
    <t>WM+ NAN Tân Phúc, Diễn Thịnh</t>
  </si>
  <si>
    <t>Xóm Tân Phúc, Xã Diễn Thịnh, Huyện Diễn Châu T. Nghệ An Việt Nam</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</si>
  <si>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</si>
  <si>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</si>
  <si>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</si>
  <si>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</si>
  <si>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</si>
  <si>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</si>
  <si>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</si>
  <si>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</si>
  <si>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</si>
  <si>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</si>
  <si>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WM+ THA Long Vân, Đồng Lợi</t>
  </si>
  <si>
    <t>Số 174, Thôn Long Vân, Xã Đồng Lợi, Huyện Triệu Sơn T. Thanh Hóa Việt Nam</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</si>
  <si>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</si>
  <si>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</si>
  <si>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</si>
  <si>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</si>
  <si>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</si>
  <si>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</si>
  <si>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</si>
  <si>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</si>
  <si>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</si>
  <si>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</si>
  <si>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Thôn Bảo Tháp, Xã Quang Minh, Thành phố Hà Nội TP. Hà Nội Việt Nam</t>
  </si>
  <si>
    <t>2B37</t>
  </si>
  <si>
    <t>WM+ HDG Cam Lộ, Tân Việt</t>
  </si>
  <si>
    <t>Thôn Cam Lộ, Xã Tân Việt, Huyện Thanh Hà T. Hải Dương Việt Nam</t>
  </si>
  <si>
    <t>2B38</t>
  </si>
  <si>
    <t>WM+ NAN 88 Xuân Lộc</t>
  </si>
  <si>
    <t>Số 88 Đường Xuân Lộc, Xã Nghi Kim, Thành Phố Vinh T. Nghệ An Việt Nam</t>
  </si>
  <si>
    <t>2B39</t>
  </si>
  <si>
    <t>WM+ THA Mậu Đông, Quảng Lưu</t>
  </si>
  <si>
    <t>Thôn Mậu Đông, Xã Quảng Lưu, Huyện Quảng Xương T. Thanh Hóa Việt Nam</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</si>
  <si>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</si>
  <si>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</si>
  <si>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</si>
  <si>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</si>
  <si>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</si>
  <si>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</si>
  <si>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</si>
  <si>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</si>
  <si>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</si>
  <si>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</si>
  <si>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</si>
  <si>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</si>
  <si>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</si>
  <si>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</si>
  <si>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</si>
  <si>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</si>
  <si>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</si>
  <si>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</si>
  <si>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</si>
  <si>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</si>
  <si>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</si>
  <si>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</si>
  <si>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</si>
  <si>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</si>
  <si>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</si>
  <si>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</si>
  <si>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</si>
  <si>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</si>
  <si>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WM+ NAN 177 Nguyễn Trường Tộ</t>
  </si>
  <si>
    <t>Số 177 Đường Nguyễn Trường Tộ, Khối Yên Duệ, P. Đông Vĩnh T. Nghệ An Việt Nam</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</si>
  <si>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</si>
  <si>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</si>
  <si>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</si>
  <si>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</si>
  <si>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</si>
  <si>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</si>
  <si>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</si>
  <si>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</si>
  <si>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</si>
  <si>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</si>
  <si>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</si>
  <si>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</si>
  <si>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</si>
  <si>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</si>
  <si>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</si>
  <si>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</si>
  <si>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</si>
  <si>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</si>
  <si>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</si>
  <si>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</si>
  <si>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</si>
  <si>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</si>
  <si>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WM+ THA Tiến Thành, Hợp Lý</t>
  </si>
  <si>
    <t>Số 92, Đường 514, Thôn Tiến Thành, Xã Hợp Lý, H. Triệu Sơn T. Thanh Hóa Việt Nam</t>
  </si>
  <si>
    <t>2B69</t>
  </si>
  <si>
    <t>WM+ NBH 69 Nguyễn Huệ</t>
  </si>
  <si>
    <t>Số 69, Đường Nguyễn Huệ, Phố Lê Lợi, Phường Nam Bình, TP. Hoa Lư T. Ninh Bình Việt Nam</t>
  </si>
  <si>
    <t>2B70</t>
  </si>
  <si>
    <t>WM+ THA 415 Ngô Chân Lưu</t>
  </si>
  <si>
    <t>Số 415 Đường Ngô Chân Lưu, Phường Tĩnh Gia, T. Thanh Hóa Việt Nam</t>
  </si>
  <si>
    <t>2B71</t>
  </si>
  <si>
    <t>WM+ HPG 151 Thiên Lôi</t>
  </si>
  <si>
    <t>Số 151 Thiên Lôi, Phường Vĩnh Niệm, Quận Lê Chân TP. Hải Phòng Việt Nam</t>
  </si>
  <si>
    <t>2B73</t>
  </si>
  <si>
    <t>WM+ PTO Đồng Ve, Sơn Lương</t>
  </si>
  <si>
    <t>Khu Đồng Ve, Xã Sơn Lương, Tỉnh Phú Thọ Việt Nam</t>
  </si>
  <si>
    <t>2B74</t>
  </si>
  <si>
    <t>WM+ HTH Đồng Giang, Thạch Khê</t>
  </si>
  <si>
    <t>Thôn Đồng Giang, Xã Thạch Khê, Tỉnh Hà Tĩnh Việt Nam</t>
  </si>
  <si>
    <t>2B75</t>
  </si>
  <si>
    <t>WM+ NAN Xóm 4, Hùng Châu</t>
  </si>
  <si>
    <t>Xóm 4, Xã Hùng Châu, Tỉnh Nghệ An Việt Nam</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</si>
  <si>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</si>
  <si>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</si>
  <si>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</si>
  <si>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</si>
  <si>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</si>
  <si>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</si>
  <si>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</si>
  <si>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Số 50, Cụm 2, Thôn 2, Xã Yên Xuân, TP. Hà Nội Việt Nam</t>
  </si>
  <si>
    <t>2B80</t>
  </si>
  <si>
    <t>WM+ HDG Trung Tuyến, Hòa Bình</t>
  </si>
  <si>
    <t>Thôn Trung Tuyến, Xã Hòa Bình, H. Kim Thành T. Hải Dương Việt Nam</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</si>
  <si>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</si>
  <si>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</si>
  <si>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</si>
  <si>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</si>
  <si>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</si>
  <si>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</si>
  <si>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</si>
  <si>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</si>
  <si>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</si>
  <si>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</si>
  <si>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</si>
  <si>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</si>
  <si>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</si>
  <si>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WM+ NAN Tân Xuân, Quan Thành</t>
  </si>
  <si>
    <t>Xóm Tân Xuân, Xã Quan Thành, T. Nghệ An Việt Nam</t>
  </si>
  <si>
    <t>2B89</t>
  </si>
  <si>
    <t>WM+ NAN 32 Sào Nam</t>
  </si>
  <si>
    <t>Số 32 Đường Sào Nam, Phường Nghi Thu, Thành Phố Vinh T. Nghệ An Việt Nam</t>
  </si>
  <si>
    <t>2B90</t>
  </si>
  <si>
    <t>WM+ NBH 62 Thiên Quan</t>
  </si>
  <si>
    <t>Số 62 Đường Thiên Quan, Phường Yên Sơn, Tỉnh Ninh Bình Việt Nam</t>
  </si>
  <si>
    <t>2B91</t>
  </si>
  <si>
    <t>WM+ THA Thôn Phố, Thạch Quảng</t>
  </si>
  <si>
    <t>Thôn Phố, Xã Thạch Quảng, Huyện Thạch Thành T. Thanh Hóa Việt Nam</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</si>
  <si>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</si>
  <si>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</si>
  <si>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</si>
  <si>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</si>
  <si>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</si>
  <si>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</si>
  <si>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</si>
  <si>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</si>
  <si>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</si>
  <si>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</si>
  <si>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</si>
  <si>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</si>
  <si>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</si>
  <si>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</si>
  <si>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</si>
  <si>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</si>
  <si>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</si>
  <si>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</si>
  <si>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</si>
  <si>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</si>
  <si>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</si>
  <si>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</si>
  <si>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WM+ THA Hưng Phú, Vạn Lộc</t>
  </si>
  <si>
    <t>Số 131, Tỉnh lộ 526, Thôn Hưng Phú, Xã Vạn Lộc, Tỉnh Thanh Hóa Việt Nam</t>
  </si>
  <si>
    <t>2BA2</t>
  </si>
  <si>
    <t>WIN HNI B2-HH Roman Plaza</t>
  </si>
  <si>
    <t>Tầng 1, Căn TM 104, Tháp B2, Tòa nhà HH, Dự án ĐTXD Tổ hợp TM, DV và căn hộ cao cấp Hải Phát Plaza, Phường Hà Đông, Thành phố Hà Nội Việt Nam</t>
  </si>
  <si>
    <t>2BA3</t>
  </si>
  <si>
    <t>WM+ THA 211 Lê Lợi</t>
  </si>
  <si>
    <t>Số 211 Lê Lợi, Tổ Đồn Trại, Phường Sầm Sơn Tỉnh Thanh Hóa Việt Nam</t>
  </si>
  <si>
    <t>2BA4</t>
  </si>
  <si>
    <t>WM+ NAN Tân Ninh, Minh Châu</t>
  </si>
  <si>
    <t>Xóm Tân Ninh, Xã Minh Châu, T. Nghệ An Việt Nam</t>
  </si>
  <si>
    <t>2BA5</t>
  </si>
  <si>
    <t>WM+ THA Phố 2, Yên Phú</t>
  </si>
  <si>
    <t>Phố 2, Xã Yên Phú, Tỉnh Thanh Hóa Việt Nam</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</si>
  <si>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</si>
  <si>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</si>
  <si>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</si>
  <si>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</si>
  <si>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</si>
  <si>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</si>
  <si>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</si>
  <si>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</si>
  <si>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</si>
  <si>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</si>
  <si>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</si>
  <si>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</si>
  <si>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WM+ THA Nhân Mỹ, Thiệu Hóa</t>
  </si>
  <si>
    <t>Thôn Nhân Mỹ, Xã Thiệu Hóa, Tỉnh Thanh Hóa T. Thanh Hóa Việt Nam</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</si>
  <si>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</si>
  <si>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</si>
  <si>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</si>
  <si>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</si>
  <si>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</si>
  <si>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</si>
  <si>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</si>
  <si>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</si>
  <si>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</si>
  <si>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</si>
  <si>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</si>
  <si>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</si>
  <si>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</si>
  <si>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</si>
  <si>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</si>
  <si>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</si>
  <si>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</si>
  <si>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</si>
  <si>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</si>
  <si>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</si>
  <si>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</si>
  <si>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</si>
  <si>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WM+ THA Phương Phú, Nga Thắng</t>
  </si>
  <si>
    <t>Thôn 2 Phương Phú, Xã Nga Thắng, Tỉnh Thanh Hóa T. Thanh Hóa Việt Nam</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</si>
  <si>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</si>
  <si>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</si>
  <si>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</si>
  <si>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</si>
  <si>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</si>
  <si>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</si>
  <si>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</si>
  <si>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</si>
  <si>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</si>
  <si>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</si>
  <si>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</si>
  <si>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</si>
  <si>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</si>
  <si>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</si>
  <si>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</si>
  <si>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</si>
  <si>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WM+ THA Phú Vinh, Thọ Phú</t>
  </si>
  <si>
    <t>Số 19, Tỉnh Lộ 515, Thôn Phú Vinh, Xã Thọ Phú Tỉnh Thanh Hóa Việt Nam</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</si>
  <si>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</si>
  <si>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</si>
  <si>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</si>
  <si>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</si>
  <si>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</si>
  <si>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</si>
  <si>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</si>
  <si>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</si>
  <si>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</si>
  <si>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</si>
  <si>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</si>
  <si>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</si>
  <si>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</si>
  <si>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</si>
  <si>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</si>
  <si>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</si>
  <si>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</si>
  <si>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</si>
  <si>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</si>
  <si>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</si>
  <si>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</si>
  <si>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</si>
  <si>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WM+ HTH Phúc Sơn, Xuân Lộc</t>
  </si>
  <si>
    <t>Thôn Phúc Sơn, Xã Xuân Lộc, Tỉnh Hà Tĩnh T. Hà Tĩnh Việt Nam</t>
  </si>
  <si>
    <t>2BBC</t>
  </si>
  <si>
    <t>WM+ HTH Quyết Thắng, Cẩm Trung</t>
  </si>
  <si>
    <t>Thôn Quyết Thắng, Xã Cẩm Trung, Tỉnh Hà Tĩnh T. Hà Tĩnh Việt Nam</t>
  </si>
  <si>
    <t>2BBD</t>
  </si>
  <si>
    <t>WM+ THA Trung Thành, Lương Sơn</t>
  </si>
  <si>
    <t>Thôn Trung Thành, Xã Lương Sơn, Tỉnh Thanh Hóa T. Thanh Hóa Việt Nam</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</si>
  <si>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</si>
  <si>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</si>
  <si>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</si>
  <si>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</si>
  <si>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</si>
  <si>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</si>
  <si>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</si>
  <si>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</si>
  <si>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</si>
  <si>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</si>
  <si>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</si>
  <si>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</si>
  <si>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</si>
  <si>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</si>
  <si>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</si>
  <si>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</si>
  <si>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</si>
  <si>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</si>
  <si>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</si>
  <si>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WM+ THA Hanh Cát 1, Yên Ninh</t>
  </si>
  <si>
    <t>Số 405, Thôn Hanh Cát 1, Xã Yên Ninh, Tỉnh Thanh Hóa T. Thanh Hóa Việt Nam</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</si>
  <si>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</si>
  <si>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</si>
  <si>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</si>
  <si>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</si>
  <si>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</si>
  <si>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</si>
  <si>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</si>
  <si>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</si>
  <si>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</si>
  <si>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</si>
  <si>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</si>
  <si>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</si>
  <si>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</si>
  <si>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WM+ THA Phố Cát, Vân Du</t>
  </si>
  <si>
    <t>Khu phố Phố Cát, Xã Vân Du, Tỉnh Thanh Hóa T. Thanh Hóa Việt Nam</t>
  </si>
  <si>
    <t>2BBT</t>
  </si>
  <si>
    <t>WM+ NAN Trù Sơn 6, Bạch Hà</t>
  </si>
  <si>
    <t>Xóm Trù Sơn 6, Xã Bạch Hà, Tỉnh Nghệ An T. Nghệ An Việt Nam</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</si>
  <si>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</si>
  <si>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</si>
  <si>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</si>
  <si>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</si>
  <si>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</si>
  <si>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</si>
  <si>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</si>
  <si>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</si>
  <si>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</si>
  <si>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</si>
  <si>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</si>
  <si>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</si>
  <si>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</si>
  <si>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</si>
  <si>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</si>
  <si>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</si>
  <si>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WM+ THA Minh Sơn, Thạch Bình</t>
  </si>
  <si>
    <t>Thôn Minh Sơn, Xã Thạch Bình, Tỉnh Thanh Hóa Việt Nam</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</si>
  <si>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</si>
  <si>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</si>
  <si>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</si>
  <si>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</si>
  <si>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</si>
  <si>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</si>
  <si>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</si>
  <si>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WM+ THA Thôn 1 Lê Lợi, Hoằng Hóa</t>
  </si>
  <si>
    <t>Số 195-197 Đường ĐT 510, Thôn 1 Lê Lợi, Xã Hoằng Hóa, T. Thanh Hóa Việt Nam</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</si>
  <si>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</si>
  <si>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</si>
  <si>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</si>
  <si>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</si>
  <si>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</si>
  <si>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</si>
  <si>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</si>
  <si>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WM+ THA 353-355 Lê Thái Tổ</t>
  </si>
  <si>
    <t>353-355 Lê Thái Tổ, Thôn 6, Xã Kim Tân, Tỉnh Thanh Hóa T. Thanh Hóa Việt Nam</t>
  </si>
  <si>
    <t>2BCF</t>
  </si>
  <si>
    <t>WM+ THA Phú Hậu 1, Xuân Lập</t>
  </si>
  <si>
    <t>Thôn Phú Hậu 1, Xã Xuân Lập, Tỉnh Thanh Hóa T. Thanh Hóa Việt Nam</t>
  </si>
  <si>
    <t>2BCH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</si>
  <si>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</si>
  <si>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</si>
  <si>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</si>
  <si>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</si>
  <si>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</si>
  <si>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</si>
  <si>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</si>
  <si>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</si>
  <si>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</si>
  <si>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</si>
  <si>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</si>
  <si>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</si>
  <si>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</si>
  <si>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</si>
  <si>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</si>
  <si>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</si>
  <si>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</si>
  <si>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</si>
  <si>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</si>
  <si>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</si>
  <si>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</si>
  <si>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</si>
  <si>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</si>
  <si>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</si>
  <si>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</si>
  <si>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</si>
  <si>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</si>
  <si>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</si>
  <si>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</si>
  <si>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</si>
  <si>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</si>
  <si>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</si>
  <si>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</si>
  <si>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</si>
  <si>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</si>
  <si>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</si>
  <si>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</si>
  <si>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</si>
  <si>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</si>
  <si>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</si>
  <si>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</si>
  <si>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WM+ NAN Làng Danh, Giai Lạc</t>
  </si>
  <si>
    <t>Xóm Làng Danh, Xã Giai Lạc, Tỉnh Nghệ An Việt Nam</t>
  </si>
  <si>
    <t>2BD4</t>
  </si>
  <si>
    <t>WM+ NAN 95 Nguyễn Cảnh Hoan</t>
  </si>
  <si>
    <t>Số 95 Nguyễn Cảnh Hoan, Khối 5, Phường Vinh Hưng Tỉnh Nghệ An Việt Nam</t>
  </si>
  <si>
    <t>2BD6</t>
  </si>
  <si>
    <t>WM+ THA Lý Yên, Yên Định</t>
  </si>
  <si>
    <t>Khu phố Lý Yên, Xã Yên Định, Tỉnh Thanh Hóa Việt Nam</t>
  </si>
  <si>
    <t>2BD8</t>
  </si>
  <si>
    <t>WM+ THA 62 Đường 4C, Tiên Trang</t>
  </si>
  <si>
    <t>Số 62 Đường 4C, Xã Tiên Trang, Tỉnh Thanh Hóa Việt Nam</t>
  </si>
  <si>
    <t>2BD9</t>
  </si>
  <si>
    <t>WM+ THA 1206 Quang Trung</t>
  </si>
  <si>
    <t>Số 1206 Đường Quang Trung, Phường Quảng Phú, Tỉnh Thanh Hóa Việt Nam</t>
  </si>
  <si>
    <t>2BDA</t>
  </si>
  <si>
    <t>WM+ PTO Hòa Bình, Hải Lựu 2</t>
  </si>
  <si>
    <t>Thửa đất số 110, Tờ bản đồ số 9, Thôn Hòa Bình, T. Phú Thọ Việt Nam</t>
  </si>
  <si>
    <t>2BDB</t>
  </si>
  <si>
    <t>WM+ THA Phố Thắng, Đông Tiến</t>
  </si>
  <si>
    <t>Phố Thắng, Phường Đông Tiến, Tỉnh Thanh Hóa T. Thanh Hóa Việt Nam</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</si>
  <si>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</si>
  <si>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</si>
  <si>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</si>
  <si>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</si>
  <si>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</si>
  <si>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</si>
  <si>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</si>
  <si>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</si>
  <si>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</si>
  <si>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</si>
  <si>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</si>
  <si>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</si>
  <si>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</si>
  <si>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</si>
  <si>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</si>
  <si>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</si>
  <si>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</si>
  <si>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</si>
  <si>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</si>
  <si>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</si>
  <si>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</si>
  <si>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</si>
  <si>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</si>
  <si>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</si>
  <si>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</si>
  <si>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</si>
  <si>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</si>
  <si>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</si>
  <si>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</si>
  <si>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</si>
  <si>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</si>
  <si>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</si>
  <si>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</si>
  <si>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</si>
  <si>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</si>
  <si>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</si>
  <si>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</si>
  <si>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</si>
  <si>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</si>
  <si>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</si>
  <si>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WM+ NAN Đồng Nại, Quỳ Hợp</t>
  </si>
  <si>
    <t>Xóm Đồng Nại, Xã Quỳ Hợp, Tỉnh Nghệ An T. Nghệ An Việt Nam</t>
  </si>
  <si>
    <t>2BDX</t>
  </si>
  <si>
    <t>WM+ NAN Liên Chung, Cát Ngạn</t>
  </si>
  <si>
    <t>Xóm Liên Chung, Xã Cát Ngạn, Tỉnh Nghệ An T. Nghệ An Việt Nam</t>
  </si>
  <si>
    <t>2BE2</t>
  </si>
  <si>
    <t>WM+ TNN Ngã 3 Cầu Mây</t>
  </si>
  <si>
    <t>Ngã 3 Cầu Mây, Xóm Kiều Chính, Xã Phú Bình, Tỉnh Thái Nguyên Việt Nam</t>
  </si>
  <si>
    <t>2BE4</t>
  </si>
  <si>
    <t>WM+ HYN 231 Phố Phủ</t>
  </si>
  <si>
    <t>Số 231 Phố Phủ, Xã Khoái Châu, T. Hưng Yên Việt Nam</t>
  </si>
  <si>
    <t>2BE5</t>
  </si>
  <si>
    <t>WM+ THA Quốc lộ 47C, Thọ Phú</t>
  </si>
  <si>
    <t>Số 79, Quốc lộ 47C, Xã Thọ Phú, Tỉnh Thanh Hóa Việt Nam</t>
  </si>
  <si>
    <t>2BE6</t>
  </si>
  <si>
    <t>WM+ THA 487-489 Vĩnh Long 1</t>
  </si>
  <si>
    <t>Số 487-489 Khu phố Vĩnh Long 1, Xã Như Thanh, Tỉnh Thanh Hóa Việt Nam</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</si>
  <si>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</si>
  <si>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</si>
  <si>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</si>
  <si>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</si>
  <si>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</si>
  <si>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</si>
  <si>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</si>
  <si>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</si>
  <si>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</si>
  <si>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</si>
  <si>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</si>
  <si>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</si>
  <si>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</si>
  <si>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WM+ HTH Hội Thành, Đan Hải</t>
  </si>
  <si>
    <t>Xóm Hội Thành, Xã Đan Hải, Tỉnh Hà Tĩnh T. Hà Tĩnh Việt Nam</t>
  </si>
  <si>
    <t>2BEE</t>
  </si>
  <si>
    <t>WM+ HTH Tân Vĩnh Cần, Cẩm Bình</t>
  </si>
  <si>
    <t>Thôn Tân Vĩnh Cần, Xã Cẩm Bình, Tỉnh Hà Tĩnh T. Hà Tĩnh Việt Nam</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</si>
  <si>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</si>
  <si>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</si>
  <si>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</si>
  <si>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</si>
  <si>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</si>
  <si>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</si>
  <si>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</si>
  <si>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</si>
  <si>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</si>
  <si>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</si>
  <si>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</si>
  <si>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</si>
  <si>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</si>
  <si>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</si>
  <si>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</si>
  <si>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</si>
  <si>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WM+ NAN Xóm 6, Thần Lĩnh</t>
  </si>
  <si>
    <t>Thửa đất số 58, tờ bản đồ số 6, Xóm 6, Xã Thần Lĩnh, T. Nghệ An Việt Nam</t>
  </si>
  <si>
    <t>2BEO</t>
  </si>
  <si>
    <t>Thửa đất số 680, tờ bản đồ số 23, Xóm 3, Xã Đại Huệ, T. Nghệ An Việt Nam</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</si>
  <si>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</si>
  <si>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</si>
  <si>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</si>
  <si>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</si>
  <si>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</si>
  <si>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</si>
  <si>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</si>
  <si>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</si>
  <si>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</si>
  <si>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</si>
  <si>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WM+ THA 19 Đường 4A, Nam Sầm Sơn</t>
  </si>
  <si>
    <t>Số nhà 19, Đường 4A, Phường Nam Sầm Sơn, Tỉnh Thanh Hóa T. Thanh Hóa Việt Nam</t>
  </si>
  <si>
    <t>2BEY</t>
  </si>
  <si>
    <t>WM+ NAN Thôn 4, Quỳnh Lưu</t>
  </si>
  <si>
    <t>Thôn 4, Xã Quỳnh Lưu, Tỉnh Nghệ An T. Nghệ An Việt Nam</t>
  </si>
  <si>
    <t>2BEZ</t>
  </si>
  <si>
    <t>WM+ NAN Hải Thượng Lãn Ông, Tân Mai</t>
  </si>
  <si>
    <t>Đường Hải Thượng Lãn Ông, Thôn 5, Phường Tân Mai, T. Nghệ An Việt Nam</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</si>
  <si>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</si>
  <si>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</si>
  <si>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</si>
  <si>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</si>
  <si>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</si>
  <si>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</si>
  <si>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</si>
  <si>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</si>
  <si>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</si>
  <si>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</si>
  <si>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</si>
  <si>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</si>
  <si>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</si>
  <si>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</si>
  <si>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</si>
  <si>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</si>
  <si>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WM+ NAN 05 Hồng Liên</t>
  </si>
  <si>
    <t>Số nhà 05, Đường Hồng Liên, Xóm Trung Liên, Phường Vinh Hưng, Tỉnh Nghệ An Việt Nam</t>
  </si>
  <si>
    <t>2BF8</t>
  </si>
  <si>
    <t>WM+ HTH 157 Nguyễn Tuấn Thiện</t>
  </si>
  <si>
    <t>Số nhà 157, Đường Nguyễn Tuấn Thiện, TDP 2, Xã Hương Sơn, Tỉnh Hà Tĩnh Việt Nam</t>
  </si>
  <si>
    <t>2BFC</t>
  </si>
  <si>
    <t>WM+ HTH Thôn Mỹ Trung, Cẩm Duệ</t>
  </si>
  <si>
    <t>Thôn Mỹ Trung, Xã Cẩm Duệ, Tỉnh Hà Tĩnh T. Hà Tĩnh Việt Nam</t>
  </si>
  <si>
    <t>2BFE</t>
  </si>
  <si>
    <t>WM+ THA Phố Tân Sơn, Hoằng Hóa</t>
  </si>
  <si>
    <t>Phố Tân Sơn, Xã Hoằng Hóa, Tỉnh Thanh Hóa T. Thanh Hóa Việt Nam</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</si>
  <si>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</si>
  <si>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</si>
  <si>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</si>
  <si>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</si>
  <si>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</si>
  <si>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</si>
  <si>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</si>
  <si>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</si>
  <si>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</si>
  <si>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</si>
  <si>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</si>
  <si>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</si>
  <si>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</si>
  <si>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WM+ THA 41 Liên Xã, Thiệu Tiến</t>
  </si>
  <si>
    <t>Số 41 Đường Liên Xã, Thôn Thành Tiến, Xã Thiệu Tiến, T. Thanh Hóa Việt Nam</t>
  </si>
  <si>
    <t>2BFM</t>
  </si>
  <si>
    <t>WM+ THA 37 Khê Ngọc, Trường Thành</t>
  </si>
  <si>
    <t>Số nhà 37, Đường Khê Ngọc, Thôn Trường Thành, T. Thanh Hóa Việt Nam</t>
  </si>
  <si>
    <t>2BFN</t>
  </si>
  <si>
    <t>WM+ NAN Xóm 2, Trung Lộc (2)</t>
  </si>
  <si>
    <t>Thửa đất số 300, Tờ bản đồ số 20, Xóm 2, Xã Trung Lộc, T. Nghệ An Việt Nam</t>
  </si>
  <si>
    <t>2BFO</t>
  </si>
  <si>
    <t>WM+ NAN Xóm Thành, Trung Lộc</t>
  </si>
  <si>
    <t>Xóm Thành, Xã Trung Lộc, Tỉnh Nghệ An T. Nghệ An Việt Nam</t>
  </si>
  <si>
    <t>2BFR</t>
  </si>
  <si>
    <t>WM+ NAN Xóm 6, Quỳnh Phú</t>
  </si>
  <si>
    <t>Xóm 6, Xã Quỳnh Phú, Tỉnh Nghệ An T. Nghệ An Việt Nam</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</si>
  <si>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</si>
  <si>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</si>
  <si>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</si>
  <si>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</si>
  <si>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</si>
  <si>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</si>
  <si>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</si>
  <si>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</si>
  <si>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</si>
  <si>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</si>
  <si>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</si>
  <si>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</si>
  <si>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</si>
  <si>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</si>
  <si>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</si>
  <si>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</si>
  <si>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</si>
  <si>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</si>
  <si>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</si>
  <si>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</si>
  <si>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</si>
  <si>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</si>
  <si>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WM+ THA Thôn Điền, Tiên Trang</t>
  </si>
  <si>
    <t>Số 102, Thôn Điền, Xã Tiên Trang, Tỉnh Thanh Hóa Việt Nam</t>
  </si>
  <si>
    <t>2BG7</t>
  </si>
  <si>
    <t>WM+ HNI Hiền Lương, Nội Bài</t>
  </si>
  <si>
    <t>Số 97, Thôn Hiền Lương, Xã Nội Bài, Thành phố Hà Nội Việt Nam</t>
  </si>
  <si>
    <t>2BG8</t>
  </si>
  <si>
    <t>WM+ HTH Thọ Tường, Đức Minh</t>
  </si>
  <si>
    <t>Thôn Thọ Tường, Xã Đức Minh, Tỉnh Hà Tĩnh Việt Nam</t>
  </si>
  <si>
    <t>2BG9</t>
  </si>
  <si>
    <t>WM+ THA Xóm 4, Thiệu Trung</t>
  </si>
  <si>
    <t>Xóm 4, Xã Thiệu Trung, Tỉnh Thanh Hóa Việt Nam</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</si>
  <si>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</si>
  <si>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</si>
  <si>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</si>
  <si>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</si>
  <si>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</si>
  <si>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</si>
  <si>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</si>
  <si>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WM+ THA Thôn Vân Lộ, Thọ Xuân</t>
  </si>
  <si>
    <t>Thôn Vân Lộ, Xã Thọ Xuân, Tỉnh Thanh Hóa T. Thanh Hóa Việt Nam</t>
  </si>
  <si>
    <t>2BGD</t>
  </si>
  <si>
    <t>WM+ THA Thôn 4, Xã Xuân Lập</t>
  </si>
  <si>
    <t>Thôn 4, Xã Xuân Lập, Tỉnh Thanh Hóa T. Thanh Hóa Việt Nam</t>
  </si>
  <si>
    <t>2BGE</t>
  </si>
  <si>
    <t>Đường Lê Quang Đạo (kéo dài), Lô B1-B2-B3, Khu Tái Định Cư TP. Hà Nội Việt Nam</t>
  </si>
  <si>
    <t>2BGF</t>
  </si>
  <si>
    <t>WM+ PTO Khu 10, Xuân Lũng</t>
  </si>
  <si>
    <t>Khu 10, Xã Xuân Lũng, Tỉnh Phú Thọ T. Phú Thọ Việt Nam</t>
  </si>
  <si>
    <t>2BGG</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</si>
  <si>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</si>
  <si>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</si>
  <si>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</si>
  <si>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</si>
  <si>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</si>
  <si>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</si>
  <si>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</si>
  <si>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</si>
  <si>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</si>
  <si>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</si>
  <si>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</si>
  <si>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</si>
  <si>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</si>
  <si>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</si>
  <si>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</si>
  <si>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</si>
  <si>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</si>
  <si>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WM+ THA Cụ Thôn, Lĩnh Toại</t>
  </si>
  <si>
    <t>Thôn Cụ Thôn, Xã Lĩnh Toại, Tỉnh Thanh Hóa T. Thanh Hóa Việt Nam</t>
  </si>
  <si>
    <t>2BGU</t>
  </si>
  <si>
    <t>WM+ THA Thôn 3, Thọ Xuân</t>
  </si>
  <si>
    <t>Thôn 3, Xã Thọ Xuân, Tỉnh Thanh Hóa T. Thanh Hóa Việt Nam</t>
  </si>
  <si>
    <t>2BGV</t>
  </si>
  <si>
    <t>129 Sư Vạn Hạnh, Khối Xuân Hương, Phường Vinh Phú, T. Nghệ An Việt Nam</t>
  </si>
  <si>
    <t>2BGW</t>
  </si>
  <si>
    <t>WM+ NAN Xóm Tân Thành, Hưng Nguyên</t>
  </si>
  <si>
    <t>Xóm Tân Thành, Xã Hưng Nguyên, T. Nghệ An Việt Nam</t>
  </si>
  <si>
    <t>2BGX</t>
  </si>
  <si>
    <t>WM+ HTH Thôn Đông Nam Lý, Cẩm Bình</t>
  </si>
  <si>
    <t>Thôn Đông Nam Lý, Xã Cẩm Bình, Tỉnh Hà Tĩnh T. Hà Tĩnh Việt Nam</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</si>
  <si>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</si>
  <si>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</si>
  <si>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</si>
  <si>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</si>
  <si>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</si>
  <si>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</si>
  <si>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</si>
  <si>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WM+ NAN 129 Mai Lão Bạng</t>
  </si>
  <si>
    <t>Số 129 Đường Mai Lão Bạng, Phường Vinh Phú, Tỉnh Nghệ An Việt Nam</t>
  </si>
  <si>
    <t>2BH3</t>
  </si>
  <si>
    <t>WM+ THA Khu phố 2, Sao Vàng</t>
  </si>
  <si>
    <t>Khu phố 2, Xã Sao Vàng, Tỉnh Thanh Hóa Việt Nam</t>
  </si>
  <si>
    <t>2BHA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</si>
  <si>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</si>
  <si>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</si>
  <si>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</si>
  <si>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</si>
  <si>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</si>
  <si>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</si>
  <si>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</si>
  <si>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</si>
  <si>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</si>
  <si>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</si>
  <si>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</si>
  <si>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</si>
  <si>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</si>
  <si>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</si>
  <si>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</si>
  <si>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</si>
  <si>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</si>
  <si>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</si>
  <si>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</si>
  <si>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</si>
  <si>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Số 84 Bến Tượng, Phường Phan Đình Phùng, Tỉnh Thái Nguyên T. Thái Nguyên Việt Nam</t>
  </si>
  <si>
    <t>2BHM</t>
  </si>
  <si>
    <t>WM+ THA Phúc Lâm, Xã Lam Sơn</t>
  </si>
  <si>
    <t>Khu phố Phúc Lâm, Xã Lam Sơn, Tỉnh Thanh Hóa T. Thanh Hóa Việt Nam</t>
  </si>
  <si>
    <t>2BHP</t>
  </si>
  <si>
    <t>WM+ THA Thôn Bái Môn, Quảng Ngọc</t>
  </si>
  <si>
    <t>Thôn Bái Môn, Xã Quảng Ngọc, Tỉnh Thanh Hóa T. Thanh Hóa Việt Nam</t>
  </si>
  <si>
    <t>2BHQ</t>
  </si>
  <si>
    <t>WM+ NAN Xóm 1, Quỳnh Lưu</t>
  </si>
  <si>
    <t>Xóm 1, Xã Quỳnh Lưu, Tỉnh Nghệ An T. Nghệ An Việt Nam</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</si>
  <si>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</si>
  <si>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</si>
  <si>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</si>
  <si>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</si>
  <si>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</si>
  <si>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</si>
  <si>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</si>
  <si>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</si>
  <si>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</si>
  <si>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</si>
  <si>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</si>
  <si>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</si>
  <si>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</si>
  <si>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</si>
  <si>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</si>
  <si>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</si>
  <si>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</si>
  <si>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</si>
  <si>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</si>
  <si>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</si>
  <si>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</si>
  <si>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</si>
  <si>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WM+ HTH 159 Yên Trung</t>
  </si>
  <si>
    <t>Số 159 Đường Yên Trung, Tổ dân phố 7, Xã Đức Thọ, T. Hà Tĩnh Việt Nam</t>
  </si>
  <si>
    <t>2BI3</t>
  </si>
  <si>
    <t>WM+ HTH Xuân Nam, Thiên Cầm</t>
  </si>
  <si>
    <t>Thôn Xuân Nam, Xã Thiên Cầm, T. Hà Tĩnh Việt Nam</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</si>
  <si>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</si>
  <si>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</si>
  <si>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</si>
  <si>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</si>
  <si>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</si>
  <si>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</si>
  <si>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</si>
  <si>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WM+ NAN Thôn Đại Tân, Quỳnh Phú</t>
  </si>
  <si>
    <t>Thôn Đại Tân, Xã Quỳnh Phú, Tỉnh Nghệ An T. Nghệ An Việt Nam</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</si>
  <si>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</si>
  <si>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</si>
  <si>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</si>
  <si>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</si>
  <si>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</si>
  <si>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</si>
  <si>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</si>
  <si>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</si>
  <si>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</si>
  <si>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</si>
  <si>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</si>
  <si>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</si>
  <si>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</si>
  <si>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</si>
  <si>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</si>
  <si>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110 Lê Nin, Nhà liền kề LK1-12 Khu nhà ở Trường Thịnh Phát II T. Nghệ An Việt Nam</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</si>
  <si>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</si>
  <si>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</si>
  <si>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</si>
  <si>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</si>
  <si>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</si>
  <si>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</si>
  <si>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</si>
  <si>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</si>
  <si>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</si>
  <si>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</si>
  <si>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</si>
  <si>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</si>
  <si>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</si>
  <si>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</si>
  <si>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</si>
  <si>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</si>
  <si>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</si>
  <si>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</si>
  <si>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</si>
  <si>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</si>
  <si>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</si>
  <si>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</si>
  <si>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</si>
  <si>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</si>
  <si>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WM+ THA Thống Nhất, Nông Cống</t>
  </si>
  <si>
    <t>Số 260, Tỉnh lộ 525, Thôn Thống Nhất, Xã Nông Cống, T. Thanh Hóa Việt Nam</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</si>
  <si>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</si>
  <si>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</si>
  <si>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</si>
  <si>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</si>
  <si>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</si>
  <si>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</si>
  <si>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</si>
  <si>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WM+ THA Chợ Nấp, Đông Quang</t>
  </si>
  <si>
    <t>Phố Quang, Phường Đông Quang, T. Thanh Hóa Việt Nam</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</si>
  <si>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</si>
  <si>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</si>
  <si>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</si>
  <si>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</si>
  <si>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</si>
  <si>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</si>
  <si>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</si>
  <si>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</si>
  <si>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</si>
  <si>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</si>
  <si>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</si>
  <si>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</si>
  <si>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</si>
  <si>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</si>
  <si>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</si>
  <si>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</si>
  <si>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</si>
  <si>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</si>
  <si>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</si>
  <si>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</si>
  <si>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</si>
  <si>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</si>
  <si>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</si>
  <si>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</si>
  <si>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</si>
  <si>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</si>
  <si>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</si>
  <si>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WM+ NAN Khối Chế Biến Lâm Sản 3</t>
  </si>
  <si>
    <t>Khối Chế Biến Lâm Sản 3, Phường Thái Hòa, Tỉnh Nghệ An T. Nghệ An Việt Nam</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</si>
  <si>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</si>
  <si>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</si>
  <si>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</si>
  <si>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</si>
  <si>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</si>
  <si>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</si>
  <si>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</si>
  <si>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105 Lê Lợi, Phường Bỉm Sơn, Tỉnh Thanh Hóa T. Thanh Hóa Việt Nam</t>
  </si>
  <si>
    <t>2BJO</t>
  </si>
  <si>
    <t>WM+ NBH 45 Võ Văn Kiệt</t>
  </si>
  <si>
    <t>45 Võ Văn Kiệt, TDP Thần Nữ, Phường Đồng Văn, Tỉnh Ninh Bình T. Ninh Bình Việt Nam</t>
  </si>
  <si>
    <t>2BJQ</t>
  </si>
  <si>
    <t>68 Nguyễn Du, Khối 14, Phường Trường Vinh, Tỉnh Nghệ An T. Nghệ An Việt Nam</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</si>
  <si>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</si>
  <si>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</si>
  <si>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</si>
  <si>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</si>
  <si>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</si>
  <si>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</si>
  <si>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</si>
  <si>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</si>
  <si>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</si>
  <si>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</si>
  <si>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</si>
  <si>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</si>
  <si>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</si>
  <si>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</si>
  <si>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</si>
  <si>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</si>
  <si>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</si>
  <si>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</si>
  <si>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</si>
  <si>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</si>
  <si>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</si>
  <si>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</si>
  <si>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WM+ NAN Tân Thái, Tân Phú</t>
  </si>
  <si>
    <t>Xóm Tân Thái, Xã Tân Phú, T. Nghệ An Việt Nam</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</si>
  <si>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</si>
  <si>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</si>
  <si>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</si>
  <si>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</si>
  <si>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</si>
  <si>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</si>
  <si>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</si>
  <si>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</si>
  <si>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</si>
  <si>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</si>
  <si>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</si>
  <si>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</si>
  <si>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</si>
  <si>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</si>
  <si>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</si>
  <si>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</si>
  <si>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</si>
  <si>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</si>
  <si>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</si>
  <si>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</si>
  <si>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</si>
  <si>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</si>
  <si>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</si>
  <si>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</si>
  <si>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</si>
  <si>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</si>
  <si>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</si>
  <si>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</si>
  <si>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</si>
  <si>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</si>
  <si>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</si>
  <si>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</si>
  <si>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</si>
  <si>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</si>
  <si>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</si>
  <si>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</si>
  <si>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</si>
  <si>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</si>
  <si>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</si>
  <si>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</si>
  <si>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</si>
  <si>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</si>
  <si>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</si>
  <si>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</si>
  <si>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</si>
  <si>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</si>
  <si>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</si>
  <si>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</si>
  <si>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</si>
  <si>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</si>
  <si>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</si>
  <si>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</si>
  <si>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WM+ NAN Đông Thị, Đông Thành</t>
  </si>
  <si>
    <t>Xóm Đông Thị, Xã Đông Thành, T. Nghệ An Việt Nam</t>
  </si>
  <si>
    <t>2BL8</t>
  </si>
  <si>
    <t>WM+ THA 126 Trần Hưng Đạo</t>
  </si>
  <si>
    <t>Số 126 Đường Trần Hưng Đạo, Phường Bỉm Sơn, T. Thanh Hóa Việt Nam</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</si>
  <si>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</si>
  <si>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</si>
  <si>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</si>
  <si>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</si>
  <si>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</si>
  <si>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</si>
  <si>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</si>
  <si>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WM+ NAN Đường Quốc Lộ 7, Diễn Châu</t>
  </si>
  <si>
    <t>Thửa đất số 17467-707, tờ bản đồ số 01, Đường Quốc Lộ 7, T. Nghệ An Việt Nam</t>
  </si>
  <si>
    <t>2BLH</t>
  </si>
  <si>
    <t>WM+ PTO Lê Lợi, Hải Lựu</t>
  </si>
  <si>
    <t>Thôn Lê Lợi, Xã Hải Lựu, Tỉnh Phú Thọ T. Phú Thọ Việt Nam</t>
  </si>
  <si>
    <t>2BLI</t>
  </si>
  <si>
    <t>Thôn Trung, Xã Thổ Tang, Tỉnh Phú Thọ T. Phú Thọ Việt Nam</t>
  </si>
  <si>
    <t>2BLK</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</si>
  <si>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</si>
  <si>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</si>
  <si>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</si>
  <si>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</si>
  <si>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</si>
  <si>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</si>
  <si>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</si>
  <si>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</si>
  <si>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</si>
  <si>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</si>
  <si>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</si>
  <si>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</si>
  <si>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</si>
  <si>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</si>
  <si>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</si>
  <si>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</si>
  <si>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</si>
  <si>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</si>
  <si>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</si>
  <si>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</si>
  <si>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</si>
  <si>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</si>
  <si>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</si>
  <si>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WM+ NAN 07 Mai Hắc Đế</t>
  </si>
  <si>
    <t>Số 07 Mai Hắc Đế, Khối 1, Phường Vinh Hưng, T. Nghệ An Việt Nam</t>
  </si>
  <si>
    <t>2BM4</t>
  </si>
  <si>
    <t>WM+ HYN Quang Lang Đoài, Thái Thụỵ</t>
  </si>
  <si>
    <t>Thôn Quang Lang Đoài, Xã Thái Thụỵ, T. Hưng Yên Việt Nam</t>
  </si>
  <si>
    <t>2BM5</t>
  </si>
  <si>
    <t>WM+ NBH 09 Năm Dân</t>
  </si>
  <si>
    <t>Số 09 Phố Năm Dân, Xã Phát Diệm, T. Ninh Bình Việt Nam</t>
  </si>
  <si>
    <t>2BM6</t>
  </si>
  <si>
    <t>WM+ THA Hà Lũng Thượng, Thọ Phú</t>
  </si>
  <si>
    <t>Số 502, Quốc lộ 47, Thôn Hà Lũng Thượng, Xã Thọ Phú, T. Thanh Hóa Việt Nam</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</si>
  <si>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</si>
  <si>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</si>
  <si>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</si>
  <si>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</si>
  <si>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</si>
  <si>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</si>
  <si>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</si>
  <si>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</si>
  <si>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</si>
  <si>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</si>
  <si>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</si>
  <si>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</si>
  <si>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</si>
  <si>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</si>
  <si>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</si>
  <si>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</si>
  <si>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WM+ NAN Xóm 2, Quỳnh Lưu</t>
  </si>
  <si>
    <t>Xóm 2, Xã Quỳnh Lưu, T. Nghệ An Việt Nam</t>
  </si>
  <si>
    <t>2BN9</t>
  </si>
  <si>
    <t>WM+ NAN Xóm 2, Kim Liên</t>
  </si>
  <si>
    <t>Xóm 2, Xã Kim Liên, T. Nghệ An Việt Nam</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</si>
  <si>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</si>
  <si>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</si>
  <si>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</si>
  <si>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</si>
  <si>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</si>
  <si>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</si>
  <si>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</si>
  <si>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</si>
  <si>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</si>
  <si>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</si>
  <si>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</si>
  <si>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</si>
  <si>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</si>
  <si>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</si>
  <si>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</si>
  <si>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</si>
  <si>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</si>
  <si>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</si>
  <si>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</si>
  <si>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WM+ NAN Chợ Mõ, Giai Lạc</t>
  </si>
  <si>
    <t>Xóm Chợ Mõ, Xã Giai Lạc, T. Nghệ An Việt Nam</t>
  </si>
  <si>
    <t>2BO9</t>
  </si>
  <si>
    <t>WM+ THA Thuận Tôn, Thiệu Hóa</t>
  </si>
  <si>
    <t>Thôn Thuận Tôn, Xã Thiệu Hóa, T. Thanh Hóa Việt Nam</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</si>
  <si>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</si>
  <si>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</si>
  <si>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</si>
  <si>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</si>
  <si>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</si>
  <si>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</si>
  <si>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</si>
  <si>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</si>
  <si>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</si>
  <si>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</si>
  <si>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</si>
  <si>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</si>
  <si>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</si>
  <si>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</si>
  <si>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</si>
  <si>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</si>
  <si>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</si>
  <si>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</si>
  <si>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</si>
  <si>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</si>
  <si>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</si>
  <si>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</si>
  <si>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</si>
  <si>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</si>
  <si>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</si>
  <si>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</si>
  <si>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</si>
  <si>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</si>
  <si>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</si>
  <si>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</si>
  <si>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</si>
  <si>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Thôn Thống Nhất, Xã Bố Hạ, Tỉnh Bắc Ninh T. Bắc Ninh Việt Nam</t>
  </si>
  <si>
    <t>2BS2</t>
  </si>
  <si>
    <t>WM+ THA Nghĩa Phú, Hoằng Phú</t>
  </si>
  <si>
    <t>Số 100, Tỉnh lộ 509, Thôn Nghĩa Phú, Xã Hoằng Phú, T. Thanh Hóa Việt Nam</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</si>
  <si>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</si>
  <si>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</si>
  <si>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</si>
  <si>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</si>
  <si>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</si>
  <si>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</si>
  <si>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</si>
  <si>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</si>
  <si>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</si>
  <si>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</si>
  <si>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</si>
  <si>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</si>
  <si>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</si>
  <si>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WM+ NAN Xóm 4, Hợp Minh</t>
  </si>
  <si>
    <t>Xóm 4, Xã Hợp Minh, T. Nghệ An Việt Nam</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</si>
  <si>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</si>
  <si>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</si>
  <si>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</si>
  <si>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</si>
  <si>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</si>
  <si>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</si>
  <si>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</si>
  <si>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</si>
  <si>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</si>
  <si>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</si>
  <si>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</si>
  <si>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</si>
  <si>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</si>
  <si>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</si>
  <si>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</si>
  <si>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</si>
  <si>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</si>
  <si>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</si>
  <si>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</si>
  <si>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</si>
  <si>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</si>
  <si>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</si>
  <si>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</si>
  <si>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</si>
  <si>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</si>
  <si>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</si>
  <si>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</si>
  <si>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</si>
  <si>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</si>
  <si>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</si>
  <si>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</si>
  <si>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WM+ NAN Hồng Thái, Hưng Nguyên Nam</t>
  </si>
  <si>
    <t>Xóm Hồng Thái, Xã Hưng Nguyên Nam, T. Nghệ An Việt Nam</t>
  </si>
  <si>
    <t>2BV0</t>
  </si>
  <si>
    <t>WM+ TNN Quang Trung, Nam Hòa</t>
  </si>
  <si>
    <t>Xóm Quang Trung, Xã Nam Hòa, T. Thái Nguyên Việt Nam</t>
  </si>
  <si>
    <t>2BV1</t>
  </si>
  <si>
    <t>WM+ BNH Ngô Nội, Yên Phong</t>
  </si>
  <si>
    <t>Thôn Ngô Nội, Xã Yên Phong, T. Bắc Ninh Việt Nam</t>
  </si>
  <si>
    <t>2BV3</t>
  </si>
  <si>
    <t>WM+ NAN Hưng Trung 2, Yên Trung</t>
  </si>
  <si>
    <t>Xóm Hưng Trung 2, Xã Yên Trung, T. Nghệ An Việt Nam</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</si>
  <si>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</si>
  <si>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</si>
  <si>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</si>
  <si>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</si>
  <si>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</si>
  <si>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</si>
  <si>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</si>
  <si>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</si>
  <si>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</si>
  <si>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</si>
  <si>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</si>
  <si>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</si>
  <si>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</si>
  <si>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</si>
  <si>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</si>
  <si>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</si>
  <si>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</si>
  <si>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</si>
  <si>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</si>
  <si>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</si>
  <si>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</si>
  <si>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</si>
  <si>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</si>
  <si>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</si>
  <si>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</si>
  <si>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</si>
  <si>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</si>
  <si>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</si>
  <si>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</si>
  <si>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</si>
  <si>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</si>
  <si>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</si>
  <si>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</si>
  <si>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</si>
  <si>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</si>
  <si>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</si>
  <si>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</si>
  <si>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</si>
  <si>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</si>
  <si>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</si>
  <si>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</si>
  <si>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</si>
  <si>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</si>
  <si>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WM+ THA Thanh Sơn, Trung Chính</t>
  </si>
  <si>
    <t>Số 191-193, QL 47C, Thôn Thanh Sơn, Xã Trung Chính, T. Thanh Hóa Việt Nam</t>
  </si>
  <si>
    <t>2BX1</t>
  </si>
  <si>
    <t>WM+ NAN Thôn 13, Quỳnh Phú</t>
  </si>
  <si>
    <t>Thôn 13, Xã Quỳnh Phú, T. Nghệ An Việt Nam</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</si>
  <si>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</si>
  <si>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</si>
  <si>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</si>
  <si>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</si>
  <si>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</si>
  <si>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</si>
  <si>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</si>
  <si>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</si>
  <si>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</si>
  <si>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</si>
  <si>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</si>
  <si>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</si>
  <si>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</si>
  <si>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WM+ NAN Xóm 2, Trung Lộc</t>
  </si>
  <si>
    <t>Xóm 2, Xã Trung Lộc, T. Nghệ An Việt Nam</t>
  </si>
  <si>
    <t>2BX9</t>
  </si>
  <si>
    <t>WM+ PTO Khu 15, Dục Mỹ</t>
  </si>
  <si>
    <t>Khu 15, Thôn Dục Mỹ, Xã Bản Nguyên, T. Phú Thọ Việt Nam</t>
  </si>
  <si>
    <t>2BY1</t>
  </si>
  <si>
    <t>WM+ THA Xuân Mới, Yên Thọ</t>
  </si>
  <si>
    <t>Số 160, Thôn Xuân Mới, Xã Yên Thọ, T. Thanh Hóa Việt Nam</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</si>
  <si>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</si>
  <si>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</si>
  <si>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</si>
  <si>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</si>
  <si>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</si>
  <si>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</si>
  <si>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</si>
  <si>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</si>
  <si>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</si>
  <si>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</si>
  <si>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WM+ HTH 134 Phan Đình Phùng</t>
  </si>
  <si>
    <t>Số 134 Đường Phan Đình Phùng, Tổ dân phố 4, Xã Hương Khê, T. Hà Tĩnh Việt Nam</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</si>
  <si>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</si>
  <si>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</si>
  <si>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</si>
  <si>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</si>
  <si>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</si>
  <si>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</si>
  <si>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</si>
  <si>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</si>
  <si>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</si>
  <si>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</si>
  <si>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WM+ NAN Xóm 2, Nam Đàn</t>
  </si>
  <si>
    <t>Xóm 2, Xã Nam Đàn, T. Nghệ An Việt Nam</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</si>
  <si>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</si>
  <si>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</si>
  <si>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</si>
  <si>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</si>
  <si>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</si>
  <si>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</si>
  <si>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</si>
  <si>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WM+ THA Đông Mỹ, Thiệu Quang</t>
  </si>
  <si>
    <t>Thôn Đông Mỹ, Xã Thiệu Quang, T. Thanh Hóa Việt Nam</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</si>
  <si>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</si>
  <si>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</si>
  <si>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</si>
  <si>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</si>
  <si>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</si>
  <si>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</si>
  <si>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</si>
  <si>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WM+ THA Khu phố 4, Quan Sơn</t>
  </si>
  <si>
    <t>Khu phố 4, Xã Quan Sơn, Tỉnh Thanh Hóa T. Thanh Hóa Việt Nam</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</si>
  <si>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</si>
  <si>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</si>
  <si>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</si>
  <si>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</si>
  <si>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</si>
  <si>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</si>
  <si>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</si>
  <si>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</si>
  <si>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</si>
  <si>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</si>
  <si>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</si>
  <si>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</si>
  <si>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</si>
  <si>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</si>
  <si>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</si>
  <si>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</si>
  <si>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</si>
  <si>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</si>
  <si>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</si>
  <si>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</si>
  <si>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</si>
  <si>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</si>
  <si>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</si>
  <si>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</si>
  <si>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</si>
  <si>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</si>
  <si>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</si>
  <si>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</si>
  <si>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</si>
  <si>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</si>
  <si>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</si>
  <si>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</si>
  <si>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</si>
  <si>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</si>
  <si>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</si>
  <si>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</si>
  <si>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</si>
  <si>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</si>
  <si>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</si>
  <si>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</si>
  <si>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</si>
  <si>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</si>
  <si>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</si>
  <si>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</si>
  <si>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</si>
  <si>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</si>
  <si>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</si>
  <si>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</si>
  <si>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</si>
  <si>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</si>
  <si>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</si>
  <si>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</si>
  <si>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</si>
  <si>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</si>
  <si>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</si>
  <si>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</si>
  <si>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</si>
  <si>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</si>
  <si>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</si>
  <si>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</si>
  <si>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</si>
  <si>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</si>
  <si>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</si>
  <si>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</si>
  <si>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</si>
  <si>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</si>
  <si>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</si>
  <si>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</si>
  <si>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</si>
  <si>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</si>
  <si>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</si>
  <si>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</si>
  <si>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</si>
  <si>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</si>
  <si>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</si>
  <si>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</si>
  <si>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</si>
  <si>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</si>
  <si>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</si>
  <si>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</si>
  <si>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</si>
  <si>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</si>
  <si>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</si>
  <si>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</si>
  <si>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</si>
  <si>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</si>
  <si>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</si>
  <si>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</si>
  <si>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</si>
  <si>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</si>
  <si>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</si>
  <si>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</si>
  <si>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</si>
  <si>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</si>
  <si>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</si>
  <si>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</si>
  <si>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</si>
  <si>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</si>
  <si>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</si>
  <si>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</si>
  <si>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</si>
  <si>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</si>
  <si>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</si>
  <si>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</si>
  <si>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</si>
  <si>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</si>
  <si>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</si>
  <si>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</si>
  <si>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</si>
  <si>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</si>
  <si>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</si>
  <si>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</si>
  <si>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</si>
  <si>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</si>
  <si>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</si>
  <si>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</si>
  <si>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</si>
  <si>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</si>
  <si>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</si>
  <si>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</si>
  <si>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</si>
  <si>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</si>
  <si>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</si>
  <si>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</si>
  <si>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</si>
  <si>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</si>
  <si>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</si>
  <si>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</si>
  <si>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</si>
  <si>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</si>
  <si>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</si>
  <si>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</si>
  <si>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</si>
  <si>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</si>
  <si>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</si>
  <si>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</si>
  <si>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</si>
  <si>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</si>
  <si>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</si>
  <si>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</si>
  <si>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</si>
  <si>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</si>
  <si>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</si>
  <si>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</si>
  <si>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</si>
  <si>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</si>
  <si>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</si>
  <si>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</si>
  <si>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</si>
  <si>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</si>
  <si>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</si>
  <si>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</si>
  <si>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</si>
  <si>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</si>
  <si>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</si>
  <si>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</si>
  <si>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</si>
  <si>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</si>
  <si>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</si>
  <si>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</si>
  <si>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</si>
  <si>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</si>
  <si>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</si>
  <si>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</si>
  <si>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</si>
  <si>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</si>
  <si>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</si>
  <si>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</si>
  <si>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</si>
  <si>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</si>
  <si>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</si>
  <si>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</si>
  <si>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</si>
  <si>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</si>
  <si>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</si>
  <si>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</si>
  <si>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</si>
  <si>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</si>
  <si>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</si>
  <si>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</si>
  <si>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</si>
  <si>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</si>
  <si>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</si>
  <si>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</si>
  <si>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</si>
  <si>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</si>
  <si>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</si>
  <si>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</si>
  <si>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</si>
  <si>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</si>
  <si>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</si>
  <si>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</si>
  <si>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</si>
  <si>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</si>
  <si>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</si>
  <si>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</si>
  <si>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</si>
  <si>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</si>
  <si>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</si>
  <si>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</si>
  <si>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</si>
  <si>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</si>
  <si>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</si>
  <si>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</si>
  <si>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</si>
  <si>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</si>
  <si>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</si>
  <si>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</si>
  <si>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</si>
  <si>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</si>
  <si>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</si>
  <si>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</si>
  <si>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</si>
  <si>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</si>
  <si>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</si>
  <si>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</si>
  <si>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</si>
  <si>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</si>
  <si>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</si>
  <si>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</si>
  <si>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</si>
  <si>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</si>
  <si>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</si>
  <si>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</si>
  <si>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</si>
  <si>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</si>
  <si>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</si>
  <si>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</si>
  <si>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</si>
  <si>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</si>
  <si>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</si>
  <si>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</si>
  <si>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</si>
  <si>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</si>
  <si>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</si>
  <si>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</si>
  <si>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</si>
  <si>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</si>
  <si>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</si>
  <si>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</si>
  <si>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</si>
  <si>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</si>
  <si>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</si>
  <si>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</si>
  <si>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</si>
  <si>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</si>
  <si>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</si>
  <si>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</si>
  <si>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</si>
  <si>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</si>
  <si>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</si>
  <si>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</si>
  <si>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</si>
  <si>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</si>
  <si>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</si>
  <si>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</si>
  <si>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</si>
  <si>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</si>
  <si>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</si>
  <si>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</si>
  <si>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</si>
  <si>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</si>
  <si>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</si>
  <si>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</si>
  <si>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</si>
  <si>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</si>
  <si>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</si>
  <si>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</si>
  <si>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</si>
  <si>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</si>
  <si>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</si>
  <si>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</si>
  <si>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</si>
  <si>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</si>
  <si>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</si>
  <si>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</si>
  <si>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</si>
  <si>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</si>
  <si>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</si>
  <si>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</si>
  <si>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</si>
  <si>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</si>
  <si>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</si>
  <si>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</si>
  <si>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</si>
  <si>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</si>
  <si>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</si>
  <si>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</si>
  <si>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</si>
  <si>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</si>
  <si>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</si>
  <si>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</si>
  <si>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</si>
  <si>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</si>
  <si>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</si>
  <si>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</si>
  <si>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</si>
  <si>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</si>
  <si>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</si>
  <si>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</si>
  <si>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</si>
  <si>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</si>
  <si>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</si>
  <si>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</si>
  <si>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</si>
  <si>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</si>
  <si>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</si>
  <si>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</si>
  <si>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</si>
  <si>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</si>
  <si>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</si>
  <si>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</si>
  <si>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</si>
  <si>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</si>
  <si>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</si>
  <si>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</si>
  <si>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</si>
  <si>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</si>
  <si>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</si>
  <si>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</si>
  <si>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</si>
  <si>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</si>
  <si>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</si>
  <si>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</si>
  <si>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</si>
  <si>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</si>
  <si>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</si>
  <si>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</si>
  <si>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</si>
  <si>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</si>
  <si>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</si>
  <si>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</si>
  <si>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</si>
  <si>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</si>
  <si>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</si>
  <si>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</si>
  <si>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</si>
  <si>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</si>
  <si>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</si>
  <si>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</si>
  <si>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</si>
  <si>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</si>
  <si>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</si>
  <si>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</si>
  <si>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</si>
  <si>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</si>
  <si>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</si>
  <si>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</si>
  <si>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</si>
  <si>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</si>
  <si>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</si>
  <si>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</si>
  <si>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</si>
  <si>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</si>
  <si>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</si>
  <si>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</si>
  <si>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</si>
  <si>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</si>
  <si>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</si>
  <si>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</si>
  <si>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</si>
  <si>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</si>
  <si>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</si>
  <si>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</si>
  <si>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</si>
  <si>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</si>
  <si>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</si>
  <si>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</si>
  <si>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</si>
  <si>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</si>
  <si>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</si>
  <si>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</si>
  <si>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</si>
  <si>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</si>
  <si>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</si>
  <si>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</si>
  <si>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</si>
  <si>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</si>
  <si>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</si>
  <si>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</si>
  <si>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</si>
  <si>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</si>
  <si>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</si>
  <si>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</si>
  <si>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</si>
  <si>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</si>
  <si>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</si>
  <si>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</si>
  <si>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</si>
  <si>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</si>
  <si>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</si>
  <si>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</si>
  <si>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</si>
  <si>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</si>
  <si>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</si>
  <si>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</si>
  <si>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</si>
  <si>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</si>
  <si>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</si>
  <si>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</si>
  <si>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</si>
  <si>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</si>
  <si>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</si>
  <si>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</si>
  <si>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</si>
  <si>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</si>
  <si>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</si>
  <si>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</si>
  <si>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</si>
  <si>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</si>
  <si>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</si>
  <si>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</si>
  <si>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</si>
  <si>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</si>
  <si>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</si>
  <si>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</si>
  <si>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</si>
  <si>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</si>
  <si>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</si>
  <si>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</si>
  <si>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</si>
  <si>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</si>
  <si>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</si>
  <si>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</si>
  <si>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</si>
  <si>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</si>
  <si>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</si>
  <si>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</si>
  <si>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</si>
  <si>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</si>
  <si>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</si>
  <si>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</si>
  <si>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</si>
  <si>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</si>
  <si>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</si>
  <si>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</si>
  <si>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</si>
  <si>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</si>
  <si>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</si>
  <si>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</si>
  <si>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</si>
  <si>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</si>
  <si>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</si>
  <si>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</si>
  <si>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</si>
  <si>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</si>
  <si>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</si>
  <si>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</si>
  <si>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</si>
  <si>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</si>
  <si>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</si>
  <si>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</si>
  <si>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</si>
  <si>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</si>
  <si>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</si>
  <si>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</si>
  <si>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</si>
  <si>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</si>
  <si>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</si>
  <si>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</si>
  <si>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</si>
  <si>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</si>
  <si>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</si>
  <si>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</si>
  <si>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</si>
  <si>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</si>
  <si>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</si>
  <si>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</si>
  <si>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</si>
  <si>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</si>
  <si>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</si>
  <si>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</si>
  <si>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</si>
  <si>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</si>
  <si>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</si>
  <si>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</si>
  <si>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</si>
  <si>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</si>
  <si>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</si>
  <si>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</si>
  <si>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</si>
  <si>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</si>
  <si>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</si>
  <si>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</si>
  <si>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</si>
  <si>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</si>
  <si>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</si>
  <si>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</si>
  <si>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</si>
  <si>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</si>
  <si>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</si>
  <si>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</si>
  <si>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</si>
  <si>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</si>
  <si>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</si>
  <si>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</si>
  <si>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</si>
  <si>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</si>
  <si>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</si>
  <si>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</si>
  <si>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</si>
  <si>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</si>
  <si>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</si>
  <si>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</si>
  <si>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</si>
  <si>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</si>
  <si>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</si>
  <si>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</si>
  <si>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</si>
  <si>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</si>
  <si>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</si>
  <si>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WM+ THA 15&amp;16 Đông Bắc Ga</t>
  </si>
  <si>
    <t>Lô 15+16 MBQH TĐC Đông Bắc Ga, Thành phố Thanh Hóa, T. Thanh Hóa Việt Nam</t>
  </si>
  <si>
    <t>3597</t>
  </si>
  <si>
    <t>WM+ HPG 473 Bình Kiều 1</t>
  </si>
  <si>
    <t>Số 473 Bình Kiều 1, Phường Đông Hải 2, Quận Hải An, Quận Hải An, TP. Hải Phòng Việt Nam</t>
  </si>
  <si>
    <t>3598</t>
  </si>
  <si>
    <t>WM+ THA Tecco Tower</t>
  </si>
  <si>
    <t>Tầng 1, tòa 3,  Tecco Towers tại Lô CC2, KTĐC đường vành đai Đông Tây, P.Đông Vệ, Tp. Thanh Hóa, T. Thanh Hóa Việt Nam</t>
  </si>
  <si>
    <t>3599</t>
  </si>
  <si>
    <t>WM+ HNI Số 6 Phố Viên</t>
  </si>
  <si>
    <t>Số 6 Phố Viên, Phường Cổ Nhuế 2, Quận Bắc Từ Liêm, TP. Hà Nội Việt Nam</t>
  </si>
  <si>
    <t>3600</t>
  </si>
  <si>
    <t>WM+ THA 64 Đinh Chương Dương</t>
  </si>
  <si>
    <t>Số 64 Đinh Chương Dương, Phường Ba Đình, Thành phố Thanh Hóa, T. Thanh Hóa Việt Nam</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</si>
  <si>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</si>
  <si>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</si>
  <si>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</si>
  <si>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</si>
  <si>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</si>
  <si>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</si>
  <si>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</si>
  <si>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WM+ THA 364 Lê Lai</t>
  </si>
  <si>
    <t>Số  364 Lê Lai, Phường Đông Sơn, Thành phố Thanh Hóa, T. Thanh Hóa Việt Nam</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</si>
  <si>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</si>
  <si>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</si>
  <si>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</si>
  <si>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</si>
  <si>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</si>
  <si>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</si>
  <si>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</si>
  <si>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WM+ THA 106 Cao Sơn</t>
  </si>
  <si>
    <t>Số 106 Cao Sơn, Phường An Hoạch, Thành phố Thanh Hóa, T. Thanh Hóa Việt Nam</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</si>
  <si>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</si>
  <si>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</si>
  <si>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</si>
  <si>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</si>
  <si>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</si>
  <si>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</si>
  <si>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</si>
  <si>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</si>
  <si>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</si>
  <si>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</si>
  <si>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</si>
  <si>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</si>
  <si>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</si>
  <si>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</si>
  <si>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</si>
  <si>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</si>
  <si>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</si>
  <si>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</si>
  <si>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</si>
  <si>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</si>
  <si>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</si>
  <si>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</si>
  <si>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</si>
  <si>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</si>
  <si>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</si>
  <si>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WM+ THA 291 Lý Nhân Tông</t>
  </si>
  <si>
    <t>Số 291 Lý Nhân Tông, Phường Đông Thọ, Thành phố Thanh Hóa, T. Thanh Hóa Việt Nam</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</si>
  <si>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</si>
  <si>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</si>
  <si>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</si>
  <si>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</si>
  <si>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</si>
  <si>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</si>
  <si>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</si>
  <si>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</si>
  <si>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</si>
  <si>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</si>
  <si>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</si>
  <si>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</si>
  <si>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</si>
  <si>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</si>
  <si>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</si>
  <si>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</si>
  <si>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</si>
  <si>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</si>
  <si>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</si>
  <si>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</si>
  <si>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</si>
  <si>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</si>
  <si>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</si>
  <si>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</si>
  <si>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</si>
  <si>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</si>
  <si>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</si>
  <si>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</si>
  <si>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</si>
  <si>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</si>
  <si>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</si>
  <si>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</si>
  <si>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</si>
  <si>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</si>
  <si>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</si>
  <si>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</si>
  <si>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</si>
  <si>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</si>
  <si>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</si>
  <si>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</si>
  <si>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</si>
  <si>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</si>
  <si>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</si>
  <si>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</si>
  <si>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</si>
  <si>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</si>
  <si>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</si>
  <si>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</si>
  <si>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</si>
  <si>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</si>
  <si>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</si>
  <si>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</si>
  <si>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</si>
  <si>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</si>
  <si>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</si>
  <si>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</si>
  <si>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</si>
  <si>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</si>
  <si>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WM+ THA Lô 265-266 MBQH 121, Đông V</t>
  </si>
  <si>
    <t>Lô 256, 266 chia lô 13, MBQH 121/UB-CN, Phường Đông Vệ, Thành phố Thanh Hóa, T. Thanh Hóa Việt Nam</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</si>
  <si>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</si>
  <si>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</si>
  <si>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</si>
  <si>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</si>
  <si>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</si>
  <si>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</si>
  <si>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</si>
  <si>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</si>
  <si>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</si>
  <si>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</si>
  <si>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</si>
  <si>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</si>
  <si>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</si>
  <si>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</si>
  <si>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</si>
  <si>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</si>
  <si>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</si>
  <si>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</si>
  <si>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</si>
  <si>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WM+ THA 304 Trường Thi</t>
  </si>
  <si>
    <t>Số 304 Trường Thi, Phường Trường Thi, Thành phố Thanh Hóa, T. Thanh Hóa Việt Nam</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</si>
  <si>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</si>
  <si>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</si>
  <si>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</si>
  <si>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</si>
  <si>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</si>
  <si>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</si>
  <si>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</si>
  <si>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</si>
  <si>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</si>
  <si>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</si>
  <si>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</si>
  <si>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</si>
  <si>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</si>
  <si>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</si>
  <si>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</si>
  <si>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</si>
  <si>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</si>
  <si>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</si>
  <si>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</si>
  <si>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</si>
  <si>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</si>
  <si>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</si>
  <si>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</si>
  <si>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</si>
  <si>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</si>
  <si>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</si>
  <si>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</si>
  <si>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</si>
  <si>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</si>
  <si>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</si>
  <si>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</si>
  <si>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</si>
  <si>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</si>
  <si>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</si>
  <si>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</si>
  <si>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</si>
  <si>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</si>
  <si>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</si>
  <si>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</si>
  <si>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</si>
  <si>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</si>
  <si>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</si>
  <si>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</si>
  <si>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</si>
  <si>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</si>
  <si>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</si>
  <si>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</si>
  <si>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</si>
  <si>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</si>
  <si>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</si>
  <si>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</si>
  <si>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</si>
  <si>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</si>
  <si>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</si>
  <si>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</si>
  <si>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</si>
  <si>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</si>
  <si>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</si>
  <si>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</si>
  <si>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</si>
  <si>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</si>
  <si>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</si>
  <si>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</si>
  <si>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</si>
  <si>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</si>
  <si>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số 318 Phường Đằng Hải, Quận Hải An, TP. Hải Phòng Việt Nam</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</si>
  <si>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</si>
  <si>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</si>
  <si>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</si>
  <si>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</si>
  <si>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</si>
  <si>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</si>
  <si>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</si>
  <si>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</si>
  <si>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</si>
  <si>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</si>
  <si>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</si>
  <si>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</si>
  <si>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</si>
  <si>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</si>
  <si>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</si>
  <si>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</si>
  <si>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</si>
  <si>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</si>
  <si>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</si>
  <si>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WM+ THA 88 Đinh Công Tráng</t>
  </si>
  <si>
    <t>88 Đinh Công Tráng, Phường Ba Đình, Thành phố Thanh Hóa, T. Thanh Hóa Việt Nam</t>
  </si>
  <si>
    <t>3824</t>
  </si>
  <si>
    <t>WM+ THA 376 Hải Thượng Lãn Ông</t>
  </si>
  <si>
    <t>376 Hải Thượng Lãn Ông, Xã Quảng Thắng, Thành phố Thanh Hóa, T. Thanh Hóa Việt Nam</t>
  </si>
  <si>
    <t>3825</t>
  </si>
  <si>
    <t>WM+THA 320 Quang Trung</t>
  </si>
  <si>
    <t>Số 320 Quang Trung 1, Phường Đông Vệ, Thành phố Thanh Hóa, T. Thanh Hóa Việt Nam</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</si>
  <si>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</si>
  <si>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</si>
  <si>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</si>
  <si>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</si>
  <si>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</si>
  <si>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</si>
  <si>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</si>
  <si>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</si>
  <si>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</si>
  <si>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</si>
  <si>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</si>
  <si>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</si>
  <si>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</si>
  <si>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</si>
  <si>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</si>
  <si>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</si>
  <si>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</si>
  <si>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</si>
  <si>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</si>
  <si>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</si>
  <si>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</si>
  <si>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</si>
  <si>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</si>
  <si>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</si>
  <si>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</si>
  <si>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</si>
  <si>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</si>
  <si>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</si>
  <si>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</si>
  <si>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</si>
  <si>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</si>
  <si>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</si>
  <si>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</si>
  <si>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</si>
  <si>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</si>
  <si>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</si>
  <si>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</si>
  <si>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</si>
  <si>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</si>
  <si>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</si>
  <si>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</si>
  <si>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</si>
  <si>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</si>
  <si>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</si>
  <si>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</si>
  <si>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</si>
  <si>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</si>
  <si>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</si>
  <si>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</si>
  <si>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</si>
  <si>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</si>
  <si>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</si>
  <si>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</si>
  <si>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</si>
  <si>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</si>
  <si>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</si>
  <si>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</si>
  <si>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</si>
  <si>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</si>
  <si>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</si>
  <si>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</si>
  <si>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</si>
  <si>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</si>
  <si>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</si>
  <si>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</si>
  <si>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</si>
  <si>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</si>
  <si>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</si>
  <si>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</si>
  <si>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</si>
  <si>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</si>
  <si>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</si>
  <si>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</si>
  <si>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WM+ THA Lô 17 KĐT Bắc Đại Lộ Lê Lợi</t>
  </si>
  <si>
    <t>Lô 17 khu đô thị Bắc Đại Lộ Lê Lợi, Phường Đông Hương, Thành phố Thanh Hóa, T. Thanh Hóa Việt Nam</t>
  </si>
  <si>
    <t>3925</t>
  </si>
  <si>
    <t>WM+ HNI 347 Vũ Tông Phan</t>
  </si>
  <si>
    <t>Số 347 Vũ Tông Phan - Phường Khương Đình, Quận Thanh Xuân, TP. Hà Nội Việt Nam</t>
  </si>
  <si>
    <t>3940</t>
  </si>
  <si>
    <t>WM+ THA Lô 23 Nơ 2 KĐTM Đông Bắc Ga</t>
  </si>
  <si>
    <t>Lô 23 Nơ 2 Khu đô thị mới Đông Bắc Ga, Phường Đông Thọ, Thành phố Thanh Hóa, T. Thanh Hóa Việt Nam</t>
  </si>
  <si>
    <t>3942</t>
  </si>
  <si>
    <t>WM+ THA 520 Nguyễn Trãi</t>
  </si>
  <si>
    <t>520 Nguyễn Trãi – Phường Phú Sơn, Thành phố Thanh Hóa, T. Thanh Hóa Việt Nam</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</si>
  <si>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</si>
  <si>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</si>
  <si>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</si>
  <si>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</si>
  <si>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</si>
  <si>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</si>
  <si>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</si>
  <si>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</si>
  <si>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</si>
  <si>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</si>
  <si>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</si>
  <si>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</si>
  <si>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</si>
  <si>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</si>
  <si>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</si>
  <si>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</si>
  <si>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WM+ THA 254 Đội Cung</t>
  </si>
  <si>
    <t>Số 254 Đội Cung, Phường Trường Thi, Thành phố Thanh Hóa, T. Thanh Hóa Việt Nam</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</si>
  <si>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</si>
  <si>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</si>
  <si>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</si>
  <si>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</si>
  <si>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</si>
  <si>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</si>
  <si>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</si>
  <si>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</si>
  <si>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</si>
  <si>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</si>
  <si>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</si>
  <si>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</si>
  <si>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</si>
  <si>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</si>
  <si>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</si>
  <si>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</si>
  <si>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</si>
  <si>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</si>
  <si>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</si>
  <si>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</si>
  <si>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</si>
  <si>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</si>
  <si>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</si>
  <si>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</si>
  <si>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</si>
  <si>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</si>
  <si>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</si>
  <si>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</si>
  <si>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</si>
  <si>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</si>
  <si>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</si>
  <si>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</si>
  <si>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</si>
  <si>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</si>
  <si>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</si>
  <si>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</si>
  <si>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</si>
  <si>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</si>
  <si>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</si>
  <si>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</si>
  <si>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</si>
  <si>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</si>
  <si>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</si>
  <si>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</si>
  <si>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</si>
  <si>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</si>
  <si>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</si>
  <si>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</si>
  <si>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</si>
  <si>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</si>
  <si>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</si>
  <si>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</si>
  <si>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</si>
  <si>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</si>
  <si>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</si>
  <si>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</si>
  <si>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</si>
  <si>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</si>
  <si>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</si>
  <si>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</si>
  <si>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</si>
  <si>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</si>
  <si>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</si>
  <si>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</si>
  <si>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</si>
  <si>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</si>
  <si>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</si>
  <si>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</si>
  <si>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</si>
  <si>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</si>
  <si>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</si>
  <si>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</si>
  <si>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</si>
  <si>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</si>
  <si>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</si>
  <si>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</si>
  <si>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</si>
  <si>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</si>
  <si>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</si>
  <si>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</si>
  <si>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</si>
  <si>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</si>
  <si>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</si>
  <si>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</si>
  <si>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</si>
  <si>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</si>
  <si>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</si>
  <si>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</si>
  <si>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</si>
  <si>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</si>
  <si>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</si>
  <si>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</si>
  <si>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</si>
  <si>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</si>
  <si>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</si>
  <si>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</si>
  <si>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</si>
  <si>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</si>
  <si>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</si>
  <si>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</si>
  <si>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</si>
  <si>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</si>
  <si>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</si>
  <si>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</si>
  <si>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</si>
  <si>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</si>
  <si>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</si>
  <si>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</si>
  <si>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</si>
  <si>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WM+ THA 27 Lê Hữu Lập</t>
  </si>
  <si>
    <t>27 Lê Hữu Lập, Phường Lam Sơn, Thành phố Thanh Hóa, T. Thanh Hóa Việt Nam</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</si>
  <si>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</si>
  <si>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</si>
  <si>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</si>
  <si>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</si>
  <si>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</si>
  <si>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</si>
  <si>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</si>
  <si>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</si>
  <si>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</si>
  <si>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</si>
  <si>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</si>
  <si>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</si>
  <si>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</si>
  <si>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</si>
  <si>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</si>
  <si>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</si>
  <si>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</si>
  <si>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</si>
  <si>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</si>
  <si>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</si>
  <si>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</si>
  <si>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</si>
  <si>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</si>
  <si>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</si>
  <si>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</si>
  <si>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</si>
  <si>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</si>
  <si>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</si>
  <si>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</si>
  <si>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</si>
  <si>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</si>
  <si>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</si>
  <si>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</si>
  <si>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</si>
  <si>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</si>
  <si>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</si>
  <si>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</si>
  <si>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</si>
  <si>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</si>
  <si>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</si>
  <si>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</si>
  <si>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</si>
  <si>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</si>
  <si>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</si>
  <si>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</si>
  <si>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</si>
  <si>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</si>
  <si>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</si>
  <si>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</si>
  <si>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</si>
  <si>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</si>
  <si>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</si>
  <si>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</si>
  <si>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</si>
  <si>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</si>
  <si>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</si>
  <si>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</si>
  <si>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</si>
  <si>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</si>
  <si>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</si>
  <si>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</si>
  <si>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</si>
  <si>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</si>
  <si>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</si>
  <si>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</si>
  <si>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</si>
  <si>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</si>
  <si>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</si>
  <si>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</si>
  <si>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</si>
  <si>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</si>
  <si>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</si>
  <si>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</si>
  <si>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</si>
  <si>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</si>
  <si>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</si>
  <si>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</si>
  <si>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</si>
  <si>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</si>
  <si>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</si>
  <si>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</si>
  <si>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</si>
  <si>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</si>
  <si>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</si>
  <si>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</si>
  <si>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</si>
  <si>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</si>
  <si>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</si>
  <si>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</si>
  <si>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</si>
  <si>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</si>
  <si>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</si>
  <si>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</si>
  <si>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</si>
  <si>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</si>
  <si>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</si>
  <si>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</si>
  <si>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</si>
  <si>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</si>
  <si>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</si>
  <si>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</si>
  <si>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</si>
  <si>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</si>
  <si>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</si>
  <si>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</si>
  <si>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</si>
  <si>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</si>
  <si>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</si>
  <si>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</si>
  <si>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</si>
  <si>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</si>
  <si>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</si>
  <si>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</si>
  <si>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</si>
  <si>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</si>
  <si>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</si>
  <si>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</si>
  <si>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</si>
  <si>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</si>
  <si>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</si>
  <si>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</si>
  <si>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WM+ THA 14 Nguyễn Văn Cừ</t>
  </si>
  <si>
    <t>Số 14 Nguyễn Văn Cừ, Phường Ngọc Trạo, Thị xã Bỉm Sơn, T. Thanh Hóa Việt Nam</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</si>
  <si>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</si>
  <si>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</si>
  <si>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</si>
  <si>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</si>
  <si>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</si>
  <si>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</si>
  <si>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</si>
  <si>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</si>
  <si>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</si>
  <si>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</si>
  <si>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</si>
  <si>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</si>
  <si>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</si>
  <si>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</si>
  <si>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</si>
  <si>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</si>
  <si>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</si>
  <si>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</si>
  <si>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</si>
  <si>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</si>
  <si>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</si>
  <si>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</si>
  <si>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WM+ THA 102 Lê Lai</t>
  </si>
  <si>
    <t>102 Lê Lai, Phường Đông Hương, Thành phố Thanh Hóa, T. Thanh Hóa Việt Nam</t>
  </si>
  <si>
    <t>4176</t>
  </si>
  <si>
    <t>WM+ THA Lô 99 MBQH 502 (16 Phú Thứ)</t>
  </si>
  <si>
    <t>Lô số 99 MBQH số 502/UBND-QLDT, Phường Phú Sơn, Thành phố Thanh Hóa, T. Thanh Hóa Việt Nam</t>
  </si>
  <si>
    <t>4177</t>
  </si>
  <si>
    <t>WM+ THA 532 Quang Trung</t>
  </si>
  <si>
    <t>SN 532 Quang Trung, Phường Đông Vệ, Thành phố Thanh Hóa, T. Thanh Hóa Việt Nam</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</si>
  <si>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</si>
  <si>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</si>
  <si>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</si>
  <si>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</si>
  <si>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</si>
  <si>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</si>
  <si>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</si>
  <si>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</si>
  <si>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</si>
  <si>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</si>
  <si>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</si>
  <si>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</si>
  <si>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</si>
  <si>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</si>
  <si>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</si>
  <si>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</si>
  <si>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</si>
  <si>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</si>
  <si>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</si>
  <si>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</si>
  <si>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</si>
  <si>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</si>
  <si>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</si>
  <si>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</si>
  <si>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</si>
  <si>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</si>
  <si>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</si>
  <si>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</si>
  <si>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</si>
  <si>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</si>
  <si>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</si>
  <si>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</si>
  <si>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</si>
  <si>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</si>
  <si>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WM+ THA 3 Lê Hồng Sơn</t>
  </si>
  <si>
    <t>Số 3 Lê Hồng Sơn, Phường Đông Thọ, Thành phố Thanh Hóa, T. Thanh Hóa Việt Nam</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</si>
  <si>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</si>
  <si>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</si>
  <si>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</si>
  <si>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</si>
  <si>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</si>
  <si>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</si>
  <si>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</si>
  <si>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</si>
  <si>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</si>
  <si>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</si>
  <si>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</si>
  <si>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</si>
  <si>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</si>
  <si>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WM+ THA Liền kề L3-L5 FLC</t>
  </si>
  <si>
    <t>Liền kề L3 - L5 Khu công trình hỗn hợp và nhà ở, Phường Đông Vệ, Thành phố Thanh Hóa, T. Thanh Hóa Việt Nam</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</si>
  <si>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</si>
  <si>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</si>
  <si>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</si>
  <si>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</si>
  <si>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</si>
  <si>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</si>
  <si>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</si>
  <si>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</si>
  <si>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</si>
  <si>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</si>
  <si>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</si>
  <si>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</si>
  <si>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</si>
  <si>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</si>
  <si>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</si>
  <si>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</si>
  <si>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</si>
  <si>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</si>
  <si>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</si>
  <si>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</si>
  <si>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</si>
  <si>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</si>
  <si>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</si>
  <si>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</si>
  <si>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</si>
  <si>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</si>
  <si>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</si>
  <si>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</si>
  <si>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</si>
  <si>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</si>
  <si>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</si>
  <si>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</si>
  <si>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</si>
  <si>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</si>
  <si>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</si>
  <si>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</si>
  <si>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</si>
  <si>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</si>
  <si>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</si>
  <si>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</si>
  <si>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</si>
  <si>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</si>
  <si>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</si>
  <si>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</si>
  <si>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</si>
  <si>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</si>
  <si>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</si>
  <si>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</si>
  <si>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</si>
  <si>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</si>
  <si>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</si>
  <si>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</si>
  <si>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</si>
  <si>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</si>
  <si>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</si>
  <si>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</si>
  <si>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</si>
  <si>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</si>
  <si>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</si>
  <si>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</si>
  <si>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</si>
  <si>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</si>
  <si>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</si>
  <si>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</si>
  <si>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</si>
  <si>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</si>
  <si>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</si>
  <si>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</si>
  <si>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</si>
  <si>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</si>
  <si>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</si>
  <si>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</si>
  <si>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</si>
  <si>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</si>
  <si>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</si>
  <si>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</si>
  <si>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</si>
  <si>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</si>
  <si>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</si>
  <si>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</si>
  <si>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</si>
  <si>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</si>
  <si>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</si>
  <si>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</si>
  <si>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</si>
  <si>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WM+ THA 2 Trần Hưng Đạo</t>
  </si>
  <si>
    <t>Số 2 Trần Hưng Đạo, Khối phố 4, Phường Bắc Sơn, Thị xã Bỉm Sơn, T. Thanh Hóa Việt Nam</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</si>
  <si>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</si>
  <si>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</si>
  <si>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</si>
  <si>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</si>
  <si>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</si>
  <si>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</si>
  <si>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</si>
  <si>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</si>
  <si>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</si>
  <si>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</si>
  <si>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</si>
  <si>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</si>
  <si>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</si>
  <si>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</si>
  <si>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</si>
  <si>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</si>
  <si>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</si>
  <si>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</si>
  <si>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</si>
  <si>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</si>
  <si>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</si>
  <si>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</si>
  <si>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</si>
  <si>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</si>
  <si>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</si>
  <si>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</si>
  <si>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</si>
  <si>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</si>
  <si>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WM+ THA 204B Hải Thượng Lãn Ông</t>
  </si>
  <si>
    <t>Số 204B Hải Thượng Lãn Ông, Phường Đông Vệ, Thành phố Thanh Hóa, T. Thanh Hóa Việt Nam</t>
  </si>
  <si>
    <t>4407</t>
  </si>
  <si>
    <t>WM+ THA 53 LK 20 Đông Sơn</t>
  </si>
  <si>
    <t>Lô 53 LK 20 khu ĐTM Đông Sơn, Phường An Hoạch, Thành phố Thanh Hóa, T. Thanh Hóa Việt Nam</t>
  </si>
  <si>
    <t>4408</t>
  </si>
  <si>
    <t>WM+ THA 522 Lê Lai</t>
  </si>
  <si>
    <t>Số 522 Lê Lai, P. Quảng Hưng, Thành phố Thanh Hóa, T. Thanh Hóa Việt Nam</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</si>
  <si>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</si>
  <si>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</si>
  <si>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</si>
  <si>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</si>
  <si>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</si>
  <si>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</si>
  <si>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</si>
  <si>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</si>
  <si>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</si>
  <si>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</si>
  <si>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</si>
  <si>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</si>
  <si>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</si>
  <si>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</si>
  <si>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</si>
  <si>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</si>
  <si>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</si>
  <si>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</si>
  <si>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</si>
  <si>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</si>
  <si>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</si>
  <si>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</si>
  <si>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</si>
  <si>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</si>
  <si>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</si>
  <si>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</si>
  <si>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</si>
  <si>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</si>
  <si>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</si>
  <si>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</si>
  <si>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</si>
  <si>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</si>
  <si>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</si>
  <si>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</si>
  <si>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</si>
  <si>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</si>
  <si>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</si>
  <si>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</si>
  <si>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</si>
  <si>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</si>
  <si>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</si>
  <si>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</si>
  <si>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</si>
  <si>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WM+ THA 170 Lê Thánh Tông</t>
  </si>
  <si>
    <t>Số 170 Lê Thánh Tông, Phường Trung Sơn, Thành phố Sầm Sơn, T. Thanh Hóa Việt Nam</t>
  </si>
  <si>
    <t>4453</t>
  </si>
  <si>
    <t>WM+ THA Lô A7 LK Lê Lợi</t>
  </si>
  <si>
    <t>Lô A7, Khu dân cư tái định cư Khách sạn Sầm Sơn, đường Lê Lợi, Phường Trường Sơn, Thành phố Sầm Sơn, T. Thanh Hóa Việt Nam</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</si>
  <si>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</si>
  <si>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</si>
  <si>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</si>
  <si>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</si>
  <si>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</si>
  <si>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</si>
  <si>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</si>
  <si>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</si>
  <si>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</si>
  <si>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</si>
  <si>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</si>
  <si>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</si>
  <si>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</si>
  <si>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</si>
  <si>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</si>
  <si>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</si>
  <si>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WM+ THA 104 Trần Phú</t>
  </si>
  <si>
    <t>104 Trần Phú, P.Ba Đình, Thị xã Bỉm Sơn, T. Thanh Hóa Việt Nam</t>
  </si>
  <si>
    <t>4484</t>
  </si>
  <si>
    <t>WM+ HNI Chợ Kim, Tổ 49 TT Đông Anh</t>
  </si>
  <si>
    <t>Khu Chợ Kim, Xã Xuân Nộn, Huyện Đông Anh, TP. Hà Nội Việt Nam</t>
  </si>
  <si>
    <t>4490</t>
  </si>
  <si>
    <t>WM+ THA 113 Trần Hưng Đạo</t>
  </si>
  <si>
    <t>113 Trần Hưng Đạo, p.Quảng Tiến, Thành phố Sầm Sơn, T. Thanh Hóa Việt Nam</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</si>
  <si>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</si>
  <si>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</si>
  <si>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</si>
  <si>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</si>
  <si>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</si>
  <si>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</si>
  <si>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</si>
  <si>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</si>
  <si>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</si>
  <si>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</si>
  <si>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</si>
  <si>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</si>
  <si>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</si>
  <si>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</si>
  <si>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</si>
  <si>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</si>
  <si>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WM+ THA Lô 16 MBQH 2155 Đông Vệ</t>
  </si>
  <si>
    <t>Lô số 16 MBQH 2155/UBND-QLDT, Phường Đông Vệ, Thành phố Thanh Hóa, T. Thanh Hóa Việt Nam</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</si>
  <si>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</si>
  <si>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</si>
  <si>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</si>
  <si>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</si>
  <si>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</si>
  <si>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</si>
  <si>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</si>
  <si>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</si>
  <si>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</si>
  <si>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</si>
  <si>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</si>
  <si>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</si>
  <si>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</si>
  <si>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</si>
  <si>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</si>
  <si>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</si>
  <si>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</si>
  <si>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</si>
  <si>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</si>
  <si>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</si>
  <si>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</si>
  <si>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</si>
  <si>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</si>
  <si>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</si>
  <si>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</si>
  <si>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</si>
  <si>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</si>
  <si>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</si>
  <si>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</si>
  <si>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</si>
  <si>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</si>
  <si>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</si>
  <si>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</si>
  <si>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</si>
  <si>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</si>
  <si>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</si>
  <si>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</si>
  <si>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</si>
  <si>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</si>
  <si>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</si>
  <si>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</si>
  <si>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</si>
  <si>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</si>
  <si>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</si>
  <si>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</si>
  <si>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</si>
  <si>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</si>
  <si>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</si>
  <si>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</si>
  <si>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</si>
  <si>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</si>
  <si>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</si>
  <si>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</si>
  <si>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</si>
  <si>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</si>
  <si>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</si>
  <si>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</si>
  <si>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</si>
  <si>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</si>
  <si>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</si>
  <si>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</si>
  <si>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</si>
  <si>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</si>
  <si>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</si>
  <si>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</si>
  <si>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</si>
  <si>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</si>
  <si>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</si>
  <si>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</si>
  <si>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</si>
  <si>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</si>
  <si>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</si>
  <si>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</si>
  <si>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</si>
  <si>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</si>
  <si>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</si>
  <si>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</si>
  <si>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</si>
  <si>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</si>
  <si>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</si>
  <si>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</si>
  <si>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</si>
  <si>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WM+ NAN 30 Phan Đình Phùng</t>
  </si>
  <si>
    <t>30 Phan Đình Phùng, Phường Cửa Nam, Thành phố Vinh, T. Nghệ An Việt Nam</t>
  </si>
  <si>
    <t>4571</t>
  </si>
  <si>
    <t>15A An Dương Vương, Phường Trường Thi, Thành phố Vinh, T. Nghệ An Việt Nam</t>
  </si>
  <si>
    <t>4579</t>
  </si>
  <si>
    <t>WM+ NAN 19 Kim Đồng</t>
  </si>
  <si>
    <t>19 Kim Đồng, Phường Hưng Bình, Thành phố Vinh, T. Nghệ An Việt Nam</t>
  </si>
  <si>
    <t>4580</t>
  </si>
  <si>
    <t>WM+ NAN 183 Phạm Đình Toái</t>
  </si>
  <si>
    <t>183 Phạm Đình Toái, Xóm 19, Xã Nghi Phú, Thành phố Vinh, T. Nghệ An Việt Nam</t>
  </si>
  <si>
    <t>4581</t>
  </si>
  <si>
    <t>WM+ NAN 117 Đặng Thái Thân</t>
  </si>
  <si>
    <t>117 Đặng Thái Thân, Phường Cửa Nam, Thành phố Vinh, T. Nghệ An Việt Nam</t>
  </si>
  <si>
    <t>4582</t>
  </si>
  <si>
    <t>WM+ NAN 72 Phan Đăng Lưu</t>
  </si>
  <si>
    <t>72 Phan Đăng Lưu, Phường Trường Thi, Thành phố Vinh, T. Nghệ An Việt Nam</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</si>
  <si>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</si>
  <si>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</si>
  <si>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</si>
  <si>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</si>
  <si>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</si>
  <si>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</si>
  <si>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</si>
  <si>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</si>
  <si>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</si>
  <si>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</si>
  <si>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</si>
  <si>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</si>
  <si>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</si>
  <si>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</si>
  <si>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</si>
  <si>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</si>
  <si>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</si>
  <si>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</si>
  <si>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</si>
  <si>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</si>
  <si>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</si>
  <si>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</si>
  <si>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</si>
  <si>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</si>
  <si>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</si>
  <si>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</si>
  <si>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</si>
  <si>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</si>
  <si>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WM+ NAN 259 Hà Huy Tập</t>
  </si>
  <si>
    <t>259 Hà Huy Tập, Phường Hà Huy Tập, Thành phố Vinh, T. Nghệ An Việt Nam</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</si>
  <si>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</si>
  <si>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</si>
  <si>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</si>
  <si>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</si>
  <si>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</si>
  <si>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</si>
  <si>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</si>
  <si>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</si>
  <si>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</si>
  <si>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</si>
  <si>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WM+ NAN 70B Hà Huy Tập</t>
  </si>
  <si>
    <t>70B Hà Huy Tập, P.Hà Huy Tập, Thành phố Vinh, T. Nghệ An Việt Nam</t>
  </si>
  <si>
    <t>4605</t>
  </si>
  <si>
    <t>WM+ NAN 70 Nguyễn Trãi</t>
  </si>
  <si>
    <t>70 Nguyễn Trãi, Phường Hà Huy Tập, Thành phố Vinh, T. Nghệ An Việt Nam</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</si>
  <si>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</si>
  <si>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</si>
  <si>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</si>
  <si>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</si>
  <si>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</si>
  <si>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</si>
  <si>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</si>
  <si>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WM+ NAN 23 Lý Thường Kiệt</t>
  </si>
  <si>
    <t>23 Lý Thường Kiệt, Phường Lê Lợi, Thành phố Vinh, T. Nghệ An Việt Nam</t>
  </si>
  <si>
    <t>4631</t>
  </si>
  <si>
    <t>WM+ NAN 101A-202A CC Trường Thi</t>
  </si>
  <si>
    <t>Kios TM1.01A - TM2.02A CC Trường Thi -, 58 Võ Thị Sáu - P.Trường Thi, Thành phố Vinh, T. Nghệ An Việt Nam</t>
  </si>
  <si>
    <t>4632</t>
  </si>
  <si>
    <t>119 Phan Chu Trinh -, Phường Đội Cung, Thành phố Vinh, T. Nghệ An Việt Nam</t>
  </si>
  <si>
    <t>4633</t>
  </si>
  <si>
    <t>WM+ NAN 67 Nguyễn Phong Sắc</t>
  </si>
  <si>
    <t>Số 67 đường Nguyễn Phong Sắc, Phường Hưng Dũng, Thành phố Vinh, T. Nghệ An Việt Nam</t>
  </si>
  <si>
    <t>4634</t>
  </si>
  <si>
    <t>WM+ HNI 47 QL2 Phù Lỗ</t>
  </si>
  <si>
    <t>47 Quốc Lộ 2, khối 2, Phù Lỗ, Sóc Sơn, TP. Hà Nội Việt Nam</t>
  </si>
  <si>
    <t>4637</t>
  </si>
  <si>
    <t>79B Đốc Thiết - Phường Hưng Bình, Thành phố Vinh, T. Nghệ An Việt Nam</t>
  </si>
  <si>
    <t>4638</t>
  </si>
  <si>
    <t>16 Lê Lợi, Phường Hưng Bình, Thành phố Vinh, T. Nghệ An Việt Nam</t>
  </si>
  <si>
    <t>4639</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</si>
  <si>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</si>
  <si>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</si>
  <si>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</si>
  <si>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</si>
  <si>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</si>
  <si>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</si>
  <si>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</si>
  <si>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</si>
  <si>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</si>
  <si>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</si>
  <si>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</si>
  <si>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</si>
  <si>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</si>
  <si>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</si>
  <si>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</si>
  <si>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</si>
  <si>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</si>
  <si>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</si>
  <si>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</si>
  <si>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</si>
  <si>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</si>
  <si>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</si>
  <si>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</si>
  <si>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</si>
  <si>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</si>
  <si>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</si>
  <si>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WM+ NAN 57A Nguyễn Thị Minh Khai</t>
  </si>
  <si>
    <t>57A Nguyễn Thị Minh Khai, Phường Lê Mao, Thành phố Vinh, T. Nghệ An Việt Nam</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</si>
  <si>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</si>
  <si>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</si>
  <si>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</si>
  <si>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</si>
  <si>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</si>
  <si>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</si>
  <si>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</si>
  <si>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</si>
  <si>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</si>
  <si>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</si>
  <si>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</si>
  <si>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</si>
  <si>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</si>
  <si>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</si>
  <si>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</si>
  <si>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</si>
  <si>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</si>
  <si>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</si>
  <si>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</si>
  <si>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</si>
  <si>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</si>
  <si>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</si>
  <si>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</si>
  <si>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</si>
  <si>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</si>
  <si>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</si>
  <si>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</si>
  <si>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</si>
  <si>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</si>
  <si>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</si>
  <si>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</si>
  <si>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</si>
  <si>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</si>
  <si>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</si>
  <si>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</si>
  <si>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</si>
  <si>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</si>
  <si>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</si>
  <si>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</si>
  <si>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</si>
  <si>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</si>
  <si>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</si>
  <si>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</si>
  <si>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</si>
  <si>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</si>
  <si>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</si>
  <si>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</si>
  <si>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</si>
  <si>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</si>
  <si>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</si>
  <si>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</si>
  <si>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</si>
  <si>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</si>
  <si>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</si>
  <si>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</si>
  <si>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</si>
  <si>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</si>
  <si>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</si>
  <si>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</si>
  <si>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</si>
  <si>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</si>
  <si>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</si>
  <si>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</si>
  <si>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</si>
  <si>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</si>
  <si>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</si>
  <si>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</si>
  <si>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</si>
  <si>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</si>
  <si>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</si>
  <si>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</si>
  <si>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</si>
  <si>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</si>
  <si>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</si>
  <si>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</si>
  <si>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</si>
  <si>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</si>
  <si>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</si>
  <si>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</si>
  <si>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</si>
  <si>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WM+ NAN 15 ngõ 77 Nguyễn Thái Học</t>
  </si>
  <si>
    <t>Số 15 ngõ 77 Nguyễn Thái Học, Phường Lê Lợi, Thành phố Vinh, T. Nghệ An Việt Nam</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</si>
  <si>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</si>
  <si>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</si>
  <si>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</si>
  <si>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</si>
  <si>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</si>
  <si>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</si>
  <si>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</si>
  <si>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</si>
  <si>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</si>
  <si>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</si>
  <si>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</si>
  <si>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</si>
  <si>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</si>
  <si>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</si>
  <si>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</si>
  <si>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</si>
  <si>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</si>
  <si>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</si>
  <si>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</si>
  <si>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</si>
  <si>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</si>
  <si>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</si>
  <si>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</si>
  <si>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</si>
  <si>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</si>
  <si>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</si>
  <si>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</si>
  <si>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</si>
  <si>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</si>
  <si>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</si>
  <si>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</si>
  <si>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</si>
  <si>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</si>
  <si>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</si>
  <si>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</si>
  <si>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</si>
  <si>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</si>
  <si>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</si>
  <si>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</si>
  <si>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</si>
  <si>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</si>
  <si>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</si>
  <si>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</si>
  <si>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</si>
  <si>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</si>
  <si>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</si>
  <si>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</si>
  <si>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</si>
  <si>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</si>
  <si>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</si>
  <si>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</si>
  <si>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</si>
  <si>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</si>
  <si>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</si>
  <si>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</si>
  <si>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</si>
  <si>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</si>
  <si>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</si>
  <si>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</si>
  <si>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</si>
  <si>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</si>
  <si>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</si>
  <si>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</si>
  <si>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</si>
  <si>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</si>
  <si>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</si>
  <si>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</si>
  <si>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</si>
  <si>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</si>
  <si>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</si>
  <si>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</si>
  <si>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</si>
  <si>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</si>
  <si>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</si>
  <si>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</si>
  <si>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</si>
  <si>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</si>
  <si>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</si>
  <si>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</si>
  <si>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</si>
  <si>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</si>
  <si>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</si>
  <si>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</si>
  <si>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</si>
  <si>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</si>
  <si>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</si>
  <si>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</si>
  <si>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</si>
  <si>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</si>
  <si>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</si>
  <si>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</si>
  <si>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</si>
  <si>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</si>
  <si>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</si>
  <si>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</si>
  <si>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</si>
  <si>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</si>
  <si>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</si>
  <si>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</si>
  <si>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</si>
  <si>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</si>
  <si>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</si>
  <si>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</si>
  <si>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</si>
  <si>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</si>
  <si>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</si>
  <si>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</si>
  <si>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</si>
  <si>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</si>
  <si>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</si>
  <si>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</si>
  <si>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</si>
  <si>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</si>
  <si>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</si>
  <si>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WM+ THA 69 Bà Triệu, Sầm Sơn</t>
  </si>
  <si>
    <t>69 Bà Triệu, Phường Bắc Sơn, Thành phố Sầm Sơn, T. Thanh Hóa Việt Nam</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</si>
  <si>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</si>
  <si>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</si>
  <si>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</si>
  <si>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</si>
  <si>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</si>
  <si>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</si>
  <si>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</si>
  <si>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</si>
  <si>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</si>
  <si>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</si>
  <si>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</si>
  <si>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</si>
  <si>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</si>
  <si>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</si>
  <si>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</si>
  <si>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</si>
  <si>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</si>
  <si>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</si>
  <si>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</si>
  <si>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</si>
  <si>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</si>
  <si>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</si>
  <si>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</si>
  <si>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</si>
  <si>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</si>
  <si>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</si>
  <si>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</si>
  <si>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</si>
  <si>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</si>
  <si>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</si>
  <si>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</si>
  <si>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WM+ THA 321 Ngô Quyền</t>
  </si>
  <si>
    <t>321 Ngô Quyền, Phường Trung Sơn, Thành phố Sầm Sơn, T. Thanh Hóa Việt Nam</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</si>
  <si>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</si>
  <si>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</si>
  <si>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</si>
  <si>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</si>
  <si>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</si>
  <si>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</si>
  <si>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</si>
  <si>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</si>
  <si>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</si>
  <si>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</si>
  <si>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</si>
  <si>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</si>
  <si>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</si>
  <si>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</si>
  <si>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</si>
  <si>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</si>
  <si>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</si>
  <si>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</si>
  <si>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</si>
  <si>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</si>
  <si>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</si>
  <si>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</si>
  <si>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</si>
  <si>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</si>
  <si>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</si>
  <si>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WM+ QBH 93 Tố Hữu</t>
  </si>
  <si>
    <t>93 Tố Hữu, Phường Nam Lý, Thành phố Đồng Hới, T. Quảng Bình Việt Nam</t>
  </si>
  <si>
    <t>4874</t>
  </si>
  <si>
    <t>WM+ NAN 307 Nguyễn Văn Cừ</t>
  </si>
  <si>
    <t>307 Nguyễn Văn Cừ, Phường Hưng Bình, Thành phố Vinh, T. Nghệ An Việt Nam</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</si>
  <si>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</si>
  <si>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</si>
  <si>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</si>
  <si>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</si>
  <si>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</si>
  <si>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</si>
  <si>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</si>
  <si>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WM+ THA 410 Bà Triệu</t>
  </si>
  <si>
    <t>410 Bà Triệu, Phường Đông Thọ, Thành phố Thanh Hóa, T. Thanh Hóa Việt Nam</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</si>
  <si>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</si>
  <si>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</si>
  <si>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</si>
  <si>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</si>
  <si>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</si>
  <si>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</si>
  <si>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</si>
  <si>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</si>
  <si>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</si>
  <si>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</si>
  <si>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</si>
  <si>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</si>
  <si>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</si>
  <si>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</si>
  <si>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</si>
  <si>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</si>
  <si>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</si>
  <si>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</si>
  <si>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</si>
  <si>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</si>
  <si>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</si>
  <si>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</si>
  <si>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WM+ NAN 99 Hermann Gmeiner</t>
  </si>
  <si>
    <t>99 Hermann Gmeiner, Phường Hưng Phúc, Thành phố Vinh, T. Nghệ An Việt Nam</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</si>
  <si>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</si>
  <si>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</si>
  <si>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</si>
  <si>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</si>
  <si>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</si>
  <si>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</si>
  <si>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</si>
  <si>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</si>
  <si>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</si>
  <si>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</si>
  <si>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</si>
  <si>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</si>
  <si>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</si>
  <si>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WM+ NAN 93 Tôn Thất Tùng</t>
  </si>
  <si>
    <t>93 Tôn Thất Tùng, Phường Hưng Dũng, Thành phố Vinh, T. Nghệ An Việt Nam</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</si>
  <si>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</si>
  <si>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</si>
  <si>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</si>
  <si>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</si>
  <si>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</si>
  <si>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</si>
  <si>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</si>
  <si>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</si>
  <si>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</si>
  <si>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</si>
  <si>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</si>
  <si>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</si>
  <si>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</si>
  <si>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</si>
  <si>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</si>
  <si>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</si>
  <si>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</si>
  <si>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</si>
  <si>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</si>
  <si>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WM+ NAN 153 Nguyễn Du</t>
  </si>
  <si>
    <t>153 Nguyễn Du, Phường Trung Đô, Thành phố Vinh, T. Nghệ An Việt Nam</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</si>
  <si>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</si>
  <si>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</si>
  <si>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</si>
  <si>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</si>
  <si>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</si>
  <si>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</si>
  <si>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</si>
  <si>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</si>
  <si>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</si>
  <si>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</si>
  <si>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</si>
  <si>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</si>
  <si>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</si>
  <si>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</si>
  <si>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</si>
  <si>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</si>
  <si>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</si>
  <si>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</si>
  <si>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</si>
  <si>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</si>
  <si>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</si>
  <si>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</si>
  <si>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WM+ NAN 37 Nguyễn Thái Học</t>
  </si>
  <si>
    <t>37 Nguyễn Thái Học, Phường Lê Lợi, Thành phố Vinh, T. Nghệ An Việt Nam</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</si>
  <si>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</si>
  <si>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</si>
  <si>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</si>
  <si>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</si>
  <si>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</si>
  <si>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</si>
  <si>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</si>
  <si>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</si>
  <si>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</si>
  <si>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</si>
  <si>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</si>
  <si>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</si>
  <si>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</si>
  <si>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WM+ NAN 45 Nguyễn Sinh Sắc</t>
  </si>
  <si>
    <t>45 Nguyễn Sinh Sắc, Phường Cửa Nam, Thành phố Vinh, T. Nghệ An Việt Nam</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</si>
  <si>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</si>
  <si>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</si>
  <si>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</si>
  <si>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</si>
  <si>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</si>
  <si>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</si>
  <si>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</si>
  <si>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WM+ QBH 31 Hoàng Diệu</t>
  </si>
  <si>
    <t>31 Hoàng Diệu, Phường Nam Lý, Thành phố Đồng Hới, T. Quảng Bình Việt Nam</t>
  </si>
  <si>
    <t>4985</t>
  </si>
  <si>
    <t>WM+ QBH 10 Lê Quý Đôn</t>
  </si>
  <si>
    <t>10 Lê Quý Đôn, Phường Đồng Hải, Thành phố Đồng Hới, T. Quảng Bình Việt Nam</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</si>
  <si>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</si>
  <si>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</si>
  <si>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</si>
  <si>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</si>
  <si>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</si>
  <si>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</si>
  <si>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</si>
  <si>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</si>
  <si>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</si>
  <si>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</si>
  <si>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</si>
  <si>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</si>
  <si>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</si>
  <si>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</si>
  <si>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</si>
  <si>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</si>
  <si>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</si>
  <si>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</si>
  <si>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</si>
  <si>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</si>
  <si>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</si>
  <si>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</si>
  <si>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</si>
  <si>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</si>
  <si>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</si>
  <si>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</si>
  <si>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</si>
  <si>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</si>
  <si>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</si>
  <si>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</si>
  <si>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</si>
  <si>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</si>
  <si>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</si>
  <si>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</si>
  <si>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</si>
  <si>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</si>
  <si>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</si>
  <si>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</si>
  <si>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</si>
  <si>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</si>
  <si>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</si>
  <si>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</si>
  <si>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</si>
  <si>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</si>
  <si>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</si>
  <si>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</si>
  <si>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</si>
  <si>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</si>
  <si>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</si>
  <si>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</si>
  <si>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</si>
  <si>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</si>
  <si>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</si>
  <si>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</si>
  <si>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</si>
  <si>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</si>
  <si>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</si>
  <si>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</si>
  <si>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</si>
  <si>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</si>
  <si>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</si>
  <si>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</si>
  <si>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</si>
  <si>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</si>
  <si>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</si>
  <si>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</si>
  <si>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</si>
  <si>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</si>
  <si>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</si>
  <si>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</si>
  <si>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</si>
  <si>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</si>
  <si>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</si>
  <si>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</si>
  <si>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</si>
  <si>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</si>
  <si>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</si>
  <si>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</si>
  <si>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</si>
  <si>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</si>
  <si>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</si>
  <si>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</si>
  <si>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</si>
  <si>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</si>
  <si>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</si>
  <si>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</si>
  <si>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</si>
  <si>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</si>
  <si>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</si>
  <si>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</si>
  <si>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</si>
  <si>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</si>
  <si>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</si>
  <si>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</si>
  <si>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WM+ HTH 261B Hải Thượng Lãn Ông</t>
  </si>
  <si>
    <t>261B Hải Thượng Lãn Ông, Phường, Tân Giang, Thành phố Hà Tĩnh, T. Hà Tĩnh Việt Nam</t>
  </si>
  <si>
    <t>5070</t>
  </si>
  <si>
    <t>WM+ QBH 55 Lê Thành Đồng</t>
  </si>
  <si>
    <t>55 Lê Thành Đồng, Phường Hải, Thành, Thành phố Đồng Hới, T. Quảng Bình Việt Nam</t>
  </si>
  <si>
    <t>5072</t>
  </si>
  <si>
    <t>WM+ NAN 46 Hải Thượng Lãn Ông</t>
  </si>
  <si>
    <t>46 Hải Thượng Lãn Ông, Phường Hà, Huy Tập, Thành phố Vinh, T. Nghệ An Việt Nam</t>
  </si>
  <si>
    <t>5075</t>
  </si>
  <si>
    <t>WM+ HNI Thôn Thái Hòa, Thạch Thất</t>
  </si>
  <si>
    <t>Thôn Thái Hòa, Xã Bình Phú, Huyện Thạch Thất, TP. Hà Nội Việt Nam</t>
  </si>
  <si>
    <t>5082</t>
  </si>
  <si>
    <t>WM+ QBH 183 Lý Thái Tổ</t>
  </si>
  <si>
    <t>183 Lý Thái Tổ, Phường Đồng Sơn, Thành phố Đồng Hới, T. Quảng Bình Việt Nam</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</si>
  <si>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</si>
  <si>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</si>
  <si>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</si>
  <si>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</si>
  <si>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</si>
  <si>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</si>
  <si>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</si>
  <si>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</si>
  <si>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</si>
  <si>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</si>
  <si>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</si>
  <si>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</si>
  <si>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</si>
  <si>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</si>
  <si>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</si>
  <si>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</si>
  <si>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WM+ QBH 55 Trường Chinh</t>
  </si>
  <si>
    <t>55 Trường Chinh, Phường Bắc Lý, Thành phố Đồng Hới, T. Quảng Bình Việt Nam</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</si>
  <si>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</si>
  <si>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</si>
  <si>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</si>
  <si>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</si>
  <si>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</si>
  <si>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</si>
  <si>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</si>
  <si>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</si>
  <si>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</si>
  <si>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</si>
  <si>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</si>
  <si>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</si>
  <si>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</si>
  <si>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</si>
  <si>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</si>
  <si>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</si>
  <si>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</si>
  <si>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</si>
  <si>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</si>
  <si>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WM+ THA 495 Nguyễn Trãi</t>
  </si>
  <si>
    <t>495 Nguyễn Trãi, Phường Phú Sơn, Thành phố Thanh Hóa, T. Thanh Hóa Việt Nam</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</si>
  <si>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</si>
  <si>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</si>
  <si>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</si>
  <si>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</si>
  <si>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</si>
  <si>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</si>
  <si>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</si>
  <si>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</si>
  <si>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</si>
  <si>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</si>
  <si>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</si>
  <si>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</si>
  <si>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</si>
  <si>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</si>
  <si>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</si>
  <si>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</si>
  <si>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</si>
  <si>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</si>
  <si>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</si>
  <si>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</si>
  <si>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</si>
  <si>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</si>
  <si>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</si>
  <si>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</si>
  <si>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</si>
  <si>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</si>
  <si>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</si>
  <si>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</si>
  <si>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</si>
  <si>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</si>
  <si>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</si>
  <si>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</si>
  <si>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</si>
  <si>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</si>
  <si>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</si>
  <si>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</si>
  <si>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</si>
  <si>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</si>
  <si>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</si>
  <si>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</si>
  <si>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</si>
  <si>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</si>
  <si>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</si>
  <si>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</si>
  <si>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</si>
  <si>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</si>
  <si>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</si>
  <si>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</si>
  <si>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</si>
  <si>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</si>
  <si>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</si>
  <si>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</si>
  <si>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</si>
  <si>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</si>
  <si>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</si>
  <si>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</si>
  <si>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</si>
  <si>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</si>
  <si>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</si>
  <si>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</si>
  <si>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</si>
  <si>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</si>
  <si>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</si>
  <si>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</si>
  <si>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</si>
  <si>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</si>
  <si>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</si>
  <si>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</si>
  <si>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</si>
  <si>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</si>
  <si>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</si>
  <si>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</si>
  <si>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</si>
  <si>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</si>
  <si>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</si>
  <si>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WM+ NAN 25 Nguyễn Trung Ngạn</t>
  </si>
  <si>
    <t>25 Nguyễn Trung Ngạn, Khối 3, Phường Trường Thi, Thành phố Vinh, T. Nghệ An Việt Nam</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</si>
  <si>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</si>
  <si>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</si>
  <si>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</si>
  <si>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</si>
  <si>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</si>
  <si>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</si>
  <si>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</si>
  <si>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</si>
  <si>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</si>
  <si>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</si>
  <si>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</si>
  <si>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</si>
  <si>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</si>
  <si>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</si>
  <si>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</si>
  <si>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</si>
  <si>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</si>
  <si>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</si>
  <si>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</si>
  <si>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</si>
  <si>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</si>
  <si>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</si>
  <si>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WM+ NAN 47 Nguyễn Duy Trinh</t>
  </si>
  <si>
    <t>47 Nguyễn Duy Trinh, Phường Hưng Dũng, Thành phố Vinh, T. Nghệ An Việt Nam</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</si>
  <si>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</si>
  <si>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</si>
  <si>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</si>
  <si>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</si>
  <si>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</si>
  <si>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</si>
  <si>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</si>
  <si>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</si>
  <si>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</si>
  <si>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</si>
  <si>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</si>
  <si>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</si>
  <si>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</si>
  <si>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</si>
  <si>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</si>
  <si>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</si>
  <si>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</si>
  <si>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</si>
  <si>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</si>
  <si>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</si>
  <si>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</si>
  <si>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</si>
  <si>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</si>
  <si>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</si>
  <si>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</si>
  <si>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WM+ HTH 36 Phan Đình Giót</t>
  </si>
  <si>
    <t>36 Phan Đình Giót, Phường Nam Hà, Thành phố Hà Tĩnh, T. Hà Tĩnh Việt Nam</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</si>
  <si>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</si>
  <si>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</si>
  <si>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</si>
  <si>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</si>
  <si>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</si>
  <si>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</si>
  <si>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</si>
  <si>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</si>
  <si>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</si>
  <si>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</si>
  <si>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</si>
  <si>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</si>
  <si>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</si>
  <si>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WM+ NAN 80 Lê Hồng Phong</t>
  </si>
  <si>
    <t>80 Lê Hồng Phong, Phường Hưng Bình, Thành phố Vinh, T. Nghệ An Việt Nam</t>
  </si>
  <si>
    <t>5283</t>
  </si>
  <si>
    <t>WM+ NAN 88 Lê Viết Thuật</t>
  </si>
  <si>
    <t>88 Lê Viết Thuật, Xã Hưng Lộc, Thành phố Vinh, T. Nghệ An Việt Nam</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</si>
  <si>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</si>
  <si>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</si>
  <si>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</si>
  <si>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</si>
  <si>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</si>
  <si>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</si>
  <si>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</si>
  <si>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</si>
  <si>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</si>
  <si>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</si>
  <si>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</si>
  <si>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</si>
  <si>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</si>
  <si>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</si>
  <si>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</si>
  <si>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</si>
  <si>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</si>
  <si>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</si>
  <si>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</si>
  <si>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</si>
  <si>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</si>
  <si>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</si>
  <si>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</si>
  <si>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</si>
  <si>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</si>
  <si>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</si>
  <si>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</si>
  <si>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</si>
  <si>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</si>
  <si>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</si>
  <si>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</si>
  <si>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</si>
  <si>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</si>
  <si>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</si>
  <si>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</si>
  <si>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</si>
  <si>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</si>
  <si>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</si>
  <si>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</si>
  <si>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</si>
  <si>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</si>
  <si>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</si>
  <si>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</si>
  <si>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</si>
  <si>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</si>
  <si>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</si>
  <si>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</si>
  <si>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</si>
  <si>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</si>
  <si>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</si>
  <si>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</si>
  <si>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</si>
  <si>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</si>
  <si>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</si>
  <si>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</si>
  <si>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</si>
  <si>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</si>
  <si>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</si>
  <si>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WM+ NAN 22A Nguyễn Văn Trỗi</t>
  </si>
  <si>
    <t>22A Nguyễn Văn Trỗi, Phường Bến Thủy, Thành phố Vinh, T. Nghệ An Việt Nam</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</si>
  <si>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</si>
  <si>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</si>
  <si>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</si>
  <si>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</si>
  <si>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Kiot A01, A02, A03, B01, B02 Dự án chợ Thạch Hà, thị trấn Thạch Hà, Huyện Thạch Hà, T. Hà Tĩnh Việt Nam</t>
  </si>
  <si>
    <t>5340</t>
  </si>
  <si>
    <t>WM+ HNI 17 Ngõ 75 Hồ Tùng Mậu</t>
  </si>
  <si>
    <t>17 Ngõ 75 Hồ Tùng Mậu, Phường Mai Dịch, Quận Cầu Giấy, TP. Hà Nội Việt Nam</t>
  </si>
  <si>
    <t>5341</t>
  </si>
  <si>
    <t>WM+ HNI Thôn 3 Xã Phượng Cách</t>
  </si>
  <si>
    <t>Thôn 3 Xã Phượng Cách, Huyện Quốc Oai, TP. Hà Nội Việt Nam</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</si>
  <si>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</si>
  <si>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</si>
  <si>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</si>
  <si>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</si>
  <si>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</si>
  <si>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</si>
  <si>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</si>
  <si>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</si>
  <si>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</si>
  <si>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</si>
  <si>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</si>
  <si>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</si>
  <si>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</si>
  <si>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</si>
  <si>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</si>
  <si>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</si>
  <si>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</si>
  <si>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</si>
  <si>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</si>
  <si>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</si>
  <si>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</si>
  <si>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</si>
  <si>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</si>
  <si>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</si>
  <si>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</si>
  <si>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</si>
  <si>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</si>
  <si>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</si>
  <si>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</si>
  <si>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</si>
  <si>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</si>
  <si>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</si>
  <si>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</si>
  <si>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</si>
  <si>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</si>
  <si>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</si>
  <si>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</si>
  <si>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</si>
  <si>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</si>
  <si>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</si>
  <si>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</si>
  <si>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</si>
  <si>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</si>
  <si>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</si>
  <si>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</si>
  <si>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</si>
  <si>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</si>
  <si>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</si>
  <si>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</si>
  <si>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</si>
  <si>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</si>
  <si>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</si>
  <si>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</si>
  <si>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</si>
  <si>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</si>
  <si>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</si>
  <si>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</si>
  <si>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</si>
  <si>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</si>
  <si>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</si>
  <si>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</si>
  <si>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</si>
  <si>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</si>
  <si>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</si>
  <si>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</si>
  <si>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</si>
  <si>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</si>
  <si>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</si>
  <si>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</si>
  <si>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</si>
  <si>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</si>
  <si>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</si>
  <si>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</si>
  <si>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</si>
  <si>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</si>
  <si>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</si>
  <si>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</si>
  <si>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</si>
  <si>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</si>
  <si>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</si>
  <si>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</si>
  <si>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</si>
  <si>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</si>
  <si>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</si>
  <si>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</si>
  <si>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</si>
  <si>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</si>
  <si>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</si>
  <si>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</si>
  <si>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</si>
  <si>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</si>
  <si>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</si>
  <si>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</si>
  <si>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</si>
  <si>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</si>
  <si>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</si>
  <si>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</si>
  <si>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</si>
  <si>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</si>
  <si>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</si>
  <si>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</si>
  <si>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</si>
  <si>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</si>
  <si>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</si>
  <si>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</si>
  <si>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</si>
  <si>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</si>
  <si>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</si>
  <si>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</si>
  <si>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</si>
  <si>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</si>
  <si>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</si>
  <si>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</si>
  <si>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</si>
  <si>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</si>
  <si>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</si>
  <si>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</si>
  <si>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</si>
  <si>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</si>
  <si>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</si>
  <si>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</si>
  <si>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</si>
  <si>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</si>
  <si>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</si>
  <si>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</si>
  <si>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</si>
  <si>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</si>
  <si>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</si>
  <si>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</si>
  <si>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</si>
  <si>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</si>
  <si>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</si>
  <si>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</si>
  <si>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</si>
  <si>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</si>
  <si>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</si>
  <si>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</si>
  <si>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</si>
  <si>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</si>
  <si>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</si>
  <si>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</si>
  <si>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</si>
  <si>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</si>
  <si>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</si>
  <si>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</si>
  <si>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</si>
  <si>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</si>
  <si>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</si>
  <si>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</si>
  <si>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</si>
  <si>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</si>
  <si>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</si>
  <si>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</si>
  <si>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</si>
  <si>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</si>
  <si>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</si>
  <si>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</si>
  <si>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</si>
  <si>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</si>
  <si>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</si>
  <si>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</si>
  <si>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</si>
  <si>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</si>
  <si>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</si>
  <si>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</si>
  <si>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</si>
  <si>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</si>
  <si>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</si>
  <si>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</si>
  <si>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</si>
  <si>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</si>
  <si>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</si>
  <si>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</si>
  <si>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</si>
  <si>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</si>
  <si>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</si>
  <si>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</si>
  <si>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</si>
  <si>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</si>
  <si>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</si>
  <si>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</si>
  <si>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</si>
  <si>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</si>
  <si>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</si>
  <si>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</si>
  <si>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</si>
  <si>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</si>
  <si>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</si>
  <si>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</si>
  <si>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</si>
  <si>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</si>
  <si>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</si>
  <si>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</si>
  <si>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</si>
  <si>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</si>
  <si>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</si>
  <si>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</si>
  <si>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</si>
  <si>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</si>
  <si>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</si>
  <si>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</si>
  <si>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</si>
  <si>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</si>
  <si>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</si>
  <si>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</si>
  <si>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</si>
  <si>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</si>
  <si>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</si>
  <si>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</si>
  <si>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</si>
  <si>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</si>
  <si>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WM+ THA Lô 01-05 MBQH 1087 Ngọc Trạ</t>
  </si>
  <si>
    <t>Lô 01-05 MBQH số 1087 Phường Ngọc Trạo, Thành phố Thanh Hóa, T. Thanh Hóa Việt Nam</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</si>
  <si>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</si>
  <si>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</si>
  <si>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</si>
  <si>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</si>
  <si>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</si>
  <si>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</si>
  <si>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</si>
  <si>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</si>
  <si>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</si>
  <si>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</si>
  <si>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</si>
  <si>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</si>
  <si>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</si>
  <si>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</si>
  <si>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</si>
  <si>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</si>
  <si>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</si>
  <si>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</si>
  <si>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</si>
  <si>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</si>
  <si>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</si>
  <si>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</si>
  <si>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</si>
  <si>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</si>
  <si>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</si>
  <si>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</si>
  <si>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</si>
  <si>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</si>
  <si>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</si>
  <si>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</si>
  <si>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</si>
  <si>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</si>
  <si>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</si>
  <si>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</si>
  <si>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</si>
  <si>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</si>
  <si>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</si>
  <si>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WM+ NAN 243 Phùng Chí Kiên</t>
  </si>
  <si>
    <t>243 Phùng Chí Kiên, P.Hà Huy Tập, Thành phố Vinh, T. Nghệ An Việt Nam</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</si>
  <si>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</si>
  <si>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</si>
  <si>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</si>
  <si>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</si>
  <si>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</si>
  <si>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</si>
  <si>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</si>
  <si>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</si>
  <si>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</si>
  <si>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</si>
  <si>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</si>
  <si>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</si>
  <si>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</si>
  <si>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</si>
  <si>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</si>
  <si>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</si>
  <si>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</si>
  <si>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</si>
  <si>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</si>
  <si>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</si>
  <si>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</si>
  <si>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</si>
  <si>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WM+ THA 150-152 Trần Hưng Đạo</t>
  </si>
  <si>
    <t>Số 150-152 Trần Hưng Đạo, Phường Nam Ngạn, TP. Thanh Hóa, T. Thanh Hóa Việt Nam</t>
  </si>
  <si>
    <t>5567</t>
  </si>
  <si>
    <t>WM+ HNI 265 Bạch Đằng</t>
  </si>
  <si>
    <t>265 Bạch Đằng, Phường Chương Dương, Quận Hoàn Kiếm, TP. Hà Nội Việt Nam</t>
  </si>
  <si>
    <t>5568</t>
  </si>
  <si>
    <t>WM+ THA 10 Lê Hoàn</t>
  </si>
  <si>
    <t>10 Lê Hoàn, Phường Điện Biên, TP. Thanh Hóa, T. Thanh Hóa Việt Nam</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</si>
  <si>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</si>
  <si>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</si>
  <si>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</si>
  <si>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</si>
  <si>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</si>
  <si>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</si>
  <si>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</si>
  <si>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</si>
  <si>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</si>
  <si>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</si>
  <si>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</si>
  <si>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</si>
  <si>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</si>
  <si>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</si>
  <si>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</si>
  <si>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</si>
  <si>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WM+ NAN 1 Lê Mao</t>
  </si>
  <si>
    <t>Số 01 Lê Mao kéo dài, P.Hồng Sơn, TP.Vinh, Nghệ An Việt Nam</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</si>
  <si>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</si>
  <si>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</si>
  <si>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</si>
  <si>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</si>
  <si>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</si>
  <si>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</si>
  <si>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</si>
  <si>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</si>
  <si>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</si>
  <si>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</si>
  <si>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</si>
  <si>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</si>
  <si>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</si>
  <si>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</si>
  <si>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</si>
  <si>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</si>
  <si>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</si>
  <si>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</si>
  <si>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</si>
  <si>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</si>
  <si>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</si>
  <si>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</si>
  <si>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</si>
  <si>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</si>
  <si>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</si>
  <si>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</si>
  <si>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</si>
  <si>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</si>
  <si>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</si>
  <si>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</si>
  <si>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</si>
  <si>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</si>
  <si>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</si>
  <si>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</si>
  <si>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</si>
  <si>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</si>
  <si>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</si>
  <si>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</si>
  <si>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</si>
  <si>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</si>
  <si>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</si>
  <si>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</si>
  <si>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</si>
  <si>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</si>
  <si>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</si>
  <si>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</si>
  <si>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</si>
  <si>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</si>
  <si>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</si>
  <si>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</si>
  <si>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</si>
  <si>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</si>
  <si>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</si>
  <si>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</si>
  <si>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</si>
  <si>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</si>
  <si>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</si>
  <si>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</si>
  <si>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</si>
  <si>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</si>
  <si>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</si>
  <si>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WM+ NAN 62 Phạm Hồng Thái</t>
  </si>
  <si>
    <t>62 Phạm Hồng Thái, Phường Vinh Tân, TP Vinh, Nghệ An Việt Nam</t>
  </si>
  <si>
    <t>5602</t>
  </si>
  <si>
    <t>WM+ HNI 88 Kim Giang</t>
  </si>
  <si>
    <t>Số 88, 90 đường Kim Giang, tổ 33, phường Đại Kim, Quận Hoàng Mai, Hà Nội Việt Nam</t>
  </si>
  <si>
    <t>5603</t>
  </si>
  <si>
    <t>WM+ THA 593 Trần Phú</t>
  </si>
  <si>
    <t>593 Trần Phú, Phường Lam Sơn, Thị xã Bỉm Sơn, Thanh Hóa Việt Nam</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</si>
  <si>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</si>
  <si>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</si>
  <si>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</si>
  <si>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</si>
  <si>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</si>
  <si>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</si>
  <si>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</si>
  <si>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</si>
  <si>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</si>
  <si>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</si>
  <si>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WM+ HTH 08 Đường 3/2 Hồng Lĩnh</t>
  </si>
  <si>
    <t>Số 8 đường 3/2, phường Bắc Hồng, thị xã Hồng Lĩnh, Hà Tĩnh Việt Nam</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</si>
  <si>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</si>
  <si>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</si>
  <si>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</si>
  <si>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</si>
  <si>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</si>
  <si>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</si>
  <si>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</si>
  <si>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</si>
  <si>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</si>
  <si>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</si>
  <si>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</si>
  <si>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</si>
  <si>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</si>
  <si>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</si>
  <si>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</si>
  <si>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</si>
  <si>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</si>
  <si>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</si>
  <si>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</si>
  <si>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</si>
  <si>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</si>
  <si>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</si>
  <si>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</si>
  <si>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</si>
  <si>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</si>
  <si>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</si>
  <si>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</si>
  <si>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</si>
  <si>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</si>
  <si>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</si>
  <si>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</si>
  <si>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</si>
  <si>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</si>
  <si>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</si>
  <si>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WM+ QBH 161 Hai Bà Trưng</t>
  </si>
  <si>
    <t>Số 161 Hai Bà Trưng, phường Đồng Phú, TP. Đồng Hới, Tỉnh Quảng Bình. Việt Nam</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</si>
  <si>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</si>
  <si>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</si>
  <si>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</si>
  <si>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</si>
  <si>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</si>
  <si>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</si>
  <si>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</si>
  <si>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</si>
  <si>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</si>
  <si>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</si>
  <si>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</si>
  <si>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</si>
  <si>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</si>
  <si>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</si>
  <si>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</si>
  <si>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</si>
  <si>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WM+ NAN 243 Lê Viết Thuật</t>
  </si>
  <si>
    <t>Số 243 Lê Viết Thuật, P. Hưng Lộc, Tp. Vinh, T. Nghệ An Việt Nam</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</si>
  <si>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</si>
  <si>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</si>
  <si>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</si>
  <si>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</si>
  <si>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</si>
  <si>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</si>
  <si>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</si>
  <si>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</si>
  <si>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</si>
  <si>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</si>
  <si>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</si>
  <si>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</si>
  <si>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</si>
  <si>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</si>
  <si>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</si>
  <si>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</si>
  <si>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</si>
  <si>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</si>
  <si>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</si>
  <si>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</si>
  <si>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</si>
  <si>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</si>
  <si>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</si>
  <si>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</si>
  <si>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</si>
  <si>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</si>
  <si>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</si>
  <si>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</si>
  <si>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</si>
  <si>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</si>
  <si>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</si>
  <si>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WM+ THA 66B Phố Thiều</t>
  </si>
  <si>
    <t>Số 66B Phố Thiều, xã Dân Lý, huyện Triệu Sơn, tỉnh Thanh Hóa Việt Nam</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</si>
  <si>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</si>
  <si>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</si>
  <si>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</si>
  <si>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</si>
  <si>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</si>
  <si>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</si>
  <si>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</si>
  <si>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</si>
  <si>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</si>
  <si>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</si>
  <si>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</si>
  <si>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</si>
  <si>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</si>
  <si>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</si>
  <si>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</si>
  <si>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</si>
  <si>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</si>
  <si>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</si>
  <si>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</si>
  <si>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</si>
  <si>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</si>
  <si>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</si>
  <si>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</si>
  <si>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</si>
  <si>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</si>
  <si>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</si>
  <si>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</si>
  <si>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</si>
  <si>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</si>
  <si>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</si>
  <si>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</si>
  <si>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</si>
  <si>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</si>
  <si>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</si>
  <si>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</si>
  <si>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</si>
  <si>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</si>
  <si>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</si>
  <si>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</si>
  <si>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</si>
  <si>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</si>
  <si>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</si>
  <si>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</si>
  <si>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</si>
  <si>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</si>
  <si>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</si>
  <si>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</si>
  <si>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</si>
  <si>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</si>
  <si>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</si>
  <si>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</si>
  <si>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</si>
  <si>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</si>
  <si>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</si>
  <si>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</si>
  <si>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</si>
  <si>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</si>
  <si>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</si>
  <si>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</si>
  <si>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Xóm 4, Thôn Đoan Nữ, Xã An Mỹ, Huyện Mỹ Đức, TP. Hà Nội Việt Nam</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</si>
  <si>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</si>
  <si>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</si>
  <si>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</si>
  <si>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</si>
  <si>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</si>
  <si>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</si>
  <si>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</si>
  <si>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</si>
  <si>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</si>
  <si>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</si>
  <si>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WM+ NAN Xóm 9 Diễn Thành, Diễn Châu</t>
  </si>
  <si>
    <t>Xóm 9, Xã Diễn Thành, Huyện Diễn Châu, T. Nghệ An Việt Nam</t>
  </si>
  <si>
    <t>5693</t>
  </si>
  <si>
    <t>WM+ HDG 29 Nguyễn Đăng Lành, Nam Sá</t>
  </si>
  <si>
    <t>Số 29 Nguyễn Đăng Lành, Thị trấn Nam Sách, Huyện Nam Sách, T. Hải Dương Việt Nam</t>
  </si>
  <si>
    <t>5694</t>
  </si>
  <si>
    <t>WM+ HDG 40 Trần Hưng Đạo, Nam Sách</t>
  </si>
  <si>
    <t>Số 40, đường Trần Hưng Đạo, Thị trấn Nam Sách, Huyện Nam Sách, T. Hải Dương Việt Nam</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</si>
  <si>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</si>
  <si>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</si>
  <si>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</si>
  <si>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</si>
  <si>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</si>
  <si>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</si>
  <si>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</si>
  <si>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</si>
  <si>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</si>
  <si>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</si>
  <si>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</si>
  <si>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</si>
  <si>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</si>
  <si>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</si>
  <si>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</si>
  <si>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</si>
  <si>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</si>
  <si>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</si>
  <si>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</si>
  <si>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</si>
  <si>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</si>
  <si>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</si>
  <si>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</si>
  <si>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</si>
  <si>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</si>
  <si>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</si>
  <si>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</si>
  <si>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</si>
  <si>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</si>
  <si>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</si>
  <si>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</si>
  <si>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</si>
  <si>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</si>
  <si>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</si>
  <si>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</si>
  <si>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</si>
  <si>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</si>
  <si>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</si>
  <si>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</si>
  <si>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</si>
  <si>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</si>
  <si>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</si>
  <si>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</si>
  <si>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</si>
  <si>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</si>
  <si>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</si>
  <si>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</si>
  <si>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</si>
  <si>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</si>
  <si>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</si>
  <si>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</si>
  <si>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</si>
  <si>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</si>
  <si>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</si>
  <si>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</si>
  <si>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Số 234 đường Xô Viết Nghệ Tĩnh, Thị trấn Nghèn, Huyện Can Lộc, Tỉnh Hà Tĩnh. Việt Nam</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</si>
  <si>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</si>
  <si>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</si>
  <si>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</si>
  <si>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</si>
  <si>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</si>
  <si>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</si>
  <si>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</si>
  <si>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</si>
  <si>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</si>
  <si>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</si>
  <si>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</si>
  <si>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</si>
  <si>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</si>
  <si>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WM+ NAN Chợ Cầu Giát</t>
  </si>
  <si>
    <t>Khối 6, Thị trấn Cầu Giát, Huyện Quỳnh Lưu, Tỉnh Nghệ An T. Nghệ An Việt Nam</t>
  </si>
  <si>
    <t>5730</t>
  </si>
  <si>
    <t>WM+ THA 210 Phố Môi</t>
  </si>
  <si>
    <t>Số 210 Phố Môi, xã Quảng Tâm, Tp. Thanh Hóa, tỉnh Thanh Hóa Việt Nam</t>
  </si>
  <si>
    <t>5731</t>
  </si>
  <si>
    <t>WM+ THA 04 Đường Thanh Niên</t>
  </si>
  <si>
    <t>Số 04 đường Thanh Niên, thị trấn Tân Phong, huyện Quảng Xương, Tỉnh Thanh Hóa Việt Nam</t>
  </si>
  <si>
    <t>5735</t>
  </si>
  <si>
    <t>WM+ HGG 159 Trường Chinh, Bắc Quang</t>
  </si>
  <si>
    <t>Số 159 Trường Chinh, Thị trấn Việt Quang, Huyện Bắc Quang, T. Hà Giang Việt Nam</t>
  </si>
  <si>
    <t>5737</t>
  </si>
  <si>
    <t>Số 9 đường Nguyễn Thiếp, Thị trấn Nghèn, Huyện Can Lộc, Tỉnh Hà Tĩnh Việt Nam</t>
  </si>
  <si>
    <t>5738</t>
  </si>
  <si>
    <t>WM+ THA 17 Hai Bà Trưng</t>
  </si>
  <si>
    <t>17 đường Hai Bà Trưng, phường Ngọc Trạo, thị xã Bỉm Sơn, tỉnh Thanh Hóa Việt Nam</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</si>
  <si>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</si>
  <si>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</si>
  <si>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</si>
  <si>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</si>
  <si>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</si>
  <si>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</si>
  <si>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</si>
  <si>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</si>
  <si>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</si>
  <si>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</si>
  <si>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</si>
  <si>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</si>
  <si>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</si>
  <si>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</si>
  <si>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</si>
  <si>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</si>
  <si>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WM+ THA 167 Tiểu khu 3, Thiệu Hóa</t>
  </si>
  <si>
    <t>167 Tiểu khu 3, TT. Thiệu Hóa, H. Thiệu Hóa Tỉnh Thanh Hóa Việt Nam</t>
  </si>
  <si>
    <t>5747</t>
  </si>
  <si>
    <t>WM+ THA 28 Tân Phong, Triệu Sơn</t>
  </si>
  <si>
    <t>Số 28 Tân Phong, Thị trấn Triệu Sơn, huyện Triệu Sơn, T. Thanh Hóa Việt Nam</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</si>
  <si>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</si>
  <si>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</si>
  <si>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</si>
  <si>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</si>
  <si>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</si>
  <si>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</si>
  <si>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</si>
  <si>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</si>
  <si>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</si>
  <si>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</si>
  <si>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</si>
  <si>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</si>
  <si>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</si>
  <si>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</si>
  <si>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</si>
  <si>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</si>
  <si>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</si>
  <si>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</si>
  <si>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</si>
  <si>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</si>
  <si>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</si>
  <si>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</si>
  <si>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</si>
  <si>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</si>
  <si>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</si>
  <si>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</si>
  <si>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</si>
  <si>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</si>
  <si>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</si>
  <si>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</si>
  <si>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</si>
  <si>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</si>
  <si>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</si>
  <si>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</si>
  <si>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</si>
  <si>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</si>
  <si>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</si>
  <si>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</si>
  <si>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</si>
  <si>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</si>
  <si>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</si>
  <si>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</si>
  <si>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</si>
  <si>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</si>
  <si>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</si>
  <si>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</si>
  <si>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</si>
  <si>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</si>
  <si>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</si>
  <si>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</si>
  <si>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</si>
  <si>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</si>
  <si>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</si>
  <si>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</si>
  <si>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</si>
  <si>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</si>
  <si>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</si>
  <si>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</si>
  <si>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</si>
  <si>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</si>
  <si>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</si>
  <si>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</si>
  <si>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</si>
  <si>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</si>
  <si>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</si>
  <si>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</si>
  <si>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</si>
  <si>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</si>
  <si>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</si>
  <si>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</si>
  <si>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Số 150 đường Nguyễn Du, Thị trấn Tiên Điền, Huyện Nghi Xuân, T. Hà Tĩnh Việt Nam</t>
  </si>
  <si>
    <t>5787</t>
  </si>
  <si>
    <t>WM+ HPG Lô C02 Pearl River 2</t>
  </si>
  <si>
    <t>KS Pearl River 2, Lô C02, dự án xây dựng nhà ở Anh Dũng phường Anh Dũng, quận Dương Kinh, TP. Hải Phòng Việt Nam</t>
  </si>
  <si>
    <t>5788</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</si>
  <si>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</si>
  <si>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</si>
  <si>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</si>
  <si>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</si>
  <si>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</si>
  <si>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</si>
  <si>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</si>
  <si>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</si>
  <si>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</si>
  <si>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</si>
  <si>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</si>
  <si>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</si>
  <si>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</si>
  <si>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</si>
  <si>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</si>
  <si>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</si>
  <si>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</si>
  <si>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</si>
  <si>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</si>
  <si>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</si>
  <si>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</si>
  <si>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</si>
  <si>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</si>
  <si>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</si>
  <si>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</si>
  <si>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</si>
  <si>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</si>
  <si>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</si>
  <si>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</si>
  <si>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</si>
  <si>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</si>
  <si>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</si>
  <si>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</si>
  <si>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</si>
  <si>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</si>
  <si>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</si>
  <si>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</si>
  <si>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</si>
  <si>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Số nhà 211 Thôn 3 Giang Cao, Xã Bát Tràng, Huyện Gia Lâm, TP. Hà Nội Việt Nam</t>
  </si>
  <si>
    <t>5813</t>
  </si>
  <si>
    <t>WM+ HNI Nội Phật, Sóc Sơn</t>
  </si>
  <si>
    <t>Thôn Nội Phật, xã Mai Đình, huyện Sóc Sơn, TP. Hà Nội Việt Nam</t>
  </si>
  <si>
    <t>5814</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</si>
  <si>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</si>
  <si>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</si>
  <si>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</si>
  <si>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</si>
  <si>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</si>
  <si>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</si>
  <si>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</si>
  <si>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</si>
  <si>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</si>
  <si>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</si>
  <si>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</si>
  <si>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</si>
  <si>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</si>
  <si>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</si>
  <si>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</si>
  <si>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</si>
  <si>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</si>
  <si>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</si>
  <si>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</si>
  <si>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</si>
  <si>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</si>
  <si>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</si>
  <si>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</si>
  <si>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</si>
  <si>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</si>
  <si>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</si>
  <si>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</si>
  <si>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</si>
  <si>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</si>
  <si>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</si>
  <si>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</si>
  <si>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</si>
  <si>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</si>
  <si>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</si>
  <si>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</si>
  <si>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</si>
  <si>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</si>
  <si>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</si>
  <si>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</si>
  <si>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</si>
  <si>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</si>
  <si>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</si>
  <si>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</si>
  <si>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</si>
  <si>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</si>
  <si>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</si>
  <si>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</si>
  <si>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</si>
  <si>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</si>
  <si>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</si>
  <si>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</si>
  <si>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</si>
  <si>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</si>
  <si>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</si>
  <si>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</si>
  <si>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</si>
  <si>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</si>
  <si>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</si>
  <si>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</si>
  <si>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</si>
  <si>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</si>
  <si>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75 Cao Bang, khu Cao Bang, xã Thanh Minh, thị xã Phú Thọ, T. Phú Thọ Việt Nam</t>
  </si>
  <si>
    <t>5847</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</si>
  <si>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</si>
  <si>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</si>
  <si>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</si>
  <si>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</si>
  <si>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</si>
  <si>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</si>
  <si>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</si>
  <si>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</si>
  <si>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</si>
  <si>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</si>
  <si>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</si>
  <si>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</si>
  <si>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</si>
  <si>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</si>
  <si>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</si>
  <si>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</si>
  <si>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</si>
  <si>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</si>
  <si>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</si>
  <si>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</si>
  <si>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</si>
  <si>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</si>
  <si>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</si>
  <si>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</si>
  <si>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</si>
  <si>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</si>
  <si>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</si>
  <si>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</si>
  <si>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</si>
  <si>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</si>
  <si>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</si>
  <si>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</si>
  <si>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</si>
  <si>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</si>
  <si>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</si>
  <si>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</si>
  <si>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</si>
  <si>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WM+ TNN 109 Cách Mạng Tháng Tám</t>
  </si>
  <si>
    <t>109 Đường Cách mạng tháng tám, phường Thắng Lợi, thành phố Sông Công, T. Thái Nguyên Việt Nam</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</si>
  <si>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</si>
  <si>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</si>
  <si>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</si>
  <si>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</si>
  <si>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</si>
  <si>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</si>
  <si>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</si>
  <si>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</si>
  <si>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</si>
  <si>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</si>
  <si>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</si>
  <si>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</si>
  <si>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</si>
  <si>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</si>
  <si>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</si>
  <si>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</si>
  <si>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</si>
  <si>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</si>
  <si>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</si>
  <si>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</si>
  <si>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</si>
  <si>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</si>
  <si>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</si>
  <si>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</si>
  <si>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</si>
  <si>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</si>
  <si>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</si>
  <si>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</si>
  <si>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</si>
  <si>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</si>
  <si>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</si>
  <si>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</si>
  <si>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</si>
  <si>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</si>
  <si>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</si>
  <si>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</si>
  <si>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</si>
  <si>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</si>
  <si>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</si>
  <si>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</si>
  <si>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</si>
  <si>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</si>
  <si>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</si>
  <si>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</si>
  <si>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</si>
  <si>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</si>
  <si>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</si>
  <si>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</si>
  <si>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</si>
  <si>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</si>
  <si>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</si>
  <si>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</si>
  <si>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</si>
  <si>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</si>
  <si>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</si>
  <si>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</si>
  <si>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</si>
  <si>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</si>
  <si>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</si>
  <si>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</si>
  <si>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</si>
  <si>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</si>
  <si>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</si>
  <si>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</si>
  <si>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</si>
  <si>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</si>
  <si>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</si>
  <si>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</si>
  <si>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</si>
  <si>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</si>
  <si>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</si>
  <si>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</si>
  <si>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</si>
  <si>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</si>
  <si>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</si>
  <si>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</si>
  <si>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</si>
  <si>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</si>
  <si>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</si>
  <si>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</si>
  <si>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</si>
  <si>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</si>
  <si>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WM+ QNH Tổ 37 Khu 3 Bạch Đằng</t>
  </si>
  <si>
    <t>Tổ 37 Khu 3, Phường Bạch Đằng, Thành phố Hạ Long, T. Quảng Ninh Việt Nam</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</si>
  <si>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</si>
  <si>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</si>
  <si>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</si>
  <si>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</si>
  <si>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</si>
  <si>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</si>
  <si>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</si>
  <si>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</si>
  <si>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</si>
  <si>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</si>
  <si>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</si>
  <si>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</si>
  <si>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</si>
  <si>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</si>
  <si>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</si>
  <si>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</si>
  <si>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</si>
  <si>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</si>
  <si>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</si>
  <si>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WM+ NAN 241 Nguyễn Trãi</t>
  </si>
  <si>
    <t>Số 241 Nguyễn Trãi, Phường Quán Bàu, Thành phố Vinh, T. Nghệ An Việt Nam</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</si>
  <si>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</si>
  <si>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</si>
  <si>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</si>
  <si>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</si>
  <si>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</si>
  <si>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</si>
  <si>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</si>
  <si>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</si>
  <si>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</si>
  <si>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</si>
  <si>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Xóm 5, Xã Nga Yên, Huyện Nga Sơn, T. Thanh Hóa Việt Nam</t>
  </si>
  <si>
    <t>5914</t>
  </si>
  <si>
    <t>WM+ THA 474 Vinh Sơn</t>
  </si>
  <si>
    <t>474 Phố Vinh Sơn, Thị trấn Bút Sơn, huyện Hoằng Hóa, T. Thanh Hóa Việt Nam</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</si>
  <si>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</si>
  <si>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</si>
  <si>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</si>
  <si>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</si>
  <si>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</si>
  <si>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</si>
  <si>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</si>
  <si>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</si>
  <si>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</si>
  <si>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</si>
  <si>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</si>
  <si>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</si>
  <si>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</si>
  <si>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</si>
  <si>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</si>
  <si>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</si>
  <si>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</si>
  <si>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</si>
  <si>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</si>
  <si>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</si>
  <si>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</si>
  <si>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</si>
  <si>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</si>
  <si>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</si>
  <si>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</si>
  <si>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</si>
  <si>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</si>
  <si>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</si>
  <si>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</si>
  <si>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</si>
  <si>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</si>
  <si>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</si>
  <si>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</si>
  <si>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</si>
  <si>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</si>
  <si>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</si>
  <si>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</si>
  <si>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</si>
  <si>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</si>
  <si>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</si>
  <si>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</si>
  <si>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</si>
  <si>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</si>
  <si>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</si>
  <si>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</si>
  <si>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</si>
  <si>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</si>
  <si>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</si>
  <si>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</si>
  <si>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</si>
  <si>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</si>
  <si>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</si>
  <si>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</si>
  <si>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</si>
  <si>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</si>
  <si>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</si>
  <si>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</si>
  <si>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</si>
  <si>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</si>
  <si>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</si>
  <si>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</si>
  <si>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</si>
  <si>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</si>
  <si>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</si>
  <si>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</si>
  <si>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</si>
  <si>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</si>
  <si>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</si>
  <si>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</si>
  <si>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</si>
  <si>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</si>
  <si>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</si>
  <si>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</si>
  <si>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</si>
  <si>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</si>
  <si>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</si>
  <si>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</si>
  <si>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</si>
  <si>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</si>
  <si>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Khu dân cư Đông Nam, phường Hiến Thành, thị xã Kinh Môn, T. Hải Dương Việt Nam</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</si>
  <si>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</si>
  <si>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</si>
  <si>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</si>
  <si>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</si>
  <si>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</si>
  <si>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</si>
  <si>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</si>
  <si>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</si>
  <si>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</si>
  <si>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</si>
  <si>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</si>
  <si>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</si>
  <si>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</si>
  <si>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</si>
  <si>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</si>
  <si>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</si>
  <si>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</si>
  <si>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</si>
  <si>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</si>
  <si>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</si>
  <si>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</si>
  <si>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</si>
  <si>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</si>
  <si>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</si>
  <si>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</si>
  <si>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</si>
  <si>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</si>
  <si>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</si>
  <si>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</si>
  <si>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</si>
  <si>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</si>
  <si>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</si>
  <si>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</si>
  <si>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</si>
  <si>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</si>
  <si>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</si>
  <si>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</si>
  <si>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</si>
  <si>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</si>
  <si>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</si>
  <si>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</si>
  <si>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</si>
  <si>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</si>
  <si>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</si>
  <si>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</si>
  <si>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</si>
  <si>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</si>
  <si>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</si>
  <si>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</si>
  <si>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</si>
  <si>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</si>
  <si>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</si>
  <si>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</si>
  <si>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</si>
  <si>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</si>
  <si>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</si>
  <si>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</si>
  <si>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</si>
  <si>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</si>
  <si>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</si>
  <si>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</si>
  <si>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</si>
  <si>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</si>
  <si>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</si>
  <si>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</si>
  <si>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</si>
  <si>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</si>
  <si>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</si>
  <si>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</si>
  <si>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</si>
  <si>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</si>
  <si>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</si>
  <si>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</si>
  <si>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</si>
  <si>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</si>
  <si>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</si>
  <si>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</si>
  <si>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</si>
  <si>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</si>
  <si>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</si>
  <si>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</si>
  <si>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</si>
  <si>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</si>
  <si>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</si>
  <si>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</si>
  <si>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</si>
  <si>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</si>
  <si>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</si>
  <si>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</si>
  <si>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</si>
  <si>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</si>
  <si>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</si>
  <si>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</si>
  <si>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</si>
  <si>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</si>
  <si>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</si>
  <si>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</si>
  <si>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</si>
  <si>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</si>
  <si>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</si>
  <si>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</si>
  <si>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</si>
  <si>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</si>
  <si>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</si>
  <si>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</si>
  <si>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</si>
  <si>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</si>
  <si>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</si>
  <si>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</si>
  <si>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</si>
  <si>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</si>
  <si>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</si>
  <si>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</si>
  <si>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</si>
  <si>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</si>
  <si>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</si>
  <si>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</si>
  <si>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</si>
  <si>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</si>
  <si>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</si>
  <si>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</si>
  <si>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</si>
  <si>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</si>
  <si>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</si>
  <si>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</si>
  <si>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</si>
  <si>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</si>
  <si>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</si>
  <si>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</si>
  <si>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</si>
  <si>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</si>
  <si>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</si>
  <si>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</si>
  <si>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</si>
  <si>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</si>
  <si>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</si>
  <si>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</si>
  <si>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</si>
  <si>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</si>
  <si>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</si>
  <si>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</si>
  <si>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</si>
  <si>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</si>
  <si>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</si>
  <si>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</si>
  <si>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</si>
  <si>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</si>
  <si>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</si>
  <si>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</si>
  <si>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</si>
  <si>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</si>
  <si>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</si>
  <si>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</si>
  <si>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</si>
  <si>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</si>
  <si>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</si>
  <si>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</si>
  <si>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</si>
  <si>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</si>
  <si>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</si>
  <si>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</si>
  <si>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</si>
  <si>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</si>
  <si>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</si>
  <si>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</si>
  <si>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</si>
  <si>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</si>
  <si>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</si>
  <si>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</si>
  <si>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</si>
  <si>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</si>
  <si>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</si>
  <si>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</si>
  <si>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</si>
  <si>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</si>
  <si>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</si>
  <si>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</si>
  <si>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</si>
  <si>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</si>
  <si>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</si>
  <si>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</si>
  <si>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</si>
  <si>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</si>
  <si>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</si>
  <si>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</si>
  <si>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</si>
  <si>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</si>
  <si>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</si>
  <si>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</si>
  <si>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</si>
  <si>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</si>
  <si>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</si>
  <si>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</si>
  <si>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</si>
  <si>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</si>
  <si>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</si>
  <si>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</si>
  <si>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</si>
  <si>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</si>
  <si>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</si>
  <si>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</si>
  <si>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</si>
  <si>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</si>
  <si>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</si>
  <si>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</si>
  <si>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</si>
  <si>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</si>
  <si>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</si>
  <si>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</si>
  <si>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</si>
  <si>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</si>
  <si>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</si>
  <si>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</si>
  <si>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</si>
  <si>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</si>
  <si>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</si>
  <si>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</si>
  <si>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</si>
  <si>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</si>
  <si>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</si>
  <si>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</si>
  <si>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</si>
  <si>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</si>
  <si>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</si>
  <si>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</si>
  <si>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</si>
  <si>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</si>
  <si>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</si>
  <si>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</si>
  <si>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</si>
  <si>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</si>
  <si>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</si>
  <si>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</si>
  <si>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</si>
  <si>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</si>
  <si>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</si>
  <si>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</si>
  <si>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</si>
  <si>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</si>
  <si>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</si>
  <si>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</si>
  <si>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</si>
  <si>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</si>
  <si>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</si>
  <si>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</si>
  <si>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</si>
  <si>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</si>
  <si>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</si>
  <si>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</si>
  <si>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</si>
  <si>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</si>
  <si>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</si>
  <si>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</si>
  <si>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</si>
  <si>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</si>
  <si>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</si>
  <si>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</si>
  <si>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</si>
  <si>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</si>
  <si>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</si>
  <si>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</si>
  <si>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</si>
  <si>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</si>
  <si>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</si>
  <si>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</si>
  <si>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</si>
  <si>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</si>
  <si>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</si>
  <si>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Gian hàng TM1, Tầng 1 chung cư CT1B thuộc dự án cải tạo khu C, Chung cư Quang Trung, Phường Thành Vinh, Tỉnh Nghệ An T. Nghệ An Việt Nam</t>
  </si>
  <si>
    <t>6112</t>
  </si>
  <si>
    <t>WM+ NAN 78 Lê Nin</t>
  </si>
  <si>
    <t>Số 78 Đường Lê Nin, Khối Tân Hòa, Phường Hà Huy Tập, Thành phố Vinh, T. Nghệ An Việt Nam</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</si>
  <si>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</si>
  <si>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</si>
  <si>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</si>
  <si>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</si>
  <si>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</si>
  <si>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</si>
  <si>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</si>
  <si>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</si>
  <si>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</si>
  <si>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</si>
  <si>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WM+ HBH Toà Ann House, Tân Thịnh</t>
  </si>
  <si>
    <t>Trung tâm thương mại - Dịch vụ Bờ Trái Sông Đà, Phường Tân Thịnh, Thành Phố Hòa Bình, T. Hòa Bình Việt Nam</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</si>
  <si>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</si>
  <si>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</si>
  <si>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</si>
  <si>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</si>
  <si>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</si>
  <si>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</si>
  <si>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</si>
  <si>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</si>
  <si>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</si>
  <si>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</si>
  <si>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</si>
  <si>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</si>
  <si>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</si>
  <si>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</si>
  <si>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</si>
  <si>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</si>
  <si>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</si>
  <si>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</si>
  <si>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</si>
  <si>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WM+ THA Nam Sơn, Đông Sơn</t>
  </si>
  <si>
    <t>Khu phố Nam Sơn, Thị trấn Rừng Thông, Huyện Đông Sơn, T. Thanh Hóa Việt Nam</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</si>
  <si>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</si>
  <si>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</si>
  <si>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</si>
  <si>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</si>
  <si>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</si>
  <si>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</si>
  <si>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</si>
  <si>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</si>
  <si>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</si>
  <si>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</si>
  <si>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</si>
  <si>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</si>
  <si>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</si>
  <si>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</si>
  <si>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</si>
  <si>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</si>
  <si>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</si>
  <si>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</si>
  <si>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</si>
  <si>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</si>
  <si>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</si>
  <si>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</si>
  <si>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</si>
  <si>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</si>
  <si>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</si>
  <si>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</si>
  <si>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</si>
  <si>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</si>
  <si>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WM+ NAN 38 Nguyễn Xí</t>
  </si>
  <si>
    <t>Số 38 Nguyễn Xí, Phường Nghi Thủy, Thị xã Cửa Lò, T. Nghệ An Việt Nam</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</si>
  <si>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</si>
  <si>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</si>
  <si>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</si>
  <si>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</si>
  <si>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</si>
  <si>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</si>
  <si>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</si>
  <si>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WM+ NAN 82 Lý Tự Trọng</t>
  </si>
  <si>
    <t>Số 82 Lý Tự Trọng, Phường Hà Huy Tập, Thành Phố Vinh, T. Nghệ An Việt Nam</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</si>
  <si>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</si>
  <si>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</si>
  <si>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</si>
  <si>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</si>
  <si>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</si>
  <si>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</si>
  <si>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</si>
  <si>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</si>
  <si>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</si>
  <si>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</si>
  <si>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WM+ THA Chợ Đông Vệ</t>
  </si>
  <si>
    <t>LK21-22 NƠ 01 Khu Đô Thị Nam Thành Phố, Đường Âu Cơ, Phường Đông Vệ, TP Thanh Hoá, T. Thanh Hóa Việt Nam</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</si>
  <si>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</si>
  <si>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</si>
  <si>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</si>
  <si>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</si>
  <si>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</si>
  <si>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</si>
  <si>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</si>
  <si>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</si>
  <si>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</si>
  <si>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</si>
  <si>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</si>
  <si>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</si>
  <si>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</si>
  <si>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</si>
  <si>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</si>
  <si>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</si>
  <si>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Thôn 7, Xã Diễn Kỷ, Huyện Diễn Châu, T. Nghệ An Việt Nam</t>
  </si>
  <si>
    <t>6176</t>
  </si>
  <si>
    <t>WM+ TNN 84 Bắc Sơn</t>
  </si>
  <si>
    <t>Đường Bắc Sơn, phường Hoàng Văn Thụ, Thành phố Thái Nguyên, T. Thái Nguyên Việt Nam</t>
  </si>
  <si>
    <t>6177</t>
  </si>
  <si>
    <t>WM+ NAN 52 Nguyễn Trường Tộ</t>
  </si>
  <si>
    <t>52 Nguyễn Trường Tộ, Phường Đông Vĩnh, Thành phố Vinh, T. Nghệ An Việt Nam</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</si>
  <si>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</si>
  <si>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</si>
  <si>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</si>
  <si>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</si>
  <si>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</si>
  <si>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</si>
  <si>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</si>
  <si>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</si>
  <si>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</si>
  <si>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</si>
  <si>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</si>
  <si>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</si>
  <si>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</si>
  <si>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</si>
  <si>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</si>
  <si>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</si>
  <si>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Xóm Bến, Xã Tốt Động, Huyện Chương Mỹ, TP. Hà Nội Việt Nam</t>
  </si>
  <si>
    <t>6194</t>
  </si>
  <si>
    <t>WM+ NAN Khối 3 TT Quán Hành</t>
  </si>
  <si>
    <t>Khối 3, Thị Trấn Quán Hành, Huyện Nghi Lộc, T. Nghệ An Việt Nam</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</si>
  <si>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</si>
  <si>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</si>
  <si>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</si>
  <si>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</si>
  <si>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</si>
  <si>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</si>
  <si>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</si>
  <si>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Số 809 Lam Sơn, Thị trấn Nông Cống, Huyện Nông Cống, T. Thanh Hóa Việt Nam</t>
  </si>
  <si>
    <t>6205</t>
  </si>
  <si>
    <t>WM+ HTH 12 Yên Trung</t>
  </si>
  <si>
    <t>Số nhà 12 đường Yên Trung, Tổ dân phố 5, Thị trấn Đức Thọ, Huyện Đức Thọ, T. Hà Tĩnh Việt Nam</t>
  </si>
  <si>
    <t>6207</t>
  </si>
  <si>
    <t>WM+ NAN 97 Kim Liên</t>
  </si>
  <si>
    <t>Số 97 đường Kim Liên, Xóm 4, Xã Hưng Chính, TP. Vinh, T. Nghệ An Việt Nam</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</si>
  <si>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</si>
  <si>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</si>
  <si>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</si>
  <si>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</si>
  <si>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</si>
  <si>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</si>
  <si>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</si>
  <si>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</si>
  <si>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</si>
  <si>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</si>
  <si>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</si>
  <si>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</si>
  <si>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</si>
  <si>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</si>
  <si>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</si>
  <si>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</si>
  <si>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</si>
  <si>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</si>
  <si>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</si>
  <si>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</si>
  <si>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</si>
  <si>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</si>
  <si>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</si>
  <si>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</si>
  <si>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</si>
  <si>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</si>
  <si>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</si>
  <si>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</si>
  <si>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</si>
  <si>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</si>
  <si>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</si>
  <si>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</si>
  <si>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</si>
  <si>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</si>
  <si>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</si>
  <si>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</si>
  <si>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</si>
  <si>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</si>
  <si>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</si>
  <si>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</si>
  <si>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</si>
  <si>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</si>
  <si>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</si>
  <si>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</si>
  <si>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</si>
  <si>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</si>
  <si>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</si>
  <si>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</si>
  <si>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</si>
  <si>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WM+ NAN 238 Vạn Lộc</t>
  </si>
  <si>
    <t>Số 238 Đường Vạn Lộc, Khối 7, Phường Nghi Tân, Thị Xã Cửa Lò, Tỉnh Nghệ An Việt Nam</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</si>
  <si>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</si>
  <si>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</si>
  <si>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</si>
  <si>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</si>
  <si>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</si>
  <si>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</si>
  <si>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</si>
  <si>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</si>
  <si>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</si>
  <si>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</si>
  <si>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WM+ NAN 34 Hồng Bàng</t>
  </si>
  <si>
    <t>Số 34 Đường Hồng Bàng, Phường Lê Mao, Thành Phố Vinh Tỉnh Nghệ An Việt Nam</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</si>
  <si>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</si>
  <si>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</si>
  <si>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</si>
  <si>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</si>
  <si>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</si>
  <si>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</si>
  <si>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</si>
  <si>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</si>
  <si>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</si>
  <si>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</si>
  <si>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WM+ HTH 590 Nguyễn Nghiễm</t>
  </si>
  <si>
    <t>Số 590 đường Nguyễn Nghiễm, Khối 3, Thị Trấn Xuân An, Huyện Nghi Xuân, Tỉnh Hà Tĩnh T. Hà Tĩnh Việt Nam</t>
  </si>
  <si>
    <t>6258</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</si>
  <si>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</si>
  <si>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</si>
  <si>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</si>
  <si>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</si>
  <si>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</si>
  <si>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</si>
  <si>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</si>
  <si>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</si>
  <si>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</si>
  <si>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</si>
  <si>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</si>
  <si>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</si>
  <si>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</si>
  <si>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</si>
  <si>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</si>
  <si>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</si>
  <si>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</si>
  <si>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</si>
  <si>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</si>
  <si>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</si>
  <si>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</si>
  <si>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</si>
  <si>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</si>
  <si>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</si>
  <si>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</si>
  <si>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</si>
  <si>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</si>
  <si>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</si>
  <si>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</si>
  <si>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</si>
  <si>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</si>
  <si>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</si>
  <si>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</si>
  <si>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</si>
  <si>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</si>
  <si>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</si>
  <si>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</si>
  <si>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</si>
  <si>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</si>
  <si>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</si>
  <si>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</si>
  <si>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</si>
  <si>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</si>
  <si>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</si>
  <si>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</si>
  <si>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</si>
  <si>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</si>
  <si>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</si>
  <si>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</si>
  <si>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</si>
  <si>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</si>
  <si>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</si>
  <si>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</si>
  <si>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</si>
  <si>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</si>
  <si>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</si>
  <si>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</si>
  <si>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</si>
  <si>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</si>
  <si>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</si>
  <si>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</si>
  <si>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</si>
  <si>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</si>
  <si>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</si>
  <si>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</si>
  <si>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WM+ THA 478 Ngô Quyền</t>
  </si>
  <si>
    <t>Số 478 Ngô Quyền, Phường Trung Sơn, Thành phố Sầm Sơn, T. Thanh Hóa Việt Nam</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</si>
  <si>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</si>
  <si>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</si>
  <si>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</si>
  <si>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</si>
  <si>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</si>
  <si>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</si>
  <si>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</si>
  <si>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</si>
  <si>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</si>
  <si>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</si>
  <si>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</si>
  <si>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</si>
  <si>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</si>
  <si>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</si>
  <si>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</si>
  <si>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</si>
  <si>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</si>
  <si>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</si>
  <si>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</si>
  <si>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</si>
  <si>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</si>
  <si>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</si>
  <si>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</si>
  <si>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</si>
  <si>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</si>
  <si>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</si>
  <si>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</si>
  <si>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</si>
  <si>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</si>
  <si>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</si>
  <si>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</si>
  <si>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</si>
  <si>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</si>
  <si>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</si>
  <si>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</si>
  <si>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</si>
  <si>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</si>
  <si>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</si>
  <si>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</si>
  <si>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</si>
  <si>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WM+ THA 155 Minh Thịnh</t>
  </si>
  <si>
    <t>155 Thôn Minh Thịnh, Xã Minh Lộc Huyện Hậu Lộc, T. Thanh Hóa Việt Nam</t>
  </si>
  <si>
    <t>6327</t>
  </si>
  <si>
    <t>WM+ HNI 613 Phố Mía</t>
  </si>
  <si>
    <t>613 Phố Mía, Xã Đường Lâm, Thị xã Sơn Tây, TP. Hà Nội Việt Nam</t>
  </si>
  <si>
    <t>6328</t>
  </si>
  <si>
    <t>WM+ THA Tiên Trang, Quảng Xương</t>
  </si>
  <si>
    <t>Thôn Tiên Trang, Xã Tiên Trang, H. Quảng Xương T. Thanh Hóa Việt Nam</t>
  </si>
  <si>
    <t>6329</t>
  </si>
  <si>
    <t>WM+ THA 121 QL45 Định Liên</t>
  </si>
  <si>
    <t>121 QL45 Định Liên, Xã Định Liên, H. Yên Định T. Thanh Hóa Việt Nam</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</si>
  <si>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</si>
  <si>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</si>
  <si>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</si>
  <si>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</si>
  <si>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</si>
  <si>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</si>
  <si>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</si>
  <si>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</si>
  <si>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</si>
  <si>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</si>
  <si>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</si>
  <si>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</si>
  <si>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</si>
  <si>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</si>
  <si>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</si>
  <si>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</si>
  <si>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</si>
  <si>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</si>
  <si>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</si>
  <si>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</si>
  <si>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</si>
  <si>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</si>
  <si>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</si>
  <si>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</si>
  <si>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</si>
  <si>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WM+ HTH 204 Lê Lợi</t>
  </si>
  <si>
    <t>Số nhà 204 Lê Lợi, TDP 6, TT. Phố Châu, H. Hương Sơn, T. Hà Tĩnh Việt Nam</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</si>
  <si>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</si>
  <si>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</si>
  <si>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</si>
  <si>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</si>
  <si>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</si>
  <si>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</si>
  <si>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</si>
  <si>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</si>
  <si>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</si>
  <si>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</si>
  <si>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</si>
  <si>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</si>
  <si>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</si>
  <si>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</si>
  <si>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</si>
  <si>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</si>
  <si>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</si>
  <si>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</si>
  <si>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</si>
  <si>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</si>
  <si>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</si>
  <si>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</si>
  <si>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WM+ THA 149 Khu 1, TT Kim Tân</t>
  </si>
  <si>
    <t>Số nhà 149 khu 1, TT Kim Tân, H.Thạch Thành, T. Thanh Hóa Việt Nam</t>
  </si>
  <si>
    <t>6367</t>
  </si>
  <si>
    <t>WM+ THA 123-125 Phố Kiểu</t>
  </si>
  <si>
    <t>Số 123-125 Phố Kiểu, X. Yên Trường, H. Yên Định, T. Thanh Hóa Việt Nam</t>
  </si>
  <si>
    <t>6368</t>
  </si>
  <si>
    <t>WM+ HNI Chẩn Kỳ, Ứng Hòa</t>
  </si>
  <si>
    <t>Thôn Chẩn Kỳ, X. Trung Tú, H. Ứng Hòa, TP. Hà Nội Việt Nam</t>
  </si>
  <si>
    <t>6369</t>
  </si>
  <si>
    <t>WM+ NAN 151 Phong Định Cảng</t>
  </si>
  <si>
    <t>Số 151 Phong Định Cảng, P. Trường Thi, TP. Vinh, T. Nghệ An Việt Nam</t>
  </si>
  <si>
    <t>6371</t>
  </si>
  <si>
    <t>WM+ NBH 105 Trần Phú</t>
  </si>
  <si>
    <t>Số 105 Trần Phú, Tổ 7, P. Bắc Sơn, TP. Tam Điệp, T. Ninh Bình Việt Nam</t>
  </si>
  <si>
    <t>6372</t>
  </si>
  <si>
    <t>WM+ HYN Trung Hòa, Yên Mỹ</t>
  </si>
  <si>
    <t>Thôn Trung Hòa, X. Trung Hòa, H. Yên Mỹ, T. Hưng Yên Việt Nam</t>
  </si>
  <si>
    <t>6374</t>
  </si>
  <si>
    <t>WM+ NAN 165 Nguyễn Trãi</t>
  </si>
  <si>
    <t>Số 165 Đường Nguyễn Trãi, Khối Kim Tân, Phường Hòa Hiếu, Thị xã Thái Hòa, T. Nghệ An Việt Nam</t>
  </si>
  <si>
    <t>6375</t>
  </si>
  <si>
    <t>WM+ NAN Chợ Nghĩa Hội</t>
  </si>
  <si>
    <t>Xóm Bình Thành, Xã Nghĩa Bình, Huyện Nghĩa Đàn, T. Nghệ An Việt Nam</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</si>
  <si>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</si>
  <si>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</si>
  <si>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</si>
  <si>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</si>
  <si>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</si>
  <si>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</si>
  <si>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</si>
  <si>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WM+ THA 53 Trần Phú</t>
  </si>
  <si>
    <t>Số 53 Trần Phú, P. Ba Đình, TX.Bỉm Sơn T. Thanh Hóa Việt Nam</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</si>
  <si>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</si>
  <si>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</si>
  <si>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</si>
  <si>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</si>
  <si>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</si>
  <si>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</si>
  <si>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</si>
  <si>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WM+ HTH 259 Trần Phú</t>
  </si>
  <si>
    <t>259 Trần Phú, Thị trấn Hương Khê, Huyện Hương Khê, T. Hà Tĩnh Việt Nam</t>
  </si>
  <si>
    <t>6384</t>
  </si>
  <si>
    <t>WM+ CBG 075 Vườn Cam</t>
  </si>
  <si>
    <t>Số 075, Đường Vườn Cam, Phường Hợp Giang, Thành phố Cao Bằng, T. Cao Bằng Việt Nam</t>
  </si>
  <si>
    <t>6385</t>
  </si>
  <si>
    <t>Số 496 Đường Bà Triệu, Thị trấn Hậu Lộc, Huyện Hậu Lộc, T. Thanh Hóa Việt Nam</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</si>
  <si>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</si>
  <si>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</si>
  <si>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</si>
  <si>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</si>
  <si>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</si>
  <si>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</si>
  <si>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</si>
  <si>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</si>
  <si>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</si>
  <si>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</si>
  <si>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</si>
  <si>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</si>
  <si>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</si>
  <si>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WM+ NAN Khối 3, TT Qùy Hợp</t>
  </si>
  <si>
    <t>Khối 3, Thị trấn Qùy Hợp, Huyện Quỳ Hợp, T. Nghệ An Việt Nam</t>
  </si>
  <si>
    <t>6394</t>
  </si>
  <si>
    <t>WM+ HNI BT01-6 Hoàng Thành City</t>
  </si>
  <si>
    <t>BT01-6 Khu nhà ở thấp tầng thuộc Dự án Khu CCQT Hoàng Thành City, Khu Cổ Ngựa, KĐT Mỗ Lao, P. Mộ Lao, TP. Hà Nội Việt Nam</t>
  </si>
  <si>
    <t>6395</t>
  </si>
  <si>
    <t>WM+ QBH 43 Phan Đình Phùng</t>
  </si>
  <si>
    <t>43 Phan Đình Phùng, P. Bắc Lý, TP. Đồng Hới, T. Quảng Bình Việt Nam</t>
  </si>
  <si>
    <t>6396</t>
  </si>
  <si>
    <t>Số 35 Thiên Cầm, TT. Cẩm Xuyên, H. Cẩm Xuyên, T. Hà Tĩnh Việt Nam</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</si>
  <si>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</si>
  <si>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</si>
  <si>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</si>
  <si>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</si>
  <si>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</si>
  <si>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</si>
  <si>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</si>
  <si>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</si>
  <si>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</si>
  <si>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</si>
  <si>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</si>
  <si>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</si>
  <si>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</si>
  <si>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</si>
  <si>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</si>
  <si>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</si>
  <si>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</si>
  <si>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</si>
  <si>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</si>
  <si>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</si>
  <si>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</si>
  <si>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</si>
  <si>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WM+ QBH 204 Quang Trung</t>
  </si>
  <si>
    <t>Số 204 Quang Trung, Phường Quảng Thọ, Thị xã Ba Đồn, T. Quảng Bình Việt Nam</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</si>
  <si>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</si>
  <si>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</si>
  <si>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</si>
  <si>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</si>
  <si>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</si>
  <si>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</si>
  <si>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</si>
  <si>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</si>
  <si>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</si>
  <si>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</si>
  <si>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</si>
  <si>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</si>
  <si>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</si>
  <si>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</si>
  <si>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</si>
  <si>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</si>
  <si>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</si>
  <si>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</si>
  <si>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</si>
  <si>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</si>
  <si>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</si>
  <si>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</si>
  <si>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</si>
  <si>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</si>
  <si>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</si>
  <si>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</si>
  <si>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</si>
  <si>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</si>
  <si>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</si>
  <si>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</si>
  <si>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</si>
  <si>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WM+ NAN Đà Sơn, Đô Lương</t>
  </si>
  <si>
    <t>Xóm 4, Xã Đà Sơn, Huyện Đô Lương, T. Nghệ An Việt Nam</t>
  </si>
  <si>
    <t>6438</t>
  </si>
  <si>
    <t>WM+ NDH Giao Yến, Giao Thủy</t>
  </si>
  <si>
    <t>Xóm 5, Xã Giao Yến, Huyện Giao Thủy, T. Nam Định Việt Nam</t>
  </si>
  <si>
    <t>6439</t>
  </si>
  <si>
    <t>WM+ THA Hiền Tây, Quảng Xương</t>
  </si>
  <si>
    <t>Thôn Hiền Tây, Xã Quảng Lưu, Huyện Quảng Xương, T. Thanh Hóa Việt Nam</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</si>
  <si>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</si>
  <si>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</si>
  <si>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</si>
  <si>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</si>
  <si>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</si>
  <si>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</si>
  <si>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</si>
  <si>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</si>
  <si>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</si>
  <si>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</si>
  <si>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Thôn Trung, Xã Thượng Lâm, Huyện Mỹ Đức, TP. Hà Nội Việt Nam</t>
  </si>
  <si>
    <t>6448</t>
  </si>
  <si>
    <t>WM+ HTH TDP Phú Xuân, Lộc Hà</t>
  </si>
  <si>
    <t>Tổ dân phố Phú Xuân, Thị trấn Lộc Hà, Huyện Lộc Hà, T. Hà Tĩnh Việt Nam</t>
  </si>
  <si>
    <t>6449</t>
  </si>
  <si>
    <t>WM+ NAN Khối 2A Thanh Chương</t>
  </si>
  <si>
    <t>Khối 2A, Thị trấn Thanh Chương , Huyện Thanh Chương, T. Nghệ An Việt Nam</t>
  </si>
  <si>
    <t>6450</t>
  </si>
  <si>
    <t>WM+ THA Cầu Quan</t>
  </si>
  <si>
    <t>Thôn Bi Kiều, Xã Trung Chính, Huyện Nông Cống, T. Thanh Hóa Việt Nam</t>
  </si>
  <si>
    <t>6451</t>
  </si>
  <si>
    <t>WM+ HPG 158 Vũ Chí Thắng</t>
  </si>
  <si>
    <t>Số 158 Vũ Chí Thắng, Phường Nghĩa Xá, Quận Lê Chân, TP. Hải Phòng Việt Nam</t>
  </si>
  <si>
    <t>6452</t>
  </si>
  <si>
    <t>WM+ THA Tiểu khu Yên Hạnh 2, Nga Sơ</t>
  </si>
  <si>
    <t>Tiểu khu Yên Hạnh 2, Thị trấn Nga Sơn, Huyện Nga Sơn, T. Thanh Hóa Việt Nam</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</si>
  <si>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</si>
  <si>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</si>
  <si>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</si>
  <si>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</si>
  <si>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</si>
  <si>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</si>
  <si>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</si>
  <si>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</si>
  <si>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</si>
  <si>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</si>
  <si>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</si>
  <si>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</si>
  <si>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</si>
  <si>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</si>
  <si>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</si>
  <si>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</si>
  <si>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</si>
  <si>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</si>
  <si>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</si>
  <si>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</si>
  <si>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</si>
  <si>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</si>
  <si>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</si>
  <si>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</si>
  <si>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</si>
  <si>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</si>
  <si>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</si>
  <si>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</si>
  <si>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</si>
  <si>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</si>
  <si>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</si>
  <si>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</si>
  <si>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</si>
  <si>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</si>
  <si>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</si>
  <si>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</si>
  <si>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</si>
  <si>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</si>
  <si>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</si>
  <si>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</si>
  <si>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</si>
  <si>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</si>
  <si>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</si>
  <si>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</si>
  <si>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</si>
  <si>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</si>
  <si>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</si>
  <si>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</si>
  <si>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</si>
  <si>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</si>
  <si>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</si>
  <si>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</si>
  <si>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WM+ HNI 95 Giang Cao</t>
  </si>
  <si>
    <t>Số 95 Giang Cao, Xã Bát Tràng, Huyện Gia Lâm, TP. Hà Nội Việt Nam</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</si>
  <si>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</si>
  <si>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</si>
  <si>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</si>
  <si>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</si>
  <si>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</si>
  <si>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</si>
  <si>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</si>
  <si>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</si>
  <si>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</si>
  <si>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</si>
  <si>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WM+ QBH 169 Lý Thánh Tông</t>
  </si>
  <si>
    <t>Số 169 Đường Lý Thánh Tông, Xã Lộc Ninh, Thành phố Đồng Hới, T. Quảng Bình Việt Nam</t>
  </si>
  <si>
    <t>6493</t>
  </si>
  <si>
    <t>WM+ NAN Khối 3, TT Diễn Châu</t>
  </si>
  <si>
    <t>Khối 3, Thị Trấn Diễn Châu, Huyện Diễn Châu, T. Nghệ An Việt Nam</t>
  </si>
  <si>
    <t>6495</t>
  </si>
  <si>
    <t>WM+ THA Nhật Quả, Triệu Sơn</t>
  </si>
  <si>
    <t>Thôn Nhật Quả, Xã Thọ Dân, Huyện Triệu Sơn, T. Thanh Hóa Việt Nam</t>
  </si>
  <si>
    <t>6496</t>
  </si>
  <si>
    <t>WM+ VPC 45 Nguyễn Tất Thành</t>
  </si>
  <si>
    <t>Số 45 Đường Nguyễn Tất Thành, Phường Khai Quang, Thành phố Vĩnh Yên, T. Vĩnh Phúc Việt Nam</t>
  </si>
  <si>
    <t>6501</t>
  </si>
  <si>
    <t>Khối 7, Thị Trấn Đô Lương, Huyện Đô Lương, T. Nghệ An Việt Nam</t>
  </si>
  <si>
    <t>6502</t>
  </si>
  <si>
    <t>WM+ HNI IEC Residences Tứ Hiệp</t>
  </si>
  <si>
    <t>Shophouse CT3DV-TM24,25 IEC Residences, Xã Tứ Hiệp, Huyện Thanh Trì, TP. Hà Nội Việt Nam</t>
  </si>
  <si>
    <t>6510</t>
  </si>
  <si>
    <t>WM+ NAN Khối 1, TT Yên Thành</t>
  </si>
  <si>
    <t>Khối 1, Thị Trấn Yên Thành, Huyện Yên Thành, T. Nghệ An Việt Nam</t>
  </si>
  <si>
    <t>6511</t>
  </si>
  <si>
    <t>WM+ THA Minh Thành 2, Thọ Xuân</t>
  </si>
  <si>
    <t>Thôn Minh Thành 2, Xã Xuân Bái, Huyện Thọ Xuân, T. Thanh Hóa Việt Nam</t>
  </si>
  <si>
    <t>6512</t>
  </si>
  <si>
    <t>WM+ NAN Diễn Hồng, Diễn Châu</t>
  </si>
  <si>
    <t>Xóm Khối Nam, Xã Diễn Hồng, Huyện Diễn Châu, T. Nghệ An Việt Nam</t>
  </si>
  <si>
    <t>6513</t>
  </si>
  <si>
    <t>WM+ PTO 12 Tổ 5 Trần Phú</t>
  </si>
  <si>
    <t>Số nhà 12, Tổ 5, Đ. Trần Phú, Khu Tân Phú, P. Tân Dân, TP. Việt Trì T. Phú Thọ Việt Nam</t>
  </si>
  <si>
    <t>6516</t>
  </si>
  <si>
    <t>WM+ NAN Số 29 Nguyễn Sinh Cung</t>
  </si>
  <si>
    <t>Số 29 Nguyễn Sinh Cung, Phường Cửa Lò, Tỉnh Nghệ An T. Nghệ An Việt Nam</t>
  </si>
  <si>
    <t>6520</t>
  </si>
  <si>
    <t>WM+ HPG LK02 06 – 08 Pruksa Town</t>
  </si>
  <si>
    <t>LK02 06 – 08 Khu Đô Thị Pruksa Town, Xã An Đồng, H. An Dương TP. Hải Phòng Việt Nam</t>
  </si>
  <si>
    <t>6521</t>
  </si>
  <si>
    <t>Thôn Quang Phú, Xã Thạch Châu, Huyện Lộc Hà, T. Hà Tĩnh Việt Nam</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</si>
  <si>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</si>
  <si>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</si>
  <si>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</si>
  <si>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</si>
  <si>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</si>
  <si>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</si>
  <si>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</si>
  <si>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</si>
  <si>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</si>
  <si>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</si>
  <si>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</si>
  <si>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</si>
  <si>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</si>
  <si>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WM+ NAN Diễn Yên, Diễn Châu</t>
  </si>
  <si>
    <t>Xóm 11, Xã Diễn Yên, Huyện Diễn Châu, T. Nghệ An Việt Nam</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</si>
  <si>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</si>
  <si>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</si>
  <si>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</si>
  <si>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</si>
  <si>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</si>
  <si>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</si>
  <si>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</si>
  <si>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WM+ HTH 124 Lê Đại Hành</t>
  </si>
  <si>
    <t>Số 124 Lê Đại Hành, Phường Hưng Trí, Thị xã Kỳ Anh, T. Hà Tĩnh Việt Nam</t>
  </si>
  <si>
    <t>6533</t>
  </si>
  <si>
    <t>WM+ THA Khu 3 TT Lam Sơn</t>
  </si>
  <si>
    <t>Khu 3 Thị trấn Lam Sơn, Huyện Thọ Xuân, T. Thanh Hóa Việt Nam</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</si>
  <si>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</si>
  <si>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</si>
  <si>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</si>
  <si>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</si>
  <si>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</si>
  <si>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</si>
  <si>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</si>
  <si>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</si>
  <si>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</si>
  <si>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</si>
  <si>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</si>
  <si>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</si>
  <si>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</si>
  <si>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</si>
  <si>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</si>
  <si>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</si>
  <si>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</si>
  <si>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</si>
  <si>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</si>
  <si>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</si>
  <si>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</si>
  <si>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</si>
  <si>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</si>
  <si>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</si>
  <si>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WM+ NAN Trung Thành, Yên Thành</t>
  </si>
  <si>
    <t>Xóm 5, Xã Trung Thành, Huyện Yên Thành, T. Nghệ An Việt Nam</t>
  </si>
  <si>
    <t>6552</t>
  </si>
  <si>
    <t>WM+ QBH Phúc Tự Đông, Bố Trạch</t>
  </si>
  <si>
    <t>Phúc Tự Đông, Xã Đại Trạch, Huyện Bố Trạch, T. Quảng Bình Việt Nam</t>
  </si>
  <si>
    <t>6557</t>
  </si>
  <si>
    <t>WM+ YBI 111 Nguyễn Tất Thành</t>
  </si>
  <si>
    <t>Số 111, Đường Nguyễn Tất Thành, Phường Yên Thịnh, Thành Phố T. Yên Bái Việt Nam</t>
  </si>
  <si>
    <t>6559</t>
  </si>
  <si>
    <t>WM+ HTH 314 Nguyễn Nghiễm</t>
  </si>
  <si>
    <t>Số nhà 314 Nguyễn Nghiễm, Tổ dân phố 8A, Thị trấn Xuân An, H T. Hà Tĩnh Việt Nam</t>
  </si>
  <si>
    <t>6560</t>
  </si>
  <si>
    <t>WM+ HTH 392 Trần Phú</t>
  </si>
  <si>
    <t>Số nhà 392 Đường Trần Phú, Thị trấn Hương Khê, Huyện Hương K T. Hà Tĩnh Việt Nam</t>
  </si>
  <si>
    <t>6561</t>
  </si>
  <si>
    <t>Thôn Phúc Điền, Xã Thạch Xuân, Tỉnh Hà Tĩnh T. Hà Tĩnh Việt Nam</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</si>
  <si>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</si>
  <si>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</si>
  <si>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</si>
  <si>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</si>
  <si>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</si>
  <si>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</si>
  <si>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</si>
  <si>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WM+ THA 432 Khu phố 3, TT Bến Sung</t>
  </si>
  <si>
    <t>Số 432 Khu phố 3, Thị trấn Bến Sung, Huyện Như Thanh, T. Thanh Hóa Việt Nam</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</si>
  <si>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</si>
  <si>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</si>
  <si>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</si>
  <si>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</si>
  <si>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</si>
  <si>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</si>
  <si>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</si>
  <si>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</si>
  <si>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</si>
  <si>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</si>
  <si>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WM+ QBH 97 Hùng Vương</t>
  </si>
  <si>
    <t>Số 97 Hùng Vương, Phường Ba Đồn, Thị xã Ba Đồn, T. Quảng Bình Việt Nam</t>
  </si>
  <si>
    <t>6575</t>
  </si>
  <si>
    <t>Xóm 2, Xã Quỳnh Lương, Huyện Quỳnh Lưu, T. Nghệ An Việt Nam</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</si>
  <si>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</si>
  <si>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</si>
  <si>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</si>
  <si>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</si>
  <si>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</si>
  <si>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</si>
  <si>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</si>
  <si>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</si>
  <si>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</si>
  <si>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</si>
  <si>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</si>
  <si>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</si>
  <si>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</si>
  <si>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</si>
  <si>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</si>
  <si>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</si>
  <si>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</si>
  <si>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</si>
  <si>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</si>
  <si>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</si>
  <si>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</si>
  <si>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</si>
  <si>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</si>
  <si>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</si>
  <si>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</si>
  <si>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</si>
  <si>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</si>
  <si>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</si>
  <si>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</si>
  <si>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</si>
  <si>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</si>
  <si>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Số 12 Phạm Bành, Khu 1, Thị trấn Hậu Lộc, Huyện Hậu Lộc, T. Thanh Hóa Việt Nam</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</si>
  <si>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</si>
  <si>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</si>
  <si>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</si>
  <si>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</si>
  <si>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</si>
  <si>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</si>
  <si>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</si>
  <si>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</si>
  <si>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</si>
  <si>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</si>
  <si>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</si>
  <si>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</si>
  <si>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</si>
  <si>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</si>
  <si>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</si>
  <si>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</si>
  <si>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WM+ NAN Khối 9, TT Hưng Nguyên</t>
  </si>
  <si>
    <t>Khối 9, Thị Trấn Hưng Nguyên, Huyện Hưng Nguyên, T. Nghệ An Việt Nam</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</si>
  <si>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</si>
  <si>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</si>
  <si>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</si>
  <si>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</si>
  <si>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</si>
  <si>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</si>
  <si>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</si>
  <si>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</si>
  <si>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</si>
  <si>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</si>
  <si>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</si>
  <si>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</si>
  <si>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</si>
  <si>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</si>
  <si>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</si>
  <si>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</si>
  <si>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</si>
  <si>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</si>
  <si>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</si>
  <si>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</si>
  <si>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</si>
  <si>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</si>
  <si>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Xóm Mỹ Thượng, Xã Diễn Mỹ, H. Diễn Châu T. Nghệ An Việt Nam</t>
  </si>
  <si>
    <t>6627</t>
  </si>
  <si>
    <t>WM+ NAN Khối 13, TT Qùy Hợp</t>
  </si>
  <si>
    <t>Khối 13, Thị Trấn Qùy Hợp, Huyện Qùy Hợp, T. Nghệ An Việt Nam</t>
  </si>
  <si>
    <t>6628</t>
  </si>
  <si>
    <t>WM+ NAN Dinh Phượng, Qùy Hợp</t>
  </si>
  <si>
    <t>Xóm Dinh Phượng, Xã Nghĩa Xuân, Huyện Qùy Hợp, T. Nghệ An Việt Nam</t>
  </si>
  <si>
    <t>6629</t>
  </si>
  <si>
    <t>WM+ HNI Ấp Tó, Đông Anh</t>
  </si>
  <si>
    <t>Thôn Ấp Tó, Xã Uy Nỗ, Huyện Đông Anh, TP. Hà Nội Việt Nam</t>
  </si>
  <si>
    <t>6630</t>
  </si>
  <si>
    <t>WM+ HYN Đình Dù, Văn Lâm</t>
  </si>
  <si>
    <t>Thôn Đình Dù, Xã Đình Dù, Huyện Văn Lâm, T. Hưng Yên Việt Nam</t>
  </si>
  <si>
    <t>6632</t>
  </si>
  <si>
    <t>WM+ QBH 01 Lý Thường Kiệt</t>
  </si>
  <si>
    <t>Số 01 Lý Thường Kiệt, Tổ dân phố Xuân Giang, Thị Trấn Kiến G T. Quảng Bình Việt Nam</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</si>
  <si>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</si>
  <si>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</si>
  <si>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</si>
  <si>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</si>
  <si>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</si>
  <si>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</si>
  <si>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</si>
  <si>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</si>
  <si>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</si>
  <si>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</si>
  <si>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</si>
  <si>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</si>
  <si>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</si>
  <si>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</si>
  <si>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</si>
  <si>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</si>
  <si>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WM+ THA TDP Hòa Bình, Nghi Sơn</t>
  </si>
  <si>
    <t>Tổ dân phố Hòa Bình, Phường Hải Châu, Thị Xã Nghi Sơn, T. Thanh Hóa Việt Nam</t>
  </si>
  <si>
    <t>6642</t>
  </si>
  <si>
    <t>WM+ QBH Dy Lộc, Quảng Trạch</t>
  </si>
  <si>
    <t>Thôn Dy Lộc, Xã Quảng Tùng, Huyện Quảng Trạch, T. Quảng Bình Việt Nam</t>
  </si>
  <si>
    <t>6643</t>
  </si>
  <si>
    <t>Tổ dân phố Liên Hải, Phường Hải Thượng, Thị xã Nghi Sơn, T. Thanh Hóa Việt Nam</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</si>
  <si>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</si>
  <si>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</si>
  <si>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</si>
  <si>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</si>
  <si>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</si>
  <si>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</si>
  <si>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</si>
  <si>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</si>
  <si>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</si>
  <si>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</si>
  <si>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WM+ THA 107 Bà Triệu</t>
  </si>
  <si>
    <t>Số 107 Bà Triệu, Tiểu khu Thái Hòa, Thị trấn Nông Cống, Huyệ T. Thanh Hóa Việt Nam</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</si>
  <si>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</si>
  <si>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</si>
  <si>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</si>
  <si>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</si>
  <si>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</si>
  <si>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</si>
  <si>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</si>
  <si>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</si>
  <si>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</si>
  <si>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</si>
  <si>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</si>
  <si>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</si>
  <si>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</si>
  <si>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Thôn Phố Neo, Xã Nam Giang, Huyện Thọ Xuân, T. Thanh Hóa Việt Nam</t>
  </si>
  <si>
    <t>6667</t>
  </si>
  <si>
    <t>Tổ dân phố 9, Xã Can Lộc, Tỉnh Hà Tĩnh T. Hà Tĩnh Việt Nam</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</si>
  <si>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</si>
  <si>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</si>
  <si>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</si>
  <si>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</si>
  <si>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</si>
  <si>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</si>
  <si>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</si>
  <si>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</si>
  <si>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</si>
  <si>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</si>
  <si>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</si>
  <si>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</si>
  <si>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</si>
  <si>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</si>
  <si>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</si>
  <si>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</si>
  <si>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</si>
  <si>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</si>
  <si>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</si>
  <si>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</si>
  <si>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</si>
  <si>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</si>
  <si>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</si>
  <si>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</si>
  <si>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WM+ HTH 46 Nguyễn Trãi, TT Phố Châu</t>
  </si>
  <si>
    <t>46 Nguyễn Trãi, Tổ dân phố 4, Thị trấn Phố Châu, Huyện Hương T. Hà Tĩnh Việt Nam</t>
  </si>
  <si>
    <t>6689</t>
  </si>
  <si>
    <t>WM+ HNI LK9-39 KĐT Văn Phú</t>
  </si>
  <si>
    <t>LK9-39 Khu Đô Thị mới Văn Phú, Phường Phú La, Quận Hà Đông, TP. Hà Nội Việt Nam</t>
  </si>
  <si>
    <t>6690</t>
  </si>
  <si>
    <t>WM+ THA Ngã 3 Chợ Kho, Nghi Sơn</t>
  </si>
  <si>
    <t>Tổ dân phố Hạnh Phúc, Phường Hải Ninh, Thị Xã Nghi Sơn, T. Thanh Hóa Việt Nam</t>
  </si>
  <si>
    <t>6695</t>
  </si>
  <si>
    <t>WM+ THA 163 - 165 Trần Hưng Đạo, Sầ</t>
  </si>
  <si>
    <t>Khu phố Phúc Đức, Phường Quảng Tiến, Thành phố Sầm Sơn T. Thanh Hóa Việt Nam</t>
  </si>
  <si>
    <t>6696</t>
  </si>
  <si>
    <t>WM+ NAN Công Thành, Yên Thành</t>
  </si>
  <si>
    <t>Xóm Ngã Tư, Xã Công Thành, Huyện Yên Thành, T. Nghệ An Việt Nam</t>
  </si>
  <si>
    <t>6697</t>
  </si>
  <si>
    <t>WM+ HNI 18 Hàng Than</t>
  </si>
  <si>
    <t>18 Hàng Than, Phường Nguyễn Trung Trực, Quận Ba Đình, TP. Hà Nội Việt Nam</t>
  </si>
  <si>
    <t>6698</t>
  </si>
  <si>
    <t>WM+ NAN 108 TDP 4, TT Anh Sơn</t>
  </si>
  <si>
    <t>Số 108, Tổ Dân Phố 4, Thị Trấn Anh Sơn, Huyện Anh Sơn, T. Nghệ An Việt Nam</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</si>
  <si>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</si>
  <si>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</si>
  <si>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</si>
  <si>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</si>
  <si>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</si>
  <si>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</si>
  <si>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</si>
  <si>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Khối 4, Thị Trấn Con Cuông, Huyện Con Cuông T. Nghệ An Việt Nam</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</si>
  <si>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</si>
  <si>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</si>
  <si>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</si>
  <si>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</si>
  <si>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</si>
  <si>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</si>
  <si>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</si>
  <si>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</si>
  <si>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</si>
  <si>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</si>
  <si>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</si>
  <si>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</si>
  <si>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</si>
  <si>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</si>
  <si>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</si>
  <si>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</si>
  <si>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WM+ QBH 17 Trần Hưng Đạo</t>
  </si>
  <si>
    <t>Số 17 Trần Hưng Đạo, Thị trấn Hoàn Lão, Huyện Bố Trạch T. Quảng Bình Việt Nam</t>
  </si>
  <si>
    <t>6724</t>
  </si>
  <si>
    <t>WM+ DBN Tân Thủy, Tuần Giáo</t>
  </si>
  <si>
    <t>Số nhà 39, Khối Tân Thủy, Thị trấn Tuần Giáo, Huyện Tuần Giáo T. Điện Biên Việt Nam</t>
  </si>
  <si>
    <t>6725</t>
  </si>
  <si>
    <t>Xóm Nam Xuân, Xã Diễn Xuân, Huyện Diễn Châu T. Nghệ An Việt Nam</t>
  </si>
  <si>
    <t>6726</t>
  </si>
  <si>
    <t>WM+ QBH 50 Hùng Vương</t>
  </si>
  <si>
    <t>Số 50 Hùng Vương, Thị trấn Đồng Lê, Huyện Tuyên Hóa T. Quảng Bình Việt Nam</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</si>
  <si>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</si>
  <si>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</si>
  <si>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</si>
  <si>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</si>
  <si>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</si>
  <si>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</si>
  <si>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</si>
  <si>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WM+ THA Yên Doãn, Đông Sơn</t>
  </si>
  <si>
    <t>Thôn Yên Doãn, Xã Đông Yên, Huyện Đông Sơn T. Thanh Hóa Việt Nam</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</si>
  <si>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</si>
  <si>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</si>
  <si>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</si>
  <si>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</si>
  <si>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</si>
  <si>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</si>
  <si>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</si>
  <si>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WM+ NAN Vạn An, Nam Đàn</t>
  </si>
  <si>
    <t>Khối Vạn An, Thị Trấn Nam Đàn, Huyện Nam Đàn T. Nghệ An Việt Nam</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</si>
  <si>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</si>
  <si>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</si>
  <si>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</si>
  <si>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</si>
  <si>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</si>
  <si>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</si>
  <si>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</si>
  <si>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</si>
  <si>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</si>
  <si>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</si>
  <si>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</si>
  <si>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</si>
  <si>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</si>
  <si>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</si>
  <si>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</si>
  <si>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</si>
  <si>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WM+ QBH 11A Lý Thường Kiệt</t>
  </si>
  <si>
    <t>Số 11A Lý Thường Kiệt, Thị trấn Quy Đạt, Huyện Minh Hóa T. Quảng Bình Việt Nam</t>
  </si>
  <si>
    <t>6753</t>
  </si>
  <si>
    <t>WM+ NAN Bảo Thành, Yên Thành</t>
  </si>
  <si>
    <t>Xóm 6, Xã Bảo Thành, Huyện Yên Thành T. Nghệ An Việt Nam</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</si>
  <si>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</si>
  <si>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</si>
  <si>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</si>
  <si>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</si>
  <si>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</si>
  <si>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</si>
  <si>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</si>
  <si>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</si>
  <si>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</si>
  <si>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</si>
  <si>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</si>
  <si>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</si>
  <si>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</si>
  <si>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</si>
  <si>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</si>
  <si>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</si>
  <si>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</si>
  <si>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</si>
  <si>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</si>
  <si>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</si>
  <si>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</si>
  <si>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</si>
  <si>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</si>
  <si>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</si>
  <si>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</si>
  <si>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</si>
  <si>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</si>
  <si>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</si>
  <si>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WM+ THA Diễn Ngoại, Triệu Sơn</t>
  </si>
  <si>
    <t>Thôn Diễn Ngoại, Xã Hợp Thành, Huyện Triệu Sơn T. Thanh Hóa Việt Nam</t>
  </si>
  <si>
    <t>6767</t>
  </si>
  <si>
    <t>WM+ THA Trường Sơn, Nông Cống</t>
  </si>
  <si>
    <t>Thôn Kim Phú, Xã Trường Sơn, Huyện Nông Cống, T. Thanh Hóa Việt Nam</t>
  </si>
  <si>
    <t>6768</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</si>
  <si>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</si>
  <si>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</si>
  <si>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</si>
  <si>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</si>
  <si>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</si>
  <si>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</si>
  <si>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</si>
  <si>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</si>
  <si>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</si>
  <si>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</si>
  <si>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</si>
  <si>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</si>
  <si>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</si>
  <si>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</si>
  <si>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</si>
  <si>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</si>
  <si>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</si>
  <si>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</si>
  <si>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</si>
  <si>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</si>
  <si>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WM+ THA 09 Quyết Thắng</t>
  </si>
  <si>
    <t>09 Quyết Thắng, Thị trấn Lang Chánh, Huyện Lang Chánh T. Thanh Hóa Việt Nam</t>
  </si>
  <si>
    <t>6780</t>
  </si>
  <si>
    <t>WM+ HTH 385 Lê Đại Hành</t>
  </si>
  <si>
    <t>Số nhà 385 Lê Đại Hành, Phường Hưng Trí, Thị xã Kỳ Anh T. Hà Tĩnh Việt Nam</t>
  </si>
  <si>
    <t>6783</t>
  </si>
  <si>
    <t>WM+ THA Vĩnh Thịnh, Vĩnh Lộc</t>
  </si>
  <si>
    <t>Thôn 6, Xã Vĩnh Thịnh, Huyện Vĩnh Lộc T. Thanh Hóa Việt Nam</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</si>
  <si>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</si>
  <si>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</si>
  <si>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</si>
  <si>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</si>
  <si>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</si>
  <si>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</si>
  <si>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</si>
  <si>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WM+ THA Lô 01A35 Lê Lợi</t>
  </si>
  <si>
    <t>Lô 01A35 Lê Lợi, Phường Đông Hương, Thành phố Thanh Hóa T. Thanh Hóa Việt Nam</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</si>
  <si>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</si>
  <si>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</si>
  <si>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</si>
  <si>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</si>
  <si>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</si>
  <si>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</si>
  <si>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</si>
  <si>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WM+ THA 678 Phố Cống</t>
  </si>
  <si>
    <t>Số 678 Đường Phố Cống, Phố Lê Thánh Tông, Thị trấn Ngọc Lặc T. Thanh Hóa Việt Nam</t>
  </si>
  <si>
    <t>6793</t>
  </si>
  <si>
    <t>WM+ NAN Chợ Yên Sơn, Đô Lương</t>
  </si>
  <si>
    <t>Xóm Khánh Thế, Xã Yên Sơn, Huyện Đô Lương T. Nghệ An Việt Nam</t>
  </si>
  <si>
    <t>6804</t>
  </si>
  <si>
    <t>Số 253 Lê Lợi, Thị trấn Thường Xuân, Huyện Thường Xuân T. Thanh Hóa Việt Nam</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</si>
  <si>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</si>
  <si>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</si>
  <si>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</si>
  <si>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</si>
  <si>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</si>
  <si>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</si>
  <si>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</si>
  <si>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</si>
  <si>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</si>
  <si>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</si>
  <si>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</si>
  <si>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</si>
  <si>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</si>
  <si>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</si>
  <si>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</si>
  <si>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</si>
  <si>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</si>
  <si>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</si>
  <si>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</si>
  <si>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</si>
  <si>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</si>
  <si>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</si>
  <si>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</si>
  <si>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</si>
  <si>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</si>
  <si>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</si>
  <si>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</si>
  <si>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</si>
  <si>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</si>
  <si>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</si>
  <si>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</si>
  <si>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WM+ NAN Khối 6, TT Tân Kỳ</t>
  </si>
  <si>
    <t>Khối 6, Thị Trấn Tân Kỳ, Huyện Tân Kỳ T. Nghệ An Việt Nam</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</si>
  <si>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</si>
  <si>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</si>
  <si>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</si>
  <si>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</si>
  <si>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</si>
  <si>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</si>
  <si>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</si>
  <si>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</si>
  <si>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</si>
  <si>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</si>
  <si>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</si>
  <si>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</si>
  <si>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</si>
  <si>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</si>
  <si>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</si>
  <si>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</si>
  <si>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</si>
  <si>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</si>
  <si>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</si>
  <si>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</si>
  <si>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</si>
  <si>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</si>
  <si>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WM+ THA Định Long, Yên Định</t>
  </si>
  <si>
    <t>Thôn 5, Xã Định Long, Huyện Yên Định T. Thanh Hóa Việt Nam</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</si>
  <si>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</si>
  <si>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</si>
  <si>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</si>
  <si>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</si>
  <si>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</si>
  <si>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</si>
  <si>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</si>
  <si>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</si>
  <si>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</si>
  <si>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</si>
  <si>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</si>
  <si>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</si>
  <si>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</si>
  <si>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</si>
  <si>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</si>
  <si>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</si>
  <si>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</si>
  <si>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</si>
  <si>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</si>
  <si>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</si>
  <si>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</si>
  <si>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</si>
  <si>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</si>
  <si>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</si>
  <si>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</si>
  <si>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</si>
  <si>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</si>
  <si>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</si>
  <si>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WM+ QBH 11 Nguyễn Tất Thành</t>
  </si>
  <si>
    <t>Số 11 Nguyễn Tất Thành, Thị trấn Kiến Giang, Huyện Lệ Thủy T. Quảng Bình Việt Nam</t>
  </si>
  <si>
    <t>6868</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</si>
  <si>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</si>
  <si>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</si>
  <si>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</si>
  <si>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</si>
  <si>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</si>
  <si>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</si>
  <si>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</si>
  <si>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</si>
  <si>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</si>
  <si>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</si>
  <si>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</si>
  <si>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</si>
  <si>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</si>
  <si>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</si>
  <si>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WM+ THA 99 Lê Lợi</t>
  </si>
  <si>
    <t>Số 99 Lê Lợi, Khu 1, Thị trấn Thọ Xuân, Huyện Thọ Xuân T. Thanh Hóa Việt Nam</t>
  </si>
  <si>
    <t>6877</t>
  </si>
  <si>
    <t>Số 71, Khu phố 2, Thị trấn Cành Nàng, Huyện Bá Thước T. Thanh Hóa Việt Nam</t>
  </si>
  <si>
    <t>6878</t>
  </si>
  <si>
    <t>WM+ NAN Hợp Thành, Yên Thành</t>
  </si>
  <si>
    <t>Xóm 5, Xã Hợp Thành, Huyện Yên Thành T. Nghệ An Việt Nam</t>
  </si>
  <si>
    <t>6880</t>
  </si>
  <si>
    <t>WM+ HNI Phúc Lâm, Mỹ Đức</t>
  </si>
  <si>
    <t>Xóm 6, Xã Phúc Lâm, Huyện Mỹ Đức TP. Hà Nội Việt Nam</t>
  </si>
  <si>
    <t>6881</t>
  </si>
  <si>
    <t>WM+ THA Yên Cát, Như Xuân</t>
  </si>
  <si>
    <t>Số 73 , Khu phố 1, Thị trấn Yên Cát, Huyện Như Xuân T. Thanh Hóa Việt Nam</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</si>
  <si>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</si>
  <si>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</si>
  <si>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</si>
  <si>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</si>
  <si>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</si>
  <si>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</si>
  <si>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</si>
  <si>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WM+ THA Chợ Vực, Hoằng Ngọc, Hoằng</t>
  </si>
  <si>
    <t>Số 11 Đường ĐT 510B, Thôn 6, Xã Hoằng Ngọc, Huyện Hoằng Hóa T. Thanh Hóa Việt Nam</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</si>
  <si>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</si>
  <si>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</si>
  <si>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</si>
  <si>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</si>
  <si>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</si>
  <si>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</si>
  <si>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</si>
  <si>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</si>
  <si>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</si>
  <si>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</si>
  <si>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</si>
  <si>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</si>
  <si>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</si>
  <si>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WM+ THA TDP Đại Đồng, Cẩm Thủy</t>
  </si>
  <si>
    <t>TDP Đại Đồng, Thị trấn Phong Sơn, Huyện Cẩm Thủy T. Thanh Hóa Việt Nam</t>
  </si>
  <si>
    <t>6894</t>
  </si>
  <si>
    <t>WM+ HTH 06 Nguyễn Đình Liễn</t>
  </si>
  <si>
    <t>Số nhà 06 Nguyễn Đình Liễn, Thị trấn Cẩm Xuyên, Huyện Cẩm Xuyên T. Hà Tĩnh Việt Nam</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</si>
  <si>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</si>
  <si>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</si>
  <si>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</si>
  <si>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</si>
  <si>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</si>
  <si>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</si>
  <si>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</si>
  <si>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</si>
  <si>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</si>
  <si>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</si>
  <si>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</si>
  <si>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</si>
  <si>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</si>
  <si>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</si>
  <si>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</si>
  <si>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</si>
  <si>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</si>
  <si>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</si>
  <si>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</si>
  <si>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WM+ SLA 124 Tổ 8 Quyết Thắng</t>
  </si>
  <si>
    <t>Số 124, Tổ 8, Phường Quyết Thắng, Thành phố Sơn La T. Sơn La Việt Nam</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</si>
  <si>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</si>
  <si>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</si>
  <si>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</si>
  <si>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</si>
  <si>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</si>
  <si>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</si>
  <si>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</si>
  <si>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</si>
  <si>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</si>
  <si>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</si>
  <si>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</si>
  <si>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</si>
  <si>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</si>
  <si>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WM+ THA Uy Nam, Quảng Xương</t>
  </si>
  <si>
    <t>Thôn Uy Nam, Xã Quảng Ngọc, Huyện Quảng Xương T. Thanh Hóa Việt Nam</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</si>
  <si>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</si>
  <si>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</si>
  <si>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</si>
  <si>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</si>
  <si>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</si>
  <si>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</si>
  <si>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</si>
  <si>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</si>
  <si>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</si>
  <si>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</si>
  <si>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</si>
  <si>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</si>
  <si>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</si>
  <si>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</si>
  <si>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</si>
  <si>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</si>
  <si>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</si>
  <si>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</si>
  <si>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</si>
  <si>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</si>
  <si>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</si>
  <si>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</si>
  <si>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</si>
  <si>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</si>
  <si>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</si>
  <si>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</si>
  <si>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</si>
  <si>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</si>
  <si>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</si>
  <si>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</si>
  <si>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</si>
  <si>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</si>
  <si>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</si>
  <si>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</si>
  <si>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WM+ HPG Chợ Ga, An Dương</t>
  </si>
  <si>
    <t>Chợ Ga, Xã Đại Bản, Huyện An Dương, Thành phố Hải Phòng TP. Hải Phòng Việt Nam</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</si>
  <si>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</si>
  <si>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</si>
  <si>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</si>
  <si>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</si>
  <si>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</si>
  <si>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</si>
  <si>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</si>
  <si>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</si>
  <si>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</si>
  <si>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</si>
  <si>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</si>
  <si>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</si>
  <si>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</si>
  <si>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</si>
  <si>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</si>
  <si>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</si>
  <si>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</si>
  <si>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</si>
  <si>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</si>
  <si>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</si>
  <si>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</si>
  <si>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</si>
  <si>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</si>
  <si>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</si>
  <si>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</si>
  <si>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WM+ YBI 385 Lê Hồng Phong, Nguyễn P</t>
  </si>
  <si>
    <t>Số 385 Đường Lê Hồng Phong, P. Nguy Tp. Yên Bái T. Yên Bái Việt Nam</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</si>
  <si>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</si>
  <si>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</si>
  <si>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</si>
  <si>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</si>
  <si>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</si>
  <si>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</si>
  <si>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</si>
  <si>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</si>
  <si>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</si>
  <si>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</si>
  <si>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</si>
  <si>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</si>
  <si>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</si>
  <si>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</si>
  <si>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</si>
  <si>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</si>
  <si>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</si>
  <si>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</si>
  <si>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</si>
  <si>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Xóm Tuần A, Xã Quỳnh Châu, Huyện Quỳnh Lưu T. Nghệ An Việt Nam</t>
  </si>
  <si>
    <t>6983</t>
  </si>
  <si>
    <t>WM+ HTH Song Hồng, Nghi Xuân</t>
  </si>
  <si>
    <t>Thôn Song Hồng, Xã Cương Gián, Huyện Nghi Xuân T. Hà Tĩnh Việt Nam</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</si>
  <si>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</si>
  <si>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</si>
  <si>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</si>
  <si>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</si>
  <si>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</si>
  <si>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</si>
  <si>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</si>
  <si>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</si>
  <si>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</si>
  <si>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</si>
  <si>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</si>
  <si>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</si>
  <si>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</si>
  <si>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</si>
  <si>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</si>
  <si>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</si>
  <si>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WM+ HTH Tân Dinh, Cẩm Xuyên</t>
  </si>
  <si>
    <t>Thôn Tân Dinh, Xã Cẩm Nhượng, Huyện Cẩm Xuyên, T. Hà Tĩnh Việt Nam</t>
  </si>
  <si>
    <t>2BMI</t>
  </si>
  <si>
    <t>Đường Khuất Duy Tiến, Khu phố Lạc Xá, Phường Quế Võ, T. Bắc Ninh Việt Nam</t>
  </si>
  <si>
    <t>2BNF</t>
  </si>
  <si>
    <t>Thôn Mai Hạ, Xã Xuân Cẩm, Tỉnh Bắc Ninh T. Bắc Ninh Việt Nam</t>
  </si>
  <si>
    <t>2BOJ</t>
  </si>
  <si>
    <t>Tổ dân phố Hấn, Phường Tân Tiến, Tỉnh Bắc Ninh T. Bắc Ninh Việt Nam</t>
  </si>
  <si>
    <t>2BPA</t>
  </si>
  <si>
    <t>Bản Trung Tâm 1, Xã Nà Tấu, Tỉnh Điện Biên T. Điện Biên Việt Nam</t>
  </si>
  <si>
    <t>2A51</t>
  </si>
  <si>
    <t>WM+ HTH 187 Mai Thúc Loan</t>
  </si>
  <si>
    <t>Số 187 Mai Thúc Loan, Thôn Hòa, Xã Thạch Hưng, Thành phố Hà Tĩnh T. Hà Tĩnh Việt Nam</t>
  </si>
  <si>
    <t>2AAP</t>
  </si>
  <si>
    <t>630 Quang Trung, Thôn Hạ, Xã Thạch Hạ, Thành Phố Hà Tĩnh T. Hà Tĩnh Việt Nam</t>
  </si>
  <si>
    <t>2AFD</t>
  </si>
  <si>
    <t>WM+ HTH 54B Nguyễn Đổng Chi</t>
  </si>
  <si>
    <t>Số 54B đường Nguyễn Đổng Chi, Phường Nam Hồng Thị xã Hồng Lĩnh T. Hà Tĩnh Việt Nam</t>
  </si>
  <si>
    <t>5697</t>
  </si>
  <si>
    <t>WM+ HTH 160 Trần Phú</t>
  </si>
  <si>
    <t>Số 160 Trần Phú, Phường Bắc Hồng, Thị xã Hồng Lĩnh, T. Hà Tĩnh Việt Nam</t>
  </si>
  <si>
    <t>5966</t>
  </si>
  <si>
    <t>WM+ HTH 524 Hà Huy Tập</t>
  </si>
  <si>
    <t>Số 524 Hà Huy Tập, Phường Đại Nài, Thành phố Hà Tĩnh, T. Hà Tĩnh Việt Nam</t>
  </si>
  <si>
    <t>2BAI</t>
  </si>
  <si>
    <t>WM+ HTH 86 Lê Khôi</t>
  </si>
  <si>
    <t>Số 86 Đường Lê Khôi, Tổ dân phố Hòa Bình, T. Hà Tĩnh Việt Nam</t>
  </si>
  <si>
    <t>2BCJ</t>
  </si>
  <si>
    <t>Số nhà 200 Đường Việt Lào, Thôn 2, Xã Sơn Tây, Tỉnh Hà Tĩnh T. Hà Tĩnh Việt Nam</t>
  </si>
  <si>
    <t>4970</t>
  </si>
  <si>
    <t>WM+ HTH 357 Trần Phú</t>
  </si>
  <si>
    <t>357 Trần Phú, Phường Thạch Linh, Thành phố Hà Tĩnh, T. Hà Tĩnh Việt Nam</t>
  </si>
  <si>
    <t>4975</t>
  </si>
  <si>
    <t>WM+ HTH 64 Nguyễn Huy Tự</t>
  </si>
  <si>
    <t>64 Nguyễn Huy Tự, Phường Bắc Hà, Thành phố Hà Tĩnh, T. Hà Tĩnh Việt Nam</t>
  </si>
  <si>
    <t>6168</t>
  </si>
  <si>
    <t>WM+ HTH 63 Nguyễn Chí Thanh</t>
  </si>
  <si>
    <t>63 Nguyễn Chí Thanh, Phường Tân Giang, TP. Hà Tĩnh, T. Hà Tĩnh Việt Nam</t>
  </si>
  <si>
    <t>4976</t>
  </si>
  <si>
    <t>WM+ HTH 132 Lê Duẩn</t>
  </si>
  <si>
    <t>132 Lê Duẩn, Phường Trần Phú, Thành phố Hà Tĩnh, T. Hà Tĩnh Việt Nam</t>
  </si>
  <si>
    <t>6213</t>
  </si>
  <si>
    <t>WM+ HTH 118 Hải Thượng Lãn Ông</t>
  </si>
  <si>
    <t>Số nhà 118, đường Hải Thượng Lãn Ông, Tổ dân phố 4, Phường Bắc Hà, Thành phố Hà Tĩnh, T. Hà Tĩnh Việt Nam</t>
  </si>
  <si>
    <t>5030</t>
  </si>
  <si>
    <t>WM+ HTH 01 Trần Phú</t>
  </si>
  <si>
    <t>01 Trần Phú, Phường Nam Hồng, Thị xã Hồng Lĩnh, T. Hà Tĩnh Việt Nam</t>
  </si>
  <si>
    <t>5031</t>
  </si>
  <si>
    <t>WM+ HTH 87 Phan Đình Giót</t>
  </si>
  <si>
    <t>87 Phan Đình Giót, Phường Nam Hà, Thành phố Hà Tĩnh, T. Hà Tĩnh Việt Nam</t>
  </si>
  <si>
    <t>5094</t>
  </si>
  <si>
    <t>WM+ HTH 191 Nguyễn Du</t>
  </si>
  <si>
    <t>191 Nguyễn Du, Phường Nguyễn Du, Thành phố Hà Tĩnh, T. Hà Tĩnh Việt Nam</t>
  </si>
  <si>
    <t>5122</t>
  </si>
  <si>
    <t>WM+ HTH 520 Nguyễn Công Trứ</t>
  </si>
  <si>
    <t>520 Nguyễn Công Trứ, Phường Thạch Quý, Thành phố Hà Tĩnh, T. Hà Tĩnh Việt Nam</t>
  </si>
  <si>
    <t>6345</t>
  </si>
  <si>
    <t>WM+ HTH 16 Nguyễn Trung Thiên</t>
  </si>
  <si>
    <t>16 Nguyễn Trung Thiên, Phường Tân Giang, Thành phố Hà Tĩnh, T. Hà Tĩnh Việt Nam</t>
  </si>
  <si>
    <t>5280</t>
  </si>
  <si>
    <t>WM+ HTH 149 Vũ Quang</t>
  </si>
  <si>
    <t>149 Vũ Quang, Phường Thạch Linh, Thành phố Hà Tĩnh, T. Hà Tĩnh Việt Nam</t>
  </si>
  <si>
    <t>5281</t>
  </si>
  <si>
    <t>WM+ HTH 82 Vũ Quang</t>
  </si>
  <si>
    <t>82 Vũ Quang, Tổ dân phố 5, Phường Thành Sen, Tỉnh Hà Tĩnh T. Hà Tĩnh Việt Nam</t>
  </si>
  <si>
    <t>6447</t>
  </si>
  <si>
    <t>WM+ HTH 201A Nguyễn Công Trứ</t>
  </si>
  <si>
    <t>Số 201A Nguyễn Công Trứ, Phường Nguyễn Du, Thành phố Hà Tĩnh T. Hà Tĩnh Việt Nam</t>
  </si>
  <si>
    <t>5510</t>
  </si>
  <si>
    <t>WM+ HTH 35 Đồng Quế</t>
  </si>
  <si>
    <t>35 Đồng Quế, Phường Nam Hà, Thành phố Hà Tĩnh, T. Hà Tĩnh Việt Nam</t>
  </si>
  <si>
    <t>6707</t>
  </si>
  <si>
    <t>WM+ HTH 248 Vũ Quang</t>
  </si>
  <si>
    <t>Số nhà 248 Vũ Quang, TDP Hòa Linh, Phường Thạch Linh, T. Hà Tĩnh Việt Nam</t>
  </si>
  <si>
    <t>2BMR</t>
  </si>
  <si>
    <t>Thửa đất số 57, Tờ bản đồ số 9, QL37, Thôn Hoa Quận, T. Hưng Yên Việt Nam</t>
  </si>
  <si>
    <t>2BMS</t>
  </si>
  <si>
    <t>Thửa đất số 668, Tờ bản đồ số 15, Thôn Bình Trật Nam, T. Hưng Yên Việt Nam</t>
  </si>
  <si>
    <t>2BNM</t>
  </si>
  <si>
    <t>Thửa đất số 19, Tờ bản đồ số 14, Thôn Hóa Tài, T. Hưng Yên Việt Nam</t>
  </si>
  <si>
    <t>2BNN</t>
  </si>
  <si>
    <t>Thửa đất số 241 &amp; 242, Tờ bản đồ số 14, đường ĐH.37, T. Hưng Yên Việt Nam</t>
  </si>
  <si>
    <t>2BNP</t>
  </si>
  <si>
    <t>Thôn Chùa, Xã Lạc Đạo, Tỉnh Hưng Yên T. Hưng Yên Việt Nam</t>
  </si>
  <si>
    <t>2BNU</t>
  </si>
  <si>
    <t>Tổ dân phố Trại, Phường Đường Hào, Tỉnh Hưng Yên T. Hưng Yên Việt Nam</t>
  </si>
  <si>
    <t>2BOR</t>
  </si>
  <si>
    <t>Thửa đất số 316, Tờ bản đồ số 12, Thôn Duyên Hà, T. Hưng Yên Việt Nam</t>
  </si>
  <si>
    <t>2BJV</t>
  </si>
  <si>
    <t>Thôn Minh Thân, Xã Thác Bà, Tỉnh Lào Cai T. Lào Cai Việt Nam</t>
  </si>
  <si>
    <t>Lô A3-A6, Khu Công Nghiệp WHA Industrial Zone 1, X. Nghi Thuận, H. Nghi Lộc T. Nghệ An Việt Nam</t>
  </si>
  <si>
    <t>2BKQ</t>
  </si>
  <si>
    <t>Thửa đất số 269, tờ bản đồ số 22, Xóm 3, Xã Hùng Châu, T. Nghệ An Việt Nam</t>
  </si>
  <si>
    <t>2BKP</t>
  </si>
  <si>
    <t>Thửa đất số 1699, tờ bản đồ số 4, Đội 8, Xã Quỳnh Lưu, T. Nghệ An Việt Nam</t>
  </si>
  <si>
    <t>2BMX</t>
  </si>
  <si>
    <t>Xóm Tân Mỹ, Xã Tam Hợp, Tỉnh Nghệ An T. Nghệ An Việt Nam</t>
  </si>
  <si>
    <t>2BNI</t>
  </si>
  <si>
    <t>Thửa đất số 415, tờ bản đồ số 8, Đường 533, Xóm Thanh Thủy, Xã Đông Thành T. Nghệ An Việt Nam</t>
  </si>
  <si>
    <t>2BNJ</t>
  </si>
  <si>
    <t>Thửa đất số 28, tờ bản đồ số 26, Xóm Liên Xuân, Xã Đông Thành T. Nghệ An Việt Nam</t>
  </si>
  <si>
    <t>2BRI</t>
  </si>
  <si>
    <t>116B – 118 Đường Nguyễn Trãi, Phường Nam Định, Tỉnh Ninh Bình T. Ninh Bình Việt Nam</t>
  </si>
  <si>
    <t>2BKD</t>
  </si>
  <si>
    <t>Thửa đất số 1109, TBĐ số 09, Thôn Trung Chính, Xã Gia Lâm, T. Ninh Bình Việt Nam</t>
  </si>
  <si>
    <t>2BKL</t>
  </si>
  <si>
    <t>Xóm 9 Bình Minh, Xã Bình Minh, Tỉnh Ninh Bình T. Ninh Bình Việt Nam</t>
  </si>
  <si>
    <t>2BKX</t>
  </si>
  <si>
    <t>Thửa đất 390-391, tờ bản đồ số 28, thôn Tùy Hối, xã Gia Vân, T. Ninh Bình Việt Nam</t>
  </si>
  <si>
    <t>2BLB</t>
  </si>
  <si>
    <t>Thửa đất 126A, tờ bản đồ số 13, Thôn Lâm Thọ, Xã Giao Thủy, T. Ninh Bình Việt Nam</t>
  </si>
  <si>
    <t>2BLN</t>
  </si>
  <si>
    <t>Thửa đất sô 680, tờ bản đồ số 4, Xóm 3 Đông Sơn, Xã Yên Mạc, T. Ninh Bình Việt Nam</t>
  </si>
  <si>
    <t>2BMA</t>
  </si>
  <si>
    <t>Thửa đất số 1278-1315 TBĐ số 6a, Đ. QL 12B, Thôn Sào Lâm, T. Ninh Bình Việt Nam</t>
  </si>
  <si>
    <t>2BMP</t>
  </si>
  <si>
    <t>Thửa đất số 68-69, tờ bản đồ số 69-13, tổ dân phố Xuân, phường Đông Hoa Lư, T. Ninh Bình Việt Nam</t>
  </si>
  <si>
    <t>Lô 9, cụm công nghiệp Nam Thanh Ba, Xã Liên Minh, T. Phú Thọ Việt Nam</t>
  </si>
  <si>
    <t>2AJJ</t>
  </si>
  <si>
    <t>WM+ PTO 439 Tiên Dung</t>
  </si>
  <si>
    <t>Số Nhà 439, Phố Tiên Dung, Khu Tiên Phú, Phường Tiên Cát, T. Phú Thọ Việt Nam</t>
  </si>
  <si>
    <t>2BBO</t>
  </si>
  <si>
    <t>Khu 2, Xã Xuân Lũng, Tỉnh Phú Thọ T. Phú Thọ Việt Nam</t>
  </si>
  <si>
    <t>2BIB</t>
  </si>
  <si>
    <t>Khu Nương Sơn, Xã Vân Bán, Tỉnh Phú Thọ T. Phú Thọ Việt Nam</t>
  </si>
  <si>
    <t>2BIZ</t>
  </si>
  <si>
    <t>Khu 4, Xã Hoàng Cương, Tỉnh Phú Thọ T. Phú Thọ Việt Nam</t>
  </si>
  <si>
    <t>2BPR</t>
  </si>
  <si>
    <t>Thôn Nhật Chiêu 4, Xã Liên Châu, Tỉnh Phú Thọ T. Phú Thọ Việt Nam</t>
  </si>
  <si>
    <t>2BZ8</t>
  </si>
  <si>
    <t>Khu 6 Hương Xạ, Xã Yên Kỳ, T. Phú Thọ Việt Nam</t>
  </si>
  <si>
    <t>2BMV</t>
  </si>
  <si>
    <t>Số 874 Nguyễn Bình, Phường Đông Triều, T. Quảng Ninh Việt Nam</t>
  </si>
  <si>
    <t>2BOG</t>
  </si>
  <si>
    <t>Số 436, Khu Xuân Viên 3, Phường Mạo Khê, Tỉnh Quảng Ninh T. Quảng Ninh Việt Nam</t>
  </si>
  <si>
    <t>2BOV</t>
  </si>
  <si>
    <t>Số 168, Đường Trường Chinh, Tổ 7A, Phường Bắc Kạn, T. Thái Nguyên Việt Nam</t>
  </si>
  <si>
    <t>6911</t>
  </si>
  <si>
    <t>WM+ TNN 43 Minh Cầu</t>
  </si>
  <si>
    <t>Số nhà 43 Đường Minh Cầu, Phường Phan Đình Phùng, TP. Thái Nguyên T. Thái Nguyên Việt Nam</t>
  </si>
  <si>
    <t>2AHA</t>
  </si>
  <si>
    <t>WM+ THA HH9-51 Vinhomes Star City</t>
  </si>
  <si>
    <t>HH9-51, Dự án số 1 Khu đô thị trung tâm thành phố Thanh Hoá, T. Thanh Hóa Việt Nam</t>
  </si>
  <si>
    <t>4308</t>
  </si>
  <si>
    <t>WM+ THA 168 Thành Thái</t>
  </si>
  <si>
    <t>168 Thành Thái, Phường Đông Thọ, Thành phố Thanh Hóa, T. Thanh Hóa Việt Nam</t>
  </si>
  <si>
    <t>2AMI</t>
  </si>
  <si>
    <t>Số 102, Đường ĐH-HH16, Thôn Hải Phúc 2, Xã Hoằng Châu, T. Thanh Hóa Việt Nam</t>
  </si>
  <si>
    <t>2AZH</t>
  </si>
  <si>
    <t>WM+ THA 148-150 Bạch Đằng</t>
  </si>
  <si>
    <t>Số 148-150 Đường Bạch Đằng, Phường Quảng Hưng, TP. Thanh Hóa T. Thanh Hóa Việt Nam</t>
  </si>
  <si>
    <t>2BEF</t>
  </si>
  <si>
    <t>Số 760, Thôn Yên Định, Xã Định Tân, Tỉnh Thanh Hóa T. Thanh Hóa Việt Nam</t>
  </si>
  <si>
    <t>2BFD</t>
  </si>
  <si>
    <t>Đường 217, Xã Tây Đô, Tỉnh Thanh Hóa T. Thanh Hóa Việt Nam</t>
  </si>
  <si>
    <t>2BLL</t>
  </si>
  <si>
    <t>Thửa đất số 1416, TBĐ số 02, Thôn Thắng, T. Thanh Hóa Việt Nam</t>
  </si>
  <si>
    <t>2BMK</t>
  </si>
  <si>
    <t>Thôn Chiềng Đông, Xã Cẩm Thạch, Tỉnh Thanh Hóa T. Thanh Hóa Việt Nam</t>
  </si>
  <si>
    <t>2ARY</t>
  </si>
  <si>
    <t>WM+ HNI 18 Ngõ 66 Dịch Vọng Hậu</t>
  </si>
  <si>
    <t>Số 18, Ngõ 66 Dịch Vọng Hậu, Tổ 27, Phường Dịch Vọng Hậu, Quận Cầu Giấy TP. Hà Nội Việt Nam</t>
  </si>
  <si>
    <t>2BDV</t>
  </si>
  <si>
    <t>N06, BT 08, Khu đô thị mới tại lô đất N1+N3 KĐT Quốc Oai, TP. Hà Nội Việt Nam</t>
  </si>
  <si>
    <t>2BKI</t>
  </si>
  <si>
    <t>Số 20, Thôn Phúc Hòa 1, Xã Phúc Thọ, TP. Hà Nội Việt Nam</t>
  </si>
  <si>
    <t>2BKJ</t>
  </si>
  <si>
    <t>Xóm 3 Cổ Điển, Xã Vĩnh Thanh, Thành phố Hà Nội TP. Hà Nội Việt Nam</t>
  </si>
  <si>
    <t>2BLE</t>
  </si>
  <si>
    <t>Thôn Đình Vỹ, Xã Phù Đổng, Thành phố Hà Nội TP. Hà Nội Việt Nam</t>
  </si>
  <si>
    <t>2BLT</t>
  </si>
  <si>
    <t>Thôn Khê Ngoại 3, Xã Mê Linh, TP. Hà Nội Việt Nam</t>
  </si>
  <si>
    <t>2BMH</t>
  </si>
  <si>
    <t>Thôn Kính Nỗ, Xã Thư Lâm, Thành phố Hà Nội TP. Hà Nội Việt Nam</t>
  </si>
  <si>
    <t>2BMF</t>
  </si>
  <si>
    <t>Thôn Gia Thượng 2, Xã Quang Minh, Thành phố Hà Nội TP. Hà Nội Việt Nam</t>
  </si>
  <si>
    <t>2BML</t>
  </si>
  <si>
    <t>Thôn Cổ Điển, Xã Vĩnh Thanh, Thành phố Hà Nội TP. Hà Nội Việt Nam</t>
  </si>
  <si>
    <t>2BNG</t>
  </si>
  <si>
    <t>Số nhà 113 Đường Di Trạch, Thôn Đa, Xã Hoài Đức, TP. Hà Nội Việt Nam</t>
  </si>
  <si>
    <t>2BOF</t>
  </si>
  <si>
    <t>Số 201-203, Thôn Thọ Vực, Xã Hòa Xá, Thành phố Hà Nội TP. Hà Nội Việt Nam</t>
  </si>
  <si>
    <t>2BP9</t>
  </si>
  <si>
    <t>Lô L1-02B, Tầng L1, Tòa 27A1, TTTM Vincom Plaza Bắc Từ Liêm, KĐT TP Giao lưu, 234 Phạm Văn Đồng, Phường Phú Diễn, TP. Hà Nội Việt Nam</t>
  </si>
  <si>
    <t>Lô CN4.1L, Khu Công Nghiệp Đình Vũ, thuộc Khu Kinh Tế Đình Vũ- Cát Hải, P. Đông Hải 2 TP. Hải Phòng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</si>
  <si>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</si>
  <si>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</si>
  <si>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</si>
  <si>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</si>
  <si>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</si>
  <si>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</si>
  <si>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</si>
  <si>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</si>
  <si>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</si>
  <si>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</si>
  <si>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</si>
  <si>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</si>
  <si>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</si>
  <si>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Thôn 1, Xã Cẩm Giàng, Thành phố Hải Phòng TP. Hải Phòng Việt Nam</t>
  </si>
  <si>
    <t>2BDK</t>
  </si>
  <si>
    <t>Thôn An Thung, Xã Quyết Thắng, Thành phố Hải Phòng TP. Hải Phòng Việt Nam</t>
  </si>
  <si>
    <t>2BGP</t>
  </si>
  <si>
    <t>Số 79 Nguyễn Lương Bằng, Tổ dân phố Trần Phú 1, TP. Hải Phòng Việt Nam</t>
  </si>
  <si>
    <t>2BJX</t>
  </si>
  <si>
    <t>Thôn An Lương, Xã An Phú, Thành phố Hải Phòng TP. Hải Phòng Việt Nam</t>
  </si>
  <si>
    <t>2BMM</t>
  </si>
  <si>
    <t>Thôn An Cư, Xã Trường Tân, Thành phố Hải Phòng TP. Hải Phòng Việt Nam</t>
  </si>
  <si>
    <t>5399</t>
  </si>
  <si>
    <t>WM+ HPG 273 Tô Hiệu</t>
  </si>
  <si>
    <t>273 Tô Hiệu, Phường Hồ Nam, Quận Lê Chân, TP. Hải Phòng Việt Nam</t>
  </si>
  <si>
    <t>5655</t>
  </si>
  <si>
    <t>WM+ HTH 348 Hà Huy Tập</t>
  </si>
  <si>
    <t>348 Hà Huy Tập, phường Hà Huy Tập, TP Hà Tĩnh, Ttỉnh Hà Tĩnh Việt Nam</t>
  </si>
  <si>
    <t>2B78</t>
  </si>
  <si>
    <t>WM+ HTH 340 Nguyễn Ái Quốc</t>
  </si>
  <si>
    <t>Số nhà 340 Đường Nguyễn Ái Quốc, Phường Bắc Hồng Lĩnh, Tỉnh Hà Tĩnh Việt Nam</t>
  </si>
  <si>
    <t>2BCT</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</si>
  <si>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</si>
  <si>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</si>
  <si>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</si>
  <si>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</si>
  <si>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</si>
  <si>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</si>
  <si>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</si>
  <si>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</si>
  <si>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Thôn Dụ Nghĩa, Phường An Phong, Thành phố Hải Phòng TP. Hải Phòng Việt Nam</t>
  </si>
  <si>
    <t>2BHH</t>
  </si>
  <si>
    <t>Tầng 1, Căn hộ SAP.A05, Tòa Diamond – The Matrix One, TP. Hà Nội Việt Nam</t>
  </si>
  <si>
    <t>2BK0</t>
  </si>
  <si>
    <t>KKiot 5HC + Kiot 16, Tầng 1, Chung cư Học viện Hậu Cần, Tổ 29 Cụm Ngọc Thụy, Phường Bồ Đề, TP. Hà Nội Việt Nam</t>
  </si>
  <si>
    <t>5886</t>
  </si>
  <si>
    <t>WM+ HDG 223 Trần Hưng Đạo</t>
  </si>
  <si>
    <t>223 Trần Hưng Đạo, Phường An Lưu Thị Xã Kinh Môn, T. Hải Dương Việt Nam</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</si>
  <si>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</si>
  <si>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</si>
  <si>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</si>
  <si>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</si>
  <si>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</si>
  <si>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</si>
  <si>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</si>
  <si>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</si>
  <si>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</si>
  <si>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</si>
  <si>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</si>
  <si>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</si>
  <si>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</si>
  <si>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</si>
  <si>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</si>
  <si>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</si>
  <si>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</si>
  <si>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</si>
  <si>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</si>
  <si>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</si>
  <si>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</si>
  <si>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</si>
  <si>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</si>
  <si>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</si>
  <si>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</si>
  <si>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</si>
  <si>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</si>
  <si>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</si>
  <si>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</si>
  <si>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</si>
  <si>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</si>
  <si>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</si>
  <si>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</si>
  <si>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</si>
  <si>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</si>
  <si>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</si>
  <si>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</si>
  <si>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</si>
  <si>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</si>
  <si>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</si>
  <si>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</si>
  <si>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</si>
  <si>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</si>
  <si>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</si>
  <si>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</si>
  <si>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</si>
  <si>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</si>
  <si>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</si>
  <si>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</si>
  <si>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</si>
  <si>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</si>
  <si>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</si>
  <si>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</si>
  <si>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</si>
  <si>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</si>
  <si>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</si>
  <si>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</si>
  <si>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</si>
  <si>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</si>
  <si>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</si>
  <si>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</si>
  <si>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</si>
  <si>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</si>
  <si>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</si>
  <si>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</si>
  <si>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</si>
  <si>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</si>
  <si>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</si>
  <si>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</si>
  <si>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</si>
  <si>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</si>
  <si>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</si>
  <si>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</si>
  <si>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</si>
  <si>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</si>
  <si>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</si>
  <si>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</si>
  <si>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</si>
  <si>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</si>
  <si>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</si>
  <si>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</si>
  <si>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</si>
  <si>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</si>
  <si>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</si>
  <si>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</si>
  <si>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</si>
  <si>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</si>
  <si>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</si>
  <si>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</si>
  <si>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</si>
  <si>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</si>
  <si>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</si>
  <si>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</si>
  <si>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</si>
  <si>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</si>
  <si>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</si>
  <si>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</si>
  <si>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</si>
  <si>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</si>
  <si>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</si>
  <si>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</si>
  <si>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</si>
  <si>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</si>
  <si>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</si>
  <si>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</si>
  <si>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</si>
  <si>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</si>
  <si>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</si>
  <si>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</si>
  <si>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</si>
  <si>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</si>
  <si>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</si>
  <si>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</si>
  <si>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</si>
  <si>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</si>
  <si>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</si>
  <si>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</si>
  <si>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</si>
  <si>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</si>
  <si>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</si>
  <si>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</si>
  <si>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</si>
  <si>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</si>
  <si>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</si>
  <si>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</si>
  <si>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</si>
  <si>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</si>
  <si>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</si>
  <si>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</si>
  <si>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</si>
  <si>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</si>
  <si>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</si>
  <si>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</si>
  <si>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</si>
  <si>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</si>
  <si>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</si>
  <si>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</si>
  <si>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</si>
  <si>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</si>
  <si>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</si>
  <si>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</si>
  <si>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</si>
  <si>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</si>
  <si>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</si>
  <si>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</si>
  <si>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</si>
  <si>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</si>
  <si>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</si>
  <si>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</si>
  <si>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</si>
  <si>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</si>
  <si>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</si>
  <si>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</si>
  <si>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</si>
  <si>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</si>
  <si>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</si>
  <si>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</si>
  <si>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</si>
  <si>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</si>
  <si>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</si>
  <si>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</si>
  <si>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</si>
  <si>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</si>
  <si>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</si>
  <si>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</si>
  <si>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</si>
  <si>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</si>
  <si>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</si>
  <si>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</si>
  <si>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</si>
  <si>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</si>
  <si>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</si>
  <si>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</si>
  <si>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</si>
  <si>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</si>
  <si>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</si>
  <si>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</si>
  <si>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</si>
  <si>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</si>
  <si>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</si>
  <si>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</si>
  <si>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</si>
  <si>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</si>
  <si>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</si>
  <si>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</si>
  <si>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</si>
  <si>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</si>
  <si>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</si>
  <si>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</si>
  <si>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</si>
  <si>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</si>
  <si>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</si>
  <si>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</si>
  <si>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</si>
  <si>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</si>
  <si>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</si>
  <si>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</si>
  <si>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</si>
  <si>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</si>
  <si>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</si>
  <si>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</si>
  <si>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</si>
  <si>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</si>
  <si>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</si>
  <si>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</si>
  <si>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</si>
  <si>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</si>
  <si>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</si>
  <si>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</si>
  <si>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</si>
  <si>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</si>
  <si>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</si>
  <si>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</si>
  <si>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</si>
  <si>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</si>
  <si>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</si>
  <si>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</si>
  <si>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</si>
  <si>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</si>
  <si>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</si>
  <si>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</si>
  <si>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</si>
  <si>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</si>
  <si>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</si>
  <si>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</si>
  <si>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</si>
  <si>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</si>
  <si>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</si>
  <si>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</si>
  <si>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</si>
  <si>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</si>
  <si>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</si>
  <si>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</si>
  <si>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</si>
  <si>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</si>
  <si>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</si>
  <si>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</si>
  <si>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</si>
  <si>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</si>
  <si>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</si>
  <si>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</si>
  <si>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</si>
  <si>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</si>
  <si>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</si>
  <si>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</si>
  <si>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</si>
  <si>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</si>
  <si>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</si>
  <si>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</si>
  <si>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</si>
  <si>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</si>
  <si>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</si>
  <si>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</si>
  <si>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</si>
  <si>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</si>
  <si>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</si>
  <si>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</si>
  <si>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</si>
  <si>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</si>
  <si>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</si>
  <si>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</si>
  <si>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</si>
  <si>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</si>
  <si>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</si>
  <si>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</si>
  <si>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</si>
  <si>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</si>
  <si>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</si>
  <si>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</si>
  <si>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</si>
  <si>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</si>
  <si>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</si>
  <si>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</si>
  <si>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</si>
  <si>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</si>
  <si>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</si>
  <si>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</si>
  <si>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</si>
  <si>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</si>
  <si>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</si>
  <si>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</si>
  <si>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</si>
  <si>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</si>
  <si>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</si>
  <si>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</si>
  <si>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</si>
  <si>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</si>
  <si>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</si>
  <si>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</si>
  <si>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</si>
  <si>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</si>
  <si>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</si>
  <si>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</si>
  <si>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</si>
  <si>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</si>
  <si>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</si>
  <si>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</si>
  <si>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</si>
  <si>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</si>
  <si>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</si>
  <si>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</si>
  <si>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</si>
  <si>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</si>
  <si>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</si>
  <si>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</si>
  <si>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</si>
  <si>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</si>
  <si>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</si>
  <si>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</si>
  <si>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</si>
  <si>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</si>
  <si>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</si>
  <si>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</si>
  <si>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</si>
  <si>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</si>
  <si>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</si>
  <si>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</si>
  <si>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</si>
  <si>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</si>
  <si>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</si>
  <si>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</si>
  <si>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</si>
  <si>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</si>
  <si>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</si>
  <si>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</si>
  <si>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</si>
  <si>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</si>
  <si>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</si>
  <si>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</si>
  <si>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</si>
  <si>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</si>
  <si>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</si>
  <si>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</si>
  <si>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</si>
  <si>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</si>
  <si>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</si>
  <si>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</si>
  <si>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</si>
  <si>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</si>
  <si>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</si>
  <si>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</si>
  <si>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</si>
  <si>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</si>
  <si>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</si>
  <si>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</si>
  <si>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</si>
  <si>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</si>
  <si>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</si>
  <si>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</si>
  <si>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</si>
  <si>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</si>
  <si>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</si>
  <si>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</si>
  <si>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</si>
  <si>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</si>
  <si>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</si>
  <si>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</si>
  <si>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</si>
  <si>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</si>
  <si>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</si>
  <si>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</si>
  <si>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</si>
  <si>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</si>
  <si>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</si>
  <si>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</si>
  <si>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</si>
  <si>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</si>
  <si>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</si>
  <si>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</si>
  <si>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</si>
  <si>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</si>
  <si>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</si>
  <si>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</si>
  <si>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</si>
  <si>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</si>
  <si>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</si>
  <si>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</si>
  <si>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</si>
  <si>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</si>
  <si>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</si>
  <si>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</si>
  <si>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</si>
  <si>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</si>
  <si>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</si>
  <si>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</si>
  <si>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</si>
  <si>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</si>
  <si>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</si>
  <si>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</si>
  <si>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</si>
  <si>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</si>
  <si>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</si>
  <si>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</si>
  <si>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</si>
  <si>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</si>
  <si>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</si>
  <si>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</si>
  <si>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</si>
  <si>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</si>
  <si>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</si>
  <si>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</si>
  <si>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</si>
  <si>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</si>
  <si>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</si>
  <si>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</si>
  <si>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</si>
  <si>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</si>
  <si>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</si>
  <si>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</si>
  <si>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</si>
  <si>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</si>
  <si>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</si>
  <si>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</si>
  <si>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</si>
  <si>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</si>
  <si>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</si>
  <si>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</si>
  <si>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</si>
  <si>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</si>
  <si>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</si>
  <si>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</si>
  <si>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</si>
  <si>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</si>
  <si>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</si>
  <si>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</si>
  <si>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</si>
  <si>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</si>
  <si>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</si>
  <si>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</si>
  <si>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</si>
  <si>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</si>
  <si>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</si>
  <si>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</si>
  <si>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</si>
  <si>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</si>
  <si>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</si>
  <si>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</si>
  <si>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</si>
  <si>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</si>
  <si>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</si>
  <si>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</si>
  <si>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</si>
  <si>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</si>
  <si>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</si>
  <si>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</si>
  <si>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</si>
  <si>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</si>
  <si>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</si>
  <si>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</si>
  <si>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</si>
  <si>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</si>
  <si>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</si>
  <si>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</si>
  <si>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</si>
  <si>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</si>
  <si>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</si>
  <si>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</si>
  <si>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</si>
  <si>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</si>
  <si>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</si>
  <si>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</si>
  <si>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</si>
  <si>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</si>
  <si>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</si>
  <si>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</si>
  <si>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</si>
  <si>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</si>
  <si>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</si>
  <si>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</si>
  <si>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</si>
  <si>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</si>
  <si>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</si>
  <si>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</si>
  <si>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</si>
  <si>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</si>
  <si>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</si>
  <si>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</si>
  <si>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</si>
  <si>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</si>
  <si>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</si>
  <si>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</si>
  <si>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</si>
  <si>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</si>
  <si>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</si>
  <si>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</si>
  <si>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</si>
  <si>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</si>
  <si>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</si>
  <si>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</si>
  <si>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</si>
  <si>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</si>
  <si>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</si>
  <si>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</si>
  <si>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</si>
  <si>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</si>
  <si>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</si>
  <si>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</si>
  <si>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</si>
  <si>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</si>
  <si>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</si>
  <si>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</si>
  <si>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</si>
  <si>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</si>
  <si>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</si>
  <si>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</si>
  <si>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</si>
  <si>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</si>
  <si>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</si>
  <si>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</si>
  <si>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</si>
  <si>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</si>
  <si>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</si>
  <si>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</si>
  <si>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</si>
  <si>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</si>
  <si>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</si>
  <si>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</si>
  <si>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</si>
  <si>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</si>
  <si>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</si>
  <si>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</si>
  <si>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</si>
  <si>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</si>
  <si>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</si>
  <si>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</si>
  <si>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</si>
  <si>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</si>
  <si>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</si>
  <si>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</si>
  <si>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</si>
  <si>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</si>
  <si>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</si>
  <si>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</si>
  <si>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</si>
  <si>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</si>
  <si>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</si>
  <si>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</si>
  <si>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</si>
  <si>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</si>
  <si>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</si>
  <si>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</si>
  <si>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</si>
  <si>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</si>
  <si>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</si>
  <si>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</si>
  <si>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</si>
  <si>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</si>
  <si>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</si>
  <si>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</si>
  <si>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</si>
  <si>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</si>
  <si>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</si>
  <si>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</si>
  <si>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</si>
  <si>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</si>
  <si>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</si>
  <si>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</si>
  <si>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</si>
  <si>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</si>
  <si>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</si>
  <si>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</si>
  <si>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</si>
  <si>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</si>
  <si>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</si>
  <si>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</si>
  <si>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</si>
  <si>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</si>
  <si>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</si>
  <si>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</si>
  <si>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</si>
  <si>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</si>
  <si>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</si>
  <si>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</si>
  <si>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</si>
  <si>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</si>
  <si>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</si>
  <si>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</si>
  <si>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</si>
  <si>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</si>
  <si>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</si>
  <si>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</si>
  <si>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</si>
  <si>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</si>
  <si>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</si>
  <si>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</si>
  <si>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</si>
  <si>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</si>
  <si>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</si>
  <si>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</si>
  <si>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</si>
  <si>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</si>
  <si>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</si>
  <si>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</si>
  <si>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</si>
  <si>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</si>
  <si>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</si>
  <si>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</si>
  <si>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</si>
  <si>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</si>
  <si>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</si>
  <si>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</si>
  <si>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</si>
  <si>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</si>
  <si>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</si>
  <si>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</si>
  <si>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</si>
  <si>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</si>
  <si>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</si>
  <si>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</si>
  <si>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</si>
  <si>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</si>
  <si>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</si>
  <si>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</si>
  <si>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</si>
  <si>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</si>
  <si>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</si>
  <si>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</si>
  <si>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</si>
  <si>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</si>
  <si>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</si>
  <si>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</si>
  <si>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</si>
  <si>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</si>
  <si>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</si>
  <si>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</si>
  <si>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</si>
  <si>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</si>
  <si>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</si>
  <si>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</si>
  <si>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</si>
  <si>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</si>
  <si>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</si>
  <si>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</si>
  <si>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</si>
  <si>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</si>
  <si>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</si>
  <si>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</si>
  <si>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</si>
  <si>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</si>
  <si>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</si>
  <si>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</si>
  <si>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</si>
  <si>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</si>
  <si>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</si>
  <si>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</si>
  <si>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</si>
  <si>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</si>
  <si>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</si>
  <si>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</si>
  <si>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</si>
  <si>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</si>
  <si>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</si>
  <si>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</si>
  <si>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</si>
  <si>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</si>
  <si>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</si>
  <si>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</si>
  <si>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</si>
  <si>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</si>
  <si>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</si>
  <si>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</si>
  <si>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</si>
  <si>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</si>
  <si>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</si>
  <si>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</si>
  <si>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</si>
  <si>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</si>
  <si>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</si>
  <si>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</si>
  <si>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</si>
  <si>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</si>
  <si>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</si>
  <si>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</si>
  <si>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</si>
  <si>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</si>
  <si>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</si>
  <si>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</si>
  <si>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</si>
  <si>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</si>
  <si>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</si>
  <si>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</si>
  <si>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</si>
  <si>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</si>
  <si>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</si>
  <si>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</si>
  <si>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</si>
  <si>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</si>
  <si>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</si>
  <si>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</si>
  <si>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</si>
  <si>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</si>
  <si>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</si>
  <si>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</si>
  <si>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</si>
  <si>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</si>
  <si>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</si>
  <si>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</si>
  <si>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</si>
  <si>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</si>
  <si>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</si>
  <si>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</si>
  <si>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</si>
  <si>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</si>
  <si>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</si>
  <si>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</si>
  <si>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</si>
  <si>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</si>
  <si>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</si>
  <si>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</si>
  <si>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</si>
  <si>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</si>
  <si>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</si>
  <si>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</si>
  <si>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</si>
  <si>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</si>
  <si>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</si>
  <si>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</si>
  <si>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</si>
  <si>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</si>
  <si>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</si>
  <si>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</si>
  <si>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</si>
  <si>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</si>
  <si>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</si>
  <si>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</si>
  <si>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</si>
  <si>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</si>
  <si>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</si>
  <si>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</si>
  <si>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</si>
  <si>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</si>
  <si>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</si>
  <si>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</si>
  <si>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</si>
  <si>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</si>
  <si>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</si>
  <si>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</si>
  <si>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</si>
  <si>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</si>
  <si>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</si>
  <si>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</si>
  <si>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</si>
  <si>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</si>
  <si>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</si>
  <si>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</si>
  <si>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</si>
  <si>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</si>
  <si>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</si>
  <si>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</si>
  <si>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</si>
  <si>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</si>
  <si>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</si>
  <si>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</si>
  <si>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</si>
  <si>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</si>
  <si>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</si>
  <si>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</si>
  <si>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</si>
  <si>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</si>
  <si>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</si>
  <si>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</si>
  <si>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</si>
  <si>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</si>
  <si>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</si>
  <si>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</si>
  <si>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</si>
  <si>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</si>
  <si>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</si>
  <si>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</si>
  <si>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</si>
  <si>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</si>
  <si>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</si>
  <si>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</si>
  <si>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</si>
  <si>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</si>
  <si>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</si>
  <si>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</si>
  <si>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</si>
  <si>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</si>
  <si>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</si>
  <si>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</si>
  <si>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</si>
  <si>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</si>
  <si>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</si>
  <si>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</si>
  <si>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</si>
  <si>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</si>
  <si>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</si>
  <si>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</si>
  <si>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</si>
  <si>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</si>
  <si>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</si>
  <si>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</si>
  <si>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</si>
  <si>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</si>
  <si>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</si>
  <si>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</si>
  <si>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</si>
  <si>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</si>
  <si>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</si>
  <si>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</si>
  <si>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</si>
  <si>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</si>
  <si>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</si>
  <si>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</si>
  <si>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</si>
  <si>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</si>
  <si>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</si>
  <si>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</si>
  <si>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</si>
  <si>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</si>
  <si>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</si>
  <si>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</si>
  <si>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</si>
  <si>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</si>
  <si>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</si>
  <si>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</si>
  <si>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</si>
  <si>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</si>
  <si>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</si>
  <si>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</si>
  <si>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</si>
  <si>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</si>
  <si>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</si>
  <si>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</si>
  <si>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</si>
  <si>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</si>
  <si>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</si>
  <si>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</si>
  <si>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</si>
  <si>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</si>
  <si>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</si>
  <si>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</si>
  <si>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</si>
  <si>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</si>
  <si>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</si>
  <si>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</si>
  <si>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</si>
  <si>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</si>
  <si>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</si>
  <si>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</si>
  <si>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</si>
  <si>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</si>
  <si>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</si>
  <si>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</si>
  <si>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</si>
  <si>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</si>
  <si>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</si>
  <si>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</si>
  <si>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</si>
  <si>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</si>
  <si>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</si>
  <si>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</si>
  <si>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</si>
  <si>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</si>
  <si>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</si>
  <si>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</si>
  <si>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</si>
  <si>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</si>
  <si>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</si>
  <si>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</si>
  <si>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</si>
  <si>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</si>
  <si>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</si>
  <si>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</si>
  <si>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</si>
  <si>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</si>
  <si>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</si>
  <si>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</si>
  <si>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</si>
  <si>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</si>
  <si>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</si>
  <si>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</si>
  <si>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</si>
  <si>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</si>
  <si>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</si>
  <si>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</si>
  <si>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</si>
  <si>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</si>
  <si>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</si>
  <si>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</si>
  <si>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</si>
  <si>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</si>
  <si>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</si>
  <si>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</si>
  <si>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</si>
  <si>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</si>
  <si>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</si>
  <si>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</si>
  <si>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</si>
  <si>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</si>
  <si>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</si>
  <si>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</si>
  <si>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</si>
  <si>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</si>
  <si>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</si>
  <si>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</si>
  <si>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</si>
  <si>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</si>
  <si>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</si>
  <si>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</si>
  <si>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</si>
  <si>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</si>
  <si>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</si>
  <si>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</si>
  <si>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</si>
  <si>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</si>
  <si>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</si>
  <si>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</si>
  <si>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</si>
  <si>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</si>
  <si>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</si>
  <si>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</si>
  <si>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</si>
  <si>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</si>
  <si>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</si>
  <si>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</si>
  <si>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</si>
  <si>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</si>
  <si>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</si>
  <si>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</si>
  <si>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</si>
  <si>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</si>
  <si>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</si>
  <si>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</si>
  <si>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</si>
  <si>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</si>
  <si>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</si>
  <si>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</si>
  <si>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</si>
  <si>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</si>
  <si>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</si>
  <si>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</si>
  <si>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</si>
  <si>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</si>
  <si>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</si>
  <si>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</si>
  <si>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</si>
  <si>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</si>
  <si>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</si>
  <si>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</si>
  <si>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</si>
  <si>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</si>
  <si>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</si>
  <si>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</si>
  <si>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</si>
  <si>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</si>
  <si>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</si>
  <si>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</si>
  <si>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</si>
  <si>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</si>
  <si>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</si>
  <si>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</si>
  <si>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</si>
  <si>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</si>
  <si>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</si>
  <si>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</si>
  <si>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</si>
  <si>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</si>
  <si>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</si>
  <si>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</si>
  <si>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</si>
  <si>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</si>
  <si>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</si>
  <si>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</si>
  <si>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</si>
  <si>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</si>
  <si>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</si>
  <si>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</si>
  <si>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</si>
  <si>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</si>
  <si>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</si>
  <si>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</si>
  <si>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</si>
  <si>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</si>
  <si>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</si>
  <si>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</si>
  <si>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</si>
  <si>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</si>
  <si>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</si>
  <si>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</si>
  <si>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</si>
  <si>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</si>
  <si>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</si>
  <si>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</si>
  <si>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</si>
  <si>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</si>
  <si>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</si>
  <si>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</si>
  <si>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</si>
  <si>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</si>
  <si>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</si>
  <si>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</si>
  <si>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</si>
  <si>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</si>
  <si>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</si>
  <si>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</si>
  <si>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</si>
  <si>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</si>
  <si>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</si>
  <si>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</si>
  <si>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</si>
  <si>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</si>
  <si>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</si>
  <si>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</si>
  <si>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</si>
  <si>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</si>
  <si>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</si>
  <si>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</si>
  <si>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</si>
  <si>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</si>
  <si>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</si>
  <si>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</si>
  <si>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</si>
  <si>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</si>
  <si>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</si>
  <si>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</si>
  <si>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</si>
  <si>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</si>
  <si>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</si>
  <si>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</si>
  <si>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</si>
  <si>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</si>
  <si>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</si>
  <si>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</si>
  <si>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</si>
  <si>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</si>
  <si>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</si>
  <si>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</si>
  <si>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</si>
  <si>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</si>
  <si>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</si>
  <si>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</si>
  <si>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</si>
  <si>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</si>
  <si>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</si>
  <si>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</si>
  <si>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</si>
  <si>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</si>
  <si>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</si>
  <si>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</si>
  <si>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</si>
  <si>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</si>
  <si>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</si>
  <si>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</si>
  <si>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</si>
  <si>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</si>
  <si>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</si>
  <si>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</si>
  <si>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</si>
  <si>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</si>
  <si>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</si>
  <si>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</si>
  <si>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</si>
  <si>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</si>
  <si>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</si>
  <si>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</si>
  <si>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</si>
  <si>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</si>
  <si>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</si>
  <si>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</si>
  <si>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</si>
  <si>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</si>
  <si>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</si>
  <si>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</si>
  <si>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</si>
  <si>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</si>
  <si>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</si>
  <si>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</si>
  <si>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</si>
  <si>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</si>
  <si>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</si>
  <si>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</si>
  <si>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</si>
  <si>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</si>
  <si>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</si>
  <si>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</si>
  <si>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</si>
  <si>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</si>
  <si>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</si>
  <si>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</si>
  <si>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</si>
  <si>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</si>
  <si>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</si>
  <si>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</si>
  <si>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</si>
  <si>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</si>
  <si>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</si>
  <si>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</si>
  <si>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</si>
  <si>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</si>
  <si>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</si>
  <si>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</si>
  <si>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</si>
  <si>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</si>
  <si>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</si>
  <si>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</si>
  <si>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</si>
  <si>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</si>
  <si>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</si>
  <si>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</si>
  <si>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</si>
  <si>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</si>
  <si>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</si>
  <si>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</si>
  <si>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</si>
  <si>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</si>
  <si>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</si>
  <si>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</si>
  <si>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</si>
  <si>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</si>
  <si>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</si>
  <si>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</si>
  <si>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</si>
  <si>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</si>
  <si>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</si>
  <si>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</si>
  <si>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</si>
  <si>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</si>
  <si>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</si>
  <si>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</si>
  <si>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</si>
  <si>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</si>
  <si>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</si>
  <si>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</si>
  <si>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</si>
  <si>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</si>
  <si>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</si>
  <si>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</si>
  <si>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</si>
  <si>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</si>
  <si>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</si>
  <si>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</si>
  <si>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</si>
  <si>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</si>
  <si>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</si>
  <si>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</si>
  <si>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</si>
  <si>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</si>
  <si>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</si>
  <si>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</si>
  <si>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</si>
  <si>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</si>
  <si>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</si>
  <si>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</si>
  <si>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</si>
  <si>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</si>
  <si>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</si>
  <si>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</si>
  <si>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</si>
  <si>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</si>
  <si>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</si>
  <si>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</si>
  <si>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</si>
  <si>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</si>
  <si>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</si>
  <si>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</si>
  <si>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</si>
  <si>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</si>
  <si>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</si>
  <si>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</si>
  <si>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</si>
  <si>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</si>
  <si>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</si>
  <si>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</si>
  <si>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</si>
  <si>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</si>
  <si>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</si>
  <si>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</si>
  <si>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</si>
  <si>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</si>
  <si>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</si>
  <si>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</si>
  <si>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</si>
  <si>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</si>
  <si>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</si>
  <si>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</si>
  <si>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</si>
  <si>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</si>
  <si>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</si>
  <si>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</si>
  <si>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</si>
  <si>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</si>
  <si>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</si>
  <si>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</si>
  <si>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</si>
  <si>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</si>
  <si>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</si>
  <si>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</si>
  <si>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</si>
  <si>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</si>
  <si>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</si>
  <si>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</si>
  <si>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</si>
  <si>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</si>
  <si>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</si>
  <si>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</si>
  <si>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</si>
  <si>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</si>
  <si>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</si>
  <si>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</si>
  <si>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</si>
  <si>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</si>
  <si>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</si>
  <si>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</si>
  <si>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</si>
  <si>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</si>
  <si>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</si>
  <si>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</si>
  <si>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</si>
  <si>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</si>
  <si>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</si>
  <si>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</si>
  <si>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</si>
  <si>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</si>
  <si>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</si>
  <si>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</si>
  <si>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</si>
  <si>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</si>
  <si>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</si>
  <si>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</si>
  <si>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</si>
  <si>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</si>
  <si>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</si>
  <si>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</si>
  <si>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</si>
  <si>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</si>
  <si>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</si>
  <si>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</si>
  <si>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</si>
  <si>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</si>
  <si>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</si>
  <si>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</si>
  <si>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</si>
  <si>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</si>
  <si>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</si>
  <si>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</si>
  <si>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</si>
  <si>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</si>
  <si>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</si>
  <si>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</si>
  <si>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</si>
  <si>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</si>
  <si>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</si>
  <si>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</si>
  <si>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</si>
  <si>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</si>
  <si>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</si>
  <si>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</si>
  <si>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</si>
  <si>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</si>
  <si>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</si>
  <si>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</si>
  <si>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</si>
  <si>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</si>
  <si>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</si>
  <si>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</si>
  <si>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</si>
  <si>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</si>
  <si>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</si>
  <si>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</si>
  <si>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</si>
  <si>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</si>
  <si>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</si>
  <si>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</si>
  <si>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</si>
  <si>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</si>
  <si>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</si>
  <si>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</si>
  <si>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</si>
  <si>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</si>
  <si>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</si>
  <si>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</si>
  <si>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</si>
  <si>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</si>
  <si>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</si>
  <si>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</si>
  <si>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</si>
  <si>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</si>
  <si>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</si>
  <si>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</si>
  <si>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</si>
  <si>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</si>
  <si>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</si>
  <si>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</si>
  <si>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</si>
  <si>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</si>
  <si>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</si>
  <si>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</si>
  <si>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</si>
  <si>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</si>
  <si>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</si>
  <si>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</si>
  <si>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</si>
  <si>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</si>
  <si>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</si>
  <si>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</si>
  <si>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</si>
  <si>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</si>
  <si>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</si>
  <si>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</si>
  <si>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</si>
  <si>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</si>
  <si>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</si>
  <si>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</si>
  <si>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</si>
  <si>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</si>
  <si>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</si>
  <si>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</si>
  <si>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</si>
  <si>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</si>
  <si>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</si>
  <si>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</si>
  <si>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</si>
  <si>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</si>
  <si>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</si>
  <si>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</si>
  <si>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</si>
  <si>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</si>
  <si>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</si>
  <si>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</si>
  <si>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</si>
  <si>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</si>
  <si>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</si>
  <si>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</si>
  <si>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</si>
  <si>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</si>
  <si>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</si>
  <si>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</si>
  <si>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</si>
  <si>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</si>
  <si>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</si>
  <si>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</si>
  <si>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</si>
  <si>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</si>
  <si>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</si>
  <si>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</si>
  <si>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</si>
  <si>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</si>
  <si>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</si>
  <si>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</si>
  <si>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</si>
  <si>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</si>
  <si>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</si>
  <si>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</si>
  <si>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</si>
  <si>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</si>
  <si>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</si>
  <si>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</si>
  <si>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</si>
  <si>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</si>
  <si>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</si>
  <si>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</si>
  <si>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</si>
  <si>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</si>
  <si>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</si>
  <si>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</si>
  <si>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</si>
  <si>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</si>
  <si>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</si>
  <si>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</si>
  <si>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</si>
  <si>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</si>
  <si>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</si>
  <si>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</si>
  <si>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</si>
  <si>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</si>
  <si>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</si>
  <si>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</si>
  <si>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</si>
  <si>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</si>
  <si>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</si>
  <si>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</si>
  <si>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</si>
  <si>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</si>
  <si>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</si>
  <si>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</si>
  <si>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</si>
  <si>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</si>
  <si>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</si>
  <si>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</si>
  <si>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</si>
  <si>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</si>
  <si>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</si>
  <si>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</si>
  <si>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</si>
  <si>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</si>
  <si>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</si>
  <si>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</si>
  <si>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</si>
  <si>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</si>
  <si>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</si>
  <si>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</si>
  <si>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</si>
  <si>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</si>
  <si>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</si>
  <si>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</si>
  <si>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</si>
  <si>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</si>
  <si>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</si>
  <si>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</si>
  <si>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</si>
  <si>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</si>
  <si>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</si>
  <si>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</si>
  <si>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</si>
  <si>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</si>
  <si>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</si>
  <si>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</si>
  <si>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</si>
  <si>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</si>
  <si>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</si>
  <si>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</si>
  <si>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</si>
  <si>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</si>
  <si>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</si>
  <si>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</si>
  <si>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</si>
  <si>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</si>
  <si>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</si>
  <si>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</si>
  <si>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</si>
  <si>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</si>
  <si>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</si>
  <si>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</si>
  <si>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</si>
  <si>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</si>
  <si>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</si>
  <si>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</si>
  <si>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</si>
  <si>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</si>
  <si>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</si>
  <si>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</si>
  <si>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</si>
  <si>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</si>
  <si>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</si>
  <si>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</si>
  <si>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</si>
  <si>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</si>
  <si>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</si>
  <si>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</si>
  <si>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</si>
  <si>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</si>
  <si>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</si>
  <si>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</si>
  <si>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</si>
  <si>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</si>
  <si>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</si>
  <si>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</si>
  <si>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</si>
  <si>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</si>
  <si>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</si>
  <si>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</si>
  <si>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</si>
  <si>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</si>
  <si>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</si>
  <si>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</si>
  <si>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</si>
  <si>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</si>
  <si>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</si>
  <si>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</si>
  <si>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</si>
  <si>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</si>
  <si>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</si>
  <si>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</si>
  <si>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</si>
  <si>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</si>
  <si>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</si>
  <si>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</si>
  <si>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</si>
  <si>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</si>
  <si>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</si>
  <si>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</si>
  <si>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</si>
  <si>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</si>
  <si>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</si>
  <si>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</si>
  <si>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</si>
  <si>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</si>
  <si>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</si>
  <si>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</si>
  <si>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</si>
  <si>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</si>
  <si>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</si>
  <si>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</si>
  <si>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</si>
  <si>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</si>
  <si>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</si>
  <si>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</si>
  <si>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</si>
  <si>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</si>
  <si>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</si>
  <si>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</si>
  <si>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</si>
  <si>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</si>
  <si>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</si>
  <si>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</si>
  <si>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</si>
  <si>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</si>
  <si>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</si>
  <si>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</si>
  <si>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</si>
  <si>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</si>
  <si>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</si>
  <si>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</si>
  <si>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</si>
  <si>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</si>
  <si>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</si>
  <si>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</si>
  <si>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</si>
  <si>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</si>
  <si>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</si>
  <si>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</si>
  <si>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</si>
  <si>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</si>
  <si>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</si>
  <si>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</si>
  <si>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</si>
  <si>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</si>
  <si>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</si>
  <si>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</si>
  <si>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</si>
  <si>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</si>
  <si>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</si>
  <si>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</si>
  <si>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</si>
  <si>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</si>
  <si>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</si>
  <si>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</si>
  <si>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</si>
  <si>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</si>
  <si>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</si>
  <si>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</si>
  <si>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</si>
  <si>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</si>
  <si>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</si>
  <si>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</si>
  <si>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</si>
  <si>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</si>
  <si>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</si>
  <si>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</si>
  <si>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</si>
  <si>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</si>
  <si>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</si>
  <si>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</si>
  <si>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</si>
  <si>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</si>
  <si>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</si>
  <si>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</si>
  <si>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</si>
  <si>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</si>
  <si>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</si>
  <si>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</si>
  <si>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</si>
  <si>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</si>
  <si>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</si>
  <si>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</si>
  <si>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</si>
  <si>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</si>
  <si>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</si>
  <si>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</si>
  <si>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</si>
  <si>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</si>
  <si>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</si>
  <si>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</si>
  <si>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</si>
  <si>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</si>
  <si>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</si>
  <si>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</si>
  <si>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</si>
  <si>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</si>
  <si>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</si>
  <si>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</si>
  <si>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</si>
  <si>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</si>
  <si>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</si>
  <si>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</si>
  <si>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</si>
  <si>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</si>
  <si>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</si>
  <si>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</si>
  <si>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</si>
  <si>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</si>
  <si>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</si>
  <si>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</si>
  <si>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</si>
  <si>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</si>
  <si>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</si>
  <si>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</si>
  <si>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</si>
  <si>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</si>
  <si>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</si>
  <si>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</si>
  <si>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</si>
  <si>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</si>
  <si>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</si>
  <si>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</si>
  <si>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</si>
  <si>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</si>
  <si>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</si>
  <si>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</si>
  <si>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</si>
  <si>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</si>
  <si>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</si>
  <si>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</si>
  <si>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</si>
  <si>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</si>
  <si>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</si>
  <si>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</si>
  <si>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</si>
  <si>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</si>
  <si>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</si>
  <si>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</si>
  <si>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</si>
  <si>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</si>
  <si>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</si>
  <si>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</si>
  <si>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</si>
  <si>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</si>
  <si>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</si>
  <si>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</si>
  <si>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</si>
  <si>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</si>
  <si>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</si>
  <si>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</si>
  <si>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</si>
  <si>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</si>
  <si>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</si>
  <si>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</si>
  <si>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</si>
  <si>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</si>
  <si>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</si>
  <si>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</si>
  <si>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</si>
  <si>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</si>
  <si>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</si>
  <si>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</si>
  <si>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</si>
  <si>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</si>
  <si>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</si>
  <si>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</si>
  <si>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</si>
  <si>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</si>
  <si>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</si>
  <si>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</si>
  <si>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</si>
  <si>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</si>
  <si>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</si>
  <si>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</si>
  <si>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</si>
  <si>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</si>
  <si>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</si>
  <si>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</si>
  <si>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</si>
  <si>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</si>
  <si>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</si>
  <si>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</si>
  <si>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</si>
  <si>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</si>
  <si>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</si>
  <si>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</si>
  <si>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</si>
  <si>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</si>
  <si>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</si>
  <si>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</si>
  <si>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</si>
  <si>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</si>
  <si>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</si>
  <si>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</si>
  <si>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</si>
  <si>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</si>
  <si>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</si>
  <si>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</si>
  <si>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</si>
  <si>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</si>
  <si>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</si>
  <si>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</si>
  <si>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</si>
  <si>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</si>
  <si>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</si>
  <si>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</si>
  <si>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</si>
  <si>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</si>
  <si>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</si>
  <si>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</si>
  <si>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</si>
  <si>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</si>
  <si>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</si>
  <si>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</si>
  <si>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</si>
  <si>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</si>
  <si>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</si>
  <si>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</si>
  <si>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</si>
  <si>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</si>
  <si>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</si>
  <si>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</si>
  <si>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</si>
  <si>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</si>
  <si>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</si>
  <si>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</si>
  <si>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</si>
  <si>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</si>
  <si>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</si>
  <si>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</si>
  <si>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</si>
  <si>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</si>
  <si>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</si>
  <si>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</si>
  <si>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</si>
  <si>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</si>
  <si>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</si>
  <si>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</si>
  <si>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</si>
  <si>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</si>
  <si>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</si>
  <si>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</si>
  <si>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</si>
  <si>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</si>
  <si>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</si>
  <si>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</si>
  <si>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</si>
  <si>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</si>
  <si>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</si>
  <si>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</si>
  <si>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</si>
  <si>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</si>
  <si>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</si>
  <si>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</si>
  <si>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</si>
  <si>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</si>
  <si>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</si>
  <si>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</si>
  <si>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</si>
  <si>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</si>
  <si>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</si>
  <si>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</si>
  <si>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</si>
  <si>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</si>
  <si>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</si>
  <si>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</si>
  <si>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</si>
  <si>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</si>
  <si>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</si>
  <si>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</si>
  <si>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</si>
  <si>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</si>
  <si>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</si>
  <si>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</si>
  <si>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</si>
  <si>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</si>
  <si>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</si>
  <si>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</si>
  <si>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</si>
  <si>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</si>
  <si>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</si>
  <si>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</si>
  <si>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</si>
  <si>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</si>
  <si>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</si>
  <si>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</si>
  <si>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</si>
  <si>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</si>
  <si>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</si>
  <si>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</si>
  <si>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</si>
  <si>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</si>
  <si>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</si>
  <si>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</si>
  <si>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</si>
  <si>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</si>
  <si>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</si>
  <si>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</si>
  <si>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</si>
  <si>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</si>
  <si>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</si>
  <si>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</si>
  <si>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</si>
  <si>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</si>
  <si>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</si>
  <si>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</si>
  <si>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</si>
  <si>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</si>
  <si>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</si>
  <si>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</si>
  <si>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</si>
  <si>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</si>
  <si>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</si>
  <si>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</si>
  <si>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</si>
  <si>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</si>
  <si>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</si>
  <si>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</si>
  <si>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</si>
  <si>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</si>
  <si>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</si>
  <si>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</si>
  <si>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</si>
  <si>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</si>
  <si>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</si>
  <si>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</si>
  <si>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</si>
  <si>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</si>
  <si>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</si>
  <si>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</si>
  <si>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</si>
  <si>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</si>
  <si>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</si>
  <si>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</si>
  <si>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</si>
  <si>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</si>
  <si>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</si>
  <si>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</si>
  <si>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</si>
  <si>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</si>
  <si>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</si>
  <si>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</si>
  <si>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</si>
  <si>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</si>
  <si>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</si>
  <si>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</si>
  <si>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</si>
  <si>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</si>
  <si>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</si>
  <si>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</si>
  <si>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</si>
  <si>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</si>
  <si>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</si>
  <si>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</si>
  <si>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</si>
  <si>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</si>
  <si>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</si>
  <si>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</si>
  <si>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</si>
  <si>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</si>
  <si>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</si>
  <si>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</si>
  <si>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</si>
  <si>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</si>
  <si>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</si>
  <si>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</si>
  <si>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</si>
  <si>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</si>
  <si>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</si>
  <si>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</si>
  <si>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</si>
  <si>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</si>
  <si>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</si>
  <si>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</si>
  <si>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</si>
  <si>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</si>
  <si>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</si>
  <si>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</si>
  <si>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</si>
  <si>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</si>
  <si>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</si>
  <si>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</si>
  <si>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</si>
  <si>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</si>
  <si>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</si>
  <si>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</si>
  <si>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</si>
  <si>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</si>
  <si>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</si>
  <si>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</si>
  <si>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</si>
  <si>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</si>
  <si>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</si>
  <si>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</si>
  <si>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</si>
  <si>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</si>
  <si>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</si>
  <si>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</si>
  <si>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</si>
  <si>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</si>
  <si>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</si>
  <si>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</si>
  <si>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</si>
  <si>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</si>
  <si>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</si>
  <si>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</si>
  <si>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</si>
  <si>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</si>
  <si>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18/02/2026</t>
  </si>
  <si>
    <t>POST 05 - PHÁI ĐẸP TỎA SÁNG</t>
  </si>
  <si>
    <t>18/03/2026</t>
  </si>
  <si>
    <t>1546</t>
  </si>
  <si>
    <t>WM VCP DNG Đà Nẵng</t>
  </si>
  <si>
    <t>TTTM Vincom Đà Nẵng, Ngô Quyền , Quận Sơn Trà , TP. Đà Nẵng, Việt Nam</t>
  </si>
  <si>
    <t>1682</t>
  </si>
  <si>
    <t>WM BDH Quy Nhơn</t>
  </si>
  <si>
    <t>52 Tăng Bạt Hổ, Phường Lê Lợi, Thành Phố Quy Nhơn, T. Bình Định Việt Nam</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</si>
  <si>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</si>
  <si>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</si>
  <si>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</si>
  <si>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</si>
  <si>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</si>
  <si>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</si>
  <si>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</si>
  <si>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</si>
  <si>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</si>
  <si>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</si>
  <si>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</si>
  <si>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</si>
  <si>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</si>
  <si>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</si>
  <si>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</si>
  <si>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</si>
  <si>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</si>
  <si>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</si>
  <si>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</si>
  <si>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</si>
  <si>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</si>
  <si>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</si>
  <si>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</si>
  <si>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</si>
  <si>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</si>
  <si>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</si>
  <si>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</si>
  <si>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</si>
  <si>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</si>
  <si>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</si>
  <si>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</si>
  <si>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</si>
  <si>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</si>
  <si>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</si>
  <si>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</si>
  <si>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</si>
  <si>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</si>
  <si>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</si>
  <si>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</si>
  <si>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</si>
  <si>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</si>
  <si>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</si>
  <si>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</si>
  <si>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</si>
  <si>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</si>
  <si>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</si>
  <si>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</si>
  <si>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</si>
  <si>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</si>
  <si>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</si>
  <si>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</si>
  <si>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</si>
  <si>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</si>
  <si>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</si>
  <si>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</si>
  <si>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</si>
  <si>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</si>
  <si>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</si>
  <si>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</si>
  <si>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</si>
  <si>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</si>
  <si>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</si>
  <si>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</si>
  <si>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</si>
  <si>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</si>
  <si>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</si>
  <si>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</si>
  <si>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</si>
  <si>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</si>
  <si>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</si>
  <si>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</si>
  <si>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</si>
  <si>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</si>
  <si>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</si>
  <si>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</si>
  <si>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</si>
  <si>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</si>
  <si>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</si>
  <si>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</si>
  <si>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</si>
  <si>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</si>
  <si>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</si>
  <si>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</si>
  <si>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</si>
  <si>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</si>
  <si>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</si>
  <si>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</si>
  <si>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</si>
  <si>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</si>
  <si>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</si>
  <si>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</si>
  <si>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</si>
  <si>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</si>
  <si>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</si>
  <si>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</si>
  <si>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</si>
  <si>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</si>
  <si>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</si>
  <si>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</si>
  <si>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</si>
  <si>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</si>
  <si>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</si>
  <si>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</si>
  <si>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</si>
  <si>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</si>
  <si>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</si>
  <si>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</si>
  <si>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</si>
  <si>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</si>
  <si>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</si>
  <si>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</si>
  <si>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</si>
  <si>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</si>
  <si>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</si>
  <si>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</si>
  <si>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</si>
  <si>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</si>
  <si>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</si>
  <si>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</si>
  <si>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</si>
  <si>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</si>
  <si>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</si>
  <si>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</si>
  <si>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</si>
  <si>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</si>
  <si>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</si>
  <si>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</si>
  <si>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</si>
  <si>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</si>
  <si>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</si>
  <si>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</si>
  <si>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</si>
  <si>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</si>
  <si>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</si>
  <si>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</si>
  <si>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</si>
  <si>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</si>
  <si>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</si>
  <si>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</si>
  <si>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</si>
  <si>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</si>
  <si>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</si>
  <si>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</si>
  <si>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</si>
  <si>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</si>
  <si>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</si>
  <si>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</si>
  <si>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</si>
  <si>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</si>
  <si>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</si>
  <si>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</si>
  <si>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</si>
  <si>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</si>
  <si>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</si>
  <si>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</si>
  <si>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</si>
  <si>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</si>
  <si>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</si>
  <si>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</si>
  <si>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</si>
  <si>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</si>
  <si>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</si>
  <si>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</si>
  <si>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</si>
  <si>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</si>
  <si>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</si>
  <si>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</si>
  <si>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</si>
  <si>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</si>
  <si>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</si>
  <si>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</si>
  <si>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</si>
  <si>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</si>
  <si>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</si>
  <si>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</si>
  <si>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</si>
  <si>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</si>
  <si>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</si>
  <si>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</si>
  <si>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</si>
  <si>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</si>
  <si>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</si>
  <si>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</si>
  <si>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</si>
  <si>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</si>
  <si>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</si>
  <si>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</si>
  <si>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</si>
  <si>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</si>
  <si>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</si>
  <si>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</si>
  <si>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</si>
  <si>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</si>
  <si>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</si>
  <si>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</si>
  <si>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</si>
  <si>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</si>
  <si>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</si>
  <si>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</si>
  <si>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</si>
  <si>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</si>
  <si>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</si>
  <si>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</si>
  <si>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</si>
  <si>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</si>
  <si>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</si>
  <si>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</si>
  <si>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</si>
  <si>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</si>
  <si>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</si>
  <si>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</si>
  <si>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</si>
  <si>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WM+ DNG 8 Chu Huy Mân</t>
  </si>
  <si>
    <t>8 Chu Huy Mân, Phường Mân Thái, Quận Sơn Trà, TP. Đà Nẵng Việt Nam</t>
  </si>
  <si>
    <t>WIN DNG 53 Phan Đăng Lưu</t>
  </si>
  <si>
    <t>53 Phan Đăng Lưu, Phường Hòa Cường, Nam, Quận Hải Châu, TP. Đà Nẵng Việt Nam</t>
  </si>
  <si>
    <t>WM+ DNG 111-113 Trần Hưng Đạo</t>
  </si>
  <si>
    <t>111- 113, Trần Hưng Đạo, Quận Sơn Trà, TP. Đà Nẵng Việt Nam</t>
  </si>
  <si>
    <t>WM+ DNG 134 Ba Tháng Hai</t>
  </si>
  <si>
    <t>134, Ba Tháng Hai, P. Thuận Phước, Quận Hải Châu, TP. Đà Nẵng Việt Nam</t>
  </si>
  <si>
    <t>WM+ DNG 213 Hoàng Diệu</t>
  </si>
  <si>
    <t>213, Hoàng Diệu, P. Bình Hiên, Quận Hải Châu, TP. Đà Nẵng Việt Nam</t>
  </si>
  <si>
    <t>WIN DNG 114 Quang Trung</t>
  </si>
  <si>
    <t>114, Quang Trung, Phường Thạch Thang, Quận Hải Châu, TP. Đà Nẵng Việt Nam</t>
  </si>
  <si>
    <t>WM+ DNG 179 Hồ Nghinh</t>
  </si>
  <si>
    <t>179 Hồ Nghinh, P. Phước Mỹ, Quận Sơn Trà, TP. Đà Nẵng Việt Nam</t>
  </si>
  <si>
    <t>WM+ DNG 408 Hoàng Diệu</t>
  </si>
  <si>
    <t>408 Hoàng Diệu P. Bình Thuận, Quận Hải Châu, TP. Đà Nẵng Việt Nam</t>
  </si>
  <si>
    <t>WM+ DNG 88 Hà Huy Tập - DN</t>
  </si>
  <si>
    <t>88 Hà Huy Tập, tổ 84, P. An Khê, Quận Thanh Khê, TP. Đà Nẵng Việt Nam</t>
  </si>
  <si>
    <t>WM+ DNG 71 Lê Hồng Phong</t>
  </si>
  <si>
    <t>71 Lê Hồng Phong, P. Phước Ninh, Quận Hải Châu, TP. Đà Nẵng Việt Nam</t>
  </si>
  <si>
    <t>WM+ DNG 47 Lý Thường Kiệt - ĐN</t>
  </si>
  <si>
    <t>47 Lý Thường Kiệt, Phường Thạch Thang, Quận Hải Châu, TP. Đà Nẵng Việt Nam</t>
  </si>
  <si>
    <t>WM+ DNG 55 Cao Thắng</t>
  </si>
  <si>
    <t>55 Cao Thắng, Phường Thanh Bình, Quận Hải Châu, TP. Đà Nẵng Việt Nam</t>
  </si>
  <si>
    <t>WM+ DNG 278C Trưng Nữ Vương</t>
  </si>
  <si>
    <t>278C Trưng Nữ Vương, P. Bình Thuận, Quận Hải Châu, TP. Đà Nẵng Việt Nam</t>
  </si>
  <si>
    <t>WM+ DNG 485 Trần Cao Vân</t>
  </si>
  <si>
    <t>Số 485 Trần Cao Vân, tổ 18, Phường Xuân Hà, Quận Thanh Khê, TP. Đà Nẵng Việt Nam</t>
  </si>
  <si>
    <t>WM+ KHA 8B Dã Tượng</t>
  </si>
  <si>
    <t>8B Dã Tượng, P. Phước Long, Thành phố Nha Trang, T. Khánh Hòa Việt Nam</t>
  </si>
  <si>
    <t>WM+ DNG 55 Hồ Xuân Hương</t>
  </si>
  <si>
    <t>55 Hồ Xuân Hương, Phường Mỹ An, Quận Ngũ Hành Sơn, TP. Đà Nẵng Việt Nam</t>
  </si>
  <si>
    <t>WM+ QNM 486 Hùng Vương, Duy Xuyên</t>
  </si>
  <si>
    <t>486 Hùng Vương, Thị trấn Nam Phước, Huyện Duy Xuyên T. Quảng Nam Việt Nam</t>
  </si>
  <si>
    <t>WM+ TTH 46 Hai Bà Trưng</t>
  </si>
  <si>
    <t>46 Hai Bà Trưng, P. Vĩnh Ninh, TP. Huế T. Thừa Thiên - Huế Việt Nam</t>
  </si>
  <si>
    <t>WM+ KHA 64 Mai Xuân Thưởng</t>
  </si>
  <si>
    <t>64 Mai Xuân Thưởng, P. Vĩnh Hòa, TP. Nha Trang T. Khánh Hòa Việt Nam</t>
  </si>
  <si>
    <t>WM+ QNM Ngọc Vinh, Điện Bàn</t>
  </si>
  <si>
    <t>Khối phố Ngọc Vinh, P. Điện Ngọc, Thị xã Điện Bàn T. Quảng Nam Việt Nam</t>
  </si>
  <si>
    <t>WM+ KHA 11 Phong Châu</t>
  </si>
  <si>
    <t>11 Phong Châu, P. Phước Hải, TP. Nha Trang T. Khánh Hòa Việt Nam</t>
  </si>
  <si>
    <t>WM+ GLI 1107 - 1109 Quang Trung</t>
  </si>
  <si>
    <t>1107 - 1109 Quang Trung, P. An Phú, TX. An Khê T. Gia Lai Việt Nam</t>
  </si>
  <si>
    <t>WM+ GLI 435 Nguyễn Huệ</t>
  </si>
  <si>
    <t>435 Nguyễn Huệ, Thị Trấn Đak Đoa, Huyện Đak Đoa T. Gia Lai Việt Nam</t>
  </si>
  <si>
    <t>WM+ QTI 240 Lý Thường Kiệt</t>
  </si>
  <si>
    <t>SN 240, Đường Lý Thường Kiệt, Khu phố 7, P. 5, TP. Đông Hà T. Quảng Trị Việt Nam</t>
  </si>
  <si>
    <t>WM+ GLI 160 Hùng Vương</t>
  </si>
  <si>
    <t>160 Hùng Vương, Thị Trấn Chư Prông, Huyện Chư Prông T. Gia Lai Việt Nam</t>
  </si>
  <si>
    <t>WM+ QTI 473 Lê Duẩn</t>
  </si>
  <si>
    <t>473 Lê Duẩn, P. Đông Lương, TP. Đông Hà T. Quảng Trị Việt Nam</t>
  </si>
  <si>
    <t>WM+ QNM 116 Hùng Vương, Bắc Trà My</t>
  </si>
  <si>
    <t>116 Hùng Vương, Thị trấn Trà My, Huyện Bắc Trà My T. Quảng Nam Việt Nam</t>
  </si>
  <si>
    <t>WM+ QTI 72 Võ Nguyên Giáp, Gio Linh</t>
  </si>
  <si>
    <t>72 Võ Nguyên Giáp, TT. Gio Linh, H. H. Gio Linh, T. Quảng Trị Việt Nam</t>
  </si>
  <si>
    <t>WM+ QNM 21 Huỳnh Thúc Kháng</t>
  </si>
  <si>
    <t>21 Huỳnh Thúc Kháng, TT. Tiên Kỳ, H T. Quảng Nam Việt Nam</t>
  </si>
  <si>
    <t>WM+ KTM 1A Bà Triệu</t>
  </si>
  <si>
    <t>1A Bà Triệu, P. Thắng Lợi, TP. Kon Tum, T. Kon Tum Việt Nam</t>
  </si>
  <si>
    <t>WM+ QNI Thửa 398, TBĐ 9, Long Hiệp</t>
  </si>
  <si>
    <t>Thửa đất số 398, Tờ bản đồ 9, Thôn 2, X. Long Hiệp, H. Minh Long, T. Quảng Ngãi Việt Nam</t>
  </si>
  <si>
    <t>WM+ QNI 482 Nguyễn Nghiêm</t>
  </si>
  <si>
    <t>Số 482 Nguyễn Nghiêm, P. Nguyễn Nghiêm, TX. Đức Phổ T. Quảng Ngãi Việt Nam</t>
  </si>
  <si>
    <t>WM+ KTM 888 Hùng Vương</t>
  </si>
  <si>
    <t>888 Hùng Vương, TT. Plei Kần, H. Ngọc Hồi, T. Kon Tum Việt Nam</t>
  </si>
  <si>
    <t>WM+ GLI 331 Hùng Vương</t>
  </si>
  <si>
    <t>331 Hùng Vương, TT. La Kha, H. La Grai, T. Gia Lai Việt Nam</t>
  </si>
  <si>
    <t>WM+ BDH 206 Trần Phú</t>
  </si>
  <si>
    <t>206 Trần Phú, P. Bình Định, TX. An Nhơn, T. Bình Định Việt Nam</t>
  </si>
  <si>
    <t>WM+ KHA 47B Đường 22 Tháng 8</t>
  </si>
  <si>
    <t>51 đường 22 tháng 8, P. Cam Thuận, TP. Cam Ranh, T. Khánh Hòa Việt Nam</t>
  </si>
  <si>
    <t>WM+ TTH Lô E3-17&amp;18, KĐT Phú Mỹ An</t>
  </si>
  <si>
    <t>Lô E3-17 – Lô E3-18, KĐT Phú Mỹ An – Khu A đô thị mới An Vân Dương, P. An Đông, TP. Huế, T. Thừa Thiên - Huế Việt Nam</t>
  </si>
  <si>
    <t>WM+ GLI Ia Mrơn, Ia Pa</t>
  </si>
  <si>
    <t>ĐT 622, Xã Ia Mrơn, Huyện Ia Pa T. Gia Lai Việt Nam</t>
  </si>
  <si>
    <t>WM+ QTI 352 Trần Hưng Đạo</t>
  </si>
  <si>
    <t>Số 352 Đường Trần Hưng Đạo, P. 2, TX. Quảng Trị T. Quảng Trị Việt Nam</t>
  </si>
  <si>
    <t>WIN DNG 07 - 09 Mai Hắc Đế</t>
  </si>
  <si>
    <t>07 - 09 Mai Hắc Đế, P. An Hải Tây, Q. Sơn Trà TP. Đà Nẵng Việt Nam</t>
  </si>
  <si>
    <t>WM+ DNG 78 Huỳnh Văn Nghệ</t>
  </si>
  <si>
    <t>78 Huỳnh Văn Nghệ, P. Hoà Hải, Q. Ngũ Hành Sơn, TP. Đà Nẵng Việt Nam</t>
  </si>
  <si>
    <t>WM+ TTH QL1A, Thôn 9, Chợ Phú Bài</t>
  </si>
  <si>
    <t>Quốc lộ 1A, Thôn 9, X. Thủy Phù, TX. Hương Thủy, T. Thừa Thiên - Huế Việt Nam</t>
  </si>
  <si>
    <t>WM+ QNM 57 Hùng Vương</t>
  </si>
  <si>
    <t>57 Hùng Vương, TT. Nam Phước, H. Duy Xuyên, T. Quảng Nam Việt Nam</t>
  </si>
  <si>
    <t>WM+ BDH238 -240 Nguyễn Chí Thanh</t>
  </si>
  <si>
    <t>Số238 -240 Nguyễn Chí Thanh, Phường Tam Quan Bắc, Thị xã Hoài Nhơn, T. Bình Định Việt Nam</t>
  </si>
  <si>
    <t>WM+ KTM 245 Trần Hưng Đạo</t>
  </si>
  <si>
    <t>245 Trần Hưng Đạo, T. Kon Tum Việt Nam</t>
  </si>
  <si>
    <t>WM+ QTI Số 107 QL 9, Hướng Hóa</t>
  </si>
  <si>
    <t>107 QL 9, TT. Lao Bảo, H. Hướng Hóa T. Quảng Trị Việt Nam</t>
  </si>
  <si>
    <t>WM+ QNI 155 Phạm Văn Đồng</t>
  </si>
  <si>
    <t>155 Phạm Văn Đồng, TT. Ba Tơ T. Quảng Ngãi Việt Nam</t>
  </si>
  <si>
    <t>WM+ GLI Trần Hưng Đạo, Krông Pa</t>
  </si>
  <si>
    <t>Thửa đất 316, tờ bản đồ 25A, T. Gia Lai Việt Nam</t>
  </si>
  <si>
    <t>WM+ GLI 380 Quang Trung</t>
  </si>
  <si>
    <t>380 Quang Trung, TT. Chư Ty T. Gia Lai Việt Nam</t>
  </si>
  <si>
    <t>WM+ BDH 262 Quang Trung</t>
  </si>
  <si>
    <t>262 Quang Trung, TT. Ngô Mây T. Bình Định Việt Nam</t>
  </si>
  <si>
    <t>WM+ TTH 77 Nguyễn Chí Thanh</t>
  </si>
  <si>
    <t>77 Nguyễn Chí Thanh, P. Gia Hội T. Thừa Thiên - Huế Việt Nam</t>
  </si>
  <si>
    <t>WM+ KHA 146 Chính Hữu</t>
  </si>
  <si>
    <t>146 Chính Hữu, Thôn Văn Đăng 1, Xã Vĩnh Lương, TP. Nha Trang T. Khánh Hòa Việt Nam</t>
  </si>
  <si>
    <t>WM+ TTH 133 Nguyễn Sinh Cung</t>
  </si>
  <si>
    <t>133 Nguyễn Sinh Cung, P. Vỹ Dạ, TP. Huế T. Thừa Thiên - Huế Việt Nam</t>
  </si>
  <si>
    <t>WM+ QNI Thửa đất số 139-140, TBĐ số</t>
  </si>
  <si>
    <t>Thửa đất số 139-140, TBĐ số 36, Thôn Định Tân, X. Bình Châu, H. Bình Sơn T. Quảng Ngãi Việt Nam</t>
  </si>
  <si>
    <t>WM+ DNG 82 Nguyễn Văn Cừ</t>
  </si>
  <si>
    <t>82 Nguyễn Văn Cừ, P. Hòa Hiệp Bắc, Q. Liên Chiểu, TP. Đà Nẵn TP. Đà Nẵng Việt Nam</t>
  </si>
  <si>
    <t>WM+ QTI Khu phố 3, TT Cửa Việt</t>
  </si>
  <si>
    <t>Khu phố 3, Thị Trấn Cửa Việt, Huyện Gio Linh T. Quảng Trị Việt Nam</t>
  </si>
  <si>
    <t>WM+ QNM 136 ĐT609, Điện Thọ</t>
  </si>
  <si>
    <t>Số 136 Đường ĐT609, Xã Điện Thọ, Thị xã Điện Bàn T. Quảng Nam Việt Nam</t>
  </si>
  <si>
    <t>WM+ DNG 06 Đà Sơn</t>
  </si>
  <si>
    <t>06 Đà Sơn, P. Hòa Khánh Nam, Q. Liên Chiểu TP. Đà Nẵng Việt Nam</t>
  </si>
  <si>
    <t>WM+ DNG TĐS 218&amp;312, TBĐ 40, QL 1A</t>
  </si>
  <si>
    <t>Thửa đất số 218 và 312, Tờ bản đồ số 40, Đường Quốc lộ 1A, Thôn Giáng Nam 2, Xã Hòa Phước, Huyện Hòa Vang TP. Đà Nẵng Việt Nam</t>
  </si>
  <si>
    <t>WM+ DNG 124 Âu Cơ</t>
  </si>
  <si>
    <t>124 Âu Cơ, P. Hòa Khánh Bắc, Q. Liên Chiểu, TP. Đà Nẵng Việt Nam</t>
  </si>
  <si>
    <t>WM+ QTI 83 Lê Duẩn</t>
  </si>
  <si>
    <t>Số 83 Lê Duẩn, Thị trấn Khe Sanh, Huyện Hướng Hóa T. Quảng Trị Việt Nam</t>
  </si>
  <si>
    <t>WM+ QTI Khu phố An Đức 2, Vĩnh Linh</t>
  </si>
  <si>
    <t>Khu phố An Đức 2, Thị trấn Cửa Tùng, Huyện Vĩnh Linh T. Quảng Trị Việt Nam</t>
  </si>
  <si>
    <t>WM+ QTI L1_16-17, VCP Đông Hà</t>
  </si>
  <si>
    <t>L1_16-17, Vincom Plaza Đông Hà,P. Đông Lương, Hùng Vương, TP. Đông Hà T. Quảng Trị Việt Nam</t>
  </si>
  <si>
    <t>WM+ DNG 266 Âu Cơ</t>
  </si>
  <si>
    <t>266 Âu Cơ, P. Hòa Khánh Bắc, Q. Liên Chiểu, TP. Đà Nẵng TP. Đà Nẵng Việt Nam</t>
  </si>
  <si>
    <t>WM+ QNM ĐT609 Thôn Quảng Huế</t>
  </si>
  <si>
    <t>ĐT609 Thôn Quảng Huế, X. Đại An, H. Đại Lộc, T. Quảng Nam Việt Nam</t>
  </si>
  <si>
    <t>WM+ DNG 544 Tôn Đản</t>
  </si>
  <si>
    <t>544 Tôn Đản, P. Hoà Phát, Q. Cẩm Lệ TP. Đà Nẵng Việt Nam</t>
  </si>
  <si>
    <t>WM+ DNG 111 Phan Văn Đáng</t>
  </si>
  <si>
    <t>111 Phan Văn Đáng,Thôn Bàu Cầu, X. Hòa Châu, H. Hòa Vang, TP. Đà Nẵng Việt Nam</t>
  </si>
  <si>
    <t>WM+ DNG TĐS 1189, TBĐ 24, QL 14G</t>
  </si>
  <si>
    <t>Thửa đất số 1189, Tờ bản đồ số 24, Quốc lộ 14G TP. Đà Nẵng Việt Nam</t>
  </si>
  <si>
    <t>WM+ DNG 45 Trần Quang Khải</t>
  </si>
  <si>
    <t>45 Trần Quang Khải, P. Thọ Quang, Q. Sơn Trà, TP. Đà Nẵng Việt Nam</t>
  </si>
  <si>
    <t>WM+ DNG TĐS 871, TBĐ 16, ĐT605</t>
  </si>
  <si>
    <t>TĐS 871, TBĐ 16, ĐT605, Thôn Lệ Sơn Bắc, X. Hòa Tiến, H. Hòa Vang TP. Đà Nẵng Việt Nam</t>
  </si>
  <si>
    <t>WM+ GLI 256 Trần Hưng Đạo</t>
  </si>
  <si>
    <t>256 Trần Hưng Đạo, Thị trấn Kon Dơng, Huyện Mang Yang T. Gia Lai Việt Nam</t>
  </si>
  <si>
    <t>WM+ GLI 260 Phạm Văn Đồng</t>
  </si>
  <si>
    <t>260 Phạm Văn Đồng, P. Thống Nhất, TP. Pleiku T. Gia Lai Việt Nam</t>
  </si>
  <si>
    <t>WM+ DNG 141 Nguyễn Đình Tứ</t>
  </si>
  <si>
    <t>141 Nguyễn Đình Tứ, P. Hoà An, Q. Cẩm Lệ, TP. Đà Nẵng Việt Nam</t>
  </si>
  <si>
    <t>WM+ DNG 171 Nguyễn Lương Bằng</t>
  </si>
  <si>
    <t>171 Nguyễn Lương Bằng, Phường Hòa Khánh Bắc, Quận Liên Chiểu TP. Đà Nẵng Việt Nam</t>
  </si>
  <si>
    <t>WM+ DNG 14 Trần Đình Nam</t>
  </si>
  <si>
    <t>14 Trần Đình Nam, Tổ 46, Phường Hòa An, Quận Cẩm Lệ TP. Đà Nẵng Việt Nam</t>
  </si>
  <si>
    <t>WM+ DLK 272 Ngô Quyền</t>
  </si>
  <si>
    <t>272 Ngô Quyền, P. Tân An, TP. Buôn Ma Thuột, T. Đắk Lắk Việt Nam</t>
  </si>
  <si>
    <t>WM+ QNM ĐT610B Thôn Bảo An</t>
  </si>
  <si>
    <t>Thửa 975, TBĐ 16, ĐT610B, Thôn Bảo An, T. Quảng Nam Việt Nam</t>
  </si>
  <si>
    <t>WM+ QNI TĐ 491, TBĐ 15, Thôn An Kỳ</t>
  </si>
  <si>
    <t>Thửa đất số 491, Tờ bản đồ số 15,Thôn An Kỳ, X. Tịnh Kỳ, TP. Quảng Ngãi T. Quảng Ngãi Việt Nam</t>
  </si>
  <si>
    <t>WM+ BDH 488 Quang Trung</t>
  </si>
  <si>
    <t>Số 488 Quang Trung, Phường Tam Quan, Thị xã Hoài Nhơn, T. Bình Định Việt Nam</t>
  </si>
  <si>
    <t>WM+ PYN Phú Long, Tuy An</t>
  </si>
  <si>
    <t>Thôn Phú Long, Xã An Mỹ, Huyện Tuy An T. Phú Yên Việt Nam</t>
  </si>
  <si>
    <t>WM+ QNI Thửa 135-212, TBĐ TĐĐC-1</t>
  </si>
  <si>
    <t>Thửa 135, Tờ bản đồ TĐĐC và Thửa 212, Tờ bản đồ số 1, Đường QL 24B, X. Sơn Hạ, H. Sơn Hà, T. Quảng Ngãi Việt Nam</t>
  </si>
  <si>
    <t>WM+ QNI 813-815 Võ Nguyên Giáp</t>
  </si>
  <si>
    <t>813-815 Võ Nguyên Giáp, P. Trương Quang Trọng, T. Quảng Ngãi Việt Nam</t>
  </si>
  <si>
    <t>WM+ QNM Thôn Châu Lâm, Bình Trị</t>
  </si>
  <si>
    <t>Thửa đất số 386-486, Tờ bản đồ 06, Tổ 19, Thôn Châu Lâm, X. Bình Trị, H. Thăng Bình, T. Quảng Nam Việt Nam</t>
  </si>
  <si>
    <t>WM+ PYN 79 Lê Thành Phương</t>
  </si>
  <si>
    <t>79 Lê Thành Phương, Thị Trấn Chí Thạnh, Huyện Tuy An T. Phú Yên Việt Nam</t>
  </si>
  <si>
    <t>WM+ TTH 73 Sóng Hồng</t>
  </si>
  <si>
    <t>Số 73 Đường Sóng Hồng, Phường Phú Bài , Thị xã Hương Thủy T. Thừa Thiên - Huế Việt Nam</t>
  </si>
  <si>
    <t>WM+ BDH TĐ 861-862, TBD 13,Cát Hiệp</t>
  </si>
  <si>
    <t>Thửa đất số 861-862, Tờ bản đồ số 13, Thôn Hòa Đại, Đường ĐT 634, X. Cát Hiệp, H. Phù Cát T. Bình Định Việt Nam</t>
  </si>
  <si>
    <t>WM+ QNM 221 Đường Hồ Chí Minh</t>
  </si>
  <si>
    <t>221 Đường Hồ Chí Minh, TT. PRao, H. Đông Giang, T. Quảng Nam Việt Nam</t>
  </si>
  <si>
    <t>WM+ QNM TĐ 1081-1082,TBĐ 02,Bà Rén</t>
  </si>
  <si>
    <t>Thửa đất số 1081-1082, Tờ bản đồ 02, KP. Chợ Bà Rén, X. Quế Xuân 1, H. Quế Sơn T. Quảng Nam Việt Nam</t>
  </si>
  <si>
    <t>WM+ QNM 162 Đường DH4, Thôn Phú An</t>
  </si>
  <si>
    <t>162 Đường DH4, Thôn Phú An, X. Đại Thắng, H. Đại Lộc, T. Quảng Nam Việt Nam</t>
  </si>
  <si>
    <t>WM+ QNM 10C Hoàng Sa</t>
  </si>
  <si>
    <t>10C Hoàng Sa, TT. Nam Phước, H. Duy Xuyên, T. Quảng Nam T. Quảng Nam Việt Nam</t>
  </si>
  <si>
    <t>WM+ BDH TĐ 174, TBĐ 44, Chánh Danh</t>
  </si>
  <si>
    <t>Thửa đất số 174, Tờ bản đồ số 44,Thôn Chánh Danh, X. Cát Tài, H. Phù Cát, T. Bình Định Việt Nam</t>
  </si>
  <si>
    <t>WM+ QNM TĐ 1530,TBĐ 16,Thôn Mộc Bài</t>
  </si>
  <si>
    <t>Thửa đất số 1530, Tờ bản đồ số 16, H. Quế Sơn T. Quảng Nam Việt Nam</t>
  </si>
  <si>
    <t>WM+ QNM 343 - 345 Trần Cao Vân</t>
  </si>
  <si>
    <t>Thửa đất số 104 &amp; 324, Tờ bản đồ số 15, TP. Tam Kỳ T. Quảng Nam Việt Nam</t>
  </si>
  <si>
    <t>WM+ BDH TĐ 1108,TBĐ 06, Chợ Đầu Cầu</t>
  </si>
  <si>
    <t>Thửa đất số 1108, Tờ bản đồ số 06, T. Bình Định Việt Nam</t>
  </si>
  <si>
    <t>WM+ QNM ĐT 609, Thôn Lạc Thành Nam</t>
  </si>
  <si>
    <t>Thửa đất số 992, Tờ bản đồ số 07, Đường ĐT 609, TX. Điện Bàn T. Quảng Nam Việt Nam</t>
  </si>
  <si>
    <t>WM + QNM Đường ĐT609, Thôn Hà Nha</t>
  </si>
  <si>
    <t>Thửa đất số 1389, Tờ bản đồ số 10, H. Đại Lộc T. Quảng Nam Việt Nam</t>
  </si>
  <si>
    <t>WM+ QTI 118 Tôn Thất Thuyết</t>
  </si>
  <si>
    <t>Số 118 Đường Tôn Thất Thuyết, Phường 5, Thành phố Đông Hà T. Quảng Trị Việt Nam</t>
  </si>
  <si>
    <t>WM + DNG 599 - 601 Kinh Dương Vương</t>
  </si>
  <si>
    <t>599 - 601 Kinh Dương Vương, P. Hòa Minh, Q. Liên Chiểu, TP. Đà Nẵng Việt Nam</t>
  </si>
  <si>
    <t>WM+ BDH TĐ 203,TBĐ 89,QL 1A,Chợ Gồm</t>
  </si>
  <si>
    <t>Thửa đất số 203, Tờ bản đồ số 89, Đường QL 1A, T. Bình Định Việt Nam</t>
  </si>
  <si>
    <t>WM+ QNM Thửa 980-981, TBĐ 22</t>
  </si>
  <si>
    <t>Thửa đất số 980-981, TBĐ số 22,đường ĐT609, Thôn Tân An, X. Đại Lãnh, H. Đại Lộc, T. Quảng Nam Việt Nam</t>
  </si>
  <si>
    <t>WM+ QNM 98 DH2, KP. Triêm Trung 2</t>
  </si>
  <si>
    <t>98 DH2, Khối phố Triêm Trung 2, P. Điện Phương, TX. Điện Bàn T. Quảng Nam Việt Nam</t>
  </si>
  <si>
    <t>WM+ BDH TĐ 1884-TBĐ 4 Khu A-Lô 08</t>
  </si>
  <si>
    <t>Thửa đất 1884, tờ bản đồ số 4, khu A - Lô 08, Khu dịch vụ và dân cư phía Tây đường Tây tỉnh, X. Nhơn Phúc, TX. An Nhơn, T. Bình Định TX. An Nhơn Việt Nam</t>
  </si>
  <si>
    <t>WM+ QNM Gia Huệ, Đại Lộc</t>
  </si>
  <si>
    <t>Thửa đất số (lô) 577a, Tờ bản đồ số 5, Thôn Gia Huệ, Xã Đại Minh, Huyện Đại Lộc, T. Quảng Nam Việt Nam</t>
  </si>
  <si>
    <t>WM+ QNM 1140 Hùng Vương</t>
  </si>
  <si>
    <t>1140 Hùng Vương, Xã Duy Sơn, Huyện Duy Xuyên T. Quảng Nam Việt Nam</t>
  </si>
  <si>
    <t>WM+ QNM 153 Quốc Lộ 1A, Điện Phương</t>
  </si>
  <si>
    <t>153 QL1A, P. Điện Phương, TX. Điện Bàn T. Quảng Nam Việt Nam</t>
  </si>
  <si>
    <t>WM+ GLI 31 Phù Đổng</t>
  </si>
  <si>
    <t>31 Phù Đổng, P. Phù Đổng, TP. Pleiku, TP. Pleiku T. Gia Lai Việt Nam</t>
  </si>
  <si>
    <t>WM+ QNM 41 Hùng Vương</t>
  </si>
  <si>
    <t>41 Hùng Vương, TT. Đông Phú, H. Quế Sơn, TT. Đông Phú, H. Quế Sơn, T. Quảng Nam T. Quảng Nam Việt Nam</t>
  </si>
  <si>
    <t>WM+ QNM Thửa 595, TBĐ 36</t>
  </si>
  <si>
    <t>Thửa đất số 595, Tờ bản đồ số 36, H. Núi Thành T. Quảng Nam Việt Nam</t>
  </si>
  <si>
    <t>WM+ QNI Minh Mỹ, Sơn Tịnh</t>
  </si>
  <si>
    <t>Thửa đất số 290, Tờ bản đồ số 21, QL24B, Thôn Minh Mỹ, Xã Tịnh Bắc, Huyện Sơn Tịnh T. Quảng Ngãi Việt Nam</t>
  </si>
  <si>
    <t>WM+ DNG 78-80 Nguyễn Bính</t>
  </si>
  <si>
    <t>78-80 Nguyễn Bính, Phường Hòa Minh, Quận Liên Chiểu TP. Đà Nẵng Việt Nam</t>
  </si>
  <si>
    <t>WM+ TTH 70 Đặng Huy Trứ</t>
  </si>
  <si>
    <t>70 Đặng Huy Trứ, P. Trường An, TP. Huế, T. Thừa Thiên - Huế Việt Nam</t>
  </si>
  <si>
    <t>WM+ TTH 26 Hoàng Quốc Việt</t>
  </si>
  <si>
    <t>Số 26 Đường Hoàng Quốc Việt, Phường An Đông, Thành phố Huế T. Thừa Thiên - Huế Việt Nam</t>
  </si>
  <si>
    <t>WM+ QNM TĐ 642a, TBĐ 4, Thôn An Mỹ</t>
  </si>
  <si>
    <t>Thửa đất số 642a, Tờ bản đồ 4, Đường ĐT 615, Thôn An Mỹ, X.Tam An, H. Phú Ninh T. Quảng Nam Việt Nam</t>
  </si>
  <si>
    <t>WM+ QNM Thửa 724, TBĐ 12, ĐT609</t>
  </si>
  <si>
    <t>Thửa đất số 724, Tờ bản đồ số 12, Đường ĐT609, H. Đại Lộc T. Quảng Nam Việt Nam</t>
  </si>
  <si>
    <t>WM+ QNM Thôn Thanh Vân, Đại Cường</t>
  </si>
  <si>
    <t>Thửa đất số 8/1-9/1, Tờ bản đồ số 7, Đường ĐT609C, Thôn Thanh Vân, X. Đại Cường, H. Đại Lộc T. Quảng Nam Việt Nam</t>
  </si>
  <si>
    <t>WM+ DNG 245 Hải Phòng</t>
  </si>
  <si>
    <t>245 Hải Phòng, P. Tân Chính, Q. Thanh Khê, TP. Đà Nẵng Việt Nam</t>
  </si>
  <si>
    <t>WM+ QNM 204 ĐT609, Thôn Nhị Dinh 3</t>
  </si>
  <si>
    <t>204 đường ĐT609, Thôn Nhị Dinh 3, TX. Điện Bàn T. Quảng Nam Việt Nam</t>
  </si>
  <si>
    <t>WM+ QNM Phong Lục Tây, Điện Thắng N</t>
  </si>
  <si>
    <t>Thửa đất số 6 - 6/3, Tờ bản đồ số 01, Thôn Phong Lục Tây, T. Quảng Nam Việt Nam</t>
  </si>
  <si>
    <t>WM+ GLI 463 - 465 Trần Hưng Đạo, Ay</t>
  </si>
  <si>
    <t>463 - 465 Trần Hưng Đạo, P. Cheo Reo, Tx. Ayun Pa, T. Gia Lai Việt Nam</t>
  </si>
  <si>
    <t>WM+ TTH 57 Bao Vinh</t>
  </si>
  <si>
    <t>57 Bao Vinh, P. Hương Vinh, TP. Huế, T. Thừa Thiên - Huế Việt Nam</t>
  </si>
  <si>
    <t>WM+ QNM Thửa 260-261, Thôn Cây Sanh</t>
  </si>
  <si>
    <t>Thửa 260 – 261, tờ bản đồ 09, Thôn Cây Sanh, xã Tam Dân, huyện Phú Ninh, T. Quảng Nam Việt Nam</t>
  </si>
  <si>
    <t>WM+ BDH Thôn Thọ Lộc 1, Nhơn Thọ</t>
  </si>
  <si>
    <t>Thửa đất số 391, Tờ bản đồ số 4, đường QL 19, T. Bình Định Việt Nam</t>
  </si>
  <si>
    <t>WM+ QNM Điện Thắng Trung, Điện Bàn</t>
  </si>
  <si>
    <t>Thửa đất số O1-1, Tờ bản đồ số QH03, TX. Điện Bàn T. Quảng Nam Việt Nam</t>
  </si>
  <si>
    <t>WM+ QNM Thôn Tất Viên, Bình Phục</t>
  </si>
  <si>
    <t>Thửa đất số 44/1, Tờ bản đồ số 24, Đường ĐT 613, H. Thăng Bình H. Thăng Bình Việt Nam</t>
  </si>
  <si>
    <t>WM+ BDH Thôn Quy Thuận, Hoài Nhơn</t>
  </si>
  <si>
    <t>Thửa đất số 79, TBĐ số 15, Thôn Quy Thuận, TX. Hoài Nhơn T. Bình Định Việt Nam</t>
  </si>
  <si>
    <t>WM+ QNI Thôn 6, Đức Chánh</t>
  </si>
  <si>
    <t>Thửa đất số 312, Tờ bản đồ số 11, Thôn 6, X. Đức Chánh T. Quảng Ngãi Việt Nam</t>
  </si>
  <si>
    <t>WM+ QNI Thôn Kỳ Tân, Thắng Lợi</t>
  </si>
  <si>
    <t>Thửa đất số 297, Tờ bản đồ số 8, Thôn Kỳ Tân, H. Mộ Đức T. Quảng Ngãi Việt Nam</t>
  </si>
  <si>
    <t>WM+ BDH Thôn Xuân An, Cát Minh</t>
  </si>
  <si>
    <t>Thửa đất 168, TBĐ 40, Thôn Xuân Anh, X. Cát Minh, H. Phù Cát T. Bình Định Việt Nam</t>
  </si>
  <si>
    <t>WM+ GLI Lô 01 Nguyễn Huệ, Kông Chro</t>
  </si>
  <si>
    <t>Lô số 01-02, đường Nguyễn Huệ - Kpã Klơn, thị trấn Kông Chro, huyện Kông Chro T. Gia Lai Việt Nam</t>
  </si>
  <si>
    <t>WM+ QNM Thôn Vĩnh Bình, Tam Thăng</t>
  </si>
  <si>
    <t>Thửa đất số 691, tờ bản đồ số 21, Thôn Vĩnh Bình X. Tam Thăng T. Quảng Nam Việt Nam</t>
  </si>
  <si>
    <t>WM+ QNM Thôn La Huân, Điện Thọ</t>
  </si>
  <si>
    <t>Thửa đất số 1434, Tờ bản đồ số 05, Đường ĐH1, Thôn La Huân, X. Điện Thọ, TX. Điện Bàn, T. Quảng Nam Việt Nam</t>
  </si>
  <si>
    <t>WM+ QTI 207 Trần Phú</t>
  </si>
  <si>
    <t>207 Trần Phú, Khóm 4, TT. Hồ Xá, H. Vĩnh Linh, T. Quảng Trị Việt Nam</t>
  </si>
  <si>
    <t>WM+ TTH 59 Yết Kiêu</t>
  </si>
  <si>
    <t>59 Yết Kiêu, P. Thuận Hòa, Q. Phú Xuân, TP. Huế Việt Nam</t>
  </si>
  <si>
    <t>WM+ QNM Thôn Hà Vy, Đại Hồng</t>
  </si>
  <si>
    <t>Thửa đất số 885, Tờ bản đồ số 5, Thôn Hà Vy, X. Đại Hồng H. Đại Lộc T. Quảng Nam Việt Nam</t>
  </si>
  <si>
    <t>WM+ QNM Thửa 1060-1739, ĐT609</t>
  </si>
  <si>
    <t>Thửa 1060 - 1739, TBĐ 14, ĐT609, X. Đại Nghĩa, H. Đại Lộc, T. Quảng Nam Việt Nam</t>
  </si>
  <si>
    <t>WM+ BDH 231-233 Nguyễn Huệ</t>
  </si>
  <si>
    <t>231 - 233 Nguyễn Huệ, TT. Vĩnh Thạnh, H. Vĩnh Thạnh, T. Bình Định Việt Nam</t>
  </si>
  <si>
    <t>WM+ TTH 983 Nguyễn Tất Thành</t>
  </si>
  <si>
    <t>Thửa đất số 204, Tờ bản đồ số 5, Số 983 Đường Nguyễn Tất Thành, Phường Phú Bài, Thị xã Hương Thủy T. Thừa Thiên - Huế Việt Nam</t>
  </si>
  <si>
    <t>WM+ QNI TĐ 169, TBĐ 10, Đức Phổ</t>
  </si>
  <si>
    <t>Thửa đất số 169, Tờ bản đồ số 10, Thôn An Thạch, X. Phổ An, TX. Đức Phổ, T. Quảng Ngãi Việt Nam</t>
  </si>
  <si>
    <t>WM+ QNM TĐ 18, TBĐ 2, Thôn Phú Đông</t>
  </si>
  <si>
    <t>Thửa đất số 18, Tờ bản đồ số 2, Thôn Phú Đông, X. Đại Hiệp, H. Đại Lộc, T. Quảng Nam Việt Nam</t>
  </si>
  <si>
    <t>WM+ QNI An Hòa Bắc, Nghĩa Thắng</t>
  </si>
  <si>
    <t>Thửa đất số 205, Tờ bản đồ số 19, Xóm 2, Thôn An Hòa Bắc, X. Nghĩa Thắng, T. Quảng Ngãi Việt Nam</t>
  </si>
  <si>
    <t>WM+ TTH Shop S1, Tòa CT3, CC Aranya</t>
  </si>
  <si>
    <t>Shop S1 - Tòa CT3, Chung cư Aranya, P. Xuân Phú, TP. Huế Việt Nam</t>
  </si>
  <si>
    <t>WM+ TTH Thế Lại Thượng, Hương Vinh</t>
  </si>
  <si>
    <t>Thửa đất số 169/2, Tờ bản đồ số 07, Thôn Thế Lại Thượng, TP. Huế Việt Nam</t>
  </si>
  <si>
    <t>WM+ BDH Tăng Bạt Hổ, Hoài Ân</t>
  </si>
  <si>
    <t>Thửa đất số 97, TBĐ số 30, KP. Gia Chiểu 2, TT. Tăng Bạt Hổ, T. Bình Định Việt Nam</t>
  </si>
  <si>
    <t>WM+ QNI TDP Hải Tân, Trà Câu</t>
  </si>
  <si>
    <t>Thửa đất số 554, tờ bản đồ số 16, TDP Hải Tân, P. Trà Câu, T. Quảng Ngãi Việt Nam</t>
  </si>
  <si>
    <t>WM+ QNM 263 Hùng Vương</t>
  </si>
  <si>
    <t>263 Hùng Vương, TT. Tân Bình, H. Hiệp Đức, T. Quảng Nam Việt Nam</t>
  </si>
  <si>
    <t>WM+ DNG Lô 1343 khu B2-38, Lakeside</t>
  </si>
  <si>
    <t>Lô 1343 khu B2-38, KĐT xanh Bàu Tràm Lakeside, TP. Đà Nẵng Việt Nam</t>
  </si>
  <si>
    <t>WM+ BDH Thôn Tân Phụng 2, Phù Mỹ</t>
  </si>
  <si>
    <t>Thửa đất số 152, TBĐ số 19, Thôn Tân Phụng 2, X. Mỹ Thọ, H. Phù Mỹ T. Bình Định Việt Nam</t>
  </si>
  <si>
    <t>WM+ DNG 1446 Trần Thủ Độ</t>
  </si>
  <si>
    <t>1446 Trần Thủ Độ, Khối 7B, P. Điện Bàn Đông, TP. Đà Nẵng Việt Nam</t>
  </si>
  <si>
    <t>WM+ DNG 150A Dũng Sĩ Thanh Khê</t>
  </si>
  <si>
    <t>150A Dũng Sĩ Thanh Khê, P. Thanh Khê Tây, Q. Thanh Khê, TP. Đà Nẵng Việt Nam</t>
  </si>
  <si>
    <t>WM+ TTH Khuông Phò Đông,Quảng Phước</t>
  </si>
  <si>
    <t>TĐS 474, TBĐS 15, Thôn Khuông Phò Đông, X. Quảng Phước, H. Quảng Điền TP. Huế Việt Nam</t>
  </si>
  <si>
    <t>WM+ TTH Thôn Mậu Tài, Dương Nỗ</t>
  </si>
  <si>
    <t>TĐS 342, TBĐS 25, đường Tỉnh lộ 2, Thôn Mậu Tài, P. Dương Nỗ Q. Thuận Hóa, TP. Huế Việt Nam</t>
  </si>
  <si>
    <t>WM+ QNM 82 Phạm Văn Đồng</t>
  </si>
  <si>
    <t>82 Phạm Văn Đồng, TT. Khâm Đức, H. Phước Sơn, T. Quảng Nam Việt Nam</t>
  </si>
  <si>
    <t>WM+ BDH Phú Phong, Tây Sơn</t>
  </si>
  <si>
    <t>Thửa đất 264, tờ bản đồ số 12, Khối 1, TT. Phú Phong, H. Tây Sơn T. Bình Định Việt Nam</t>
  </si>
  <si>
    <t>WM+ TTH 1 Mai Lượng</t>
  </si>
  <si>
    <t>1 Mai Lượng, P. Hương Sơ, Q. Phú Xuân, Q. Phú Xuân TP. Huế Việt Nam</t>
  </si>
  <si>
    <t>WM+ DNG 5 Lê Trọng Tấn</t>
  </si>
  <si>
    <t>5 Lê Trọng Tấn, P. An Khê, Q. Thanh Khê, TP. Đà Nẵng Việt Nam</t>
  </si>
  <si>
    <t>WIN DNG 51 - 53 Dương Thị Xuân Quý</t>
  </si>
  <si>
    <t>51 – 53 Dương Thị Xuân Quý, P. Mỹ An, Q. Ngũ Hành Sơn, TP. Đà Nẵng Việt Nam</t>
  </si>
  <si>
    <t>WM+ BDH Thôn Liêm Định, Nhơn Phong</t>
  </si>
  <si>
    <t>TThửa đất 426, tờ bản đồ số 5, Thôn Liêm Định, X. Nhơn Phong TX. An Nhơn T. Bình Định Việt Nam</t>
  </si>
  <si>
    <t>WM+ DNG Thôn Phú Sơn Tây,Hòa Khương</t>
  </si>
  <si>
    <t>TĐS 777, TBĐ 14, Thôn Phú Sơn Tây, X. Hòa Khương, TP. Đà Nẵng Việt Nam</t>
  </si>
  <si>
    <t>WM+ TTH 497 Bùi Thị Xuân</t>
  </si>
  <si>
    <t>497 Bùi Thị Xuân, P. Thủy Biều, Q. Thuận Hóa, TP. Huế Việt Nam</t>
  </si>
  <si>
    <t>WM+ GLI 760A Hùng Vương</t>
  </si>
  <si>
    <t>760A Đường Hùng Vương, Xã Chư Sê, T. Gia Lai Việt Nam</t>
  </si>
  <si>
    <t>WIN DNG 215 Ông Ích Khiêm</t>
  </si>
  <si>
    <t>215 Ông Ích Khiêm, P. Hải Châu, TP. Đà Nẵng Việt Nam</t>
  </si>
  <si>
    <t>WM+ DNG 276 Lý Thái Tông</t>
  </si>
  <si>
    <t>276 Lý Thái Tông, P. Thanh Khê Tây,Q. Thanh Khê, Tp. Đà Nẵng TP. Đà Nẵng Việt Nam</t>
  </si>
  <si>
    <t>WM+ DNG 190 Hồ Quý Ly</t>
  </si>
  <si>
    <t>190 Hồ Quý Ly, P. Hòa Khánh, TP. Đà Nẵng Việt Nam</t>
  </si>
  <si>
    <t>WM+ TTH 128 Minh Mạng</t>
  </si>
  <si>
    <t>128 Minh Mạng, P. Thủy Xuân, TP. Huế Việt Nam</t>
  </si>
  <si>
    <t>WM+ QNI Hùng Vương, Đắk Tô</t>
  </si>
  <si>
    <t>Thửa đất số 45, tờ bản đồ 215, Đường Hùng Vương, Khối 8 Xã Đắk Tô, T. Quảng Ngãi Việt Nam</t>
  </si>
  <si>
    <t>WM+ TTH 74 Phạm Thị Liên</t>
  </si>
  <si>
    <t>74 Phạm Thị Liên, P. Kim Long TP. Huế Việt Nam</t>
  </si>
  <si>
    <t>WM+ TTH 198 Phạm Văn Đồng</t>
  </si>
  <si>
    <t>198 Phạm Văn Đồng, P. Phú Thượng, Q. Thuận Hóa, TP. Huế Việt Nam</t>
  </si>
  <si>
    <t>WM+ DNG 95 Đặng Vũ Hỷ</t>
  </si>
  <si>
    <t>95 Đặng Vũ Hỷ, P. An Hải TP. Đà Nẵng Việt Nam</t>
  </si>
  <si>
    <t>WM+ QNI Hà Trung, Sơn Tịnh</t>
  </si>
  <si>
    <t>Thửa đất 1084, tờ bản đồ số 15, TDP. Hà Trung, X. Sơn Tịnh T. Quảng Ngãi Việt Nam</t>
  </si>
  <si>
    <t>WM+ GLI 904B Hùng Vương</t>
  </si>
  <si>
    <t>904B Hùng Vương, X. Chư Sê, T. Gia Lai Việt Nam</t>
  </si>
  <si>
    <t>WM+ DNG 105 Phan Thanh</t>
  </si>
  <si>
    <t>105 Phan Thanh, P. Thanh Khê TP. Đà Nẵng Việt Nam</t>
  </si>
  <si>
    <t>WM+ DNG 338 Bình Kỳ</t>
  </si>
  <si>
    <t>338 Bình Kỳ, P. Ngũ Hành Sơn, TP. Đà Nẵng TP. Đà Nẵng Việt Nam</t>
  </si>
  <si>
    <t>WM+ TTH 65 Tùng Thiện Vương</t>
  </si>
  <si>
    <t>65 Tùng Thiện Vương, P. Vỹ Dạ, TP. Huế Việt Nam</t>
  </si>
  <si>
    <t>WM+ DNG Lô 28, B2-13, Hòa Liên 5</t>
  </si>
  <si>
    <t>Lô 28 phân khu B2-13, Khu tái định cư Hòa Liên 5, TP. Đà Nẵng Việt Nam</t>
  </si>
  <si>
    <t>WM+ TTH Kinh Dương Vương, Thuận An</t>
  </si>
  <si>
    <t>Thửa đất số 111, Tờ bản đồ số 40, đường Kinh Dương Vương, TP. Huế TP. Huế Việt Nam</t>
  </si>
  <si>
    <t>WM+ GLI Tổ dân phố 2, Xã Đak Pơ</t>
  </si>
  <si>
    <t>Thửa đất số 62b, tờ bản đồ số 37, Xã Đak Pơ, Tỉnh Gia Lai T. Gia Lai Việt Nam</t>
  </si>
  <si>
    <t>WM+ GLI Thôn Phương Phi, Cát Tiến</t>
  </si>
  <si>
    <t>Thửa đất số 26, TBĐ số 32, Thôn Phương Phi, X. Cát Tiến, T. Gia Lai Việt Nam</t>
  </si>
  <si>
    <t>WM+ QNI Thôn Chiên Chiết, Bờ Y</t>
  </si>
  <si>
    <t>Thửa đất số 102b, Tờ bản đồ số 27, Đường Hùng Vương Thôn Chiên Chiết, X. Bờ Y T. Quảng Ngãi Việt Nam</t>
  </si>
  <si>
    <t>WM+ DNG 59 Mẹ Nhu</t>
  </si>
  <si>
    <t>59 Mẹ Nhu, P. Thanh Khê TP. Đà Nẵng Việt Nam</t>
  </si>
  <si>
    <t>WM+ GLI An Quang Tây, Đề Gi</t>
  </si>
  <si>
    <t>Thửa đất số 413, TBĐ số 28, Thôn An Quang Tây, Xã Đề Gi, Tỉnh Gia Lai Việt Nam</t>
  </si>
  <si>
    <t>WM+ TTH Số 40 Dạ Lê</t>
  </si>
  <si>
    <t>Số 40 Dạ Lê, Phường Thanh Thủy, TP. Huế Việt Nam</t>
  </si>
  <si>
    <t>WM+ QTI 71 Phan Đình Phùng</t>
  </si>
  <si>
    <t>71 Phan Đình Phùng, P. Quảng Trị, T. Quảng Trị Việt Nam</t>
  </si>
  <si>
    <t>WM+ DNG 274 Trần Hưng Đạo</t>
  </si>
  <si>
    <t>274 Trần Hưng Đạo, P. An Hải, TP. ́Đà Nẵng Việt Nam</t>
  </si>
  <si>
    <t>WM+ TTH 109 Nguyễn Huệ</t>
  </si>
  <si>
    <t>109 Nguyễn Huệ, P. Thuận Hóa, TP. Huế Việt Nam</t>
  </si>
  <si>
    <t>WM+ GLI Tổ 06, Trường Sơn</t>
  </si>
  <si>
    <t>Thửa đất số 46, Tờ bản đồ số 14, Đường Trường Sơn, Tổ 6, Phường Thống Nhất, T. Gia Lai Việt Nam</t>
  </si>
  <si>
    <t>WM+ GLI Tổ Dân Phố 2, Ia Ly</t>
  </si>
  <si>
    <t>Thửa đất số 261, tờ bản đồ số 67,Tổ Dân Phố 2, Xã Ia Ly, T. Gia Lai Việt Nam</t>
  </si>
  <si>
    <t>WM+ GLI Tùng Giản, Tuy Phước Đông</t>
  </si>
  <si>
    <t>Thửa 81-82, TBĐ 45, Thôn Tùng Giản, X. Tuy Phước Đông, T. Gia Lai Việt Nam</t>
  </si>
  <si>
    <t>WM+ GLI Hiệp Hội, Vân Canh</t>
  </si>
  <si>
    <t>Thửa đất số 128, TBĐ số 15, Đường Quốc Lộ 19C, Xã Vân Canh, T. Gia Lai Việt Nam</t>
  </si>
  <si>
    <t>WM+ GLI Thôn Hợp Hòa, Ia Drang</t>
  </si>
  <si>
    <t>Thửa đất số 130, tờ bản dồ số 79, Thôn Hợp Hòa, Xã Chư Prông T. Gia Lai Việt Nam</t>
  </si>
  <si>
    <t>WM+ GLI Thắng Kiên, Đề Gi</t>
  </si>
  <si>
    <t>Thửa đất số 583, TBĐ số 06, Thôn Thắng Kiên, Xã Đề Gi, T. Gia Lai Việt Nam</t>
  </si>
  <si>
    <t>WM+ DNG 301 Trần Cao Vân</t>
  </si>
  <si>
    <t>301 Trần Cao Vân, P. Thanh Khê, TP. Đà Nẵng Việt Nam</t>
  </si>
  <si>
    <t>WM+ GLI Trường Chinh, Xã Gào</t>
  </si>
  <si>
    <t>Thửa đất số 59, tờ bản đồ số 7, Đường Trường Chinh, Xã Gào, T. Gia Lai Việt Nam</t>
  </si>
  <si>
    <t>WM+ GLI Hùng Vương, Phú Túc</t>
  </si>
  <si>
    <t>Thửa đất số 368-500, tờ bản đồ số 25A, Đường Hùng Vương, Tổ Dân Phố 4, Xã Phú Túc, T. Gia Lai Việt Nam</t>
  </si>
  <si>
    <t>WM+ TTH 24 Đặng Tất</t>
  </si>
  <si>
    <t>Thửa đất số 502, Tờ bản đồ số 8, P. Hương An, TP. Huế Việt Nam</t>
  </si>
  <si>
    <t>WM+ GLI 62 Nguyễn Văn Cừ</t>
  </si>
  <si>
    <t>62 Nguyễn Văn Cừ, Phường Diên Hồng, T. Gia Lai Việt Nam</t>
  </si>
  <si>
    <t>WM+ GLI 100 Nguyễn Viết Xuân</t>
  </si>
  <si>
    <t>100 Nguyễn Viết Xuân, Phường Hội Phú T. Gia Lai Việt Nam</t>
  </si>
  <si>
    <t>WM+ TTH 297 Điện Biên Phủ</t>
  </si>
  <si>
    <t>297 Điện Biên Phủ, Phường Thuận Hóa TP. Huế Việt Nam</t>
  </si>
  <si>
    <t>WM+ KHA 45 Nguyễn Chích</t>
  </si>
  <si>
    <t>45 Nguyễn Chích, Phường Bắc Nha Trang, T. Khánh Hòa Việt Nam</t>
  </si>
  <si>
    <t>WM+ GLI 108 Lê Thánh Tôn</t>
  </si>
  <si>
    <t>108 Lê Thánh Tôn, Phường Diên Hồng, T. Gia Lai Việt Nam</t>
  </si>
  <si>
    <t>WM+ GLI 59 Nguyễn Viết Xuân</t>
  </si>
  <si>
    <t>59 Nguyễn Viết Xuân, Phường Hội Phú, T. Gia Lai Việt Nam</t>
  </si>
  <si>
    <t>WM+ GLI 45 Lê Lợi</t>
  </si>
  <si>
    <t>45 Lê Lợi, Phường Pleiku, T. Gia Lai Việt Nam</t>
  </si>
  <si>
    <t>WM+ GLI Thôn Mook Đen 2, Ia Dom</t>
  </si>
  <si>
    <t>Thửa đất số 121, Tờ bản đồ số 105, Thôn Mook Đen 2, T. Gia Lai Việt Nam</t>
  </si>
  <si>
    <t>WM+ DNG 200 Tôn Đản</t>
  </si>
  <si>
    <t>200 Tôn Đản, P. An Khê, TP. Đà Nẵng Việt Nam</t>
  </si>
  <si>
    <t>WM+ DNG Thôn Hà Bình, Thăng An</t>
  </si>
  <si>
    <t>Thửa đất số 428, Tờ bản đồ số 10, Thôn Hà Bình, Xã Thăng An, TP. Đà Nẵng Việt Nam</t>
  </si>
  <si>
    <t>WM+ KHA 28 Bắc Sơn, Bắc Nha Trang</t>
  </si>
  <si>
    <t>28 Bắc Sơn, Phường Bắc Nha Trang, T. Khánh Hòa Việt Nam</t>
  </si>
  <si>
    <t>WM+ GLI 31 - 33 Hồng Lĩnh</t>
  </si>
  <si>
    <t>Thửa đất số 133 &amp; 155, Tờ bản đồ số 9, Phường An Nhơn, T. Gia Lai Việt Nam</t>
  </si>
  <si>
    <t>WM+ DNG 131 Lê Văn Hiến</t>
  </si>
  <si>
    <t>131 Lê Văn Hiến, Phường Bắc Mỹ An, Quận Ngũ Hành Sơn, TP. Đà Nẵng Việt Nam</t>
  </si>
  <si>
    <t>WM+ DNG 80 Ngũ Hành Sơn</t>
  </si>
  <si>
    <t>80 đường Ngũ Hành Sơn, Phường Mỹ An, Quận Ngũ Hành Sơn, TP. Đà Nẵng Việt Nam</t>
  </si>
  <si>
    <t>WM+ DNG 488 Tôn Đức Thắng</t>
  </si>
  <si>
    <t>488 Tôn Đức Thắng, Phường Hòa Khánh Nam, Quận Liên Chiểu, TP. Đà Nẵng Việt Nam</t>
  </si>
  <si>
    <t>WM+ DNG Sun Home 3</t>
  </si>
  <si>
    <t>Khu TM tầng 1,Block 3, Sun Home 3, , khu dân cư An Hòa, Phường Nại Hiên Đôn Quận Sơn Trà, TP. Đà Nẵng Việt Nam</t>
  </si>
  <si>
    <t>WM+ KHA 53 Vân Đồn</t>
  </si>
  <si>
    <t>53 Vân Đồn,Phường Phước Hòa, Thành phố Nha Trang, T. Khánh Hòa Việt Nam</t>
  </si>
  <si>
    <t>WM+ KHA 48 Đặng Tất</t>
  </si>
  <si>
    <t>48 Đặng Tất, Vĩnh Hải, Thành phố Nha Trang, T. Khánh Hòa Việt Nam</t>
  </si>
  <si>
    <t>WM+ DNG 757 Trần Cao Vân</t>
  </si>
  <si>
    <t>757 Trần Cao Vân, P. Thanh Khê Đông, Quận Thanh Khê, TP. Đà Nẵng Việt Nam</t>
  </si>
  <si>
    <t>WIN DNG 263 Ông Ích Đường</t>
  </si>
  <si>
    <t>263 Ông Ích Đường, tổ 50 Phường Khuê Trung, Quận Cẩm Lệ, TP. Đà Nẵng Việt Nam</t>
  </si>
  <si>
    <t>WIN DNG 86 Nguyễn Thị Định</t>
  </si>
  <si>
    <t>Lô 25-E1 Đường Nguyễn Thị Định, Phường An Hải Bắc, Quận Sơn Trà, TP. Đà Nẵng Việt Nam</t>
  </si>
  <si>
    <t>WM+ KHA 124B Chung cư CT1</t>
  </si>
  <si>
    <t>124.B.Chung cư CT1 - Khu đô thị VCN, Phước Hải, Thành phố Nha Trang, T. Khánh Hòa Việt Nam</t>
  </si>
  <si>
    <t>WM+ DNG 126 Văn Tiến Dũng</t>
  </si>
  <si>
    <t>126 Văn Tiến Dũng, tổ dân phố 53, Phường Hòa Xuân, Quận Cẩm Lệ, TP. Đà Nẵng Việt Nam</t>
  </si>
  <si>
    <t>WIN DNG 904 Tôn Đức Thắng</t>
  </si>
  <si>
    <t>904 Tôn Đức Thắng, tổ 47, Phường Hòa Khánh Bắc, Quận Liên Chiểu, TP. Đà Nẵng Việt Nam</t>
  </si>
  <si>
    <t>WIN DNG 228 Kinh Dương Vương</t>
  </si>
  <si>
    <t>228 Đường Kinh Dương Vương, Phường Hòa Minh, Quận Liên Chiểu, TP. Đà Nẵng Việt Nam</t>
  </si>
  <si>
    <t>WM+ DNG 41 Hải Hồ</t>
  </si>
  <si>
    <t>41 Hải Hồ, Phường Thanh Bình, Quận Hải Châu, TP. Đà Nẵng Việt Nam</t>
  </si>
  <si>
    <t>WM+ DNG 56 Doản Uẩn</t>
  </si>
  <si>
    <t>56 Doản Uẩn, tổ 8, P. Khuê Mỹ, Quận Ngũ Hành Sơn, TP. Đà Nẵng Việt Nam</t>
  </si>
  <si>
    <t>WM+ KHA 174 Điện Biên Phủ</t>
  </si>
  <si>
    <t>174 Điện Biên Phủ, Phường Vĩnh Hòa, Thành phố Nha Trang, T. Khánh Hòa Việt Nam</t>
  </si>
  <si>
    <t>WM+ KHA 184 Dã Tượng</t>
  </si>
  <si>
    <t>184 Dã Tượng, Phường Vĩnh Nguyên, Thành phố Nha Trang, T. Khánh Hòa Việt Nam</t>
  </si>
  <si>
    <t>WM+ DNG 121 Cù Chính Lan</t>
  </si>
  <si>
    <t>121 Cù Chính Lan, Phường Hòa Khê, Quận Thanh Khê, TP. Đà Nẵng Việt Nam</t>
  </si>
  <si>
    <t>WM+ DNG 248 Đống Đa</t>
  </si>
  <si>
    <t>248 Đống Đa, Phường Thuận Phước, Quận Hải Châu, TP. Đà Nẵng Việt Nam</t>
  </si>
  <si>
    <t>WIN DNG 131-133 Lý Thái Tông</t>
  </si>
  <si>
    <t>131-133 Lý Thái Tông, Phường Hòa Minh, Quận Liên Chiểu, TP. Đà Nẵng Việt Nam</t>
  </si>
  <si>
    <t>WM+ DNG 45 Nguyễn Đình Tứ</t>
  </si>
  <si>
    <t>45 Nguyễn Đình Tứ, Phường Hòa An, Quận Cẩm Lệ, TP. Đà Nẵng Việt Nam</t>
  </si>
  <si>
    <t>WIN DNG 180 Phạm Cự Lượng</t>
  </si>
  <si>
    <t>180 Phạm Cự Lượng, Phường An Hải Đông, Quận Sơn Trà, TP. Đà Nẵng Việt Nam</t>
  </si>
  <si>
    <t>WM+ DNG 47 Nguyễn Phong Sắc</t>
  </si>
  <si>
    <t>47 Nguyễn Phong Sắc, Phường Khuê Trung, Quận Cẩm Lệ, TP. Đà Nẵng Việt Nam</t>
  </si>
  <si>
    <t>WM+ KHA 513 Đường 2/4</t>
  </si>
  <si>
    <t>513 Đường 2/4, Phường Vĩnh Phước, Thành phố Nha Trang, T. Khánh Hòa Việt Nam</t>
  </si>
  <si>
    <t>WIN DNG 445 Trưng Nữ Vương</t>
  </si>
  <si>
    <t>445 Trưng Nữ Vương, Phường Hòa Thuận Tây, Quận Hải Châu, TP. Đà Nẵng Việt Nam</t>
  </si>
  <si>
    <t>WM+ DNG 357 Ông Ích Khiêm</t>
  </si>
  <si>
    <t>357 Ông Ích Khiêm, Phường Hải Châu 2, Quận Hải Châu, TP. Đà Nẵng Việt Nam</t>
  </si>
  <si>
    <t>WM+ DNG 47 Châu Thượng Văn</t>
  </si>
  <si>
    <t>47 Đường Châu Thượng Văn, Phường Hòa Cường Bắc, Quận Hải Châu, TP. Đà Nẵng Việt Nam</t>
  </si>
  <si>
    <t>WIN DNG 103 Nguyễn Huy Tưởng</t>
  </si>
  <si>
    <t>103 Nguyễn Huy Tưởng, Phường Hòa Minh, Quận Liên Chiểu, TP. Đà Nẵng Việt Nam</t>
  </si>
  <si>
    <t>WIN DNG 148 Dương Vân Nga</t>
  </si>
  <si>
    <t>148 Dương Vân Nga, Phường Nại Hiên Đông, Quận Sơn Trà, TP. Đà Nẵng Việt Nam</t>
  </si>
  <si>
    <t>WM+ DNG 92 Nguyễn Bảo</t>
  </si>
  <si>
    <t>Lô D5-30 Khu Dân Cư Nam Cầu Cẩm Lệ, Xã Hòa Châu, Huyện Hòa Vang, TP. Đà Nẵng Việt Nam</t>
  </si>
  <si>
    <t>WIN DNG 76B-76C Bà Huyện Thanh Quan</t>
  </si>
  <si>
    <t>76B-76C Đường Bà Huyện Thanh Quan, Phường Mỹ An, Quận Ngũ Hành Sơn, TP. Đà Nẵng Việt Nam</t>
  </si>
  <si>
    <t>WM+ DNG 324 Ngũ Hành Sơn</t>
  </si>
  <si>
    <t>324 Ngũ Hành Sơn, Phường Mỹ An, Quận Ngũ Hành Sơn, TP. Đà Nẵng Việt Nam</t>
  </si>
  <si>
    <t>WM+ DNG 131 Phạm Huy Thông</t>
  </si>
  <si>
    <t>Lô 131 Khu C1, KDC Làng Cá Nại Hiên Đông, Phường Nại Hiên Đông, Quận Sơn Trà, TP. Đà Nẵng Việt Nam</t>
  </si>
  <si>
    <t>WM+ KHA Lô 232 Khu A - Đông Nam</t>
  </si>
  <si>
    <t>Lô 232 Khu A, Đông Nam, Tổ 3, Phường Vĩnh Hải, Thành phố Nha Trang, T. Khánh Hòa Việt Nam</t>
  </si>
  <si>
    <t>WIN DNG 522 Núi Thành</t>
  </si>
  <si>
    <t>522 Núi Thành, Phường Hòa Cường Nam, Quận Hải Châu, TP. Đà Nẵng Việt Nam</t>
  </si>
  <si>
    <t>WM+ DNG Số 88 - 90 Huyền Trân Công</t>
  </si>
  <si>
    <t>Số 88 - 90 Huyền Trân Công Chúa, Phường Hòa Hải, Quận Ngũ Hành Sơn, TP. Đà Nẵng Việt Nam</t>
  </si>
  <si>
    <t>WM+ DNG 237 Lê Tấn Trung</t>
  </si>
  <si>
    <t>237 Lê Tấn Trung, KDC Phía Nam Bá Phiến, Phường Thọ Quang, Quận Sơn Trà, TP. Đà Nẵng Việt Nam</t>
  </si>
  <si>
    <t>WIN DNG 31 Thành Thái</t>
  </si>
  <si>
    <t>31 Thành Thái, Phường Khuê Trung, Quận Cẩm Lệ, TP. Đà Nẵng Việt Nam</t>
  </si>
  <si>
    <t>WM+ DNG 36 Trần Quý Hai</t>
  </si>
  <si>
    <t>36 Trần Quý Hai, Phường Hòa Thọ Đông, Quận Cẩm Lệ, TP. Đà Nẵng Việt Nam</t>
  </si>
  <si>
    <t>WIN DNG 125 Ông Ích Đường</t>
  </si>
  <si>
    <t>125 Ông Ích Đường, Tổ 15, Phường Khuê Trung, Quận Cẩm Lệ, TP. Đà Nẵng Việt Nam</t>
  </si>
  <si>
    <t>WM+ KHA 8 Nguyễn Xiển</t>
  </si>
  <si>
    <t>8 Nguyễn Xiển, Tổ 23 Tây Bắc, Phường Vĩnh Hải, Thành phố Nha Trang, T. Khánh Hòa Việt Nam</t>
  </si>
  <si>
    <t>WM+ DNG 274 Nguyễn Phước Nguyên</t>
  </si>
  <si>
    <t>274 Nguyễn Phước Nguyên, Tổ 49, Phường An Khê, Quận Thanh Khê, TP. Đà Nẵng Việt Nam</t>
  </si>
  <si>
    <t>WM+ DNG 135B Nguyễn Công Trứ</t>
  </si>
  <si>
    <t>135B Nguyễn Công Trứ, Phường An Hải Bắc, Quận Sơn Trà, TP. Đà Nẵng Việt Nam</t>
  </si>
  <si>
    <t>WM+ DNG 183 Hàn Thuyên</t>
  </si>
  <si>
    <t>Lô 6B1-34 KDC Số 4 Nguyễn Tri Phương, Phường Hòa Cường Bắc, Quận Hải Châu, TP. Đà Nẵng Việt Nam</t>
  </si>
  <si>
    <t>WIN DNG 234 Lê Văn Hiến</t>
  </si>
  <si>
    <t>234 Lê Văn Hiến, Phường Khuê Mỹ, Quận Ngũ Hành Sơn, TP. Đà Nẵng Việt Nam</t>
  </si>
  <si>
    <t>WIN DNG 110 Tiểu La</t>
  </si>
  <si>
    <t>110 Tiểu La, Phường Hòa Thuận Tây, Quận Hải Châu, TP. Đà Nẵng Việt Nam</t>
  </si>
  <si>
    <t>WM+ DNG 40 Trần Quang Diệu</t>
  </si>
  <si>
    <t>40 Trần Quang Diệu, Phường An Hải Đông, Quận Sơn Trà, TP. Đà Nẵng Việt Nam</t>
  </si>
  <si>
    <t>WM+ DNG 52 Ngô Thì Nhậm</t>
  </si>
  <si>
    <t>52 Ngô Thì Nhậm, Phường Hòa Khánh Nam, Quận Liên Chiểu, TP. Đà Nẵng Việt Nam</t>
  </si>
  <si>
    <t>WM+ DNG 563 Ngô Quyền</t>
  </si>
  <si>
    <t>563 Ngô Quyền, Phường An Hải Bắc, Quận Sơn Trà, TP. Đà Nẵng Việt Nam</t>
  </si>
  <si>
    <t>WM+ DNG Lô 44 B2.2 Trần Bạch Đằng</t>
  </si>
  <si>
    <t>Lô 44 B2.2 Trần Bạch Đằng, Phường Mỹ An, Quận Ngũ Hành Sơn, TP. Đà Nẵng Việt Nam</t>
  </si>
  <si>
    <t>WM+ DNG 61 Phạm Văn Nghị</t>
  </si>
  <si>
    <t>61 Phạm Văn Nghị, Phường Thạc Gián, Quận Thanh Khê, TP. Đà Nẵng Việt Nam</t>
  </si>
  <si>
    <t>WIN DNG KDC Nam Sân Bay</t>
  </si>
  <si>
    <t>KDC Nam Sân Bay, Phường Hòa Phát, Quận Cẩm Lệ, TP. Đà Nẵng Việt Nam</t>
  </si>
  <si>
    <t>WM+ DNG 119 Huỳnh Ngọc Huệ, Tổ 15</t>
  </si>
  <si>
    <t>119 Huỳnh Ngọc Huệ, tổ 15, Phường Hòa Khuê, Quận Thanh Khê, TP. Đà Nẵng Việt Nam</t>
  </si>
  <si>
    <t>WM+ DNG 148 Ông Ích Khiêm</t>
  </si>
  <si>
    <t>148 Ông Ích Khiêm, Phường Tam Thuận, Quận Thanh Khê, TP. Đà Nẵng Việt Nam</t>
  </si>
  <si>
    <t>WM+ KHA BT01-18- KĐT Phước Long</t>
  </si>
  <si>
    <t>BT01-18- KĐT Phước Long- P. Phước Long, Thành phố Nha Trang, T. Khánh Hòa Việt Nam</t>
  </si>
  <si>
    <t>WM+ DNG 154 Lê Đình Lý</t>
  </si>
  <si>
    <t>154 Lê Đình Lý, P. Vĩnh Trung, Quận Thanh Khê, TP. Đà Nẵng Việt Nam</t>
  </si>
  <si>
    <t>WM+ DNG 183 Tô Hiệu</t>
  </si>
  <si>
    <t>183 Tô Hiệu, P. Hòa Minh, Quận Liên Chiểu, TP. Đà Nẵng Việt Nam</t>
  </si>
  <si>
    <t>WM+ DNG 164 Kỳ Đồng</t>
  </si>
  <si>
    <t>164 Kỳ Đồng, tổ 27, Phường Thanh Khê Đông, Quận Thanh Khê, TP. Đà Nẵng Việt Nam</t>
  </si>
  <si>
    <t>WM+ KHA 69 Trường Sa</t>
  </si>
  <si>
    <t>69 Trường Sa, Phường Phước Long, Thành phố Nha Trang, T. Khánh Hòa Việt Nam</t>
  </si>
  <si>
    <t>WM+ DNG 74 Đường Hàm Nghi</t>
  </si>
  <si>
    <t>74 Đường Hàm Nghi, Phường Thạc Gián, Quận Thanh Khê, TP. Đà Nẵng Việt Nam</t>
  </si>
  <si>
    <t>WM+ DNG 119 Phạm Như Xương</t>
  </si>
  <si>
    <t>119 Phạm Như Xương, P. Hòa Khành Nam, Quận Liên Chiểu, TP. Đà Nẵng Việt Nam</t>
  </si>
  <si>
    <t>WM+ DNG 30 Đô Đốc Bảo, Tổ 60</t>
  </si>
  <si>
    <t>30 Đường Đô Đốc Bảo, Tổ 60, Phường Hòa Xuân, Quận Cẩm Lệ, TP. Đà Nẵng Việt Nam</t>
  </si>
  <si>
    <t>WM+ DNG 02 Đống Đa</t>
  </si>
  <si>
    <t>02 Đống Đa, P. Thuận Phước, Quận Hải Châu, TP. Đà Nẵng Việt Nam</t>
  </si>
  <si>
    <t>WM+ DNG K48/104 Lê Đình Dương</t>
  </si>
  <si>
    <t>K48/104 Lê Đình Dương, P. Phước Ninh, Quận Hải Châu, TP. Đà Nẵng Việt Nam</t>
  </si>
  <si>
    <t>WM+ DNG 17 Yên Thế</t>
  </si>
  <si>
    <t>17 Yên Thế, tổ 18, Phường Hòa An, Quận Cẩm Lệ, TP. Đà Nẵng Việt Nam</t>
  </si>
  <si>
    <t>WM+ DNG LÔ 9 C15 Lý Nhật Quang</t>
  </si>
  <si>
    <t>Lô 9 C15, đường Lý Nhật Quang, P. Nại Hiên Đông, Quận Sơn Trà, TP. Đà Nẵng Việt Nam</t>
  </si>
  <si>
    <t>WM+ KHA 21 Nguyễn Đức Cảnh</t>
  </si>
  <si>
    <t>21 Nguyễn Đức Cảnh, P. Phước Long, Thành phố Nha Trang, T. Khánh Hòa Việt Nam</t>
  </si>
  <si>
    <t>WM+ DNG 119 Phạm Tứ (Lô 08-D18)</t>
  </si>
  <si>
    <t>119 Phạm Tứ (Lô 08-D18), tổ 4, Phường Khuê Trung, Quận Cẩm Lệ, TP. Đà Nẵng Việt Nam</t>
  </si>
  <si>
    <t>WM+ DNG 429-431 Hà Huy Tập</t>
  </si>
  <si>
    <t>429-431 Hà Huy Tập, Phường An Khê, Quận Thanh Khê, TP. Đà Nẵng Việt Nam</t>
  </si>
  <si>
    <t>WIN DNG 290 Mai Đăng Chơn</t>
  </si>
  <si>
    <t>290 Mai Đăng Chơn, Phường Hòa Quý, Quận Ngũ Hành Sơn, TP. Đà Nẵng Việt Nam</t>
  </si>
  <si>
    <t>WM+ DNG 43 Hồ Quý Ly</t>
  </si>
  <si>
    <t>43 Hồ Quý Ly, Phường Thanh Khê Tây, Quận Thanh Khê, TP. Đà Nẵng Việt Nam</t>
  </si>
  <si>
    <t>WM+ DNG 376-378 Kinh Dương Vương</t>
  </si>
  <si>
    <t>376-378 Kinh Dương Vương, Lô 27-28-F1.11, khu TĐC Hòa Minh 3, P. Hòa Minh, Quận Liên Chiểu, TP. Đà Nẵng Việt Nam</t>
  </si>
  <si>
    <t>WM+ DNG 217 Nguyễn Duy Trinh</t>
  </si>
  <si>
    <t>217 Nguyễn Duy Trinh, Phường Hòa Hải, Quận Ngũ Hành Sơn, TP. Đà Nẵng Việt Nam</t>
  </si>
  <si>
    <t>WM+ DNG 220 Thanh Thủy</t>
  </si>
  <si>
    <t>220 Thanh Thủy, Phường Thanh Bình, Quận Hải Châu, TP. Đà Nẵng Việt Nam</t>
  </si>
  <si>
    <t>WM+ DNG 351-351A Tôn Đản, Tổ 16</t>
  </si>
  <si>
    <t>351-351A Tôn Đản, Tổ 16, Phường Hòa An, Quận Cẩm Lệ, TP. Đà Nẵng Việt Nam</t>
  </si>
  <si>
    <t>WM+ DNG 253 Huỳnh Ngọc Huệ</t>
  </si>
  <si>
    <t>Lô 01B2-12 KDC Sư Đoàn 372, P. Hòa Khê, Quận Thanh Khê, TP. Đà Nẵng Việt Nam</t>
  </si>
  <si>
    <t>WM+ DNG 36 Tây Sơn</t>
  </si>
  <si>
    <t>36 Tây Sơn, Phường Hòa Hải, Quận Ngũ Hành Sơn, TP. Đà Nẵng Việt Nam</t>
  </si>
  <si>
    <t>WM+ DNG 103 Tô Hiệu</t>
  </si>
  <si>
    <t>103 Tô Hiệu, Phường Hòa Minh, Quận Liên Chiểu, TP. Đà Nẵng Việt Nam</t>
  </si>
  <si>
    <t>WM+ DNG 89 Đồng Kè</t>
  </si>
  <si>
    <t>89 Đồng Kè, Phường Hòa Khánh Bắc, Quận Liên Chiểu, TP. Đà Nẵng Việt Nam</t>
  </si>
  <si>
    <t>WM+ DNG 140 Lý Thái Tổ</t>
  </si>
  <si>
    <t>140 Lý Thái Tổ, Phường Thạc Gián, Quận Thanh Khê, TP. Đà Nẵng Việt Nam</t>
  </si>
  <si>
    <t>WM+ DNG 69 Nguyễn Hoàng</t>
  </si>
  <si>
    <t>69 Nguyễn Hoàng, Phường Hải Châu 2, Quận Hải Châu, TP. Đà Nẵng Việt Nam</t>
  </si>
  <si>
    <t>WM+ DNG 2 Đinh Công Trứ</t>
  </si>
  <si>
    <t>2 Đinh Công Trứ, Phường Thọ Quang, Quận Sơn Trà, TP. Đà Nẵng Việt Nam</t>
  </si>
  <si>
    <t>WM+ DNG 278 Nguyễn Công Trứ</t>
  </si>
  <si>
    <t>278 Nguyễn Công Trứ, Phường Phước Mỹ, Quận Sơn Trà, TP. Đà Nẵng Việt Nam</t>
  </si>
  <si>
    <t>WM+ DNG 133 Đỗ Bá</t>
  </si>
  <si>
    <t>133 Đỗ Bá, Phường Mỹ An, Quận Ngũ Hành Sơn, TP. Đà Nẵng Việt Nam</t>
  </si>
  <si>
    <t>WM+ TTH 89 Trường Chinh</t>
  </si>
  <si>
    <t>89 Trường Chinh, Phường Xuân Phú, Thành phố Huế, T. Thừa Thiên - Huế Việt Nam</t>
  </si>
  <si>
    <t>WM+ TTH 50 Phan Bội Châu</t>
  </si>
  <si>
    <t>50 Phan Bội Châu, Phường Vĩnh Ninh, Thành phố Huế, T. Thừa Thiên - Huế Việt Nam</t>
  </si>
  <si>
    <t>WM+ DNG 31 Nguyễn Đình Trọng</t>
  </si>
  <si>
    <t>31 Nguyễn Đình Trọng, Phường Hòa Khánh Nam, Quận Liên Chiểu, TP. Đà Nẵng Việt Nam</t>
  </si>
  <si>
    <t>WM+ TTH 156 Nguyễn Trãi</t>
  </si>
  <si>
    <t>156 Nguyễn Trãi, Phường Tây Lộc, Thành phố Huế, T. Thừa Thiên - Huế Việt Nam</t>
  </si>
  <si>
    <t>WM+ KHA 128A Bạch Đằng</t>
  </si>
  <si>
    <t>128A Bạch Đằng, P. Tân Lập, Thành phố Nha Trang, T. Khánh Hòa Việt Nam</t>
  </si>
  <si>
    <t>WM+ DLK 277 Phan Bội Châu</t>
  </si>
  <si>
    <t>277 Phan Bội Châu, Phường Tân Tiến, Thành phố Buôn Ma Thuột, T. Đắk Lắk Việt Nam</t>
  </si>
  <si>
    <t>WM+ DNG 28 Phan Châu Trinh</t>
  </si>
  <si>
    <t>28 Phan Châu Trinh, Phường Hải Châu 1, Quận Hải Châu, TP. Đà Nẵng Việt Nam</t>
  </si>
  <si>
    <t>WM+ DLK 152 Phạm Văn Đồng</t>
  </si>
  <si>
    <t>152 Phạm Văn Đồng, Phường Tân Hòa, Thành phố Buôn Ma Thuột, T. Đắk Lắk Việt Nam</t>
  </si>
  <si>
    <t>WM+ DLK 257-259 Lê Thánh Tông</t>
  </si>
  <si>
    <t>257-259 Lê Thánh Tông, Phường Tân Lợi, Thành phố Buôn Ma Thuột, T. Đắk Lắk Việt Nam</t>
  </si>
  <si>
    <t>WM+ DLK 44 Nguyễn Đình Chiểu</t>
  </si>
  <si>
    <t>Số nhà 44 Nguyễn Đình Chiểu, Phường Tân Lợi, Thành phố Buôn Ma Thuột, T. Đắk Lắk Việt Nam</t>
  </si>
  <si>
    <t>WM+ DLK 47 Nguyễn Viết Xuân</t>
  </si>
  <si>
    <t>47 Nguyễn Viết Xuân, Phường Tân Thành, Thành phố Buôn Ma Thuột, T. Đắk Lắk Việt Nam</t>
  </si>
  <si>
    <t>WM+ DNG 46 Lê Văn Thứ</t>
  </si>
  <si>
    <t>46 Lê Văn Thứ, Phường Mân Thái, Quận Sơn Trà, TP. Đà Nẵng Việt Nam</t>
  </si>
  <si>
    <t>WM+ DLK 211 Mai Hắc Đế</t>
  </si>
  <si>
    <t>211 Mai Hắc Đế, Phường Tân Thành, Thành phố Buôn Ma Thuột, T. Đắk Lắk Việt Nam</t>
  </si>
  <si>
    <t>WM+ DNG 64 Tô Hiến Thành</t>
  </si>
  <si>
    <t>64 Tô Hiến Thành, Phường Phước, Mỹ, Quận Sơn Trà, TP. Đà Nẵng Việt Nam</t>
  </si>
  <si>
    <t>WM+ DNG 92 Mai Thúc Lân</t>
  </si>
  <si>
    <t>K116/92 Nguyễn Văn Thoại, Phường Mỹ An, Quận Ngũ Hành Sơn, TP. Đà Nẵng Việt Nam</t>
  </si>
  <si>
    <t>WM+ DNG 5 Phan Khoang</t>
  </si>
  <si>
    <t>5 Phan Khoang, Phường Hòa An, Quận Cẩm Lệ, TP. Đà Nẵng Việt Nam</t>
  </si>
  <si>
    <t>WM+ DNG 588 Phạm Hùng</t>
  </si>
  <si>
    <t>588 Phạm Hùng, xã Hòa Phước, Huyện Hòa Vang, TP. Đà Nẵng Việt Nam</t>
  </si>
  <si>
    <t>WM+ TTH 175 Phan Bội Châu</t>
  </si>
  <si>
    <t>175 Phan Bội Châu, Phường Trường An, Thành phố Huế, T. Thừa Thiên - Huế Việt Nam</t>
  </si>
  <si>
    <t>WM+ DNG 55 – 57 Mẹ Suốt</t>
  </si>
  <si>
    <t>55 - 57 Mẹ Suốt, P. Hòa Khánh Nam, Q. Liên Chiểu, TP. Đà Nẵng Việt Nam</t>
  </si>
  <si>
    <t>WM+ TTH 97 Trần Phú</t>
  </si>
  <si>
    <t>97 Trần Phú, Phước Vĩnh, Thành phố Huế, T. Thừa Thiên - Huế Việt Nam</t>
  </si>
  <si>
    <t>WM+ GLI 306 CMT8</t>
  </si>
  <si>
    <t>306 Cách Mạng Tháng Tám, P. Hoa Lư, TP. Pleiku, T. Gia Lai Việt Nam</t>
  </si>
  <si>
    <t>WM+ GLI 105-107 Thống Nhất</t>
  </si>
  <si>
    <t>105 - 107 Thống Nhất, P. Ia Kring, TP Pleiku, T. Gia Lai Việt Nam</t>
  </si>
  <si>
    <t>WM+ GLI 339 Trường Chinh</t>
  </si>
  <si>
    <t>339 Trường Chinh, P. Trà Bá, TP Pleiku, T. Gia Lai Việt Nam</t>
  </si>
  <si>
    <t>WM+ GLI 32 Lê Duẩn</t>
  </si>
  <si>
    <t>32 Lê Duẩn, P. Trà Bá, TP Pleiku, T. Gia Lai Việt Nam</t>
  </si>
  <si>
    <t>WM+ GLI 115 Cách Mạng Tháng 8</t>
  </si>
  <si>
    <t>115 Cách Mạng Tháng 8, P Hoa Lư, TP Pleiku, T. Gia Lai Việt Nam</t>
  </si>
  <si>
    <t>WM+ GLI 27-29 Nguyễn Văn Trỗi</t>
  </si>
  <si>
    <t>27-29 Nguyễn Văn Trỗi, Phường Hội Thương, TP Pleiku, T. Gia Lai Việt Nam</t>
  </si>
  <si>
    <t>WM+ DNG 28 Lê Tấn Trung</t>
  </si>
  <si>
    <t>28 Lê Tấn Trung, Phường Thọ Quang, Quận Sơn Trà, TP. Đà Nẵng Việt Nam</t>
  </si>
  <si>
    <t>WM+ QTI 158 Lê Lợi</t>
  </si>
  <si>
    <t>158 Lê Lợi, Thành phố Đông Hà, T. Quảng Trị Việt Nam</t>
  </si>
  <si>
    <t>WM+ QTI 52 Tôn Thất Thuyết</t>
  </si>
  <si>
    <t>52 Tôn Thất Thuyết, Phường 5, Thành phố Đông Hà, T. Quảng Trị Việt Nam</t>
  </si>
  <si>
    <t>WIN DNG 84 Bùi Tá Hán</t>
  </si>
  <si>
    <t>84 Bùi Tá Hán, Phường Khuê Mỹ, Quận Ngũ Hành Sơn, TP. Đà Nẵng Việt Nam</t>
  </si>
  <si>
    <t>WM+ DNG Savico 66 Võ Văn Tần</t>
  </si>
  <si>
    <t>Savico 66 Võ Văn Tần, Phường Chính Gián, Quận Thanh Khê, TP. Đà Nẵng Việt Nam</t>
  </si>
  <si>
    <t>WM+ QTI 35 Hùng Vương</t>
  </si>
  <si>
    <t>35 Hùng Vương, Phường 1, Thành phố Đông Hà, T. Quảng Trị Việt Nam</t>
  </si>
  <si>
    <t>WM+ QTI 85 Quốc Lộ 9B</t>
  </si>
  <si>
    <t>85 Quốc Lộ 9B, Phường 5, Thành phố Đông Hà, T. Quảng Trị Việt Nam</t>
  </si>
  <si>
    <t>WM+ QTI 150 Nguyễn Du</t>
  </si>
  <si>
    <t>150 Nguyễn Du, Phường 1, Thành phố Đông Hà, T. Quảng Trị Việt Nam</t>
  </si>
  <si>
    <t>WM+ DNG 311 Bùi Tấn Diên</t>
  </si>
  <si>
    <t>311 Bùi Tấn Diên, Phường Hòa An, Quận Cẩm Lệ, TP. Đà Nẵng Việt Nam</t>
  </si>
  <si>
    <t>WM+ TTH 58 Chu Văn An</t>
  </si>
  <si>
    <t>58 Chu Văn An, Phú Hội, Thành phố Huế, T. Thừa Thiên - Huế Việt Nam</t>
  </si>
  <si>
    <t>WM+ DNG 95 Phạm Xuân Ẩn</t>
  </si>
  <si>
    <t>Thửa 104, TBĐ B1-95, Khu đô thị sinh thái ven sông, Hòa Xuân, Phường Hòa Xuân, Quận Cẩm Lệ, TP. Đà Nẵng Việt Nam</t>
  </si>
  <si>
    <t>WM+ DNG 159-161Quách Thị Trang</t>
  </si>
  <si>
    <t>159-161Quách Thị Trang, Phường Hòa Xuân, Quận Cẩm Lệ, TP. Đà Nẵng Việt Nam</t>
  </si>
  <si>
    <t>WM+ TTH 102 Điện Biên Phủ</t>
  </si>
  <si>
    <t>102 Điện Biên Phủ, Trường An, Thành phố Huế, T. Thừa Thiên - Huế Việt Nam</t>
  </si>
  <si>
    <t>WM+ DNG 96 Trịnh Đình Thảo</t>
  </si>
  <si>
    <t>96 Trịnh Đình Thảo, P. Khuê Trung, Quận Cẩm Lệ, TP. Đà Nẵng Việt Nam</t>
  </si>
  <si>
    <t>WM+ TTH 224 Đinh Tiên Hoàng</t>
  </si>
  <si>
    <t>224 Đinh Tiên Hoàng, phường Thuận Lộc, Thành phố Huế, T. Thừa Thiên - Huế Việt Nam</t>
  </si>
  <si>
    <t>WM+ TTH 43 Nguyễn Công Trứ</t>
  </si>
  <si>
    <t>43 Nguyễn Công Trứ, Phú Hội, Thành phố Huế, T. Thừa Thiên - Huế Việt Nam</t>
  </si>
  <si>
    <t>WM+ TTH Lô C4-3, KQH Xuân Phú</t>
  </si>
  <si>
    <t>Lô C4-3, KQH Xuân Phú, Phường Xuân Phú, Thành phố Huế, T. Thừa Thiên - Huế Việt Nam</t>
  </si>
  <si>
    <t>WM+ TTH 47 Hồ Đắc Di</t>
  </si>
  <si>
    <t>47 Hồ Đắc Di, An Cựu, Thành phố Huế, T. Thừa Thiên - Huế Việt Nam</t>
  </si>
  <si>
    <t>WM+ DNG 413 Trường Sơn</t>
  </si>
  <si>
    <t>413 Trường Sơn, Phường Hòa Thọ Tây, Quận Cẩm Lệ, TP. Đà Nẵng Việt Nam</t>
  </si>
  <si>
    <t>WIN DNG 51 Lê Trọng Tấn</t>
  </si>
  <si>
    <t>51 Lê Trọng Tấn, Phường Hòa Phát, Quận Cẩm Lệ, TP. Đà Nẵng Việt Nam</t>
  </si>
  <si>
    <t>WM+ DNG 84 Nguyễn Lương Bằng</t>
  </si>
  <si>
    <t>84 Nguyễn Lương Bằng, Phường Hòa Khánh Bắc, Quận Liên Chiểu, TP. Đà Nẵng Việt Nam</t>
  </si>
  <si>
    <t>WM+ QTI 25 Trần Hưng Đạo</t>
  </si>
  <si>
    <t>25 Trần Hưng Đạo, Phường 1, Thành phố Đông Hà, T. Quảng Trị Việt Nam</t>
  </si>
  <si>
    <t>WM+ QTI 51 Lê Lợi</t>
  </si>
  <si>
    <t>51 Lê Lợi, Phường 5, Thành phố Đông Hà, T. Quảng Trị Việt Nam</t>
  </si>
  <si>
    <t>WM+ DNG 02 Tôn Thất Đạm</t>
  </si>
  <si>
    <t>02 Tôn Thất Đạm, Phường Xuân Hà, Quận Thanh Khê, TP. Đà Nẵng Việt Nam</t>
  </si>
  <si>
    <t>WM+ DLK 70 Y Wang</t>
  </si>
  <si>
    <t>70 Y Wang, Phường Ea Tam, Thành phố Buôn Ma Thuột, T. Đắk Lắk Việt Nam</t>
  </si>
  <si>
    <t>WM+ DNG 985 Ngô Quyền</t>
  </si>
  <si>
    <t>985 Ngô Quyền, P. An Hải Đông, Quận Sơn Trà, TP. Đà Nẵng Việt Nam</t>
  </si>
  <si>
    <t>WM+ TTH 26 Võ Liêm Sơn</t>
  </si>
  <si>
    <t>26 Võ Liêm Sơn, Phường Trường An, Thành phố Huế, T. Thừa Thiên - Huế Việt Nam</t>
  </si>
  <si>
    <t>WM+ DNG 91 Châu Thị Vĩnh Tế</t>
  </si>
  <si>
    <t>91 Châu Thị Vĩnh Tế, Phường Mỹ An, Quận Ngũ Hành Sơn, TP. Đà Nẵng Việt Nam</t>
  </si>
  <si>
    <t>WM+ DNG 124 Nguyễn Đức Trung</t>
  </si>
  <si>
    <t>124 Nguyễn Đức Trung, Phường Thanh Khê Đông, Quận Thanh Khê, TP. Đà Nẵng Việt Nam</t>
  </si>
  <si>
    <t>WM+ DLK 168-170 Hà Huy Tập</t>
  </si>
  <si>
    <t>168-170 Hà Huy Tập, Phường Tân Lợi, Thành phố Buôn Ma Thuột, T. Đắk Lắk Việt Nam</t>
  </si>
  <si>
    <t>WIN DNG 60 Nguyễn Chánh</t>
  </si>
  <si>
    <t>60 Nguyễn Chánh, Phường Hòa Khánh Bắc, Quận Liên Chiểu, TP. Đà Nẵng Việt Nam</t>
  </si>
  <si>
    <t>WM+ TTH 162 Bùi Thị Xuân</t>
  </si>
  <si>
    <t>162 Bùi Thị Xuân, Phường Phường Đúc, Thành phố Huế, T. Thừa Thiên - Huế Việt Nam</t>
  </si>
  <si>
    <t>WM+ DNG 124 Hoàng Hoa Thám</t>
  </si>
  <si>
    <t>124 Hoàng Hoa Thám, Phường Thạc Gián, Quận Thanh khê, TP.Đà Nẵng Việt Nam</t>
  </si>
  <si>
    <t>WM+ DNG 97 Nguyễn Phan Vinh</t>
  </si>
  <si>
    <t>97 Nguyễn Phan Vinh, Phường Thọ Quang, Quận Sơn Trà, TP. Đà Nẵng Việt Nam</t>
  </si>
  <si>
    <t>WIN DNG 135 Nguyễn Văn Thoại</t>
  </si>
  <si>
    <t>135 Nguyễn Văn Thoại, Phường An Hải Đông, Quận Sơn Trà, TP Đà Nẵng Việt Nam</t>
  </si>
  <si>
    <t>WM+ DNG 86 Cao Sơn Pháo</t>
  </si>
  <si>
    <t>86 Cao Sơn Pháo, Phường Hòa Minh, Quận Liên Chiểu, TP Đà Nẵng Việt Nam</t>
  </si>
  <si>
    <t>WM+ DNG 296 Nguyễn Hoàng</t>
  </si>
  <si>
    <t>296 Nguyễn Hoàng, P. Vĩnh Trung, Q. Thanh Khê, TP Đà Nẵng Việt Nam</t>
  </si>
  <si>
    <t>WM+ DNG Lô 160A ĐT 605, Xã Hòa Châu</t>
  </si>
  <si>
    <t>Lô 160A Khu B2-5 Khu dân cư số 1 đư xã Hòa Châu, Huyện Hòa Vang, TP. Đà Nẵng Việt Nam</t>
  </si>
  <si>
    <t>WIN DNG 438 Trần Đại Nghĩa</t>
  </si>
  <si>
    <t>Số 438 đường Trần Đại Nghĩa, tổ 63, phường Hòa Quý, quận Ngũ Hành Sơn, Đà Nẵng TP. Đà Nẵng Việt Nam</t>
  </si>
  <si>
    <t>WM+ DNG 02 Phan Xích Long</t>
  </si>
  <si>
    <t>Số 02 Phan Xích Long, p. An Khê, q. Thanh Khê, TP. Đà Nẵng Việt Nam</t>
  </si>
  <si>
    <t>WM+ DNG Thôn Miếu Bông, Xã Hòa Phướ</t>
  </si>
  <si>
    <t>Thôn Miếu Bông, Xã Hòa Phước, Huyện Hòa Vang, Thành phố Đà Nẵng TP. Đà Nẵng Việt Nam</t>
  </si>
  <si>
    <t>WM+ QNM 274 Trần Nhân Tông, Điện Bà</t>
  </si>
  <si>
    <t>274 Trần Nhân Tông, Phường Vĩnh Điện, Thị Xã Điện Bàn, T. Quảng Nam Việt Nam</t>
  </si>
  <si>
    <t>WM+ DNG 407 Âu Cơ</t>
  </si>
  <si>
    <t>Số 407 Âu Cơ, phường Hòa Khánh Bắc, quận Liên Chiểu, TP. Đà Nẵng Việt Nam</t>
  </si>
  <si>
    <t>WM+ GLI 40B Hùng Vương</t>
  </si>
  <si>
    <t>40B Hùng Vương, Phường Ia Kring, Thành Phố Pleiku, T. Gia Lai Việt Nam</t>
  </si>
  <si>
    <t>WM+ TTH 04 Nhật Lệ</t>
  </si>
  <si>
    <t>04 Nhật Lệ, Phường Thuận Thành, Thành phố Huế, T. Thừa Thiên - Huế Việt Nam</t>
  </si>
  <si>
    <t>WM+ KHA 155 đường A2 Phước Hải</t>
  </si>
  <si>
    <t>155 đường A2 Khu đô thị VCN Phước Hải, phường Phước Hải, thành phố Nha Trang, T. Khánh Hòa Việt Nam</t>
  </si>
  <si>
    <t>WM+ DNG An Ngãi Đông, Hòa Vang</t>
  </si>
  <si>
    <t>Thôn An Ngãi Đông, Xã Hòa Sơn, Huyện Hòa Vang, TP. Đà Nẵng Việt Nam</t>
  </si>
  <si>
    <t>WM+ DNG Đường DT 602, Hòa Vang</t>
  </si>
  <si>
    <t>Lô 4-5, B2 -26 Khu TĐC số 6 dọc tuyến đường DT 602, X.Hòa Sơn, H.Hòa Vang, TP. Đà Nẵng Việt Nam</t>
  </si>
  <si>
    <t>WM+ KHA XH1 Phước Long</t>
  </si>
  <si>
    <t>Căn 07E, tầng 1 CC XH1 Khu đô thị VCN Phước Long II, P.Phước Long, TP. Nha Trang, T. Khánh Hòa Việt Nam</t>
  </si>
  <si>
    <t>WM+ DNG 58 Hà Tông Quyền</t>
  </si>
  <si>
    <t>Số 58 đường Hà Tông Quyền, tổ 23, Phường Khuê Trung, Quận Cẩm Lệ, TP. Đà Nẵng Việt Nam</t>
  </si>
  <si>
    <t>WM+ GLI 04 Trường Sơn, TP Pleiku</t>
  </si>
  <si>
    <t>Số 04 Trường Sơn, Phường Yên Thế, TP. Pleiku, T. Gia Lai Việt Nam</t>
  </si>
  <si>
    <t>WM+ QTI 315 Khu phố 6, TP Đông Hà</t>
  </si>
  <si>
    <t>Số 315 Quốc Lộ 9, Khu phố 6, Phường 3, TP. Đông Hà, T. Quảng Trị Việt Nam</t>
  </si>
  <si>
    <t>WM+ DNG Túy Loan Đông 1, Hòa Vang</t>
  </si>
  <si>
    <t>Thôn Túy Loan Đông 1, Xã Hòa Phong, Huyện Hòa Vang, TP. Đà Nẵng Việt Nam</t>
  </si>
  <si>
    <t>WM+ DNG 297-299 đường 29/3</t>
  </si>
  <si>
    <t>297-299 đường 29/3, Phường Hoà Xuân, Quận Cẩm Lệ, TP. Đà Nẵng Việt Nam</t>
  </si>
  <si>
    <t>WM+ QTI 163 Trần Hưng Đạo</t>
  </si>
  <si>
    <t>Số 163 Trần Hưng Đạo, Khu Phố 2, Phường 3, Thị Xã Quảng Trị, T. Quảng Trị Việt Nam</t>
  </si>
  <si>
    <t>WIN DNG Lô B2 -11 Khu Số 4 Mở Rộng</t>
  </si>
  <si>
    <t>Lô B2 -11 Khu Số 4 Mở Rộng, KĐT Mới Nam Cầu Tuyên Sơn, P. Khuê Mỹ, Q. Ngũ Hành Sơn, TP. Đà Nẵng Việt Nam</t>
  </si>
  <si>
    <t>WM+ TTH 27 Mai Thúc Loan</t>
  </si>
  <si>
    <t>27 Mai Thúc Loan, P. Đông Ba, TP. Huế, T. Thừa Thiên Huế Việt Nam</t>
  </si>
  <si>
    <t>WM+ QTI 126 Lý Thường Kiệt, Đông Hà</t>
  </si>
  <si>
    <t>TĐ 22, TBĐ 23, Lý Thường Kiệt, P. Đ TP. Đông Hà, T. Quảng Trị (126 Lý Thường Kiệt) T. Quảng Trị Việt Nam</t>
  </si>
  <si>
    <t>WM+ KHA Lô 98 – 99 Ô 25 Lý Thái Tổ</t>
  </si>
  <si>
    <t>Lô 98 – 99 Ô 25 Lý Thái Tổ, KDC Đông Mương, Đường Đệ, P. Vĩnh Hòa, TP. Nha Trang, T. Khánh Hòa Việt Nam</t>
  </si>
  <si>
    <t>WIN DNG 572 Lê Văn Hiến</t>
  </si>
  <si>
    <t>572 Lê Văn Hiến, P. Hoà Hải, Q. Ngũ Hành Sơn TP. Đà Nẵng Việt Nam</t>
  </si>
  <si>
    <t>WM+ DNG 431 Nguyễn Lương Bằng</t>
  </si>
  <si>
    <t>431 Nguyễn Lương Bằng, P. Hòa Khánh Bắc, Q. Liên Chiểu, TP. Đà Nẵng Việt Nam</t>
  </si>
  <si>
    <t>WM+ DNG 356 Mai Chí Thọ</t>
  </si>
  <si>
    <t>356 Mai Chí Thọ, P. Hòa Xuân, Q. Cẩm Lệ, TP. Đà Nẵng Việt Nam</t>
  </si>
  <si>
    <t>WIN DNG 723 Nguyễn Lương Bằng</t>
  </si>
  <si>
    <t>723 Nguyễn Lương Bằng, P. Hòa Hiệp Nam, Q. Liên Chiểu, TP. Đà Nẵng Việt Nam</t>
  </si>
  <si>
    <t>WM+ GLI 230 Phan Đình Phùng</t>
  </si>
  <si>
    <t>230 Phan Đình Phùng, Phường Yên Đỗ, Thành Phố Pleiku, T. Gia Lai Việt Nam</t>
  </si>
  <si>
    <t>WIN DNG 58 Mỹ An 7</t>
  </si>
  <si>
    <t>58 Mỹ An 7, Phường Mỹ An, Quận Ngũ Hành Sơn, TP. Đà Nẵng Việt Nam</t>
  </si>
  <si>
    <t>WM+ DLK 110 Y Ngông</t>
  </si>
  <si>
    <t>110 Y Ngông, Phường Tân Tiến, Thành Phố Buôn Ma Thuột, T. Đắk Lắk Việt Nam</t>
  </si>
  <si>
    <t>WM+ KTM 625 Duy Tân</t>
  </si>
  <si>
    <t>625 Duy Tân, P. Duy Tân, TP. Kon Tum, T. Kon Tum Việt Nam</t>
  </si>
  <si>
    <t>WM+ QNM 199 Lý Thái Tổ</t>
  </si>
  <si>
    <t>199 Lý Thái Tổ, P. Điện An, Tx. Điện Bàn, T. Quảng Nam Việt Nam</t>
  </si>
  <si>
    <t>WM+ KTM 580 Trần Phú</t>
  </si>
  <si>
    <t>580 Trần Phú, Phường Quyết Thắng, Thành phố Kon Tum, T. Kon Tum Việt Nam</t>
  </si>
  <si>
    <t>WM+ KTM 209A Trần Phú</t>
  </si>
  <si>
    <t>209A Trần Phú, P. Trường Chinh, TP. Kon Tum, T. Kon Tum Việt Nam</t>
  </si>
  <si>
    <t>WM+ DNG 119 Hoàng Văn Thái</t>
  </si>
  <si>
    <t>119 Hoàng Văn Thái, P. Hòa Khánh Nam, Q. Liên Chiểu, TP. Đà Nẵng Việt Nam</t>
  </si>
  <si>
    <t>WM+ QNM 120 Trần Thủ Độ, Điện Bàn</t>
  </si>
  <si>
    <t>120 Trần Thủ Độ, P. Điện Nam Bắc, Tx. Điện Bàn, T. Quảng Nam Việt Nam</t>
  </si>
  <si>
    <t>WM+ QTI 68 Nguyễn Huệ, Đông Hà</t>
  </si>
  <si>
    <t>68 Nguyễn Huệ, P. 1, TP. Đông Hà, T. Quảng Trị Việt Nam</t>
  </si>
  <si>
    <t>WM+ DNG 143 Thái Thị Bôi</t>
  </si>
  <si>
    <t>143 Thái Thị Bôi, P. Chính Gián, Q. Thanh Khê, TP. Đà Nẵng Việt Nam</t>
  </si>
  <si>
    <t>WM+ KHA 12D Võ Thị Sáu</t>
  </si>
  <si>
    <t>12D Võ Thị Sáu, P. Phước Long, TP. Nha Trang, T. Khánh Hòa Việt Nam</t>
  </si>
  <si>
    <t>WM+ QNM 233 Tiểu La, Thăng Bình</t>
  </si>
  <si>
    <t>233 Tiểu La, Tt. Hà Lam, H. Thăng Bình, T. Quảng Nam Việt Nam</t>
  </si>
  <si>
    <t>WM+ QNM 65 Đỗ Đăng Tuyển, Đại Lộc</t>
  </si>
  <si>
    <t>65 Đỗ Đăng Tuyển, Khu Nghĩa Hiệp, Tt. Ái Nghĩa, H. Đại Lộc, T. Quảng Nam Việt Nam</t>
  </si>
  <si>
    <t>WM+ QNM 8-10 Nguyễn Văn Linh, Núi T</t>
  </si>
  <si>
    <t>8-10 Nguyễn Văn Linh, Tt. Núi Thành, H. Núi Thành, T. Quảng Nam Việt Nam</t>
  </si>
  <si>
    <t>WM+ BDH 32 Hoàng Văn Thụ, Quy Nhơn</t>
  </si>
  <si>
    <t>32 Hoàng Văn Thụ, P. Quang Trung, TP. Quy Nhơn, T. Bình Định Việt Nam</t>
  </si>
  <si>
    <t>WM+ GLI 324 Tôn Đức Thắng</t>
  </si>
  <si>
    <t>324 Tôn Đức Thắng, X. Biển Hồ, TP. Pleiku, T. Gia Lai Việt Nam</t>
  </si>
  <si>
    <t>WM+ KTM 51 Nguyễn Văn Linh</t>
  </si>
  <si>
    <t>51 Nguyễn Văn Linh, P. Lê Lợi, TP. Kon Tum, T. Kon Tum Việt Nam</t>
  </si>
  <si>
    <t>WM+ GLI 02 Nơ Trang Long</t>
  </si>
  <si>
    <t>02 Nơ Trang Long, P. Trà Bá, TP. Pleiku, T. Gia Lai Việt Nam</t>
  </si>
  <si>
    <t>WIN DNG 197 Phan Đăng Lưu</t>
  </si>
  <si>
    <t>197 Phan Đăng Lưu, P. Khuê Trung, Q. Cẩm Lệ, TP. Đà Nẵng Việt Nam</t>
  </si>
  <si>
    <t>WM+ GLI 45C Phan Đình Phùng</t>
  </si>
  <si>
    <t>45C Phan Đình Phùng, P. Tây Sơn, TP. Pleiku, T. Gia Lai Việt Nam</t>
  </si>
  <si>
    <t>WM+ DLK 72 Y Moan Êñuôl</t>
  </si>
  <si>
    <t>72 Y Moan Êñuôl, P. Tân Lợi, TP. Buôn Ma Thuột, T. Đắk Lắk Việt Nam</t>
  </si>
  <si>
    <t>WM+ DNG 40 Trần Bình Trọng</t>
  </si>
  <si>
    <t>40 Trần Bình Trọng, P. Hải Châu I, Q. Hải Châu TP. Đà Nẵng Việt Nam</t>
  </si>
  <si>
    <t>WM+ KHA 34 Hòn Chồng</t>
  </si>
  <si>
    <t>34 Hòn Chồng, P. Vĩnh Hải, TP. Nha Trang T. Khánh Hòa Việt Nam</t>
  </si>
  <si>
    <t>WM+ KTM 258 Trần Khánh Dư</t>
  </si>
  <si>
    <t>258 Trần Khánh Dư, P. Duy Tân, TP. Kon Tum T. Kon Tum Việt Nam</t>
  </si>
  <si>
    <t>WM+ DLK 32 Ama Jhao</t>
  </si>
  <si>
    <t>32 Ama Jhao, P. Tân Lập, TP. Buôn Ma Thuột T. Đắk Lắk Việt Nam</t>
  </si>
  <si>
    <t>WM+ BDH 48 Chương Dương, Quy Nhơn</t>
  </si>
  <si>
    <t>48 Chương Dương, P. Nguyễn Văn Cừ, TP. Quy Nhơn T. Bình Định Việt Nam</t>
  </si>
  <si>
    <t>WM+ KHA 166 – 168 Tôn Đức Thắng</t>
  </si>
  <si>
    <t>166 – 168 Tôn Đức Thắng, Hòn Rớ, Xã Phước Đồng, Thành Phố Nha Trang T. Khánh Hòa Việt Nam</t>
  </si>
  <si>
    <t>WM+ DNG 38 Lê Thanh Nghị</t>
  </si>
  <si>
    <t>38 Lê Thanh Nghị, P. Hòa Cường Bắc, Q. Hải Châu TP. Đà Nẵng Việt Nam</t>
  </si>
  <si>
    <t>WM+ DNG 193 Hà Huy Tập</t>
  </si>
  <si>
    <t>193 Hà Huy Tập, P. Hòa Khê, Q. Thanh Khê TP. Đà Nẵng Việt Nam</t>
  </si>
  <si>
    <t>WM+ QTI 106 QL9B, Đông Hà</t>
  </si>
  <si>
    <t>106 Quốc Lộ 9B, P. 1, TP. Đông Hà T. Quảng Trị Việt Nam</t>
  </si>
  <si>
    <t>WM+ QTI 87 Hùng Vương, Hải Lăng</t>
  </si>
  <si>
    <t>87 Hùng Vương, TT. Diên Sanh, H. Hải Lăng T. Quảng Trị Việt Nam</t>
  </si>
  <si>
    <t>WM+ QTI 321 Đường 2/4, Cam Lộ</t>
  </si>
  <si>
    <t>321 Đường 2/4, KP. 1, TT. Cam Lộ, H. Cam Lộ T. Quảng Trị Việt Nam</t>
  </si>
  <si>
    <t>WM+ QTI Quốc Lộ 9, Hướng Hoá</t>
  </si>
  <si>
    <t>Quốc Lộ 9, Thôn Tân Hữu, Xã Tân Liên, H. Hướng Hoá T. Quảng Trị Việt Nam</t>
  </si>
  <si>
    <t>WM+ QTI 101 Hai Bà Trưng, Quảng Trị</t>
  </si>
  <si>
    <t>101 Hai Bà Trưng, Khối phố 6, P. 3, Tx. Quảng Trị T. Quảng Trị Việt Nam</t>
  </si>
  <si>
    <t>WM+ QTI 08-08A Trần Hưng Đạo, Quảng</t>
  </si>
  <si>
    <t>08 - 08ATrần Hưng Đạo, Khu phố 3, P. 3, Tx. Quảng Trị T. Quảng Trị Việt Nam</t>
  </si>
  <si>
    <t>WM+ QTI 48 Trần Hưng Đạo, Đông Hà</t>
  </si>
  <si>
    <t>48 Trần Hưng Đạo, P. 1, TP. Đông Hà T. Quảng Trị Việt Nam</t>
  </si>
  <si>
    <t>WM+ DLK 45 - 47 Hùng Vương</t>
  </si>
  <si>
    <t>45 - 47 Hùng Vương, TT. Quảng Phú, H. Cư M'gar T. Đắk Lắk Việt Nam</t>
  </si>
  <si>
    <t>WM+ DNG 110 Lương Trúc Đàm</t>
  </si>
  <si>
    <t>110 Lương Trúc Đàm, P. Hòa Minh, Q. Liên Chiểu TP. Đà Nẵng Việt Nam</t>
  </si>
  <si>
    <t>WIN DNG 12A-12B Phan Tứ, Ngũ Hành S</t>
  </si>
  <si>
    <t>12A-12B Phan Tứ, Phường Mỹ An, Quận Ngũ Hành Sơn TP. Đà Nẵng Việt Nam</t>
  </si>
  <si>
    <t>WM+ KTM 112 Hoàng Thị Loan</t>
  </si>
  <si>
    <t>112 Hoàng Thị Loan, P. Quang Trung, TP. Kon Tum T. Kon Tum Việt Nam</t>
  </si>
  <si>
    <t>WM+ GLI 42 Nguyễn Huệ, Đoàn Kết</t>
  </si>
  <si>
    <t>42 Nguyễn Huệ, Phường Đoàn Kết, Thị xã Ayun Pa T. Gia Lai Việt Nam</t>
  </si>
  <si>
    <t>WM+ GLI 435 Hùng Vương, Phú Thiện</t>
  </si>
  <si>
    <t>435 Hùng Vương, Tổ dân phố 4, Thị trấn Phú Thiện, Huyện Phú Thiện T. Gia Lai Việt Nam</t>
  </si>
  <si>
    <t>WM+ QTI 49 Trần Phú, Vĩnh Linh</t>
  </si>
  <si>
    <t>Số 49 Đường Trần Phú, Thị Trấn Hồ Xá, Huyện Vĩnh Linh T. Quảng Trị Việt Nam</t>
  </si>
  <si>
    <t>WM+ DNG 63 Nguyễn Duy Hiệu</t>
  </si>
  <si>
    <t>63 Nguyễn Duy Hiệu, P. An Hải Đông, Q. Sơn Trà TP. Đà Nẵng Việt Nam</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</si>
  <si>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</si>
  <si>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</si>
  <si>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</si>
  <si>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</si>
  <si>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</si>
  <si>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</si>
  <si>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</si>
  <si>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</si>
  <si>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</si>
  <si>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</si>
  <si>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</si>
  <si>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</si>
  <si>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</si>
  <si>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</si>
  <si>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</si>
  <si>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</si>
  <si>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</si>
  <si>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</si>
  <si>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</si>
  <si>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</si>
  <si>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</si>
  <si>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</si>
  <si>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</si>
  <si>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</si>
  <si>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</si>
  <si>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HTH Đông Hạ, Cẩm Bình</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</si>
  <si>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</si>
  <si>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</si>
  <si>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</si>
  <si>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</si>
  <si>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</si>
  <si>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</si>
  <si>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</si>
  <si>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</si>
  <si>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</si>
  <si>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</si>
  <si>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</si>
  <si>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</si>
  <si>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</si>
  <si>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</si>
  <si>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</si>
  <si>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WM+ THA 82 TL505, Yên Lai</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</si>
  <si>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</si>
  <si>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</si>
  <si>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</si>
  <si>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</si>
  <si>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</si>
  <si>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</si>
  <si>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</si>
  <si>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</si>
  <si>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</si>
  <si>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</si>
  <si>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</si>
  <si>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</si>
  <si>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</si>
  <si>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</si>
  <si>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</si>
  <si>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</si>
  <si>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</si>
  <si>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</si>
  <si>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</si>
  <si>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</si>
  <si>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</si>
  <si>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</si>
  <si>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</si>
  <si>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</si>
  <si>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</si>
  <si>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</si>
  <si>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THA Thôn Cầu, Xuân Bình</t>
  </si>
  <si>
    <t>WM+ HYN Hải An, Nguyễn Du</t>
  </si>
  <si>
    <t>WM+ BNH Lục Liễu Trên, Phúc Hòa</t>
  </si>
  <si>
    <t>WM+ NAN Xóm 4, Xã Hưng Nguyên</t>
  </si>
  <si>
    <t>WM+ HPG Bằng Lai, An Thành</t>
  </si>
  <si>
    <t>WM+ HPG Thôn La Ngoại</t>
  </si>
  <si>
    <t>WM+ HYN Thôn Trung, Thư Trì</t>
  </si>
  <si>
    <t>WM+ THA Thôn Tam Xuyên</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</si>
  <si>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</si>
  <si>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</si>
  <si>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</si>
  <si>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</si>
  <si>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</si>
  <si>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</si>
  <si>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</si>
  <si>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</si>
  <si>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</si>
  <si>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</si>
  <si>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</si>
  <si>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</si>
  <si>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</si>
  <si>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</si>
  <si>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</si>
  <si>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</si>
  <si>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</si>
  <si>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</si>
  <si>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</si>
  <si>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</si>
  <si>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</si>
  <si>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</si>
  <si>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</si>
  <si>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</si>
  <si>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</si>
  <si>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</si>
  <si>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</si>
  <si>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</si>
  <si>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</si>
  <si>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</si>
  <si>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</si>
  <si>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</si>
  <si>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</si>
  <si>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</si>
  <si>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</si>
  <si>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</si>
  <si>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</si>
  <si>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</si>
  <si>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</si>
  <si>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</si>
  <si>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</si>
  <si>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</si>
  <si>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</si>
  <si>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</si>
  <si>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</si>
  <si>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</si>
  <si>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</si>
  <si>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</si>
  <si>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</si>
  <si>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</si>
  <si>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</si>
  <si>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</si>
  <si>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</si>
  <si>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</si>
  <si>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</si>
  <si>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</si>
  <si>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</si>
  <si>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</si>
  <si>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</si>
  <si>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</si>
  <si>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</si>
  <si>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</si>
  <si>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</si>
  <si>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</si>
  <si>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</si>
  <si>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</si>
  <si>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</si>
  <si>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</si>
  <si>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</si>
  <si>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</si>
  <si>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</si>
  <si>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</si>
  <si>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</si>
  <si>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</si>
  <si>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</si>
  <si>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</si>
  <si>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</si>
  <si>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</si>
  <si>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</si>
  <si>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</si>
  <si>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</si>
  <si>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</si>
  <si>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</si>
  <si>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</si>
  <si>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</si>
  <si>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</si>
  <si>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</si>
  <si>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</si>
  <si>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</si>
  <si>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</si>
  <si>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</si>
  <si>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</si>
  <si>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</si>
  <si>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</si>
  <si>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</si>
  <si>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</si>
  <si>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</si>
  <si>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</si>
  <si>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</si>
  <si>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</si>
  <si>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</si>
  <si>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</si>
  <si>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</si>
  <si>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</si>
  <si>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</si>
  <si>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</si>
  <si>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</si>
  <si>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</si>
  <si>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</si>
  <si>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</si>
  <si>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</si>
  <si>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</si>
  <si>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</si>
  <si>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</si>
  <si>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</si>
  <si>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</si>
  <si>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</si>
  <si>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</si>
  <si>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</si>
  <si>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</si>
  <si>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</si>
  <si>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</si>
  <si>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</si>
  <si>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</si>
  <si>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</si>
  <si>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</si>
  <si>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</si>
  <si>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</si>
  <si>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</si>
  <si>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</si>
  <si>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</si>
  <si>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</si>
  <si>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</si>
  <si>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</si>
  <si>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</si>
  <si>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</si>
  <si>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</si>
  <si>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</si>
  <si>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</si>
  <si>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</si>
  <si>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</si>
  <si>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</si>
  <si>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</si>
  <si>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</si>
  <si>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</si>
  <si>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</si>
  <si>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</si>
  <si>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</si>
  <si>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</si>
  <si>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</si>
  <si>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</si>
  <si>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</si>
  <si>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</si>
  <si>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</si>
  <si>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</si>
  <si>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</si>
  <si>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</si>
  <si>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</si>
  <si>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</si>
  <si>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</si>
  <si>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</si>
  <si>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</si>
  <si>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</si>
  <si>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</si>
  <si>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</si>
  <si>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</si>
  <si>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</si>
  <si>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</si>
  <si>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</si>
  <si>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</si>
  <si>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</si>
  <si>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</si>
  <si>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</si>
  <si>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</si>
  <si>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</si>
  <si>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</si>
  <si>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</si>
  <si>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</si>
  <si>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</si>
  <si>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</si>
  <si>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</si>
  <si>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</si>
  <si>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</si>
  <si>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</si>
  <si>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</si>
  <si>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</si>
  <si>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</si>
  <si>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</si>
  <si>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</si>
  <si>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</si>
  <si>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</si>
  <si>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</si>
  <si>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</si>
  <si>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</si>
  <si>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</si>
  <si>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</si>
  <si>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</si>
  <si>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</si>
  <si>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</si>
  <si>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</si>
  <si>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</si>
  <si>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</si>
  <si>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</si>
  <si>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</si>
  <si>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</si>
  <si>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</si>
  <si>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</si>
  <si>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</si>
  <si>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</si>
  <si>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</si>
  <si>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</si>
  <si>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</si>
  <si>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</si>
  <si>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</si>
  <si>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</si>
  <si>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</si>
  <si>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</si>
  <si>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THA Phố Điền Lư</t>
  </si>
  <si>
    <t>WM+ TQG 205 Võ Chí Công</t>
  </si>
  <si>
    <t>WM+ HTH Thôn Đan Trung, Thạch Hà</t>
  </si>
  <si>
    <t>WM+ BNH Xóm Từ, Xuân Biều</t>
  </si>
  <si>
    <t>WM+ HNI 108 Xóm Bắc, Thôn Đồng Bảng</t>
  </si>
  <si>
    <t>WM+ HNI Thôn Giao Tác, Thư Lâm</t>
  </si>
  <si>
    <t>WM+ THA Thôn Bạch Trưng</t>
  </si>
  <si>
    <t>WM+ HTH QL15A, Đức Thịnh</t>
  </si>
  <si>
    <t>WM+ THA CL12-13 Tân Thành ECO3</t>
  </si>
  <si>
    <t>WM+ PTO TĐ 24 Khu 8, Hạ Hòa</t>
  </si>
  <si>
    <t>WM+ TNN Xóm Trung Tâm, Tân Cương</t>
  </si>
  <si>
    <t>WM+ NBH Xóm Đông Nghĩa, Hải Hưng</t>
  </si>
  <si>
    <t>WM+ NBH Xóm Nam Lộc, Yên Từ</t>
  </si>
  <si>
    <t>WM+ NAN Xóm Phú Lạc</t>
  </si>
  <si>
    <t>WM+ HPG Thôn Bồ Dương, Khúc Thừa Dụ</t>
  </si>
  <si>
    <t>WM+ PTO Thôn Quang Minh, Tam Đảo</t>
  </si>
  <si>
    <t>WM+ NBH Thôn Vĩnh Lại, Liên Minh</t>
  </si>
  <si>
    <t>WM+ THA Thôn Liên Cơ 1</t>
  </si>
  <si>
    <t>WM+ NBH Xóm Thắng Lợi, Nam Hồng</t>
  </si>
  <si>
    <t>WM+ HNI Thôn Trung Hoàng, Phú Nghĩa</t>
  </si>
  <si>
    <t>WM+ HTH Thôn Thanh Quang, Thạch Lạc</t>
  </si>
  <si>
    <t>WM+ QNH 186 An Trì</t>
  </si>
  <si>
    <t>WM+ TQG Sơn Hạ 4, Xuân Vân</t>
  </si>
  <si>
    <t>WM+ THA 212 Hoàng Nghiêu</t>
  </si>
  <si>
    <t>WM+ THA Thôn Tiên Hương</t>
  </si>
  <si>
    <t>WM+ HPG Thôn Mỹ Ân, Chí Minh</t>
  </si>
  <si>
    <t>WM+ TQG Thôn Cả, Tân Trào</t>
  </si>
  <si>
    <t>WM+ NBH Thôn Mới, Gia Viễn</t>
  </si>
  <si>
    <t>WM+ QNH 254-256 Nguyễn Văn Cừ</t>
  </si>
  <si>
    <t>WM+ HYN Cao Dương Thượng, Thụy Anh</t>
  </si>
  <si>
    <t>WM+ HYN Thôn Phương Tảo, Vạn Xuân</t>
  </si>
  <si>
    <t>WM+ HTH Xóm 5, Lộc Hà</t>
  </si>
  <si>
    <t>WM+ LCI Thôn Phố Hóp, Trấn Yên</t>
  </si>
  <si>
    <t>WM+ HYN Thôn Minh Khai, Thần Khê</t>
  </si>
  <si>
    <t>WM+ NAN Xóm Lam Sơn, Tân Mai</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</si>
  <si>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</si>
  <si>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</si>
  <si>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</si>
  <si>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</si>
  <si>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</si>
  <si>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</si>
  <si>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</si>
  <si>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</si>
  <si>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</si>
  <si>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</si>
  <si>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</si>
  <si>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</si>
  <si>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</si>
  <si>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</si>
  <si>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</si>
  <si>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</si>
  <si>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</si>
  <si>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</si>
  <si>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</si>
  <si>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</si>
  <si>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</si>
  <si>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</si>
  <si>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</si>
  <si>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</si>
  <si>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</si>
  <si>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</si>
  <si>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</si>
  <si>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</si>
  <si>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</si>
  <si>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</si>
  <si>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</si>
  <si>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</si>
  <si>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</si>
  <si>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</si>
  <si>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</si>
  <si>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</si>
  <si>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</si>
  <si>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</si>
  <si>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</si>
  <si>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</si>
  <si>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</si>
  <si>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</si>
  <si>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</si>
  <si>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</si>
  <si>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</si>
  <si>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</si>
  <si>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</si>
  <si>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THA TDP Ngọc Lậu 2</t>
  </si>
  <si>
    <t>WM+ THA Thôn Ba Si, Kiên Thọ</t>
  </si>
  <si>
    <t>WM+ THA 131 Trần Phú</t>
  </si>
  <si>
    <t>WM+ NAN Đường Liên Xã, Xóm 8</t>
  </si>
  <si>
    <t>WM+ NAN Thôn Phật Sơn, Xã Đại Đồng</t>
  </si>
  <si>
    <t>WM+ HTH Thôn Tây Hồ, Tùng Lộc</t>
  </si>
  <si>
    <t>WM+ QNH Thôn 11, Đặc Khu Vân Đồn</t>
  </si>
  <si>
    <t>WM+ BNH TDP Dĩnh Sơn, Vân Hà</t>
  </si>
  <si>
    <t>WM+ NAN Xóm Quyết Tiến, Nam Đàn</t>
  </si>
  <si>
    <t>WM+ BNH Thôn Cổng Châu, Đồng Kỳ</t>
  </si>
  <si>
    <t>WM+ HNI Thôn Đồng Chầm, Sóc Sơn</t>
  </si>
  <si>
    <t>WM+ QNH 121 Hoàng Quốc Việt</t>
  </si>
  <si>
    <t>WM+ SLA Tiểu khu 2, Mai Sơn</t>
  </si>
  <si>
    <t>WM+ BNH 888 Hoàng Hoa Thám</t>
  </si>
  <si>
    <t>WM+ PTO Ngũ Hồ, Bình Xuyên</t>
  </si>
  <si>
    <t>WM+ HTH Tiên Sơn, Bắc Hồng Lĩnh</t>
  </si>
  <si>
    <t>WM+ HNI Xóm 5 Phúc Đức, Quốc Oai</t>
  </si>
  <si>
    <t>WM+ NBH 271 Đường Điện Biên</t>
  </si>
  <si>
    <t>WM+ NAN Xóm Nhân Hòa, Tân Châu</t>
  </si>
  <si>
    <t>WM+ THA Lô 01 Nơ 15 MBQH 2125</t>
  </si>
  <si>
    <t>WM+ BNH 626 Xương Giang</t>
  </si>
  <si>
    <t>WM+ PTO Thôn Chợ, Vĩnh Hưng</t>
  </si>
  <si>
    <t>WM+ NBH 146 Phan Huy Ích</t>
  </si>
  <si>
    <t>WM+ HPG 31 Chi Lăng, Thành Đông</t>
  </si>
  <si>
    <t>WM+ NAN Thôn Khe Choăng, Châu Khê</t>
  </si>
  <si>
    <t>WM+ NBH 133 TDP Điện Biên</t>
  </si>
  <si>
    <t>WM+ THA 789A Nguyễn Trãi</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</si>
  <si>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</si>
  <si>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</si>
  <si>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</si>
  <si>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</si>
  <si>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</si>
  <si>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</si>
  <si>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</si>
  <si>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</si>
  <si>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THA 01-02-LK2 phố Bào Ngoại</t>
  </si>
  <si>
    <t>WM+ TQG Trung Môn 17, Minh Xuân</t>
  </si>
  <si>
    <t>WM+ LCI Hồng Sơn, Văn Chấn</t>
  </si>
  <si>
    <t>WM+ PTO 257 Hoàng Văn Thụ</t>
  </si>
  <si>
    <t>WM+ HYN Thôn Cốc, Đông Tiên Hưng</t>
  </si>
  <si>
    <t>WM+ BNH Thôn Hậu, Tân Dĩnh</t>
  </si>
  <si>
    <t>Post 11</t>
  </si>
  <si>
    <t>2149794</t>
  </si>
  <si>
    <t>24/04/2026</t>
  </si>
  <si>
    <t>Bổ sung</t>
  </si>
  <si>
    <t>18/05/2026</t>
  </si>
  <si>
    <t>11/05/2026</t>
  </si>
  <si>
    <t>08/05/2026</t>
  </si>
  <si>
    <t>2BZS</t>
  </si>
  <si>
    <t>2CAU</t>
  </si>
  <si>
    <t>2CBI</t>
  </si>
  <si>
    <t>2BUL</t>
  </si>
  <si>
    <t>2BXX</t>
  </si>
  <si>
    <t>2BYP</t>
  </si>
  <si>
    <t>2BYT</t>
  </si>
  <si>
    <t>2BVI</t>
  </si>
  <si>
    <t>2CAA</t>
  </si>
  <si>
    <t>2BPE</t>
  </si>
  <si>
    <t>2BXH</t>
  </si>
  <si>
    <t>2CBX</t>
  </si>
  <si>
    <t>2BPH</t>
  </si>
  <si>
    <t>2CDC</t>
  </si>
  <si>
    <t>2CDI</t>
  </si>
  <si>
    <t>WM+ TQG Thôn Hòa Bình, Nhữ Khê</t>
  </si>
  <si>
    <t>WM+ TQG 86-88, Đường 13B, Quyết Thắng</t>
  </si>
  <si>
    <t>WM+ HTH Thôn Quyết Thắng, Lộc Hà</t>
  </si>
  <si>
    <t>WM+ HYN Thôn Kênh Bối</t>
  </si>
  <si>
    <t>WM+ BNH 139 Cao Kỳ Vân</t>
  </si>
  <si>
    <t>WM+ THA 15-17 Đình Hương</t>
  </si>
  <si>
    <t>WM+ NAN Xóm Xuân Lộc, Vinh Lộc</t>
  </si>
  <si>
    <t>WM+ NAN Thôn Trường Sơn, Đại Đồng</t>
  </si>
  <si>
    <t>WM+ PTO Xóm Sơn Phú, Cao Sơn</t>
  </si>
  <si>
    <t>WM+ NAN Xóm 3, Xã Bạch Ngọc</t>
  </si>
  <si>
    <t>WM+ HPG Thôn Miếu Lãng, Nam Sách</t>
  </si>
  <si>
    <t>WM+ HPG 121-123 Tuệ Tĩnh, Việt Hòa</t>
  </si>
  <si>
    <t>WM+ QNH 3.01.04 The Dragon Castle, Cái Lân</t>
  </si>
  <si>
    <t>WM+ NAN Xóm Bắc Sơn, Quế Phong</t>
  </si>
  <si>
    <t>WM+ HPG 698-700 Phan Đăng Lưu</t>
  </si>
  <si>
    <t>Seoul's Hotdog Chiên xù 250g (Đ)</t>
  </si>
  <si>
    <t>2BOU</t>
  </si>
  <si>
    <t>2BYE</t>
  </si>
  <si>
    <t>2CCU</t>
  </si>
  <si>
    <t>2BSG</t>
  </si>
  <si>
    <t>2CBH</t>
  </si>
  <si>
    <t>2BTF</t>
  </si>
  <si>
    <t>2BYU</t>
  </si>
  <si>
    <t>2CBB</t>
  </si>
  <si>
    <t>2CCP</t>
  </si>
  <si>
    <t>2CFA</t>
  </si>
  <si>
    <t>2CBG</t>
  </si>
  <si>
    <t>2BZM</t>
  </si>
  <si>
    <t>2CAT</t>
  </si>
  <si>
    <t>2CBA</t>
  </si>
  <si>
    <t>2CCV</t>
  </si>
  <si>
    <t>2CCL</t>
  </si>
  <si>
    <t>2BUI</t>
  </si>
  <si>
    <t>2BPV</t>
  </si>
  <si>
    <t>2CEM</t>
  </si>
  <si>
    <t>2CCX</t>
  </si>
  <si>
    <t>2CCT</t>
  </si>
  <si>
    <t>2CEQ</t>
  </si>
  <si>
    <t>2CDE</t>
  </si>
  <si>
    <t>2BSY</t>
  </si>
  <si>
    <t>2CCA</t>
  </si>
  <si>
    <t>2CEK</t>
  </si>
  <si>
    <t>2CFK</t>
  </si>
  <si>
    <t>2CDF</t>
  </si>
  <si>
    <t>2CEL</t>
  </si>
  <si>
    <t>2CFR</t>
  </si>
  <si>
    <t>2CFQ</t>
  </si>
  <si>
    <t>2CFX</t>
  </si>
  <si>
    <t>2CEY</t>
  </si>
  <si>
    <t>2CFG</t>
  </si>
  <si>
    <t>WM+ DBN TDP 5, Na Sang</t>
  </si>
  <si>
    <t>WM+ HNI Thôn Đan Nhiễm, Thường Tín</t>
  </si>
  <si>
    <t>WM+ TNN Xóm La Bằng, xã La Bằng</t>
  </si>
  <si>
    <t>WM+ HNI Đông Viên, Quảng Oai</t>
  </si>
  <si>
    <t>WM+ PTO Khu 5, Chân Mộng</t>
  </si>
  <si>
    <t>WM+ HNI 70 An Thọ, An Khánh</t>
  </si>
  <si>
    <t>WM+ HYN TDP Đại Hội, Thái Bình</t>
  </si>
  <si>
    <t>WM+ HPG Thôn Đôn Thư, Trường Tân</t>
  </si>
  <si>
    <t>WM+ HYN Thôn Khang Ninh, Quỳnh An</t>
  </si>
  <si>
    <t>WM+ HYN Vị Dương Đoài,Bắc Thái Ninh</t>
  </si>
  <si>
    <t>WM+ PTO Lâm Hóa 1, Lạc Sơn</t>
  </si>
  <si>
    <t>WM+ NBH 1162 Lý Nhân Tông</t>
  </si>
  <si>
    <t>WM+ PTO 02 Lê Thánh Tông</t>
  </si>
  <si>
    <t>WM+ HNI 79 Cẩm Yên, Thôn Yên Lỗ</t>
  </si>
  <si>
    <t>WM+ HYN Thôn Cao Mại, Bình Thanh</t>
  </si>
  <si>
    <t>WM+ NBH Thôn Trần Xá, Nam Xang</t>
  </si>
  <si>
    <t>WM+ NBH Xóm 3, Xã Bình Minh</t>
  </si>
  <si>
    <t>WM+ TNN Minh Cầu, Phan Đình Phùng</t>
  </si>
  <si>
    <t>WM+ HNI 21-21A Thôn Tế Tiêu, Mỹ Đức</t>
  </si>
  <si>
    <t>WM+ PTO Xóm Nen 2, Tân Lạc</t>
  </si>
  <si>
    <t>WM+ NBH Thôn Thượng Thụ</t>
  </si>
  <si>
    <t>WM+ HNI 3-5 Xóm Lan Đình, My Thượng</t>
  </si>
  <si>
    <t>WM+ PTO Thôn Đông Thịnh, Sơn Đông</t>
  </si>
  <si>
    <t>WM+ BNH Tân Lập, Ngọc Thiện</t>
  </si>
  <si>
    <t>WM+ HNI Đường 312 Cư An, Tiến Thắng</t>
  </si>
  <si>
    <t>WM+ LSN 289 Trần Đăng Ninh</t>
  </si>
  <si>
    <t>WM+ PTO KĐT Âu Cơ, Âu Cơ</t>
  </si>
  <si>
    <t>WM+ TNN TDP Mỹ Khánh, Phú Lương</t>
  </si>
  <si>
    <t>WM+ BNH Thôn Húi, Cẩm Lý</t>
  </si>
  <si>
    <t>WM+ HYN Thôn Vân Động Nam, Trần Lãm</t>
  </si>
  <si>
    <t>WM+ QNH 385 Nguyễn Trãi</t>
  </si>
  <si>
    <t>WM+ PTO 965 Hùng Vương</t>
  </si>
  <si>
    <t>WM+ HNI 41 Yên Duyên, Yên Sở</t>
  </si>
  <si>
    <t>WM+ BNH Nghĩa Chỉ, Phật Tích</t>
  </si>
  <si>
    <t>Post 12</t>
  </si>
  <si>
    <t>11/06/2026</t>
  </si>
  <si>
    <t>8935101608539</t>
  </si>
  <si>
    <t>OFOOD Tteokgalbi chả nướng HQ 200g</t>
  </si>
  <si>
    <t>8935101607068</t>
  </si>
  <si>
    <t>ĐỨC VIỆT Xúc xích Keilbasa 200g</t>
  </si>
  <si>
    <t>2151323</t>
  </si>
  <si>
    <t>2CCF</t>
  </si>
  <si>
    <t>2CBM</t>
  </si>
  <si>
    <t>2CBU</t>
  </si>
  <si>
    <t>2CFB</t>
  </si>
  <si>
    <t>2BTC</t>
  </si>
  <si>
    <t>WM+ HPG Tân Dương 3, Thủy Nguyên</t>
  </si>
  <si>
    <t>WM+ NBH TDP Tường Thụy 2</t>
  </si>
  <si>
    <t>WM+ HPG Thôn Gia Bùi, Gia Lộc</t>
  </si>
  <si>
    <t>WM+ HNI Thôn Trại, Quảng Bị</t>
  </si>
  <si>
    <t>WM+ NBH Xóm 14, Hải An</t>
  </si>
  <si>
    <t>Post bổ sung</t>
  </si>
  <si>
    <t>Post 13</t>
  </si>
  <si>
    <t>08/07/2026</t>
  </si>
  <si>
    <t>09/06/2026</t>
  </si>
  <si>
    <t>2CBS</t>
  </si>
  <si>
    <t>2CCE</t>
  </si>
  <si>
    <t>2BEL</t>
  </si>
  <si>
    <t>2CCB</t>
  </si>
  <si>
    <t>2CCZ</t>
  </si>
  <si>
    <t>2CHD</t>
  </si>
  <si>
    <t>2CEP</t>
  </si>
  <si>
    <t>2CGM</t>
  </si>
  <si>
    <t>2CBP</t>
  </si>
  <si>
    <t>2CFC</t>
  </si>
  <si>
    <t>2CGW</t>
  </si>
  <si>
    <t>2CCQ</t>
  </si>
  <si>
    <t>2CDL</t>
  </si>
  <si>
    <t>2CIM</t>
  </si>
  <si>
    <t>2CGH</t>
  </si>
  <si>
    <t>WM+ HTH 126 Nguyễn Trung Thiên</t>
  </si>
  <si>
    <t>WM+ THA Thôn Dư Khánh</t>
  </si>
  <si>
    <t>WM+ LCU 616 Điện Biên Phủ</t>
  </si>
  <si>
    <t>WM+ PTO Khu 3, Liên Minh</t>
  </si>
  <si>
    <t>WM+ THA Thôn 14, Tân Dân</t>
  </si>
  <si>
    <t>WM+ HNI Số 6, Thôn Cao Lãm, Vân Đình</t>
  </si>
  <si>
    <t>WM+ HPG Thôn Phủ, Đường An</t>
  </si>
  <si>
    <t>WM+ HNI Số 98, Thôn Mã Kiều</t>
  </si>
  <si>
    <t>WM+ QNH 92 Điện Biên Phủ</t>
  </si>
  <si>
    <t>WM+ HTH Thôn Tân Long</t>
  </si>
  <si>
    <t>WM+ HTH 63 Trần Kim Xuyến</t>
  </si>
  <si>
    <t>WM+ HYN Nam Đồng Bắc, Nam Cường</t>
  </si>
  <si>
    <t>WM+ NBH La Chợ, Mỹ Lộc</t>
  </si>
  <si>
    <t>WM+ BNH TDP Đa Tiện, Song Liễu</t>
  </si>
  <si>
    <t>WM+ PTO Khu Suông 2, Phú Khê</t>
  </si>
  <si>
    <t>2BWJ</t>
  </si>
  <si>
    <t>2CHI</t>
  </si>
  <si>
    <t>2CGS</t>
  </si>
  <si>
    <t>2CFI</t>
  </si>
  <si>
    <t>2CGV</t>
  </si>
  <si>
    <t>2CIA</t>
  </si>
  <si>
    <t>WM+ BNH TDP Cửu Yên, Song Liễu</t>
  </si>
  <si>
    <t>WM+ BNH Dear Thôn Núi Bất Lự, Đại Đồng</t>
  </si>
  <si>
    <t>WM+ NBH Thôn Dân Khang Ninh</t>
  </si>
  <si>
    <t>WM+ PTO Khu 8, Tiêu Sơn, Chân Mộng</t>
  </si>
  <si>
    <t>WM+ TQG Thôn Ninh Thuận, Sơn Thủy</t>
  </si>
  <si>
    <t>WM+ LSN 119 Hoàng Văn Thụ, Đồng Đăng</t>
  </si>
  <si>
    <t>2CCG</t>
  </si>
  <si>
    <t>2CFP</t>
  </si>
  <si>
    <t>WM+ HNI 47 Vũ Đức Thận</t>
  </si>
  <si>
    <t>WM+ TQG 225 Phố Mới, Vĩnh Tuy</t>
  </si>
  <si>
    <t>2CFJ</t>
  </si>
  <si>
    <t>2BOY</t>
  </si>
  <si>
    <t>WM+ BNH 10 TDP Tiến Thắng, Nhã Nam</t>
  </si>
  <si>
    <t>WM+ TNN Ngã Ba, Phủ Thông</t>
  </si>
  <si>
    <t>2CGK</t>
  </si>
  <si>
    <t>2CGA</t>
  </si>
  <si>
    <t>2CGL</t>
  </si>
  <si>
    <t>2CIF</t>
  </si>
  <si>
    <t>2CHA</t>
  </si>
  <si>
    <t>2CHG</t>
  </si>
  <si>
    <t>2CID</t>
  </si>
  <si>
    <t>2CHN</t>
  </si>
  <si>
    <t>2CHM</t>
  </si>
  <si>
    <t>2CJP</t>
  </si>
  <si>
    <t>2CFH</t>
  </si>
  <si>
    <t>2CET</t>
  </si>
  <si>
    <t>2CIE</t>
  </si>
  <si>
    <t>2CGT</t>
  </si>
  <si>
    <t>2CKN</t>
  </si>
  <si>
    <t>2CJY</t>
  </si>
  <si>
    <t>2CJO</t>
  </si>
  <si>
    <t>2CJZ</t>
  </si>
  <si>
    <t>2BWF</t>
  </si>
  <si>
    <t>WM+ LSN Thôn Vũ Lâm, Vũ Lễ</t>
  </si>
  <si>
    <t>WM+ HNI Xóm 6, Thôn Phú Mỹ, Tiến Thắng</t>
  </si>
  <si>
    <t>WM+ HNI 108-110 Nguyễn Lam, Phúc Lợi</t>
  </si>
  <si>
    <t>WM+ TNN Xóm Đồng Màn, Định Hóa</t>
  </si>
  <si>
    <t>WM+ BNH Thôn Văn Phong, Phù Lãng</t>
  </si>
  <si>
    <t>WM+ SLA 32 TDP 34, Mộc Sơn</t>
  </si>
  <si>
    <t>WM+ HNI Thôn 3, Xã Nam Phù</t>
  </si>
  <si>
    <t>WM+ BNH Thôn Chung, Nhã Nam</t>
  </si>
  <si>
    <t>WM+ BNH Thôn Đồng Tâm, Hợp Thịnh</t>
  </si>
  <si>
    <t>WM+ HPG Đội 3, Thôn Bắc, Lai Khê</t>
  </si>
  <si>
    <t>WM+ BNH Quế Tân, Quế Võ</t>
  </si>
  <si>
    <t>WM+ PTO Sơn Kịch, Hợp Lý</t>
  </si>
  <si>
    <t>WM+ PTO Thôn Nam Bản, Xuân Lãng</t>
  </si>
  <si>
    <t>WM+ TQG 99 Tân Trào</t>
  </si>
  <si>
    <t>WM+ BNH 194 Nguyễn Quốc Ích</t>
  </si>
  <si>
    <t>WM+ TNN Xóm Làng Đèn, Tràng Xá</t>
  </si>
  <si>
    <t>WM+ BNH Thôn Đông, Xã Tam Giang</t>
  </si>
  <si>
    <t>WM+ LSN 386 Bà Triệu, Đông Kinh</t>
  </si>
  <si>
    <t>WM+ HNI Thôn Thanh Bồ, Hòa Xá</t>
  </si>
  <si>
    <t>2CDJ</t>
  </si>
  <si>
    <t>WM+ LCI Thôn Mỵ, Chấn Thịnh</t>
  </si>
  <si>
    <t>post 14</t>
  </si>
  <si>
    <t>22/07/2026</t>
  </si>
  <si>
    <t>23/06/2026</t>
  </si>
  <si>
    <t>09/07/2026</t>
  </si>
  <si>
    <t>2CEO</t>
  </si>
  <si>
    <t>WM+ HNI Thôn Địa Chất, Phù Đổng</t>
  </si>
  <si>
    <t>2CCN</t>
  </si>
  <si>
    <t>2CEE</t>
  </si>
  <si>
    <t>WM+ NBH Thôn Tây, Ý Yên</t>
  </si>
  <si>
    <t>WM+ NBH Thôn 1 Chương Lương</t>
  </si>
  <si>
    <t>2CJL</t>
  </si>
  <si>
    <t>2CJR</t>
  </si>
  <si>
    <t>WM+ PTO 33 Thống Nhất, Phùng Nguyên</t>
  </si>
  <si>
    <t>WM+ BNH Thôn Phố Thễ, Quang Trung</t>
  </si>
  <si>
    <t>25/06/2026</t>
  </si>
  <si>
    <t>post 15</t>
  </si>
  <si>
    <t>05/08/2026</t>
  </si>
  <si>
    <t>2CLG</t>
  </si>
  <si>
    <t>WM+ HYN 68 Trần Hưng Đạo</t>
  </si>
  <si>
    <t>2CGQ</t>
  </si>
  <si>
    <t>WM+ THA Thôn Vân Xá</t>
  </si>
  <si>
    <t>2CHB</t>
  </si>
  <si>
    <t>WM+ LCI Thôn Tát Diêu, Khánh Hòa</t>
  </si>
  <si>
    <t>2CJX</t>
  </si>
  <si>
    <t>WM+ LCI Thôn Phạ 1, Cảm Nhân</t>
  </si>
  <si>
    <t>2CKM</t>
  </si>
  <si>
    <t>WM+ BNH 335 Trần Nguyên Hãn, Bắc Giang</t>
  </si>
  <si>
    <t>2CKQ</t>
  </si>
  <si>
    <t>WM+ HNI 14-16-18 Lệ Mật</t>
  </si>
  <si>
    <t>2CKW</t>
  </si>
  <si>
    <t>WM+ TQG Thôn 6, Xã Yên Minh</t>
  </si>
  <si>
    <t>2CKP</t>
  </si>
  <si>
    <t>WM+ QNH 496 Đường Quang Trung</t>
  </si>
  <si>
    <t>2CHK</t>
  </si>
  <si>
    <t>WM+ BNH Thôn Cựu Tự, Đào Viên</t>
  </si>
  <si>
    <t>2CJS</t>
  </si>
  <si>
    <t>WM+ HNI 114 Phú Mỹ, Từ Liêm</t>
  </si>
  <si>
    <t>2CDH</t>
  </si>
  <si>
    <t>WM+ LSN Số 6 Lương Văn Tri</t>
  </si>
  <si>
    <t>2CIC</t>
  </si>
  <si>
    <t>WM+ BNH Thôn Đông Trước, Xuân Cẩm</t>
  </si>
  <si>
    <t>2CHZ</t>
  </si>
  <si>
    <t>WM+ HNI 62-64 Xóm 1, An Trai, Sơn Đồng</t>
  </si>
  <si>
    <t>2CFF</t>
  </si>
  <si>
    <t>WM+ BNH Giang Liễu, Phương Liễu</t>
  </si>
  <si>
    <t>2CJH</t>
  </si>
  <si>
    <t>WM+ PTO Thôn Gia, Hoàng An</t>
  </si>
  <si>
    <t>2CJF</t>
  </si>
  <si>
    <t>WM+ PTO Thôn 5 Lũng Hạ, Tam Hồng</t>
  </si>
  <si>
    <t>2CAP</t>
  </si>
  <si>
    <t>WM+ THA 19 Đường HC1</t>
  </si>
  <si>
    <t>2CAN</t>
  </si>
  <si>
    <t>WM+ THA Lô NQ7-04, dự án số 1</t>
  </si>
  <si>
    <t>2CJB</t>
  </si>
  <si>
    <t>WM+ HYN Thôn Tiên Cầu, Hiệp Cường</t>
  </si>
  <si>
    <t>2CMF</t>
  </si>
  <si>
    <t>WM+ TNN 252 Nam Sông Công, Đại Phúc</t>
  </si>
  <si>
    <t>2CLS</t>
  </si>
  <si>
    <t>WM+ TNN 338 Kon Tum, Đức Xuân</t>
  </si>
  <si>
    <t>2BVT</t>
  </si>
  <si>
    <t>WM+ HNI Thôn La Phẩm 2, Cổ Đô</t>
  </si>
  <si>
    <t>2CMM</t>
  </si>
  <si>
    <t>WM+ HNI Thôn 1 Xã Hòa Lạc</t>
  </si>
  <si>
    <t>2CKD</t>
  </si>
  <si>
    <t>WM+ NBH Thôn Mỹ Lộc, Phong Doanh</t>
  </si>
  <si>
    <t>2CLL</t>
  </si>
  <si>
    <t>WM+ PTO Xóm Tân Phú, Mường Bi</t>
  </si>
  <si>
    <t>2CJU</t>
  </si>
  <si>
    <t>WM+ HTH 78 Nguyễn Du</t>
  </si>
  <si>
    <t>2CKU</t>
  </si>
  <si>
    <t>WM+ THA Thôn 4, Thọ Bình</t>
  </si>
  <si>
    <t>2CMB</t>
  </si>
  <si>
    <t>WM+ HYN Thôn Lộng Thượng, Đại Đồng</t>
  </si>
  <si>
    <t>2CLV</t>
  </si>
  <si>
    <t>WM+ PTO Thôn Vực Lựu, Tam Đảo</t>
  </si>
  <si>
    <t>2CKX</t>
  </si>
  <si>
    <t>WM+ HPG Thôn Bắc, Xã Hà Bắc</t>
  </si>
  <si>
    <t>2CKO</t>
  </si>
  <si>
    <t>WM+ BNH 129B Nguyễn Thị Lưu</t>
  </si>
  <si>
    <t>2CHS</t>
  </si>
  <si>
    <t>WM+ HNI Đội 1 Vĩnh Lộc, Chương Dương</t>
  </si>
  <si>
    <t>2CEN</t>
  </si>
  <si>
    <t>WM+ LCI TDP Nước Mát, Âu Lâu</t>
  </si>
  <si>
    <t>2CLD</t>
  </si>
  <si>
    <t>WM+ HNI 32 Lưu Quang Vũ, Yên Hòa</t>
  </si>
  <si>
    <t>2CJD</t>
  </si>
  <si>
    <t>WM+ TQG Thôn Tân Hòa, Sơn Dương</t>
  </si>
  <si>
    <t>2CPD</t>
  </si>
  <si>
    <t>WM+ PTO Khu đất dịch vụ xứ đồng Ải</t>
  </si>
  <si>
    <t>2CME</t>
  </si>
  <si>
    <t>WM+ SLA TDP Bãi Sậy, Mộc Châu</t>
  </si>
  <si>
    <t>2CES</t>
  </si>
  <si>
    <t>WM+ QNH 2-4-6 Ngõ 3 Tô Hiến Thành</t>
  </si>
  <si>
    <t>2CKK</t>
  </si>
  <si>
    <t>WM+ SLA 282 Chu Văn Thịnh, Tô Hiệu</t>
  </si>
  <si>
    <t>2CJI</t>
  </si>
  <si>
    <t>WM+ PTO Thôn Quan Ngoại, Tam Dương Bắc</t>
  </si>
  <si>
    <t>2CJT</t>
  </si>
  <si>
    <t>WM+ QNH 11 Nguyễn Thái Học, Hồng Gai</t>
  </si>
  <si>
    <t>2CJJ</t>
  </si>
  <si>
    <t>WM+ NBH Xóm 4, Vĩnh Trụ</t>
  </si>
  <si>
    <t>2CJQ</t>
  </si>
  <si>
    <t>WM+ HYN Thôn An Lạc 3, Quỳnh An</t>
  </si>
  <si>
    <t>2CMZ</t>
  </si>
  <si>
    <t>WM+ NBH Thôn 39, Xuân Trường</t>
  </si>
  <si>
    <t>2CNE</t>
  </si>
  <si>
    <t>WM+ HPG 71 Tân Tiến, An Dương</t>
  </si>
  <si>
    <t>2CNY</t>
  </si>
  <si>
    <t>WM+ HNI 28 Vĩnh Hưng</t>
  </si>
  <si>
    <t>2CMO</t>
  </si>
  <si>
    <t>WM+ NBH 124 Xuân Thành</t>
  </si>
  <si>
    <t>2CBQ</t>
  </si>
  <si>
    <t>WM+ HNI Đội 3, Thôn Thái Bình, Hòa Xá</t>
  </si>
  <si>
    <t>2COY</t>
  </si>
  <si>
    <t>WM+ SLA 343 Tây Bắc, Thuận Châu</t>
  </si>
  <si>
    <t>2CJN</t>
  </si>
  <si>
    <t>WM+ HNI 256 Thôn 6, Xã Suối Hai</t>
  </si>
  <si>
    <t>2CTM</t>
  </si>
  <si>
    <t>WM+ HPG Ngõ 275 Đông Khê</t>
  </si>
  <si>
    <t>2CMH</t>
  </si>
  <si>
    <t>2CMC</t>
  </si>
  <si>
    <t>2CMK</t>
  </si>
  <si>
    <t>2CMS</t>
  </si>
  <si>
    <t>2COJ</t>
  </si>
  <si>
    <t>2CNP</t>
  </si>
  <si>
    <t>2CMU</t>
  </si>
  <si>
    <t>2CLP</t>
  </si>
  <si>
    <t>2CLW</t>
  </si>
  <si>
    <t>2CGU</t>
  </si>
  <si>
    <t>2CPH</t>
  </si>
  <si>
    <t>2CFU</t>
  </si>
  <si>
    <t>2CLH</t>
  </si>
  <si>
    <t>2COL</t>
  </si>
  <si>
    <t>2COZ</t>
  </si>
  <si>
    <t>2CJG</t>
  </si>
  <si>
    <t>2CPU</t>
  </si>
  <si>
    <t>2CNS</t>
  </si>
  <si>
    <t>2CML</t>
  </si>
  <si>
    <t>2COM</t>
  </si>
  <si>
    <t>2CMI</t>
  </si>
  <si>
    <t>2CHQ</t>
  </si>
  <si>
    <t>2CMW</t>
  </si>
  <si>
    <t>2COU</t>
  </si>
  <si>
    <t>2CGI</t>
  </si>
  <si>
    <t>2COK</t>
  </si>
  <si>
    <t>2CMP</t>
  </si>
  <si>
    <t>2CPM</t>
  </si>
  <si>
    <t>2CLR</t>
  </si>
  <si>
    <t>2CQA</t>
  </si>
  <si>
    <t>2CLB</t>
  </si>
  <si>
    <t>2CPY</t>
  </si>
  <si>
    <t>2CPT</t>
  </si>
  <si>
    <t>2CLC</t>
  </si>
  <si>
    <t>2BVB</t>
  </si>
  <si>
    <t>2CAW</t>
  </si>
  <si>
    <t>2CKT</t>
  </si>
  <si>
    <t>2CMD</t>
  </si>
  <si>
    <t>2CLU</t>
  </si>
  <si>
    <t>2CHE</t>
  </si>
  <si>
    <t>2CDR</t>
  </si>
  <si>
    <t>WM+ LCI 451 Hòa Bình, Yên Bái</t>
  </si>
  <si>
    <t>WM+ PTO Thôn Ngọc Thạch 1, Hoàng An</t>
  </si>
  <si>
    <t>WM+ HNI 43 Ngõ 123 Thụy Phương</t>
  </si>
  <si>
    <t>WM+ HPG Khu 4, Phường Hải Dương</t>
  </si>
  <si>
    <t>WM+ LCI Thôn Bến Đền, Đông Cuông</t>
  </si>
  <si>
    <t>WM+ BNH Thôn Đình Cả, Tiên Du</t>
  </si>
  <si>
    <t>WM+ BNH Thôn Trung Lạc, Yên Trung</t>
  </si>
  <si>
    <t>WM+ PTO 24 Phố Re, Đại Đồng</t>
  </si>
  <si>
    <t>WM+ PTO Khu Tân Quang, Thanh Sơn</t>
  </si>
  <si>
    <t>WM+ LCI Thôn Trung Tâm, Xuân Ái</t>
  </si>
  <si>
    <t>WM+ HNI Tân Phúc, Thôn 5, Trung Giã</t>
  </si>
  <si>
    <t>WM+ PTO Khu Tranh Ngô, Vân Bán</t>
  </si>
  <si>
    <t>WM+ BNH Thôn Lôi Châu, Trung Kênh</t>
  </si>
  <si>
    <t>WM+ HYN Thôn Lai Triều, Thụy Anh</t>
  </si>
  <si>
    <t>WM+ PTO Khu 2 Yên Kiện, Chân Mộng</t>
  </si>
  <si>
    <t>WM+ HNI 304 Thôn Cựu Quán, Hoài Đức</t>
  </si>
  <si>
    <t>WM+ PTO Thôn Mới, Tiên Lữ</t>
  </si>
  <si>
    <t>WM+ TNN Xóm Thuần Pháp, Điềm Thụy</t>
  </si>
  <si>
    <t>WM+ NBH Xóm 2, Hải Hưng</t>
  </si>
  <si>
    <t>WM+ HNI 26 Thôn Thái Phù, Sóc Sơn</t>
  </si>
  <si>
    <t>WM+ NBH Xóm Tây Sơn, Hải Tiến</t>
  </si>
  <si>
    <t>WM+ HYN Thôn Đoàn Kết 2, Kiến Xương</t>
  </si>
  <si>
    <t>WM+ NBH Thôn Tam Giáp, Duy Hà</t>
  </si>
  <si>
    <t>WM+ HNI Lotus Sài Đồng, Phúc Lợi</t>
  </si>
  <si>
    <t>WM+ HPG 71 Hàng Kênh</t>
  </si>
  <si>
    <t>WM+ NBH Thôn 1 Mai Xá, Vĩnh Trụ</t>
  </si>
  <si>
    <t>WM+ PTO Thôn Cam Giá, Vĩnh Phú</t>
  </si>
  <si>
    <t>WM+ DBN Khối Thắng Lợi, Tuần Giáo</t>
  </si>
  <si>
    <t>WM+ HYN Doãn Khuê, Vũ Phúc</t>
  </si>
  <si>
    <t>WM+ NBH 857-859 Quốc Lộ 21, Tây Lễ</t>
  </si>
  <si>
    <t>WM+ PTO Thửa L6-L7, TBĐ QH, Phúc Yên</t>
  </si>
  <si>
    <t>WM+ HNI Thôn Bến, Quảng Bị</t>
  </si>
  <si>
    <t>WM+ PTO 514 Trường Chinh, Xuân Hòa</t>
  </si>
  <si>
    <t>WM+ PTO Khu 9, Tam Nông</t>
  </si>
  <si>
    <t>WM+ PTO Khu 11, Bình Phú</t>
  </si>
  <si>
    <t>WM+ LSN Tổ 1, Khối 6, Kỳ Lừa</t>
  </si>
  <si>
    <t>WM+ LCI Tổ 6, Phường Nghĩa Lộ</t>
  </si>
  <si>
    <t>WM+ HNI Thôn Cự Thần, Thanh Oai</t>
  </si>
  <si>
    <t>WM+ SLA 12-14 Hoàng Văn Thụ Sông Mã</t>
  </si>
  <si>
    <t>WM+ HPG Tuần Tiến, Tân Minh</t>
  </si>
  <si>
    <t>post 16</t>
  </si>
  <si>
    <t>23/07/2026</t>
  </si>
  <si>
    <t>19/08/2026</t>
  </si>
  <si>
    <t>2CIN</t>
  </si>
  <si>
    <t>WM+ TNN 1521 Đường 3/2, Tích Lương</t>
  </si>
  <si>
    <t>WM+ BNH 60 Trần Quốc Toản</t>
  </si>
  <si>
    <t>WM+ HPG 97 Bạch Đằng</t>
  </si>
  <si>
    <t>WM+ HNI 23 Gia Ngư</t>
  </si>
  <si>
    <t>WM+ HNI 317 Phố Vọng</t>
  </si>
  <si>
    <t>WM HNI Võ Thị Sáu</t>
  </si>
  <si>
    <t>WM+ HNI 27 ngách 254/1 đường Bưởi</t>
  </si>
  <si>
    <t>WM+ HNI 443 Đội Cấn</t>
  </si>
  <si>
    <t>WM+ HNI 79/34 Vĩnh Tuy</t>
  </si>
  <si>
    <t>WM+ HNI 227 Ngọc Lâm</t>
  </si>
  <si>
    <t>WM+ HNI 11 Ng Sơn</t>
  </si>
  <si>
    <t>WM+ HNI S2.01 Ocean Park</t>
  </si>
  <si>
    <t>WM VC HTH Kỳ Anh</t>
  </si>
  <si>
    <t>WM+ NAN LK1-04 Trường Thịnh Phát II</t>
  </si>
  <si>
    <t>WM VC NAN Nam Đàn</t>
  </si>
  <si>
    <t>WM VC NAN Thái Hòa</t>
  </si>
  <si>
    <t>WM+ HNI 29 Tây Mỗ</t>
  </si>
  <si>
    <t>WM+ HNI 387 Thụy Khuê</t>
  </si>
  <si>
    <t>WM+ HNI CT9A Sunny Garden</t>
  </si>
  <si>
    <t>WM+ HNI N01-T1 Khu đoàn ngoại giao</t>
  </si>
  <si>
    <t>WM+ HNI Ecohome 1</t>
  </si>
  <si>
    <t>WM+ HNI Sudico Mỹ Đình</t>
  </si>
  <si>
    <t>WM+ NDH 138 Hưng Yên</t>
  </si>
  <si>
    <t>WM+ TBH 68A Trần Hưng Đạo</t>
  </si>
  <si>
    <t>WM+ HNI B4-23 Cự Lộc</t>
  </si>
  <si>
    <t>WM+ HNI 163 Tân Mai</t>
  </si>
  <si>
    <t>WM+ HNI 12 Lô B Đại Kim</t>
  </si>
  <si>
    <t>WM+ HNI 38BT1 Pháp Vân</t>
  </si>
  <si>
    <t>WM HNI Thái Thịnh</t>
  </si>
  <si>
    <t>WM+ HNI 30C/477 Ng Trãi</t>
  </si>
  <si>
    <t>WM+ HNI 148 Lê Lợi</t>
  </si>
  <si>
    <t>WM+ HNI 19 Lương Định Của</t>
  </si>
  <si>
    <t>WM+ CBG 85 Tổ 7 Tân Giang</t>
  </si>
  <si>
    <t>WM+ HNI Thôn Bến Trung X Bắc Hồng</t>
  </si>
  <si>
    <t>WM+ HNI Bảo Tháp, Kim Hoa</t>
  </si>
  <si>
    <t>WM+ HNI Thái Bạt 2, Bất Bạt</t>
  </si>
  <si>
    <t>WM+ HNI Đông Hạ, Phú Cát</t>
  </si>
  <si>
    <t>WM+ HNI Thôn 2, Thạch Hòa</t>
  </si>
  <si>
    <t>WM+ HNI Thôn 5, Yên Xuân</t>
  </si>
  <si>
    <t>WM+ HNI 93 Dốc Chằm</t>
  </si>
  <si>
    <t>WM+ HTH Trường Lộc, Can Lộc</t>
  </si>
  <si>
    <t>WM+ BNH TDP Thống Nhất, Bố Hạ</t>
  </si>
  <si>
    <t>WM+ HPG Chợ Sung, Hà Nam</t>
  </si>
  <si>
    <t>WM+ HNI 14 Tây Tựu</t>
  </si>
  <si>
    <t>WM VCP NAN Vinh - Nghệ An</t>
  </si>
  <si>
    <t>WIN HNI CC A14, Ngõ 106 Hoàng Quốc Việt</t>
  </si>
  <si>
    <t>WM+ NAN Xóm 3, Đại Huệ</t>
  </si>
  <si>
    <t>WM+ HPG 472 Nguyễn Chế Nghĩa</t>
  </si>
  <si>
    <t>WM+ HPG 241 Nguyễn Trãi, Nam Sách</t>
  </si>
  <si>
    <t>WM+ HNI 2A Ngõ 303 Phúc Lợi</t>
  </si>
  <si>
    <t>WM+ HNI Khu TĐC LK19A-LK19B Dương Nội</t>
  </si>
  <si>
    <t>WM+ TNN 84 Bến Tượng</t>
  </si>
  <si>
    <t>WM+ THA 105 Lê Lợi</t>
  </si>
  <si>
    <t>WM+ HNI 129 Ngõ 40 Do Nha</t>
  </si>
  <si>
    <t>WM+ HNI 315 Nguyễn Văn Cừ</t>
  </si>
  <si>
    <t>WM+ NAN Khối Yên Sơn, Vinh Phú</t>
  </si>
  <si>
    <t>WM+ NAN Khối 14, Trường Vinh</t>
  </si>
  <si>
    <t>WM+ PTO Ngoại Trạch 2, Bình Nguyên</t>
  </si>
  <si>
    <t>WM+ NAN Khối Xuân Hương, Vinh Phú</t>
  </si>
  <si>
    <t>2CPP</t>
  </si>
  <si>
    <t>2CLM</t>
  </si>
  <si>
    <t>2COX</t>
  </si>
  <si>
    <t>2CNL</t>
  </si>
  <si>
    <t>2CNK</t>
  </si>
  <si>
    <t>2CMX</t>
  </si>
  <si>
    <t>2CPE</t>
  </si>
  <si>
    <t>2CPO</t>
  </si>
  <si>
    <t>2CQZ</t>
  </si>
  <si>
    <t>2CPW</t>
  </si>
  <si>
    <t>2CBY</t>
  </si>
  <si>
    <t>2CKS</t>
  </si>
  <si>
    <t>2CPZ</t>
  </si>
  <si>
    <t>2CPK</t>
  </si>
  <si>
    <t>2CPG</t>
  </si>
  <si>
    <t>2CHC</t>
  </si>
  <si>
    <t>2CGE</t>
  </si>
  <si>
    <t>2CQJ</t>
  </si>
  <si>
    <t>2CKJ</t>
  </si>
  <si>
    <t>2BR6</t>
  </si>
  <si>
    <t>2CMT</t>
  </si>
  <si>
    <t>2CPJ</t>
  </si>
  <si>
    <t>2CII</t>
  </si>
  <si>
    <t>WM+ BNH Thôn Đồng Quán, Bố Hạ</t>
  </si>
  <si>
    <t>WM+ BNH Thôn Quất Du 1, Phúc Hòa</t>
  </si>
  <si>
    <t>WM+ CBG 122 Lê Lợi, Nùng Trí Cao</t>
  </si>
  <si>
    <t>WM+ HNI 158 Vân Thọ, Mỹ Đức</t>
  </si>
  <si>
    <t>WM+ HNI 36 ngõ 533 Nguyễn Bình, Gia Lâm</t>
  </si>
  <si>
    <t>WM+ HNI 72 Thôn Tiên Chu, Trung Giã</t>
  </si>
  <si>
    <t>WM+ HNI Thôn Phú Mỹ A, Vật Lại</t>
  </si>
  <si>
    <t>WM+ HNI Xóm 14, Thôn Hậu Ái, Sơn Đồng</t>
  </si>
  <si>
    <t>WM+ HNI 120 Vĩnh Hưng</t>
  </si>
  <si>
    <t>WM+ HPG Hàm Dương, Nguyễn Bỉnh Khiêm</t>
  </si>
  <si>
    <t>WM+ HPG 56 Phương Lưu</t>
  </si>
  <si>
    <t>WM+ LCI Thôn Khe Hùm, X. Bảo Ái</t>
  </si>
  <si>
    <t>WM+ LCI Thôn Ngòi Khang, Bảo Ái</t>
  </si>
  <si>
    <t>WM+ LCI Thôn Phố Cũ, Si Ma Cai</t>
  </si>
  <si>
    <t>WM+ LCI Thôn Thị Tứ, Võ Lao</t>
  </si>
  <si>
    <t>WM+ LCI Thôn Trung Tâm, Đông Cuông</t>
  </si>
  <si>
    <t>WM+ NBH Thôn Nguyễn, Yên Sơn</t>
  </si>
  <si>
    <t>WM+ PTO Khu Tân Long, Đoan Hùng</t>
  </si>
  <si>
    <t>WM+ PTO TDP 2, P Tân Hòa</t>
  </si>
  <si>
    <t>WM+ QNH S2 CC Sapphire</t>
  </si>
  <si>
    <t>WM+ QNH 605 Hà Lầm</t>
  </si>
  <si>
    <t>WM+ SLA 55-57 Tiểu khu 20, Mai Sơn</t>
  </si>
  <si>
    <t>WM+ SLA 627-629 Lê Duẩn, Chiềng Sinh</t>
  </si>
  <si>
    <t>06/08/2026</t>
  </si>
  <si>
    <t>02/09/2026</t>
  </si>
  <si>
    <t>post 17</t>
  </si>
  <si>
    <t>20/08/2026</t>
  </si>
  <si>
    <t>2150294</t>
  </si>
  <si>
    <t>2CMV</t>
  </si>
  <si>
    <t>2CRG</t>
  </si>
  <si>
    <t>2COT</t>
  </si>
  <si>
    <t>2CPV</t>
  </si>
  <si>
    <t>2CPS</t>
  </si>
  <si>
    <t>2CLO</t>
  </si>
  <si>
    <t>2CKH</t>
  </si>
  <si>
    <t>2CPC</t>
  </si>
  <si>
    <t>2BMT</t>
  </si>
  <si>
    <t>2CRQ</t>
  </si>
  <si>
    <t>2CMG</t>
  </si>
  <si>
    <t>2CRD</t>
  </si>
  <si>
    <t>2CKZ</t>
  </si>
  <si>
    <t>2CRL</t>
  </si>
  <si>
    <t>2CNR</t>
  </si>
  <si>
    <t>2CPI</t>
  </si>
  <si>
    <t>2CKR</t>
  </si>
  <si>
    <t>2CPL</t>
  </si>
  <si>
    <t>2CQO</t>
  </si>
  <si>
    <t>2CTT</t>
  </si>
  <si>
    <t>2CSC</t>
  </si>
  <si>
    <t>2COV</t>
  </si>
  <si>
    <t>2CPX</t>
  </si>
  <si>
    <t>2CQR</t>
  </si>
  <si>
    <t>2CQW</t>
  </si>
  <si>
    <t>2CRT</t>
  </si>
  <si>
    <t>2CRR</t>
  </si>
  <si>
    <t>2CQX</t>
  </si>
  <si>
    <t>2CQS</t>
  </si>
  <si>
    <t>2CIH</t>
  </si>
  <si>
    <t>2CQE</t>
  </si>
  <si>
    <t>2COB</t>
  </si>
  <si>
    <t>2CRK</t>
  </si>
  <si>
    <t>2CSI</t>
  </si>
  <si>
    <t>2CRX</t>
  </si>
  <si>
    <t>2CRY</t>
  </si>
  <si>
    <t>2CVH</t>
  </si>
  <si>
    <t>2CQT</t>
  </si>
  <si>
    <t>2CNH</t>
  </si>
  <si>
    <t>2CSX</t>
  </si>
  <si>
    <t>2CRF</t>
  </si>
  <si>
    <t>2CPF</t>
  </si>
  <si>
    <t>2CON</t>
  </si>
  <si>
    <t>2CRH</t>
  </si>
  <si>
    <t>2CLT</t>
  </si>
  <si>
    <t>WM+ BNH Thôn Lạc Nhuế, Tam Đa</t>
  </si>
  <si>
    <t>WM+ NBH Xóm 5 Thanh Nộn</t>
  </si>
  <si>
    <t>WM+ NBH Xóm Hội, Hiển Khánh</t>
  </si>
  <si>
    <t>WM+ HNI Thôn Xuân Áp, Kim Anh</t>
  </si>
  <si>
    <t>WM+ TNN Xóm Lương Tiến, Trung Hội</t>
  </si>
  <si>
    <t>WM+ BNH Thôn Trung Hưng, Hợp Thịnh</t>
  </si>
  <si>
    <t>WM+ HYN Thôn Đức Trung, Đức Hợp</t>
  </si>
  <si>
    <t>WM+ HNI SH09-10 Pandora 53 Triều Khúc</t>
  </si>
  <si>
    <t>WM+ LCU 963 Lê Lợi</t>
  </si>
  <si>
    <t>WM+ NBH Tổ 6, Phường Trung Sơn</t>
  </si>
  <si>
    <t>WM+ PTO Xóm Giữa, Tiên Lương</t>
  </si>
  <si>
    <t>WM+ HYN Thôn Đông Cường, Nam Cường</t>
  </si>
  <si>
    <t>WM+ HYN Thôn Lương Điền, Đồng Châu</t>
  </si>
  <si>
    <t>WM+ HYN Thôn Tây Nha, Long Hưng</t>
  </si>
  <si>
    <t>WM+ LCI Thôn Trung Tâm, Thượng Bằng la</t>
  </si>
  <si>
    <t>WM+ LCI Thôn Bản Đường, Cầu Thia</t>
  </si>
  <si>
    <t>WM+ PTO Thôn Chợ Bến, X. Cao Dương</t>
  </si>
  <si>
    <t>WM+ LCI Thôn Yên Thành, Văn Bàn</t>
  </si>
  <si>
    <t>WM+ BNH Thôn Chân Lạc, Yên Trung</t>
  </si>
  <si>
    <t>WM+ HNI 101 D3 ngõ 5 Khuất Duy Tiến</t>
  </si>
  <si>
    <t>WM+ HNI Thôn Mai Trai, Cổ Đô</t>
  </si>
  <si>
    <t>WM+ NBH Thôn Lời Triệu, Hiển Khánh</t>
  </si>
  <si>
    <t>WM+ LCI 409 Giải Phóng, Mường Khương</t>
  </si>
  <si>
    <t>WM+ HNI Đội 6 Thôn Trinh Tiết, Mỹ Đức</t>
  </si>
  <si>
    <t>WM+ LCI Thôn Cốc Sâm 1, Xuân Quang</t>
  </si>
  <si>
    <t>WM+ TNN Xóm Bán Luông, Phú Thịnh</t>
  </si>
  <si>
    <t>WM+ PTO Thôn Vân Tập, Hội Thịnh</t>
  </si>
  <si>
    <t>WM+ LCI 285 Quang Trung, Yên Bái</t>
  </si>
  <si>
    <t>WM+ TQG Thôn 6 Thống Nhất, Yên Phú</t>
  </si>
  <si>
    <t>WM+ HNI GS26 Vinhomes Smart City, Tây Mỗ</t>
  </si>
  <si>
    <t>WM+ HNI B4 Cự Lộc, 108 Nguyễn Trãi</t>
  </si>
  <si>
    <t>WM+ HNI Ngõ 1 Phố Văn Hội</t>
  </si>
  <si>
    <t>WM+ HYN Thôn Kỹ Trang, Nguyễn Du</t>
  </si>
  <si>
    <t>WM+ HPG Thôn Mỹ Đức, Tân Kỳ</t>
  </si>
  <si>
    <t>WM+ HPG 52-54 Trại Lẻ</t>
  </si>
  <si>
    <t>WM+ HPG 565 Đường số 9 KNO Him Lam</t>
  </si>
  <si>
    <t>WM+ HNI 131 Dương Quảng Hàm</t>
  </si>
  <si>
    <t>WM+ QNH 170 Ba Lan</t>
  </si>
  <si>
    <t>WM+ THA Thôn Đồng Lạc, Hoằng Lộc</t>
  </si>
  <si>
    <t>WM+ NBH Thôn 8, Nam Lý</t>
  </si>
  <si>
    <t>WM+ NBH Thôn 8, Hải Anh</t>
  </si>
  <si>
    <t>WM+ PTO TDP Thống Nhất, Bình Tuyền</t>
  </si>
  <si>
    <t>WM+ PTO Thôn Bo Lục, Kim Bôi</t>
  </si>
  <si>
    <t>WM+ HYN Thôn Minh Tân, Bình Thanh</t>
  </si>
  <si>
    <t>WM+ HYN Xã Đông Thái Ninh</t>
  </si>
  <si>
    <t>post 18</t>
  </si>
  <si>
    <t>16/09/2026</t>
  </si>
  <si>
    <t>03/09/2026</t>
  </si>
  <si>
    <t>2CQY</t>
  </si>
  <si>
    <t>2CSP</t>
  </si>
  <si>
    <t>2CWF</t>
  </si>
  <si>
    <t>2BUZ</t>
  </si>
  <si>
    <t>2CSY</t>
  </si>
  <si>
    <t>2CRJ</t>
  </si>
  <si>
    <t>2CUH</t>
  </si>
  <si>
    <t>2CRC</t>
  </si>
  <si>
    <t>2CSQ</t>
  </si>
  <si>
    <t>2CTB</t>
  </si>
  <si>
    <t>2CSF</t>
  </si>
  <si>
    <t>2CUK</t>
  </si>
  <si>
    <t>2COS</t>
  </si>
  <si>
    <t>2CSK</t>
  </si>
  <si>
    <t>2CPR</t>
  </si>
  <si>
    <t>2COW</t>
  </si>
  <si>
    <t>2CTQ</t>
  </si>
  <si>
    <t>2CTF</t>
  </si>
  <si>
    <t>2CSO</t>
  </si>
  <si>
    <t>2CTS</t>
  </si>
  <si>
    <t>2CVJ</t>
  </si>
  <si>
    <t>2CUI</t>
  </si>
  <si>
    <t>2CWJ</t>
  </si>
  <si>
    <t>2CVZ</t>
  </si>
  <si>
    <t>2CVL</t>
  </si>
  <si>
    <t>2CVB</t>
  </si>
  <si>
    <t>2CVM</t>
  </si>
  <si>
    <t>2CWM</t>
  </si>
  <si>
    <t>2CVE</t>
  </si>
  <si>
    <t>2CUZ</t>
  </si>
  <si>
    <t>2CSW</t>
  </si>
  <si>
    <t>2CSJ</t>
  </si>
  <si>
    <t>2CUW</t>
  </si>
  <si>
    <t>2CUV</t>
  </si>
  <si>
    <t>2CUG</t>
  </si>
  <si>
    <t>WM+ LCI 222-224 Lý Thường Kiệt, Yên Bái</t>
  </si>
  <si>
    <t>WM+ PTO Thôn Ngọc Mỹ, Tân Lạc</t>
  </si>
  <si>
    <t>WM+ NBH 545 Trần Hưng Đạo</t>
  </si>
  <si>
    <t>WM+ PTO Phố Bằng, Mường Thàng</t>
  </si>
  <si>
    <t>WM+ HYN Thôn Trung Quý, Lê Lợi</t>
  </si>
  <si>
    <t>WM+ HYN Thôn Thiện Tường, Nam Cường</t>
  </si>
  <si>
    <t>WM+ PTO Thôn Cao Xá, Vĩnh Thành</t>
  </si>
  <si>
    <t>WM+ NBH Phố Cầu, Nam Trực</t>
  </si>
  <si>
    <t>WM+ BNH Thôn Ngô Xá, Phật Tích</t>
  </si>
  <si>
    <t>WM+ HNI Thôn Nội Xá, Hòa Xá</t>
  </si>
  <si>
    <t>WM+ HNI B1-B2 Athena Complex</t>
  </si>
  <si>
    <t>WM+ HNI 19 Trung Nghĩa, Mỹ Đức</t>
  </si>
  <si>
    <t>WM+ PTO Thôn Tân Lập, Đạo Trù</t>
  </si>
  <si>
    <t>WM+ PTO Khu 8, Đan Thượng</t>
  </si>
  <si>
    <t>WM+ LCI Thôn Bắc Hà 1, Bắc Hà</t>
  </si>
  <si>
    <t>WM+ HYN Thôn Hữu Đô Kỳ, Thần Khê</t>
  </si>
  <si>
    <t>WM+ TQG 254A Đường 20-8, Hà Giang 1</t>
  </si>
  <si>
    <t>WM+ TQG Thôn Lùng Thàng, Quản Bạ</t>
  </si>
  <si>
    <t>WM+ LCI Thôn 6, Liên Sơn</t>
  </si>
  <si>
    <t>WM+ TQG Thôn Minh Khai, Bằng Hành</t>
  </si>
  <si>
    <t>WM+ BNH Thôn Nghè 2, Lục Nam</t>
  </si>
  <si>
    <t>WM+ TNN Xóm Trung Tâm, Đại Phúc</t>
  </si>
  <si>
    <t>WM+ HYN Thôn Lạc Chính, Trần Lãm</t>
  </si>
  <si>
    <t>WM+ NBH Thôn Yên Bình, Lai Thành</t>
  </si>
  <si>
    <t>WM+ HPG Thôn 1, Thanh Hà</t>
  </si>
  <si>
    <t>WM+ HYN Thôn Trình Nhì, Tiền Hải</t>
  </si>
  <si>
    <t>WM+ HPG Thôn An Khoái, Thanh Miện</t>
  </si>
  <si>
    <t>WM+ BNH Thôn Thanh Văn 1, Lục Ngạn</t>
  </si>
  <si>
    <t>WM+ LCI Thôn 3, Xã Phong Hải</t>
  </si>
  <si>
    <t>WM+ HPG Thôn Quỳnh Khê, Phú Thái</t>
  </si>
  <si>
    <t>WM+ NBH Thôn Lộc, Đồng Thái</t>
  </si>
  <si>
    <t>WM+ HPG Thôn Nhân Trai, Kiến Hưng</t>
  </si>
  <si>
    <t>WM+ HPG 16 Manhattan 09</t>
  </si>
  <si>
    <t>WM+ LCI Thôn Trung Tâm, Vũ Linh</t>
  </si>
  <si>
    <t>WM+ PTO Thôn Đồng Nùng, Yên Lãng</t>
  </si>
  <si>
    <t>Aging</t>
  </si>
  <si>
    <t>24/08/2026</t>
  </si>
  <si>
    <t>8935101608621</t>
  </si>
  <si>
    <t>2153299</t>
  </si>
  <si>
    <t>Jăm bông Kimbap 170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</si>
</sst>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_-* #,##0.0_-;\-* #,##0.0_-;_-* &quot;-&quot;_-;_-@_-"/>
    <numFmt numFmtId="165" formatCode="_(* #,##0_);_(* \(#,##0\);_(* &quot;-&quot;??_);_(@_)"/>
    <numFmt numFmtId="166" formatCode="_-* #,##0_-;\-* #,##0_-;_-* &quot;-&quot;_-;_-@_-"/>
    <numFmt numFmtId="167" formatCode="_-* #,##0.00_-;\-* #,##0.00_-;_-* &quot;-&quot;??_-;_-@_-"/>
  </numFmts>
  <fonts count="15">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
      <sz val="11"/>
      <name val="Calibri"/>
    </font>
    <font>
      <sz val="11"/>
      <color theme="1"/>
      <name val="Calibri"/>
      <family val="2"/>
      <charset val="163"/>
      <scheme val="minor"/>
    </font>
    <font>
      <sz val="12"/>
      <color theme="1"/>
      <name val="Times New Roman"/>
      <family val="2"/>
    </font>
    <font>
      <sz val="11"/>
      <name val="Calibri"/>
      <family val="2"/>
      <scheme val="minor"/>
    </font>
    <font>
      <sz val="14"/>
      <name val="Times New Roman"/>
      <family val="1"/>
    </font>
    <font>
      <sz val="14"/>
      <name val="Calibri"/>
      <family val="2"/>
      <scheme val="minor"/>
    </font>
  </fonts>
  <fills count="7">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s>
  <borders count="8">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s>
  <cellStyleXfs count="91">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xf numFmtId="0" fontId="9" fillId="0" borderId="0"/>
    <xf numFmtId="43" fontId="7" fillId="0" borderId="0" applyFont="0" applyFill="0" applyBorder="0" applyAlignment="0" applyProtection="0"/>
    <xf numFmtId="0" fontId="11" fillId="0" borderId="0"/>
    <xf numFmtId="9" fontId="7" fillId="0" borderId="0" applyFont="0" applyFill="0" applyBorder="0" applyAlignment="0" applyProtection="0"/>
    <xf numFmtId="166" fontId="7"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0" fillId="0" borderId="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1" fillId="0" borderId="0"/>
    <xf numFmtId="167" fontId="1" fillId="0" borderId="0" applyFont="0" applyFill="0" applyBorder="0" applyAlignment="0" applyProtection="0"/>
    <xf numFmtId="9" fontId="1" fillId="0" borderId="0" applyFont="0" applyFill="0" applyBorder="0" applyAlignment="0" applyProtection="0"/>
    <xf numFmtId="0" fontId="7" fillId="0" borderId="0"/>
    <xf numFmtId="167" fontId="7"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0" fontId="10" fillId="0" borderId="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cellStyleXfs>
  <cellXfs count="71">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0" applyNumberFormat="1" applyFont="1" applyAlignment="1">
      <alignment vertical="center"/>
    </xf>
    <xf numFmtId="0" fontId="3" fillId="0" borderId="6" xfId="0" applyFont="1" applyBorder="1"/>
    <xf numFmtId="0" fontId="3" fillId="4" borderId="0" xfId="0"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xf numFmtId="0" fontId="9" fillId="0" borderId="0" xfId="6"/>
    <xf numFmtId="0" fontId="12" fillId="0" borderId="0" xfId="6" applyFont="1"/>
    <xf numFmtId="165" fontId="3" fillId="0" borderId="0" xfId="1" applyNumberFormat="1" applyFont="1" applyAlignment="1">
      <alignment vertical="center"/>
    </xf>
    <xf numFmtId="0" fontId="3" fillId="0" borderId="0" xfId="0" quotePrefix="1" applyFont="1" applyAlignment="1">
      <alignment vertical="center"/>
    </xf>
    <xf numFmtId="165" fontId="3" fillId="5" borderId="4" xfId="1" applyNumberFormat="1" applyFont="1" applyFill="1" applyBorder="1" applyAlignment="1">
      <alignment vertical="center"/>
    </xf>
    <xf numFmtId="49" fontId="3" fillId="5" borderId="0" xfId="0" applyNumberFormat="1" applyFont="1" applyFill="1" applyAlignment="1">
      <alignment vertical="center"/>
    </xf>
    <xf numFmtId="0" fontId="3" fillId="5" borderId="0" xfId="0" applyFont="1" applyFill="1" applyAlignment="1">
      <alignment vertical="center"/>
    </xf>
    <xf numFmtId="43" fontId="3" fillId="5" borderId="0" xfId="1" applyFont="1" applyFill="1" applyAlignment="1">
      <alignment vertical="center"/>
    </xf>
    <xf numFmtId="43" fontId="3" fillId="5" borderId="0" xfId="0" applyNumberFormat="1" applyFont="1" applyFill="1" applyAlignment="1">
      <alignment vertical="center"/>
    </xf>
    <xf numFmtId="0" fontId="0" fillId="0" borderId="0" xfId="0" quotePrefix="1"/>
    <xf numFmtId="49" fontId="0" fillId="0" borderId="2" xfId="6" applyNumberFormat="1" applyFont="1" applyBorder="1"/>
    <xf numFmtId="49" fontId="0" fillId="0" borderId="0" xfId="6" applyNumberFormat="1" applyFont="1"/>
    <xf numFmtId="0" fontId="7" fillId="0" borderId="0" xfId="6" applyFont="1"/>
    <xf numFmtId="1" fontId="0" fillId="0" borderId="1" xfId="0" quotePrefix="1" applyNumberFormat="1" applyBorder="1"/>
    <xf numFmtId="49" fontId="0" fillId="6" borderId="2" xfId="6" applyNumberFormat="1" applyFont="1" applyFill="1" applyBorder="1"/>
    <xf numFmtId="0" fontId="12" fillId="6" borderId="0" xfId="6" applyFont="1" applyFill="1"/>
    <xf numFmtId="165" fontId="3" fillId="0" borderId="0" xfId="1" applyNumberFormat="1" applyFont="1" applyFill="1" applyBorder="1" applyAlignment="1">
      <alignment vertical="center"/>
    </xf>
    <xf numFmtId="0" fontId="3" fillId="0" borderId="0" xfId="6" applyFont="1" applyAlignment="1">
      <alignment vertical="center"/>
    </xf>
    <xf numFmtId="43" fontId="3" fillId="0" borderId="0" xfId="1" applyFont="1" applyFill="1" applyBorder="1" applyAlignment="1">
      <alignment vertical="center"/>
    </xf>
    <xf numFmtId="43" fontId="3" fillId="0" borderId="0" xfId="1" applyFont="1" applyAlignment="1"/>
    <xf numFmtId="9" fontId="3" fillId="4" borderId="0" xfId="3" applyFont="1" applyFill="1" applyBorder="1" applyAlignment="1"/>
    <xf numFmtId="9" fontId="3" fillId="0" borderId="0" xfId="3" applyFont="1" applyAlignment="1"/>
    <xf numFmtId="9" fontId="3" fillId="5" borderId="0" xfId="3" applyFont="1" applyFill="1" applyAlignment="1"/>
    <xf numFmtId="9" fontId="3" fillId="0" borderId="0" xfId="3" applyFont="1" applyFill="1" applyBorder="1" applyAlignment="1"/>
    <xf numFmtId="9" fontId="13" fillId="0" borderId="0" xfId="9" quotePrefix="1" applyFont="1" applyFill="1" applyBorder="1" applyAlignment="1"/>
    <xf numFmtId="9" fontId="13" fillId="0" borderId="0" xfId="9" applyFont="1" applyFill="1" applyBorder="1" applyAlignment="1"/>
    <xf numFmtId="165" fontId="14" fillId="0" borderId="0" xfId="1" applyNumberFormat="1" applyFont="1" applyFill="1" applyBorder="1" applyAlignment="1">
      <alignment vertical="center"/>
    </xf>
    <xf numFmtId="49" fontId="14" fillId="0" borderId="0" xfId="0" applyNumberFormat="1" applyFont="1" applyAlignment="1">
      <alignment vertical="center"/>
    </xf>
    <xf numFmtId="0" fontId="14" fillId="0" borderId="0" xfId="6" applyFont="1" applyAlignment="1">
      <alignment vertical="center"/>
    </xf>
    <xf numFmtId="0" fontId="14" fillId="0" borderId="0" xfId="0" applyFont="1" applyAlignment="1">
      <alignment vertical="center"/>
    </xf>
    <xf numFmtId="43" fontId="14" fillId="0" borderId="0" xfId="1" applyFont="1" applyFill="1" applyBorder="1" applyAlignment="1">
      <alignment vertical="center"/>
    </xf>
    <xf numFmtId="43" fontId="14" fillId="0" borderId="0" xfId="0" applyNumberFormat="1" applyFont="1" applyAlignment="1">
      <alignment vertical="center"/>
    </xf>
    <xf numFmtId="9" fontId="14" fillId="0" borderId="0" xfId="3" applyFont="1" applyFill="1" applyBorder="1" applyAlignment="1"/>
    <xf numFmtId="0" fontId="14" fillId="0" borderId="6" xfId="6" applyFont="1" applyBorder="1" applyAlignment="1">
      <alignment vertical="center"/>
    </xf>
    <xf numFmtId="49" fontId="0" fillId="6" borderId="0" xfId="6" applyNumberFormat="1" applyFont="1" applyFill="1"/>
  </cellXfs>
  <cellStyles count="91">
    <cellStyle name="Comma" xfId="1" builtinId="3"/>
    <cellStyle name="Comma [0] 2" xfId="10" xr:uid="{2401179A-4BCF-4B0B-9019-92565103D68C}"/>
    <cellStyle name="Comma 10" xfId="20" xr:uid="{F15E1B1C-4465-45DD-BCFF-F8DC99EA9312}"/>
    <cellStyle name="Comma 10 2" xfId="48" xr:uid="{7A33C4E9-2F91-4A17-AA81-DE335AF81139}"/>
    <cellStyle name="Comma 11" xfId="21" xr:uid="{E6B81E52-C423-410B-A4B6-58D59F05E81C}"/>
    <cellStyle name="Comma 11 2" xfId="49" xr:uid="{FDC8AAE9-C8B6-416F-8C3B-AEDC93157B84}"/>
    <cellStyle name="Comma 12" xfId="22" xr:uid="{35A047DF-4E5D-4DEF-9DF7-358B7D9C916F}"/>
    <cellStyle name="Comma 12 2" xfId="50" xr:uid="{26878374-FA4E-410F-99F5-CA299153097E}"/>
    <cellStyle name="Comma 13" xfId="23" xr:uid="{4370E1F0-EF22-4D16-B6EA-5E127EA501E5}"/>
    <cellStyle name="Comma 13 2" xfId="51" xr:uid="{653DBCB7-BEB0-43A2-B2B2-A6CB2D73AD40}"/>
    <cellStyle name="Comma 14" xfId="24" xr:uid="{8F263337-28CF-443E-9A66-A712BA59AA65}"/>
    <cellStyle name="Comma 14 2" xfId="52" xr:uid="{E7ECC2AA-E051-49AD-A20A-EC28C7F2BCCC}"/>
    <cellStyle name="Comma 15" xfId="25" xr:uid="{6582DA0D-5A8F-4052-B2DB-9ACD23AD1E49}"/>
    <cellStyle name="Comma 15 2" xfId="53" xr:uid="{3CE2696D-657C-4106-8707-45622E7F6AB2}"/>
    <cellStyle name="Comma 16" xfId="26" xr:uid="{7E3748F7-B4FF-4719-A8D0-1AB8810F3CC3}"/>
    <cellStyle name="Comma 16 2" xfId="54" xr:uid="{16D46E54-0B15-459D-AA9F-890CAF5527C6}"/>
    <cellStyle name="Comma 17" xfId="27" xr:uid="{3E0701E2-1F90-43EE-96F6-342D5AB284FB}"/>
    <cellStyle name="Comma 17 2" xfId="55" xr:uid="{BCCC3ACA-BB8C-4183-B36E-993E192F13E7}"/>
    <cellStyle name="Comma 18" xfId="28" xr:uid="{069AF3A1-1815-4A91-B1FB-1872B51BFD3C}"/>
    <cellStyle name="Comma 18 2" xfId="56" xr:uid="{D35B72E1-B736-4444-9D73-D6880331AB68}"/>
    <cellStyle name="Comma 19" xfId="29" xr:uid="{8C9AAC0E-4CA2-457B-A43D-5DBDD7ECC6D1}"/>
    <cellStyle name="Comma 19 2" xfId="57" xr:uid="{6A4105A2-0883-458D-B27B-E8D077A5FFD2}"/>
    <cellStyle name="Comma 2" xfId="7" xr:uid="{A7D928DD-234E-4526-9B29-C38899145D95}"/>
    <cellStyle name="Comma 2 2" xfId="38" xr:uid="{0A12E3B2-9735-48F9-8686-ADEDE07B009A}"/>
    <cellStyle name="Comma 20" xfId="30" xr:uid="{3E010A55-A5E3-4757-B83E-3E5946888672}"/>
    <cellStyle name="Comma 20 2" xfId="58" xr:uid="{B778CA08-CDA6-4F8C-813B-7F5F2DB82DD9}"/>
    <cellStyle name="Comma 21" xfId="31" xr:uid="{F9822601-D7B6-43FC-9E59-09AE6D57C8EA}"/>
    <cellStyle name="Comma 21 2" xfId="59" xr:uid="{319A25A8-9138-4D43-8703-30A3276BE65C}"/>
    <cellStyle name="Comma 22" xfId="32" xr:uid="{287715D1-BEA3-4E03-A1F1-651C8ED5836F}"/>
    <cellStyle name="Comma 22 2" xfId="60" xr:uid="{01BF177E-0E3E-4A22-B172-FACFE879DCAC}"/>
    <cellStyle name="Comma 23" xfId="35" xr:uid="{86A596C6-10A9-48FC-9F10-9AE89736E83B}"/>
    <cellStyle name="Comma 24" xfId="33" xr:uid="{471450B6-B109-454B-A460-1F612E396455}"/>
    <cellStyle name="Comma 25" xfId="61" xr:uid="{0DCE1A1B-4AFE-442D-B727-D2C93198F9D6}"/>
    <cellStyle name="Comma 26" xfId="62" xr:uid="{EF5C7F08-6086-4E8F-B6DD-2A31CC1A3B4A}"/>
    <cellStyle name="Comma 27" xfId="63" xr:uid="{D66E1833-DCBE-42C8-A2F4-582C10C8B2B7}"/>
    <cellStyle name="Comma 28" xfId="64" xr:uid="{7CBCE5E2-1A87-485A-B9C0-08FC8BFE44FD}"/>
    <cellStyle name="Comma 29" xfId="65" xr:uid="{69E460B9-2B22-4730-A3D9-8DCF718A5BAD}"/>
    <cellStyle name="Comma 3" xfId="11" xr:uid="{7CAE09A2-1246-42CA-87E8-B7B8767E542C}"/>
    <cellStyle name="Comma 3 12" xfId="12" xr:uid="{41567916-7AF6-40E2-9232-BB0A82E118F9}"/>
    <cellStyle name="Comma 3 12 2" xfId="40" xr:uid="{773A7D3A-5FB1-4C77-AFCE-525036584843}"/>
    <cellStyle name="Comma 3 2" xfId="4" xr:uid="{A23925FA-D688-4876-BF15-5D3D9AAA4425}"/>
    <cellStyle name="Comma 3 3" xfId="39" xr:uid="{9D7BB092-E0EC-4625-9177-B3E4EC5AA220}"/>
    <cellStyle name="Comma 30" xfId="66" xr:uid="{C2C95240-B968-46B1-A3AC-27A60AB5A340}"/>
    <cellStyle name="Comma 31" xfId="67" xr:uid="{CB868E0A-F2B8-44F0-B82C-168F1AE70F2F}"/>
    <cellStyle name="Comma 32" xfId="69" xr:uid="{A7755AB6-E5BC-4D0C-8E10-940FC03E5A1F}"/>
    <cellStyle name="Comma 33" xfId="68" xr:uid="{F8200C3A-2B0A-4610-BC21-7E515CE899CA}"/>
    <cellStyle name="Comma 34" xfId="70" xr:uid="{02269D0D-3816-407D-BE03-759D9910BF92}"/>
    <cellStyle name="Comma 35" xfId="71" xr:uid="{03E387E9-B47F-4C89-B6B5-084EC1C7C6C6}"/>
    <cellStyle name="Comma 36" xfId="72" xr:uid="{0C632719-017D-4676-845B-C5A701B2AC18}"/>
    <cellStyle name="Comma 37" xfId="73" xr:uid="{77CD043D-88E3-47DE-BEAC-D12370DF31F6}"/>
    <cellStyle name="Comma 38" xfId="74" xr:uid="{C3DF2877-46A8-4A89-A77E-DD450CDBBCC6}"/>
    <cellStyle name="Comma 39" xfId="75" xr:uid="{670808CF-70B4-46C9-8E21-5E2708593101}"/>
    <cellStyle name="Comma 4" xfId="14" xr:uid="{8BE3AA67-75C5-4922-B7B6-8D77EA00E14B}"/>
    <cellStyle name="Comma 4 2" xfId="42" xr:uid="{B622284A-8145-4683-AF08-29A9C346471F}"/>
    <cellStyle name="Comma 40" xfId="76" xr:uid="{F48B203C-D3A2-4560-96A8-AABDDE8054B6}"/>
    <cellStyle name="Comma 41" xfId="78" xr:uid="{FB8DE7E3-776B-414A-A55E-5D06844CF825}"/>
    <cellStyle name="Comma 42" xfId="77" xr:uid="{57B6ABA0-A7CF-4022-9149-D9AD0DADA1ED}"/>
    <cellStyle name="Comma 43" xfId="81" xr:uid="{356E5464-8D3D-4FBA-AEFE-0D659E3CFF40}"/>
    <cellStyle name="Comma 44" xfId="83" xr:uid="{E9CBCE6C-56EB-44B4-9E76-B037ADF5C4F5}"/>
    <cellStyle name="Comma 45" xfId="82" xr:uid="{B61E8999-2F08-43B5-8EEC-1367C54EC8E6}"/>
    <cellStyle name="Comma 46" xfId="79" xr:uid="{8BD37245-530C-47B4-80C7-7813D71EA316}"/>
    <cellStyle name="Comma 47" xfId="85" xr:uid="{484408D5-0D4D-470C-9697-78448267A0B2}"/>
    <cellStyle name="Comma 48" xfId="80" xr:uid="{9E80484E-B1C5-4ED3-B9DB-91161019ADEA}"/>
    <cellStyle name="Comma 49" xfId="84" xr:uid="{5B9840A7-063F-46E8-A72E-FFA40F084864}"/>
    <cellStyle name="Comma 5" xfId="15" xr:uid="{1B99EEE7-5E30-4784-98C8-9499A561C663}"/>
    <cellStyle name="Comma 5 2" xfId="43" xr:uid="{5E98A66B-C47E-4748-916F-DBBA7ABEDDD3}"/>
    <cellStyle name="Comma 50" xfId="86" xr:uid="{227BD671-D173-4673-B9E4-A12BEE434EF5}"/>
    <cellStyle name="Comma 51" xfId="87" xr:uid="{CB03CFD8-30C8-4605-9DF7-E1AB6C1E5F0E}"/>
    <cellStyle name="Comma 52" xfId="88" xr:uid="{DCA8E439-9BD1-4DDA-ABBA-8D138D008817}"/>
    <cellStyle name="Comma 53" xfId="89" xr:uid="{188525D3-DA24-4CF4-86BD-465413882047}"/>
    <cellStyle name="Comma 54" xfId="90" xr:uid="{A2837A56-692A-4C1E-9DA8-477138256835}"/>
    <cellStyle name="Comma 6" xfId="16" xr:uid="{264B1648-479B-4CBF-99BC-6ED439AAD40F}"/>
    <cellStyle name="Comma 6 2" xfId="44" xr:uid="{C7CCA391-BAD2-4A8C-A555-847B2DDDA020}"/>
    <cellStyle name="Comma 7" xfId="17" xr:uid="{B33DB79A-149E-4510-909C-176CF8DF7E23}"/>
    <cellStyle name="Comma 7 2" xfId="45" xr:uid="{57650B51-34E5-4A04-B637-F1B1EC7FA664}"/>
    <cellStyle name="Comma 8" xfId="18" xr:uid="{22C37695-9BA3-485C-8644-E00F7306C625}"/>
    <cellStyle name="Comma 8 2" xfId="46" xr:uid="{923B7DB6-3A80-43E6-A91D-EC4C7A3F3324}"/>
    <cellStyle name="Comma 9" xfId="19" xr:uid="{2875765B-C21C-466E-9062-CB80136F02D0}"/>
    <cellStyle name="Comma 9 2" xfId="47" xr:uid="{305AF4E2-BD49-4AA5-9F65-7BEABA28F9AA}"/>
    <cellStyle name="Normal" xfId="0" builtinId="0"/>
    <cellStyle name="Normal 161" xfId="2" xr:uid="{CC9F605B-0172-4EC6-B012-8476AA34BE80}"/>
    <cellStyle name="Normal 2" xfId="5" xr:uid="{D2CAADC5-1669-4251-9E25-F8011EE922E6}"/>
    <cellStyle name="Normal 3" xfId="8" xr:uid="{3E589679-BD0F-412C-8485-884A0EA31FDB}"/>
    <cellStyle name="Normal 4" xfId="13" xr:uid="{8E3FF80B-E93C-44C2-B997-D81D142DFB7D}"/>
    <cellStyle name="Normal 4 2" xfId="41" xr:uid="{05EE663C-D409-4CBE-B10F-C1F8931D88A1}"/>
    <cellStyle name="Normal 5" xfId="6" xr:uid="{A63B3256-0F3B-4F0C-836F-FC363EDE4F5A}"/>
    <cellStyle name="Normal 5 2" xfId="37" xr:uid="{BE201046-F8BC-41F6-9FA4-E79D5DE3F205}"/>
    <cellStyle name="Normal 6" xfId="34" xr:uid="{982F94CE-9D42-42E8-8B2D-57DDE44DACAC}"/>
    <cellStyle name="Percent" xfId="3" builtinId="5"/>
    <cellStyle name="Percent 2" xfId="9" xr:uid="{F7704816-F71E-4B16-8374-BAFDC397824E}"/>
    <cellStyle name="Percent 3" xfId="36" xr:uid="{B1044FCA-8450-4C78-B2BD-61D0803C7968}"/>
  </cellStyles>
  <dxfs count="8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font>
        <b/>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family val="2"/>
        <scheme val="minor"/>
      </font>
      <border diagonalUp="0" diagonalDown="0" outline="0">
        <left style="thin">
          <color theme="2"/>
        </left>
        <right style="thin">
          <color theme="2"/>
        </right>
        <top style="thin">
          <color theme="2"/>
        </top>
        <bottom/>
      </border>
    </dxf>
    <dxf>
      <font>
        <b val="0"/>
        <i val="0"/>
        <strike val="0"/>
        <condense val="0"/>
        <extend val="0"/>
        <outline val="0"/>
        <shadow val="0"/>
        <u val="none"/>
        <vertAlign val="baseline"/>
        <sz val="11"/>
        <color theme="1"/>
        <name val="Calibri"/>
        <family val="2"/>
        <scheme val="minor"/>
      </font>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0" tint="-0.14996795556505021"/>
        </patternFill>
      </fill>
      <border diagonalUp="0" diagonalDown="0" outline="0">
        <left style="thin">
          <color theme="2"/>
        </left>
        <right style="thin">
          <color theme="2"/>
        </right>
        <top/>
        <bottom/>
      </border>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alignment horizontal="general" vertical="bottom"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horizontal="center" vertical="center" textRotation="0" wrapText="0" indent="0" justifyLastLine="0" shrinkToFit="0" readingOrder="0"/>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numFmt numFmtId="0" formatCode="General"/>
    </dxf>
    <dxf>
      <numFmt numFmtId="0" formatCode="General"/>
    </dxf>
    <dxf>
      <numFmt numFmtId="0" formatCode="General"/>
    </dxf>
    <dxf>
      <numFmt numFmtId="0" formatCode="General"/>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2D2C139C-49A1-4622-A803-3E63FC5B6572}">
      <tableStyleElement type="wholeTable" dxfId="86"/>
      <tableStyleElement type="headerRow" dxfId="8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8A31DE-44B5-4FD4-AF0D-622ABE4C263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09459-E3D4-4643-81CB-059A017BA239}" name="product" displayName="product" ref="A1:E979" tableType="queryTable" totalsRowShown="0">
  <autoFilter ref="A1:E979" xr:uid="{E5509459-E3D4-4643-81CB-059A017BA239}">
    <filterColumn colId="4">
      <filters>
        <filter val="Food Đức Việt"/>
      </filters>
    </filterColumn>
  </autoFilter>
  <tableColumns count="5">
    <tableColumn id="1" xr3:uid="{CE6305D2-B0A2-4AF4-AD54-51B9EE8E31D7}" uniqueName="1" name="Mã sản phẩm" queryTableFieldId="1" dataDxfId="84"/>
    <tableColumn id="2" xr3:uid="{78C0B3DE-4B0D-4F42-9CFB-367331B55B6E}" uniqueName="2" name="Tên sản phẩm" queryTableFieldId="2" dataDxfId="83"/>
    <tableColumn id="5" xr3:uid="{D7C71052-76A0-4EA7-B624-4A9D6A76F616}" uniqueName="5" name="DS - ĐV" queryTableFieldId="5" dataDxfId="82"/>
    <tableColumn id="6" xr3:uid="{72988F07-60F3-4EC8-982D-E631DB13AFBA}" uniqueName="6" name="OEM - DS - ĐV" queryTableFieldId="6" dataDxfId="81"/>
    <tableColumn id="4" xr3:uid="{06E26DB5-D709-41AE-8B98-A826C58C4A64}" uniqueName="4" name="MSG - DS - NK - ĐV" queryTableFieldId="4" dataDxfId="80"/>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19FBBD-8E6F-4E05-ADAF-92119CAB6842}" name="gia_goc" displayName="gia_goc" ref="A1:E233" totalsRowShown="0" headerRowDxfId="79" dataDxfId="78">
  <tableColumns count="5">
    <tableColumn id="1" xr3:uid="{2C40A1CB-C46A-4153-AED9-D8B01B3B1FDF}" name="Mã Barcode" dataDxfId="77"/>
    <tableColumn id="2" xr3:uid="{7456A678-F847-47ED-94C4-3C260C1552F3}" name="Mã sản phẩm" dataDxfId="76"/>
    <tableColumn id="3" xr3:uid="{8F00D34E-5FF5-4B46-92CA-973A13BE3354}" name="Tên sản phẩm" dataDxfId="75"/>
    <tableColumn id="4" xr3:uid="{E1BC9259-7622-4555-971D-35D04B656BA5}" name="Giá gốc" dataDxfId="74" dataCellStyle="Comma"/>
    <tableColumn id="5" xr3:uid="{8D11E962-8D0A-471C-A0EB-B80959C9286A}" name="Hệ thống" dataDxfId="73"/>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91B42-8F26-4CD6-A17C-B756C46AFE85}" name="gia_khuyen_mai" displayName="gia_khuyen_mai" ref="A1:Q170" totalsRowShown="0" headerRowDxfId="72" dataDxfId="71">
  <tableColumns count="17">
    <tableColumn id="16" xr3:uid="{3D638095-6A4C-4457-8987-56DFEC602049}" name="STT" dataDxfId="70" dataCellStyle="Comma">
      <calculatedColumnFormula>ROW()-1</calculatedColumnFormula>
    </tableColumn>
    <tableColumn id="1" xr3:uid="{CC8C6505-F6F3-49A5-990D-1D05F3C2A523}" name="Tên chương trình" dataDxfId="69"/>
    <tableColumn id="14" xr3:uid="{3CF3F57A-B7A9-4949-A2CD-7559736D578A}" name="Hệ thống" dataDxfId="68"/>
    <tableColumn id="13" xr3:uid="{914695FE-C4D2-4760-9B39-7E39BA176931}" name="Phạm vi" dataDxfId="67"/>
    <tableColumn id="7" xr3:uid="{0C5B54E1-CC44-4C58-883F-6EBB8D8B1560}" name="Ngày áp dụng" dataDxfId="66"/>
    <tableColumn id="6" xr3:uid="{E46FE077-A7BC-483C-9EC5-579E67208DED}" name="Ngày kết thúc" dataDxfId="65"/>
    <tableColumn id="8" xr3:uid="{38AD0AB6-8448-4FA9-90AD-E00435DC7105}" name="Barcode" dataDxfId="64"/>
    <tableColumn id="2" xr3:uid="{4F907A79-C404-45B8-8865-DAA53BD2BB5D}" name="Mã sản phẩm" dataDxfId="63">
      <calculatedColumnFormula>VLOOKUP(gia_khuyen_mai[[#This Row],[Barcode]],'Giá gốc'!$A:$B,2,0)</calculatedColumnFormula>
    </tableColumn>
    <tableColumn id="3" xr3:uid="{57D313CB-E05B-4C62-8D7B-1FBA1B603426}" name="Tên sản phẩm" dataDxfId="62">
      <calculatedColumnFormula>VLOOKUP(gia_khuyen_mai[[#This Row],[Mã sản phẩm]],'Giá gốc'!$B:$C,2,0)</calculatedColumnFormula>
    </tableColumn>
    <tableColumn id="4" xr3:uid="{4AC2CD1B-6CAA-414B-9586-47FBFA9FD3E7}" name="Giá gốc" dataDxfId="61" dataCellStyle="Comma">
      <calculatedColumnFormula>VLOOKUP(gia_khuyen_mai[[#This Row],[Mã sản phẩm]],'Giá gốc'!B:D,3,0)</calculatedColumnFormula>
    </tableColumn>
    <tableColumn id="9" xr3:uid="{BDE7683A-2B2E-4466-A858-7FCBDF8E1EF8}" name="% Giảm giá" dataDxfId="60" dataCellStyle="Percent"/>
    <tableColumn id="10" xr3:uid="{1727AD9F-F93C-4F3F-9A11-6C9525D5465E}" name="Giá khuyến mại" dataDxfId="59">
      <calculatedColumnFormula>ROUND((1-gia_khuyen_mai[[#This Row],[% Giảm giá]]) * gia_khuyen_mai[[#This Row],[Giá gốc]], 0)</calculatedColumnFormula>
    </tableColumn>
    <tableColumn id="15" xr3:uid="{309C4649-C5E5-488F-93A8-AF4DAA76C571}" name="Chương trình KM" dataDxfId="58"/>
    <tableColumn id="11" xr3:uid="{553C2C7E-2BDB-4322-B663-ED2D77F94C90}" name="Mã hàng tặng" dataDxfId="57"/>
    <tableColumn id="12" xr3:uid="{9B83A596-C597-4BF6-B840-6CC6C33B0988}" name="Tên hàng tặng" dataDxfId="56">
      <calculatedColumnFormula>IFERROR(VLOOKUP(gia_khuyen_mai[[#This Row],[Mã hàng tặng]],'Giá gốc'!B:C,2,0),"")</calculatedColumnFormula>
    </tableColumn>
    <tableColumn id="5" xr3:uid="{B98AE93A-CC51-433B-8429-C4A7F7A0D0B0}" name="Chương trình KAM" dataDxfId="55"/>
    <tableColumn id="17" xr3:uid="{622106C7-5406-4E9B-B608-2AEC51135AC8}" name="Loại hàng" dataDxfId="54">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F0F5EE-2F1D-459B-92FB-EFC41AE732A7}" name="Table8" displayName="Table8" ref="A1:I4065" totalsRowShown="0" headerRowDxfId="53" dataDxfId="52" tableBorderDxfId="51">
  <sortState xmlns:xlrd2="http://schemas.microsoft.com/office/spreadsheetml/2017/richdata2" ref="A2:I3619">
    <sortCondition sortBy="cellColor" ref="A1:A3619" dxfId="50"/>
  </sortState>
  <tableColumns count="9">
    <tableColumn id="1" xr3:uid="{E1F7E384-0140-4EA8-AFCB-ED63BFF6E92D}" name="Mã điểm giao" dataDxfId="49"/>
    <tableColumn id="2" xr3:uid="{BC28FE72-0CF1-4B29-91F8-C1D1AFC0DADB}" name="Hệ thống" dataDxfId="48"/>
    <tableColumn id="3" xr3:uid="{1076D369-316B-4E90-8B17-68A6B514BCB4}" name="Tên điểm giao" dataDxfId="47"/>
    <tableColumn id="4" xr3:uid="{6DE5C7D4-E5DE-478F-AB4D-F95EA4269F49}" name="Địa chỉ điểm giao" dataDxfId="46"/>
    <tableColumn id="5" xr3:uid="{9E7B3702-4CDD-48E4-A385-947AA2B1546E}" name="Mã khách hàng" dataDxfId="45"/>
    <tableColumn id="6" xr3:uid="{F2ABDEAC-1268-4D68-9C33-21242C5DE7BE}" name="Tên khách hàng" dataDxfId="44">
      <calculatedColumnFormula>VLOOKUP(Table8[[#This Row],[Mã khách hàng]],code_khach_hang[],2,0)</calculatedColumnFormula>
    </tableColumn>
    <tableColumn id="7" xr3:uid="{C4E931ED-C444-4313-89B0-64B07C7D98EE}" name="Chi nhánh" dataDxfId="43">
      <calculatedColumnFormula>VLOOKUP(Table8[[#This Row],[Mã khách hàng]],code_khach_hang[],3,0)</calculatedColumnFormula>
    </tableColumn>
    <tableColumn id="8" xr3:uid="{595D2146-6C6E-4A4A-9D05-25AA528A9E5B}" name="Nhóm hàng" dataDxfId="42">
      <calculatedColumnFormula>VLOOKUP(Table8[[#This Row],[Mã khách hàng]],'Khách hàng'!A:D,4,0)</calculatedColumnFormula>
    </tableColumn>
    <tableColumn id="9" xr3:uid="{2C823544-9944-474B-AF19-F6B825C6503A}" name="Mã kho" dataDxfId="41">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010370-E91F-46B3-A07C-429D08F21C94}" name="code_khach_hang" displayName="code_khach_hang" ref="A1:E50" totalsRowShown="0">
  <autoFilter ref="A1:E50" xr:uid="{E1010370-E91F-46B3-A07C-429D08F21C94}"/>
  <tableColumns count="5">
    <tableColumn id="1" xr3:uid="{98DC09AD-9C6F-4C33-81B3-6095338A9E9B}" name="Mã khách hàng"/>
    <tableColumn id="2" xr3:uid="{1FAA61F1-0B3B-4743-9373-0F30DDC00341}" name="Tên khách hàng"/>
    <tableColumn id="3" xr3:uid="{5F7BC317-96FA-41DD-8FB7-9B03855CAD5B}" name="Chi nhánh"/>
    <tableColumn id="4" xr3:uid="{C9C29A16-47E7-42C5-91F8-8D2E0A6A8BE4}" name="Nhóm hàng"/>
    <tableColumn id="6" xr3:uid="{E32DCF7A-DBD5-41AC-B995-63C05D42AA03}"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B7DC14-4D96-4F6A-93B0-240DDB5AE081}" name="cost_center" displayName="cost_center" ref="A1:D15" totalsRowShown="0" headerRowDxfId="40">
  <autoFilter ref="A1:D15" xr:uid="{8FA0E4B9-551A-4B90-AE2E-123DBEFB915B}">
    <filterColumn colId="0">
      <filters>
        <filter val="Food Đức Việt"/>
      </filters>
    </filterColumn>
  </autoFilter>
  <tableColumns count="4">
    <tableColumn id="2" xr3:uid="{D48BC9B3-774B-4457-A092-7FEB68AB3DA6}" name="Nhóm sản phẩm"/>
    <tableColumn id="3" xr3:uid="{9C4C8EB3-1460-4B07-AA95-9C52C170DCBC}" name="Chi nhánh"/>
    <tableColumn id="4" xr3:uid="{258C6346-9706-45A8-91E7-FC4D14781C29}" name="Cost center"/>
    <tableColumn id="5" xr3:uid="{D0DFC26C-A50D-430F-AE90-406466E0E3C0}" name="Tên" dataDxfId="39"/>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C05F40-C363-4DCB-BE5D-0A0045F8B258}" name="Table3" displayName="Table3" ref="C1:C4" totalsRowShown="0" headerRowDxfId="38" dataDxfId="37">
  <autoFilter ref="C1:C4" xr:uid="{ADC05F40-C363-4DCB-BE5D-0A0045F8B258}"/>
  <tableColumns count="1">
    <tableColumn id="1" xr3:uid="{9D66A733-528A-41BB-A541-CCD75B87ADB0}" name="Hệ thống" dataDxfId="36"/>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5BB425-C709-4E30-B692-C634F029F4C5}" name="Table4" displayName="Table4" ref="A1:A5" totalsRowShown="0" headerRowDxfId="35" dataDxfId="34">
  <autoFilter ref="A1:A5" xr:uid="{3E5BB425-C709-4E30-B692-C634F029F4C5}"/>
  <tableColumns count="1">
    <tableColumn id="1" xr3:uid="{8068B11E-DE88-4012-B8D2-4E3A6A990A5E}" name="Phạm vi" dataDxfId="33"/>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D308E8-3B5F-4678-BE60-E71492E4098C}" name="chuong_trinh" displayName="chuong_trinh" ref="E1:E3" totalsRowShown="0" headerRowDxfId="32" dataDxfId="31">
  <autoFilter ref="E1:E3" xr:uid="{5AD308E8-3B5F-4678-BE60-E71492E4098C}"/>
  <tableColumns count="1">
    <tableColumn id="1" xr3:uid="{090FBE7C-3012-4BB8-B161-C8913DD3AD9B}" name="Chương trình KM" dataDxfId="30"/>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05AE30-E17D-426D-B46F-6302B2466CAB}" name="Table6" displayName="Table6" ref="G1:G3" totalsRowShown="0" headerRowDxfId="29" dataDxfId="28">
  <autoFilter ref="G1:G3" xr:uid="{3805AE30-E17D-426D-B46F-6302B2466CAB}"/>
  <tableColumns count="1">
    <tableColumn id="1" xr3:uid="{4C6FE016-BD59-4F65-B58B-1F846720B07D}" name="DS-DV" dataDxfId="27"/>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AFCDDEB-5F61-44C7-8FEA-25E7FC5990A5}" name="Table12" displayName="Table12" ref="I1:I5" totalsRowShown="0" headerRowDxfId="26" dataDxfId="25">
  <autoFilter ref="I1:I5" xr:uid="{1AFCDDEB-5F61-44C7-8FEA-25E7FC5990A5}"/>
  <tableColumns count="1">
    <tableColumn id="1" xr3:uid="{BCE62694-B0AC-41FE-8A09-62367A5AF0BA}" name="MSG - DS - NK - ĐV" dataDxfId="24"/>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B961E9-913F-4CD7-B577-ADA7BAE73B05}" name="chi_nhanh" displayName="chi_nhanh" ref="K1:K9" totalsRowShown="0" headerRowDxfId="23" dataDxfId="22">
  <autoFilter ref="K1:K9" xr:uid="{7DB961E9-913F-4CD7-B577-ADA7BAE73B05}"/>
  <tableColumns count="1">
    <tableColumn id="1" xr3:uid="{A0E54596-C379-4875-893B-12BE27309887}" name="Chi nhánh" dataDxfId="21"/>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87FC37B-C85C-411A-B67A-8746E3534E56}" name="Table1115" displayName="Table1115" ref="M1:N7" totalsRowShown="0" headerRowDxfId="20" dataDxfId="19">
  <autoFilter ref="M1:N7" xr:uid="{987FC37B-C85C-411A-B67A-8746E3534E56}"/>
  <tableColumns count="2">
    <tableColumn id="1" xr3:uid="{61A405FA-1C6E-42CE-B141-07C2E716B041}" name="Mã kho" dataDxfId="18"/>
    <tableColumn id="2" xr3:uid="{EB2F09D8-48CD-47D6-9999-FB85D9342F16}" name="Tên kho" dataDxfId="17"/>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872D-4664-4409-95D0-23F553E10470}">
  <sheetPr>
    <tabColor rgb="FFFFC000"/>
  </sheetPr>
  <dimension ref="A1:J979"/>
  <sheetViews>
    <sheetView topLeftCell="A838" zoomScale="115" zoomScaleNormal="115" workbookViewId="0">
      <selection activeCell="E982" sqref="E982"/>
    </sheetView>
  </sheetViews>
  <sheetFormatPr defaultRowHeight="15"/>
  <cols>
    <col min="1" max="1" width="14.140625" bestFit="1" customWidth="1"/>
    <col min="2" max="2" width="72.28515625" bestFit="1" customWidth="1"/>
    <col min="3" max="3" width="18" bestFit="1" customWidth="1"/>
    <col min="4" max="4" width="14.140625" bestFit="1" customWidth="1"/>
    <col min="5" max="5" width="18" bestFit="1" customWidth="1"/>
  </cols>
  <sheetData>
    <row r="1" spans="1:5">
      <c r="A1" t="s">
        <v>486</v>
      </c>
      <c r="B1" t="s">
        <v>487</v>
      </c>
      <c r="C1" t="s">
        <v>9365</v>
      </c>
      <c r="D1" t="s">
        <v>9366</v>
      </c>
      <c r="E1" t="s">
        <v>9367</v>
      </c>
    </row>
    <row r="2" spans="1:5">
      <c r="A2" s="45" t="s">
        <v>13246</v>
      </c>
      <c r="B2" t="s">
        <v>9368</v>
      </c>
      <c r="C2" t="s">
        <v>9369</v>
      </c>
      <c r="D2" t="s">
        <v>9369</v>
      </c>
      <c r="E2" t="s">
        <v>9369</v>
      </c>
    </row>
    <row r="3" spans="1:5">
      <c r="A3" t="s">
        <v>9370</v>
      </c>
      <c r="B3" t="s">
        <v>9371</v>
      </c>
      <c r="C3" t="s">
        <v>9369</v>
      </c>
      <c r="D3" t="s">
        <v>9369</v>
      </c>
      <c r="E3" t="s">
        <v>9369</v>
      </c>
    </row>
    <row r="4" spans="1:5">
      <c r="A4" t="s">
        <v>9372</v>
      </c>
      <c r="B4" t="s">
        <v>9373</v>
      </c>
      <c r="C4" t="s">
        <v>9369</v>
      </c>
      <c r="D4" t="s">
        <v>9369</v>
      </c>
      <c r="E4" t="s">
        <v>9369</v>
      </c>
    </row>
    <row r="5" spans="1:5">
      <c r="A5" t="s">
        <v>9374</v>
      </c>
      <c r="B5" t="s">
        <v>9375</v>
      </c>
      <c r="C5" t="s">
        <v>9369</v>
      </c>
      <c r="D5" t="s">
        <v>9369</v>
      </c>
      <c r="E5" t="s">
        <v>9369</v>
      </c>
    </row>
    <row r="6" spans="1:5" hidden="1">
      <c r="A6" t="s">
        <v>9376</v>
      </c>
      <c r="B6" t="s">
        <v>9377</v>
      </c>
      <c r="C6" t="s">
        <v>9378</v>
      </c>
      <c r="D6" t="s">
        <v>9378</v>
      </c>
      <c r="E6" t="s">
        <v>9378</v>
      </c>
    </row>
    <row r="7" spans="1:5">
      <c r="A7" t="s">
        <v>477</v>
      </c>
      <c r="B7" t="s">
        <v>9379</v>
      </c>
      <c r="C7" t="s">
        <v>9369</v>
      </c>
      <c r="D7" t="s">
        <v>9369</v>
      </c>
      <c r="E7" t="s">
        <v>9369</v>
      </c>
    </row>
    <row r="8" spans="1:5">
      <c r="A8" t="s">
        <v>480</v>
      </c>
      <c r="B8" t="s">
        <v>9380</v>
      </c>
      <c r="C8" t="s">
        <v>9369</v>
      </c>
      <c r="D8" t="s">
        <v>9369</v>
      </c>
      <c r="E8" t="s">
        <v>9369</v>
      </c>
    </row>
    <row r="9" spans="1:5" hidden="1">
      <c r="A9" t="s">
        <v>9381</v>
      </c>
      <c r="B9" t="s">
        <v>9382</v>
      </c>
      <c r="C9" t="s">
        <v>9378</v>
      </c>
      <c r="D9" t="s">
        <v>9378</v>
      </c>
      <c r="E9" t="s">
        <v>9378</v>
      </c>
    </row>
    <row r="10" spans="1:5">
      <c r="A10" t="s">
        <v>9383</v>
      </c>
      <c r="B10" t="s">
        <v>9384</v>
      </c>
      <c r="C10" t="s">
        <v>9369</v>
      </c>
      <c r="D10" t="s">
        <v>9369</v>
      </c>
      <c r="E10" t="s">
        <v>9369</v>
      </c>
    </row>
    <row r="11" spans="1:5">
      <c r="A11" t="s">
        <v>9385</v>
      </c>
      <c r="B11" t="s">
        <v>9386</v>
      </c>
      <c r="C11" t="s">
        <v>9369</v>
      </c>
      <c r="D11" t="s">
        <v>9369</v>
      </c>
      <c r="E11" t="s">
        <v>9369</v>
      </c>
    </row>
    <row r="12" spans="1:5" hidden="1">
      <c r="A12" t="s">
        <v>9387</v>
      </c>
      <c r="B12" t="s">
        <v>9388</v>
      </c>
      <c r="C12" t="s">
        <v>9378</v>
      </c>
      <c r="D12" t="s">
        <v>9378</v>
      </c>
      <c r="E12" t="s">
        <v>9378</v>
      </c>
    </row>
    <row r="13" spans="1:5" hidden="1">
      <c r="A13" t="s">
        <v>9389</v>
      </c>
      <c r="B13" t="s">
        <v>9390</v>
      </c>
      <c r="C13" t="s">
        <v>9378</v>
      </c>
      <c r="D13" t="s">
        <v>9378</v>
      </c>
      <c r="E13" t="s">
        <v>9378</v>
      </c>
    </row>
    <row r="14" spans="1:5" hidden="1">
      <c r="A14" t="s">
        <v>9391</v>
      </c>
      <c r="B14" t="s">
        <v>9392</v>
      </c>
      <c r="C14" t="s">
        <v>9378</v>
      </c>
      <c r="D14" t="s">
        <v>9378</v>
      </c>
      <c r="E14" t="s">
        <v>9378</v>
      </c>
    </row>
    <row r="15" spans="1:5" hidden="1">
      <c r="A15" t="s">
        <v>9393</v>
      </c>
      <c r="B15" t="s">
        <v>9394</v>
      </c>
      <c r="C15" t="s">
        <v>9378</v>
      </c>
      <c r="D15" t="s">
        <v>9378</v>
      </c>
      <c r="E15" t="s">
        <v>9378</v>
      </c>
    </row>
    <row r="16" spans="1:5" hidden="1">
      <c r="A16" t="s">
        <v>9395</v>
      </c>
      <c r="B16" t="s">
        <v>9396</v>
      </c>
      <c r="C16" t="s">
        <v>9378</v>
      </c>
      <c r="D16" t="s">
        <v>9378</v>
      </c>
      <c r="E16" t="s">
        <v>9353</v>
      </c>
    </row>
    <row r="17" spans="1:5" hidden="1">
      <c r="A17" t="s">
        <v>9397</v>
      </c>
      <c r="B17" t="s">
        <v>9398</v>
      </c>
      <c r="C17" t="s">
        <v>9378</v>
      </c>
      <c r="D17" t="s">
        <v>9378</v>
      </c>
      <c r="E17" t="s">
        <v>9353</v>
      </c>
    </row>
    <row r="18" spans="1:5" hidden="1">
      <c r="A18" t="s">
        <v>9399</v>
      </c>
      <c r="B18" t="s">
        <v>9400</v>
      </c>
      <c r="C18" t="s">
        <v>9378</v>
      </c>
      <c r="D18" t="s">
        <v>9378</v>
      </c>
      <c r="E18" t="s">
        <v>9353</v>
      </c>
    </row>
    <row r="19" spans="1:5" hidden="1">
      <c r="A19" t="s">
        <v>9401</v>
      </c>
      <c r="B19" t="s">
        <v>9402</v>
      </c>
      <c r="C19" t="s">
        <v>9378</v>
      </c>
      <c r="D19" t="s">
        <v>9378</v>
      </c>
      <c r="E19" t="s">
        <v>9378</v>
      </c>
    </row>
    <row r="20" spans="1:5" hidden="1">
      <c r="A20" t="s">
        <v>9403</v>
      </c>
      <c r="B20" t="s">
        <v>9404</v>
      </c>
      <c r="C20" t="s">
        <v>9378</v>
      </c>
      <c r="D20" t="s">
        <v>9378</v>
      </c>
      <c r="E20" t="s">
        <v>9405</v>
      </c>
    </row>
    <row r="21" spans="1:5" hidden="1">
      <c r="A21" t="s">
        <v>9406</v>
      </c>
      <c r="B21" t="s">
        <v>9407</v>
      </c>
      <c r="C21" t="s">
        <v>9378</v>
      </c>
      <c r="D21" t="s">
        <v>9378</v>
      </c>
      <c r="E21" t="s">
        <v>9378</v>
      </c>
    </row>
    <row r="22" spans="1:5" hidden="1">
      <c r="A22" t="s">
        <v>9408</v>
      </c>
      <c r="B22" t="s">
        <v>9409</v>
      </c>
      <c r="C22" t="s">
        <v>9378</v>
      </c>
      <c r="D22" t="s">
        <v>9378</v>
      </c>
      <c r="E22" t="s">
        <v>9378</v>
      </c>
    </row>
    <row r="23" spans="1:5" hidden="1">
      <c r="A23" t="s">
        <v>9410</v>
      </c>
      <c r="B23" t="s">
        <v>9411</v>
      </c>
      <c r="C23" t="s">
        <v>9378</v>
      </c>
      <c r="D23" t="s">
        <v>9378</v>
      </c>
      <c r="E23" t="s">
        <v>9378</v>
      </c>
    </row>
    <row r="24" spans="1:5" hidden="1">
      <c r="A24" t="s">
        <v>9412</v>
      </c>
      <c r="B24" t="s">
        <v>9413</v>
      </c>
      <c r="C24" t="s">
        <v>9378</v>
      </c>
      <c r="D24" t="s">
        <v>9378</v>
      </c>
      <c r="E24" t="s">
        <v>9405</v>
      </c>
    </row>
    <row r="25" spans="1:5" hidden="1">
      <c r="A25" t="s">
        <v>9414</v>
      </c>
      <c r="B25" t="s">
        <v>9415</v>
      </c>
      <c r="C25" t="s">
        <v>9378</v>
      </c>
      <c r="D25" t="s">
        <v>9378</v>
      </c>
      <c r="E25" t="s">
        <v>9378</v>
      </c>
    </row>
    <row r="26" spans="1:5" hidden="1">
      <c r="A26" t="s">
        <v>9416</v>
      </c>
      <c r="B26" t="s">
        <v>9417</v>
      </c>
      <c r="C26" t="s">
        <v>9378</v>
      </c>
      <c r="D26" t="s">
        <v>9378</v>
      </c>
      <c r="E26" t="s">
        <v>9378</v>
      </c>
    </row>
    <row r="27" spans="1:5" hidden="1">
      <c r="A27" t="s">
        <v>9418</v>
      </c>
      <c r="B27" t="s">
        <v>9419</v>
      </c>
      <c r="C27" t="s">
        <v>9378</v>
      </c>
      <c r="D27" t="s">
        <v>9378</v>
      </c>
      <c r="E27" t="s">
        <v>9405</v>
      </c>
    </row>
    <row r="28" spans="1:5" hidden="1">
      <c r="A28" t="s">
        <v>9420</v>
      </c>
      <c r="B28" t="s">
        <v>9421</v>
      </c>
      <c r="C28" t="s">
        <v>9378</v>
      </c>
      <c r="D28" t="s">
        <v>9378</v>
      </c>
      <c r="E28" t="s">
        <v>9378</v>
      </c>
    </row>
    <row r="29" spans="1:5" hidden="1">
      <c r="A29" t="s">
        <v>9422</v>
      </c>
      <c r="B29" t="s">
        <v>9423</v>
      </c>
      <c r="C29" t="s">
        <v>9378</v>
      </c>
      <c r="D29" t="s">
        <v>9378</v>
      </c>
      <c r="E29" t="s">
        <v>9378</v>
      </c>
    </row>
    <row r="30" spans="1:5" hidden="1">
      <c r="A30" t="s">
        <v>9424</v>
      </c>
      <c r="B30" t="s">
        <v>9425</v>
      </c>
      <c r="C30" t="s">
        <v>9378</v>
      </c>
      <c r="D30" t="s">
        <v>9378</v>
      </c>
      <c r="E30" t="s">
        <v>9378</v>
      </c>
    </row>
    <row r="31" spans="1:5" hidden="1">
      <c r="A31" t="s">
        <v>9426</v>
      </c>
      <c r="B31" t="s">
        <v>9427</v>
      </c>
      <c r="C31" t="s">
        <v>9378</v>
      </c>
      <c r="D31" t="s">
        <v>9378</v>
      </c>
      <c r="E31" t="s">
        <v>9378</v>
      </c>
    </row>
    <row r="32" spans="1:5" hidden="1">
      <c r="A32" t="s">
        <v>9428</v>
      </c>
      <c r="B32" t="s">
        <v>9429</v>
      </c>
      <c r="C32" t="s">
        <v>9378</v>
      </c>
      <c r="D32" t="s">
        <v>9378</v>
      </c>
      <c r="E32" t="s">
        <v>9378</v>
      </c>
    </row>
    <row r="33" spans="1:5" hidden="1">
      <c r="A33" t="s">
        <v>9430</v>
      </c>
      <c r="B33" t="s">
        <v>9431</v>
      </c>
      <c r="C33" t="s">
        <v>9378</v>
      </c>
      <c r="D33" t="s">
        <v>9378</v>
      </c>
      <c r="E33" t="s">
        <v>9378</v>
      </c>
    </row>
    <row r="34" spans="1:5" hidden="1">
      <c r="A34" t="s">
        <v>9432</v>
      </c>
      <c r="B34" t="s">
        <v>9433</v>
      </c>
      <c r="C34" t="s">
        <v>9378</v>
      </c>
      <c r="D34" t="s">
        <v>9378</v>
      </c>
      <c r="E34" t="s">
        <v>9378</v>
      </c>
    </row>
    <row r="35" spans="1:5" hidden="1">
      <c r="A35" t="s">
        <v>9434</v>
      </c>
      <c r="B35" t="s">
        <v>9435</v>
      </c>
      <c r="C35" t="s">
        <v>9378</v>
      </c>
      <c r="D35" t="s">
        <v>9378</v>
      </c>
      <c r="E35" t="s">
        <v>9378</v>
      </c>
    </row>
    <row r="36" spans="1:5" hidden="1">
      <c r="A36" t="s">
        <v>9436</v>
      </c>
      <c r="B36" t="s">
        <v>9437</v>
      </c>
      <c r="C36" t="s">
        <v>9378</v>
      </c>
      <c r="D36" t="s">
        <v>9378</v>
      </c>
      <c r="E36" t="s">
        <v>9378</v>
      </c>
    </row>
    <row r="37" spans="1:5" hidden="1">
      <c r="A37" t="s">
        <v>9438</v>
      </c>
      <c r="B37" t="s">
        <v>9439</v>
      </c>
      <c r="C37" t="s">
        <v>9378</v>
      </c>
      <c r="D37" t="s">
        <v>9378</v>
      </c>
      <c r="E37" t="s">
        <v>9378</v>
      </c>
    </row>
    <row r="38" spans="1:5" hidden="1">
      <c r="A38" t="s">
        <v>9440</v>
      </c>
      <c r="B38" t="s">
        <v>9441</v>
      </c>
      <c r="C38" t="s">
        <v>9378</v>
      </c>
      <c r="D38" t="s">
        <v>9378</v>
      </c>
      <c r="E38" t="s">
        <v>9378</v>
      </c>
    </row>
    <row r="39" spans="1:5" hidden="1">
      <c r="A39" t="s">
        <v>9442</v>
      </c>
      <c r="B39" t="s">
        <v>9443</v>
      </c>
      <c r="C39" t="s">
        <v>9378</v>
      </c>
      <c r="D39" t="s">
        <v>9378</v>
      </c>
      <c r="E39" t="s">
        <v>9378</v>
      </c>
    </row>
    <row r="40" spans="1:5" hidden="1">
      <c r="A40" t="s">
        <v>9444</v>
      </c>
      <c r="B40" t="s">
        <v>9445</v>
      </c>
      <c r="C40" t="s">
        <v>9378</v>
      </c>
      <c r="D40" t="s">
        <v>9378</v>
      </c>
      <c r="E40" t="s">
        <v>9378</v>
      </c>
    </row>
    <row r="41" spans="1:5" hidden="1">
      <c r="A41" t="s">
        <v>9446</v>
      </c>
      <c r="B41" t="s">
        <v>9447</v>
      </c>
      <c r="C41" t="s">
        <v>9378</v>
      </c>
      <c r="D41" t="s">
        <v>9378</v>
      </c>
      <c r="E41" t="s">
        <v>9378</v>
      </c>
    </row>
    <row r="42" spans="1:5" hidden="1">
      <c r="A42" t="s">
        <v>9448</v>
      </c>
      <c r="B42" t="s">
        <v>9449</v>
      </c>
      <c r="C42" t="s">
        <v>9378</v>
      </c>
      <c r="D42" t="s">
        <v>9378</v>
      </c>
      <c r="E42" t="s">
        <v>9378</v>
      </c>
    </row>
    <row r="43" spans="1:5" hidden="1">
      <c r="A43" t="s">
        <v>9450</v>
      </c>
      <c r="B43" t="s">
        <v>9451</v>
      </c>
      <c r="C43" t="s">
        <v>9378</v>
      </c>
      <c r="D43" t="s">
        <v>9378</v>
      </c>
      <c r="E43" t="s">
        <v>9405</v>
      </c>
    </row>
    <row r="44" spans="1:5" hidden="1">
      <c r="A44" t="s">
        <v>9452</v>
      </c>
      <c r="B44" t="s">
        <v>9453</v>
      </c>
      <c r="C44" t="s">
        <v>9378</v>
      </c>
      <c r="D44" t="s">
        <v>9378</v>
      </c>
      <c r="E44" t="s">
        <v>9405</v>
      </c>
    </row>
    <row r="45" spans="1:5" hidden="1">
      <c r="A45" t="s">
        <v>9454</v>
      </c>
      <c r="B45" t="s">
        <v>9455</v>
      </c>
      <c r="C45" t="s">
        <v>9378</v>
      </c>
      <c r="D45" t="s">
        <v>9378</v>
      </c>
      <c r="E45" t="s">
        <v>9378</v>
      </c>
    </row>
    <row r="46" spans="1:5" hidden="1">
      <c r="A46" t="s">
        <v>9456</v>
      </c>
      <c r="B46" t="s">
        <v>9457</v>
      </c>
      <c r="C46" t="s">
        <v>9378</v>
      </c>
      <c r="D46" t="s">
        <v>9378</v>
      </c>
      <c r="E46" t="s">
        <v>9378</v>
      </c>
    </row>
    <row r="47" spans="1:5" hidden="1">
      <c r="A47" t="s">
        <v>9458</v>
      </c>
      <c r="B47" t="s">
        <v>9459</v>
      </c>
      <c r="C47" t="s">
        <v>9378</v>
      </c>
      <c r="D47" t="s">
        <v>9378</v>
      </c>
      <c r="E47" t="s">
        <v>9378</v>
      </c>
    </row>
    <row r="48" spans="1:5" hidden="1">
      <c r="A48" t="s">
        <v>9460</v>
      </c>
      <c r="B48" t="s">
        <v>9461</v>
      </c>
      <c r="C48" t="s">
        <v>9378</v>
      </c>
      <c r="D48" t="s">
        <v>9378</v>
      </c>
      <c r="E48" t="s">
        <v>9405</v>
      </c>
    </row>
    <row r="49" spans="1:5" hidden="1">
      <c r="A49" t="s">
        <v>9462</v>
      </c>
      <c r="B49" t="s">
        <v>9463</v>
      </c>
      <c r="C49" t="s">
        <v>9378</v>
      </c>
      <c r="D49" t="s">
        <v>9378</v>
      </c>
      <c r="E49" t="s">
        <v>9378</v>
      </c>
    </row>
    <row r="50" spans="1:5" hidden="1">
      <c r="A50" t="s">
        <v>9464</v>
      </c>
      <c r="B50" t="s">
        <v>9465</v>
      </c>
      <c r="C50" t="s">
        <v>9378</v>
      </c>
      <c r="D50" t="s">
        <v>9378</v>
      </c>
      <c r="E50" t="s">
        <v>9378</v>
      </c>
    </row>
    <row r="51" spans="1:5" hidden="1">
      <c r="A51" t="s">
        <v>9466</v>
      </c>
      <c r="B51" t="s">
        <v>9467</v>
      </c>
      <c r="C51" t="s">
        <v>9378</v>
      </c>
      <c r="D51" t="s">
        <v>9378</v>
      </c>
      <c r="E51" t="s">
        <v>9378</v>
      </c>
    </row>
    <row r="52" spans="1:5" hidden="1">
      <c r="A52" t="s">
        <v>9468</v>
      </c>
      <c r="B52" t="s">
        <v>9469</v>
      </c>
      <c r="C52" t="s">
        <v>9378</v>
      </c>
      <c r="D52" t="s">
        <v>9378</v>
      </c>
      <c r="E52" t="s">
        <v>9378</v>
      </c>
    </row>
    <row r="53" spans="1:5" hidden="1">
      <c r="A53" t="s">
        <v>9470</v>
      </c>
      <c r="B53" t="s">
        <v>9471</v>
      </c>
      <c r="C53" t="s">
        <v>9378</v>
      </c>
      <c r="D53" t="s">
        <v>9378</v>
      </c>
      <c r="E53" t="s">
        <v>9378</v>
      </c>
    </row>
    <row r="54" spans="1:5" hidden="1">
      <c r="A54" t="s">
        <v>9472</v>
      </c>
      <c r="B54" t="s">
        <v>9473</v>
      </c>
      <c r="C54" t="s">
        <v>9378</v>
      </c>
      <c r="D54" t="s">
        <v>9378</v>
      </c>
      <c r="E54" t="s">
        <v>9378</v>
      </c>
    </row>
    <row r="55" spans="1:5" hidden="1">
      <c r="A55" t="s">
        <v>9474</v>
      </c>
      <c r="B55" t="s">
        <v>9475</v>
      </c>
      <c r="C55" t="s">
        <v>9378</v>
      </c>
      <c r="D55" t="s">
        <v>9378</v>
      </c>
      <c r="E55" t="s">
        <v>9378</v>
      </c>
    </row>
    <row r="56" spans="1:5" hidden="1">
      <c r="A56" t="s">
        <v>9476</v>
      </c>
      <c r="B56" t="s">
        <v>9477</v>
      </c>
      <c r="C56" t="s">
        <v>9378</v>
      </c>
      <c r="D56" t="s">
        <v>9378</v>
      </c>
      <c r="E56" t="s">
        <v>9405</v>
      </c>
    </row>
    <row r="57" spans="1:5" hidden="1">
      <c r="A57" t="s">
        <v>9478</v>
      </c>
      <c r="B57" t="s">
        <v>9479</v>
      </c>
      <c r="C57" t="s">
        <v>9378</v>
      </c>
      <c r="D57" t="s">
        <v>9378</v>
      </c>
      <c r="E57" t="s">
        <v>9378</v>
      </c>
    </row>
    <row r="58" spans="1:5" hidden="1">
      <c r="A58" t="s">
        <v>9480</v>
      </c>
      <c r="B58" t="s">
        <v>9481</v>
      </c>
      <c r="C58" t="s">
        <v>9378</v>
      </c>
      <c r="D58" t="s">
        <v>9378</v>
      </c>
      <c r="E58" t="s">
        <v>9378</v>
      </c>
    </row>
    <row r="59" spans="1:5" hidden="1">
      <c r="A59" t="s">
        <v>9482</v>
      </c>
      <c r="B59" t="s">
        <v>9483</v>
      </c>
      <c r="C59" t="s">
        <v>9378</v>
      </c>
      <c r="D59" t="s">
        <v>9378</v>
      </c>
      <c r="E59" t="s">
        <v>9378</v>
      </c>
    </row>
    <row r="60" spans="1:5" hidden="1">
      <c r="A60" t="s">
        <v>9484</v>
      </c>
      <c r="B60" t="s">
        <v>9485</v>
      </c>
      <c r="C60" t="s">
        <v>9378</v>
      </c>
      <c r="D60" t="s">
        <v>9378</v>
      </c>
      <c r="E60" t="s">
        <v>9353</v>
      </c>
    </row>
    <row r="61" spans="1:5" hidden="1">
      <c r="A61" t="s">
        <v>9486</v>
      </c>
      <c r="B61" t="s">
        <v>9487</v>
      </c>
      <c r="C61" t="s">
        <v>9378</v>
      </c>
      <c r="D61" t="s">
        <v>9378</v>
      </c>
      <c r="E61" t="s">
        <v>9378</v>
      </c>
    </row>
    <row r="62" spans="1:5" hidden="1">
      <c r="A62" t="s">
        <v>9488</v>
      </c>
      <c r="B62" t="s">
        <v>9489</v>
      </c>
      <c r="C62" t="s">
        <v>9378</v>
      </c>
      <c r="D62" t="s">
        <v>9378</v>
      </c>
      <c r="E62" t="s">
        <v>9378</v>
      </c>
    </row>
    <row r="63" spans="1:5" hidden="1">
      <c r="A63" t="s">
        <v>9490</v>
      </c>
      <c r="B63" t="s">
        <v>9491</v>
      </c>
      <c r="C63" t="s">
        <v>9378</v>
      </c>
      <c r="D63" t="s">
        <v>9378</v>
      </c>
      <c r="E63" t="s">
        <v>9378</v>
      </c>
    </row>
    <row r="64" spans="1:5" hidden="1">
      <c r="A64" t="s">
        <v>9492</v>
      </c>
      <c r="B64" t="s">
        <v>9493</v>
      </c>
      <c r="C64" t="s">
        <v>9378</v>
      </c>
      <c r="D64" t="s">
        <v>9378</v>
      </c>
      <c r="E64" t="s">
        <v>9378</v>
      </c>
    </row>
    <row r="65" spans="1:5" hidden="1">
      <c r="A65" t="s">
        <v>9494</v>
      </c>
      <c r="B65" t="s">
        <v>9495</v>
      </c>
      <c r="C65" t="s">
        <v>9378</v>
      </c>
      <c r="D65" t="s">
        <v>9378</v>
      </c>
      <c r="E65" t="s">
        <v>9378</v>
      </c>
    </row>
    <row r="66" spans="1:5" hidden="1">
      <c r="A66" t="s">
        <v>9496</v>
      </c>
      <c r="B66" t="s">
        <v>9497</v>
      </c>
      <c r="C66" t="s">
        <v>9378</v>
      </c>
      <c r="D66" t="s">
        <v>9378</v>
      </c>
      <c r="E66" t="s">
        <v>9378</v>
      </c>
    </row>
    <row r="67" spans="1:5" hidden="1">
      <c r="A67" t="s">
        <v>9498</v>
      </c>
      <c r="B67" t="s">
        <v>9499</v>
      </c>
      <c r="C67" t="s">
        <v>9378</v>
      </c>
      <c r="D67" t="s">
        <v>9378</v>
      </c>
      <c r="E67" t="s">
        <v>9378</v>
      </c>
    </row>
    <row r="68" spans="1:5" hidden="1">
      <c r="A68" t="s">
        <v>9500</v>
      </c>
      <c r="B68" t="s">
        <v>9501</v>
      </c>
      <c r="C68" t="s">
        <v>9378</v>
      </c>
      <c r="D68" t="s">
        <v>9378</v>
      </c>
      <c r="E68" t="s">
        <v>9378</v>
      </c>
    </row>
    <row r="69" spans="1:5" hidden="1">
      <c r="A69" t="s">
        <v>9502</v>
      </c>
      <c r="B69" t="s">
        <v>9503</v>
      </c>
      <c r="C69" t="s">
        <v>9378</v>
      </c>
      <c r="D69" t="s">
        <v>9378</v>
      </c>
      <c r="E69" t="s">
        <v>9378</v>
      </c>
    </row>
    <row r="70" spans="1:5" hidden="1">
      <c r="A70" t="s">
        <v>9504</v>
      </c>
      <c r="B70" t="s">
        <v>9505</v>
      </c>
      <c r="C70" t="s">
        <v>9378</v>
      </c>
      <c r="D70" t="s">
        <v>9378</v>
      </c>
      <c r="E70" t="s">
        <v>9378</v>
      </c>
    </row>
    <row r="71" spans="1:5" hidden="1">
      <c r="A71" t="s">
        <v>9506</v>
      </c>
      <c r="B71" t="s">
        <v>9507</v>
      </c>
      <c r="C71" t="s">
        <v>9378</v>
      </c>
      <c r="D71" t="s">
        <v>9378</v>
      </c>
      <c r="E71" t="s">
        <v>9378</v>
      </c>
    </row>
    <row r="72" spans="1:5" hidden="1">
      <c r="A72" t="s">
        <v>9508</v>
      </c>
      <c r="B72" t="s">
        <v>9509</v>
      </c>
      <c r="C72" t="s">
        <v>9378</v>
      </c>
      <c r="D72" t="s">
        <v>9378</v>
      </c>
      <c r="E72" t="s">
        <v>9378</v>
      </c>
    </row>
    <row r="73" spans="1:5" hidden="1">
      <c r="A73" t="s">
        <v>9510</v>
      </c>
      <c r="B73" t="s">
        <v>9511</v>
      </c>
      <c r="C73" t="s">
        <v>9378</v>
      </c>
      <c r="D73" t="s">
        <v>9378</v>
      </c>
      <c r="E73" t="s">
        <v>9378</v>
      </c>
    </row>
    <row r="74" spans="1:5" hidden="1">
      <c r="A74" t="s">
        <v>9512</v>
      </c>
      <c r="B74" t="s">
        <v>9513</v>
      </c>
      <c r="C74" t="s">
        <v>9378</v>
      </c>
      <c r="D74" t="s">
        <v>9378</v>
      </c>
      <c r="E74" t="s">
        <v>9378</v>
      </c>
    </row>
    <row r="75" spans="1:5" hidden="1">
      <c r="A75" t="s">
        <v>9514</v>
      </c>
      <c r="B75" t="s">
        <v>9515</v>
      </c>
      <c r="C75" t="s">
        <v>9378</v>
      </c>
      <c r="D75" t="s">
        <v>9378</v>
      </c>
      <c r="E75" t="s">
        <v>9378</v>
      </c>
    </row>
    <row r="76" spans="1:5" hidden="1">
      <c r="A76" t="s">
        <v>9516</v>
      </c>
      <c r="B76" t="s">
        <v>9517</v>
      </c>
      <c r="C76" t="s">
        <v>9378</v>
      </c>
      <c r="D76" t="s">
        <v>9378</v>
      </c>
      <c r="E76" t="s">
        <v>9378</v>
      </c>
    </row>
    <row r="77" spans="1:5" hidden="1">
      <c r="A77" t="s">
        <v>9518</v>
      </c>
      <c r="B77" t="s">
        <v>9519</v>
      </c>
      <c r="C77" t="s">
        <v>9378</v>
      </c>
      <c r="D77" t="s">
        <v>9378</v>
      </c>
      <c r="E77" t="s">
        <v>9378</v>
      </c>
    </row>
    <row r="78" spans="1:5" hidden="1">
      <c r="A78" t="s">
        <v>9520</v>
      </c>
      <c r="B78" t="s">
        <v>9521</v>
      </c>
      <c r="C78" t="s">
        <v>9378</v>
      </c>
      <c r="D78" t="s">
        <v>9378</v>
      </c>
      <c r="E78" t="s">
        <v>9378</v>
      </c>
    </row>
    <row r="79" spans="1:5" hidden="1">
      <c r="A79" t="s">
        <v>9522</v>
      </c>
      <c r="B79" t="s">
        <v>9523</v>
      </c>
      <c r="C79" t="s">
        <v>9378</v>
      </c>
      <c r="D79" t="s">
        <v>9378</v>
      </c>
      <c r="E79" t="s">
        <v>9378</v>
      </c>
    </row>
    <row r="80" spans="1:5" hidden="1">
      <c r="A80" t="s">
        <v>9524</v>
      </c>
      <c r="B80" t="s">
        <v>9525</v>
      </c>
      <c r="C80" t="s">
        <v>9378</v>
      </c>
      <c r="D80" t="s">
        <v>9378</v>
      </c>
      <c r="E80" t="s">
        <v>9378</v>
      </c>
    </row>
    <row r="81" spans="1:5" hidden="1">
      <c r="A81" t="s">
        <v>9526</v>
      </c>
      <c r="B81" t="s">
        <v>9527</v>
      </c>
      <c r="C81" t="s">
        <v>9378</v>
      </c>
      <c r="D81" t="s">
        <v>9378</v>
      </c>
      <c r="E81" t="s">
        <v>9378</v>
      </c>
    </row>
    <row r="82" spans="1:5" hidden="1">
      <c r="A82" t="s">
        <v>9528</v>
      </c>
      <c r="B82" t="s">
        <v>9529</v>
      </c>
      <c r="C82" t="s">
        <v>9378</v>
      </c>
      <c r="D82" t="s">
        <v>9378</v>
      </c>
      <c r="E82" t="s">
        <v>9378</v>
      </c>
    </row>
    <row r="83" spans="1:5" hidden="1">
      <c r="A83" t="s">
        <v>9530</v>
      </c>
      <c r="B83" t="s">
        <v>9531</v>
      </c>
      <c r="C83" t="s">
        <v>9378</v>
      </c>
      <c r="D83" t="s">
        <v>9378</v>
      </c>
      <c r="E83" t="s">
        <v>9378</v>
      </c>
    </row>
    <row r="84" spans="1:5" hidden="1">
      <c r="A84" t="s">
        <v>9532</v>
      </c>
      <c r="B84" t="s">
        <v>9533</v>
      </c>
      <c r="C84" t="s">
        <v>9378</v>
      </c>
      <c r="D84" t="s">
        <v>9378</v>
      </c>
      <c r="E84" t="s">
        <v>9378</v>
      </c>
    </row>
    <row r="85" spans="1:5" hidden="1">
      <c r="A85" t="s">
        <v>9534</v>
      </c>
      <c r="B85" t="s">
        <v>9535</v>
      </c>
      <c r="C85" t="s">
        <v>9378</v>
      </c>
      <c r="D85" t="s">
        <v>9378</v>
      </c>
      <c r="E85" t="s">
        <v>9378</v>
      </c>
    </row>
    <row r="86" spans="1:5" hidden="1">
      <c r="A86" t="s">
        <v>9536</v>
      </c>
      <c r="B86" t="s">
        <v>9537</v>
      </c>
      <c r="C86" t="s">
        <v>9378</v>
      </c>
      <c r="D86" t="s">
        <v>9378</v>
      </c>
      <c r="E86" t="s">
        <v>9378</v>
      </c>
    </row>
    <row r="87" spans="1:5" hidden="1">
      <c r="A87" t="s">
        <v>9538</v>
      </c>
      <c r="B87" t="s">
        <v>9539</v>
      </c>
      <c r="C87" t="s">
        <v>9378</v>
      </c>
      <c r="D87" t="s">
        <v>9378</v>
      </c>
      <c r="E87" t="s">
        <v>9378</v>
      </c>
    </row>
    <row r="88" spans="1:5" hidden="1">
      <c r="A88" t="s">
        <v>9540</v>
      </c>
      <c r="B88" t="s">
        <v>9541</v>
      </c>
      <c r="C88" t="s">
        <v>9378</v>
      </c>
      <c r="D88" t="s">
        <v>9542</v>
      </c>
      <c r="E88" t="s">
        <v>9378</v>
      </c>
    </row>
    <row r="89" spans="1:5" hidden="1">
      <c r="A89" t="s">
        <v>9543</v>
      </c>
      <c r="B89" t="s">
        <v>9544</v>
      </c>
      <c r="C89" t="s">
        <v>9378</v>
      </c>
      <c r="D89" t="s">
        <v>9542</v>
      </c>
      <c r="E89" t="s">
        <v>9378</v>
      </c>
    </row>
    <row r="90" spans="1:5" hidden="1">
      <c r="A90" t="s">
        <v>9545</v>
      </c>
      <c r="B90" t="s">
        <v>9546</v>
      </c>
      <c r="C90" t="s">
        <v>9378</v>
      </c>
      <c r="D90" t="s">
        <v>9378</v>
      </c>
      <c r="E90" t="s">
        <v>9378</v>
      </c>
    </row>
    <row r="91" spans="1:5" hidden="1">
      <c r="A91" t="s">
        <v>9547</v>
      </c>
      <c r="B91" t="s">
        <v>9548</v>
      </c>
      <c r="C91" t="s">
        <v>9378</v>
      </c>
      <c r="D91" t="s">
        <v>9378</v>
      </c>
      <c r="E91" t="s">
        <v>9378</v>
      </c>
    </row>
    <row r="92" spans="1:5" hidden="1">
      <c r="A92" t="s">
        <v>9549</v>
      </c>
      <c r="B92" t="s">
        <v>9550</v>
      </c>
      <c r="C92" t="s">
        <v>9378</v>
      </c>
      <c r="D92" t="s">
        <v>9378</v>
      </c>
      <c r="E92" t="s">
        <v>9378</v>
      </c>
    </row>
    <row r="93" spans="1:5" hidden="1">
      <c r="A93" t="s">
        <v>9551</v>
      </c>
      <c r="B93" t="s">
        <v>9552</v>
      </c>
      <c r="C93" t="s">
        <v>9378</v>
      </c>
      <c r="D93" t="s">
        <v>9378</v>
      </c>
      <c r="E93" t="s">
        <v>9405</v>
      </c>
    </row>
    <row r="94" spans="1:5" hidden="1">
      <c r="A94" t="s">
        <v>9553</v>
      </c>
      <c r="B94" t="s">
        <v>9554</v>
      </c>
      <c r="C94" t="s">
        <v>9378</v>
      </c>
      <c r="D94" t="s">
        <v>9378</v>
      </c>
      <c r="E94" t="s">
        <v>9405</v>
      </c>
    </row>
    <row r="95" spans="1:5" hidden="1">
      <c r="A95" t="s">
        <v>9555</v>
      </c>
      <c r="B95" t="s">
        <v>9556</v>
      </c>
      <c r="C95" t="s">
        <v>9378</v>
      </c>
      <c r="D95" t="s">
        <v>9378</v>
      </c>
      <c r="E95" t="s">
        <v>9378</v>
      </c>
    </row>
    <row r="96" spans="1:5">
      <c r="A96" t="s">
        <v>9557</v>
      </c>
      <c r="B96" t="s">
        <v>9558</v>
      </c>
      <c r="C96" t="s">
        <v>9369</v>
      </c>
      <c r="D96" t="s">
        <v>9369</v>
      </c>
      <c r="E96" t="s">
        <v>9369</v>
      </c>
    </row>
    <row r="97" spans="1:5">
      <c r="A97" t="s">
        <v>9559</v>
      </c>
      <c r="B97" t="s">
        <v>9560</v>
      </c>
      <c r="C97" t="s">
        <v>9369</v>
      </c>
      <c r="D97" t="s">
        <v>9369</v>
      </c>
      <c r="E97" t="s">
        <v>9369</v>
      </c>
    </row>
    <row r="98" spans="1:5" hidden="1">
      <c r="A98" t="s">
        <v>9561</v>
      </c>
      <c r="B98" t="s">
        <v>9562</v>
      </c>
      <c r="C98" t="s">
        <v>9378</v>
      </c>
      <c r="D98" t="s">
        <v>9378</v>
      </c>
      <c r="E98" t="s">
        <v>9405</v>
      </c>
    </row>
    <row r="99" spans="1:5" hidden="1">
      <c r="A99" t="s">
        <v>9563</v>
      </c>
      <c r="B99" t="s">
        <v>9564</v>
      </c>
      <c r="C99" t="s">
        <v>9378</v>
      </c>
      <c r="D99" t="s">
        <v>9378</v>
      </c>
      <c r="E99" t="s">
        <v>9405</v>
      </c>
    </row>
    <row r="100" spans="1:5" hidden="1">
      <c r="A100" t="s">
        <v>9565</v>
      </c>
      <c r="B100" t="s">
        <v>9566</v>
      </c>
      <c r="C100" t="s">
        <v>9378</v>
      </c>
      <c r="D100" t="s">
        <v>9378</v>
      </c>
      <c r="E100" t="s">
        <v>9378</v>
      </c>
    </row>
    <row r="101" spans="1:5" hidden="1">
      <c r="A101" t="s">
        <v>9567</v>
      </c>
      <c r="B101" t="s">
        <v>9568</v>
      </c>
      <c r="C101" t="s">
        <v>9378</v>
      </c>
      <c r="D101" t="s">
        <v>9378</v>
      </c>
      <c r="E101" t="s">
        <v>9378</v>
      </c>
    </row>
    <row r="102" spans="1:5" hidden="1">
      <c r="A102" t="s">
        <v>9569</v>
      </c>
      <c r="B102" t="s">
        <v>9570</v>
      </c>
      <c r="C102" t="s">
        <v>9378</v>
      </c>
      <c r="D102" t="s">
        <v>9378</v>
      </c>
      <c r="E102" t="s">
        <v>9378</v>
      </c>
    </row>
    <row r="103" spans="1:5" hidden="1">
      <c r="A103" t="s">
        <v>9571</v>
      </c>
      <c r="B103" t="s">
        <v>9572</v>
      </c>
      <c r="C103" t="s">
        <v>9378</v>
      </c>
      <c r="D103" t="s">
        <v>9378</v>
      </c>
      <c r="E103" t="s">
        <v>9378</v>
      </c>
    </row>
    <row r="104" spans="1:5" hidden="1">
      <c r="A104" t="s">
        <v>9573</v>
      </c>
      <c r="B104" t="s">
        <v>9574</v>
      </c>
      <c r="C104" t="s">
        <v>9378</v>
      </c>
      <c r="D104" t="s">
        <v>9378</v>
      </c>
      <c r="E104" t="s">
        <v>9378</v>
      </c>
    </row>
    <row r="105" spans="1:5" hidden="1">
      <c r="A105" t="s">
        <v>9575</v>
      </c>
      <c r="B105" t="s">
        <v>9576</v>
      </c>
      <c r="C105" t="s">
        <v>9378</v>
      </c>
      <c r="D105" t="s">
        <v>9378</v>
      </c>
      <c r="E105" t="s">
        <v>9378</v>
      </c>
    </row>
    <row r="106" spans="1:5" hidden="1">
      <c r="A106" t="s">
        <v>9577</v>
      </c>
      <c r="B106" t="s">
        <v>9578</v>
      </c>
      <c r="C106" t="s">
        <v>9378</v>
      </c>
      <c r="D106" t="s">
        <v>9378</v>
      </c>
      <c r="E106" t="s">
        <v>9378</v>
      </c>
    </row>
    <row r="107" spans="1:5" hidden="1">
      <c r="A107" t="s">
        <v>9579</v>
      </c>
      <c r="B107" t="s">
        <v>9580</v>
      </c>
      <c r="C107" t="s">
        <v>9378</v>
      </c>
      <c r="D107" t="s">
        <v>9378</v>
      </c>
      <c r="E107" t="s">
        <v>9378</v>
      </c>
    </row>
    <row r="108" spans="1:5" hidden="1">
      <c r="A108" t="s">
        <v>9581</v>
      </c>
      <c r="B108" t="s">
        <v>9582</v>
      </c>
      <c r="C108" t="s">
        <v>9378</v>
      </c>
      <c r="D108" t="s">
        <v>9378</v>
      </c>
      <c r="E108" t="s">
        <v>9378</v>
      </c>
    </row>
    <row r="109" spans="1:5" hidden="1">
      <c r="A109" t="s">
        <v>9583</v>
      </c>
      <c r="B109" t="s">
        <v>9584</v>
      </c>
      <c r="C109" t="s">
        <v>9378</v>
      </c>
      <c r="D109" t="s">
        <v>9378</v>
      </c>
      <c r="E109" t="s">
        <v>9378</v>
      </c>
    </row>
    <row r="110" spans="1:5" hidden="1">
      <c r="A110" t="s">
        <v>9585</v>
      </c>
      <c r="B110" t="s">
        <v>9586</v>
      </c>
      <c r="C110" t="s">
        <v>9378</v>
      </c>
      <c r="D110" t="s">
        <v>9378</v>
      </c>
      <c r="E110" t="s">
        <v>9378</v>
      </c>
    </row>
    <row r="111" spans="1:5" hidden="1">
      <c r="A111" t="s">
        <v>9587</v>
      </c>
      <c r="B111" t="s">
        <v>9588</v>
      </c>
      <c r="C111" t="s">
        <v>9378</v>
      </c>
      <c r="D111" t="s">
        <v>9378</v>
      </c>
      <c r="E111" t="s">
        <v>9378</v>
      </c>
    </row>
    <row r="112" spans="1:5" hidden="1">
      <c r="A112" t="s">
        <v>9589</v>
      </c>
      <c r="B112" t="s">
        <v>9590</v>
      </c>
      <c r="C112" t="s">
        <v>9378</v>
      </c>
      <c r="D112" t="s">
        <v>9378</v>
      </c>
      <c r="E112" t="s">
        <v>9378</v>
      </c>
    </row>
    <row r="113" spans="1:5" hidden="1">
      <c r="A113" t="s">
        <v>9591</v>
      </c>
      <c r="B113" t="s">
        <v>9592</v>
      </c>
      <c r="C113" t="s">
        <v>9378</v>
      </c>
      <c r="D113" t="s">
        <v>9378</v>
      </c>
      <c r="E113" t="s">
        <v>9378</v>
      </c>
    </row>
    <row r="114" spans="1:5" hidden="1">
      <c r="A114" t="s">
        <v>9593</v>
      </c>
      <c r="B114" t="s">
        <v>9594</v>
      </c>
      <c r="C114" t="s">
        <v>9378</v>
      </c>
      <c r="D114" t="s">
        <v>9378</v>
      </c>
      <c r="E114" t="s">
        <v>9378</v>
      </c>
    </row>
    <row r="115" spans="1:5" hidden="1">
      <c r="A115" t="s">
        <v>9595</v>
      </c>
      <c r="B115" t="s">
        <v>9596</v>
      </c>
      <c r="C115" t="s">
        <v>9378</v>
      </c>
      <c r="D115" t="s">
        <v>9378</v>
      </c>
      <c r="E115" t="s">
        <v>9378</v>
      </c>
    </row>
    <row r="116" spans="1:5" hidden="1">
      <c r="A116" t="s">
        <v>9597</v>
      </c>
      <c r="B116" t="s">
        <v>9598</v>
      </c>
      <c r="C116" t="s">
        <v>9378</v>
      </c>
      <c r="D116" t="s">
        <v>9378</v>
      </c>
      <c r="E116" t="s">
        <v>9378</v>
      </c>
    </row>
    <row r="117" spans="1:5" hidden="1">
      <c r="A117" t="s">
        <v>9599</v>
      </c>
      <c r="B117" t="s">
        <v>9600</v>
      </c>
      <c r="C117" t="s">
        <v>9378</v>
      </c>
      <c r="D117" t="s">
        <v>9378</v>
      </c>
      <c r="E117" t="s">
        <v>9378</v>
      </c>
    </row>
    <row r="118" spans="1:5" hidden="1">
      <c r="A118" t="s">
        <v>9601</v>
      </c>
      <c r="B118" t="s">
        <v>9602</v>
      </c>
      <c r="C118" t="s">
        <v>9378</v>
      </c>
      <c r="D118" t="s">
        <v>9378</v>
      </c>
      <c r="E118" t="s">
        <v>9378</v>
      </c>
    </row>
    <row r="119" spans="1:5" hidden="1">
      <c r="A119" t="s">
        <v>9603</v>
      </c>
      <c r="B119" t="s">
        <v>9604</v>
      </c>
      <c r="C119" t="s">
        <v>9378</v>
      </c>
      <c r="D119" t="s">
        <v>9378</v>
      </c>
      <c r="E119" t="s">
        <v>9378</v>
      </c>
    </row>
    <row r="120" spans="1:5">
      <c r="A120" t="s">
        <v>9605</v>
      </c>
      <c r="B120" t="s">
        <v>9606</v>
      </c>
      <c r="C120" t="s">
        <v>9369</v>
      </c>
      <c r="D120" t="s">
        <v>9369</v>
      </c>
      <c r="E120" t="s">
        <v>9369</v>
      </c>
    </row>
    <row r="121" spans="1:5" hidden="1">
      <c r="A121" t="s">
        <v>9607</v>
      </c>
      <c r="B121" t="s">
        <v>9608</v>
      </c>
      <c r="C121" t="s">
        <v>9378</v>
      </c>
      <c r="D121" t="s">
        <v>9378</v>
      </c>
      <c r="E121" t="s">
        <v>9378</v>
      </c>
    </row>
    <row r="122" spans="1:5" hidden="1">
      <c r="A122" t="s">
        <v>9609</v>
      </c>
      <c r="B122" t="s">
        <v>9610</v>
      </c>
      <c r="C122" t="s">
        <v>9378</v>
      </c>
      <c r="D122" t="s">
        <v>9378</v>
      </c>
      <c r="E122" t="s">
        <v>9353</v>
      </c>
    </row>
    <row r="123" spans="1:5" hidden="1">
      <c r="A123" t="s">
        <v>9611</v>
      </c>
      <c r="B123" t="s">
        <v>9612</v>
      </c>
      <c r="C123" t="s">
        <v>9378</v>
      </c>
      <c r="D123" t="s">
        <v>9378</v>
      </c>
      <c r="E123" t="s">
        <v>9353</v>
      </c>
    </row>
    <row r="124" spans="1:5" hidden="1">
      <c r="A124" t="s">
        <v>9613</v>
      </c>
      <c r="B124" t="s">
        <v>9614</v>
      </c>
      <c r="C124" t="s">
        <v>9378</v>
      </c>
      <c r="D124" t="s">
        <v>9378</v>
      </c>
      <c r="E124" t="s">
        <v>9353</v>
      </c>
    </row>
    <row r="125" spans="1:5" hidden="1">
      <c r="A125" t="s">
        <v>9615</v>
      </c>
      <c r="B125" t="s">
        <v>9616</v>
      </c>
      <c r="C125" t="s">
        <v>9378</v>
      </c>
      <c r="D125" t="s">
        <v>9378</v>
      </c>
      <c r="E125" t="s">
        <v>9353</v>
      </c>
    </row>
    <row r="126" spans="1:5" hidden="1">
      <c r="A126" t="s">
        <v>9617</v>
      </c>
      <c r="B126" t="s">
        <v>9618</v>
      </c>
      <c r="C126" t="s">
        <v>9378</v>
      </c>
      <c r="D126" t="s">
        <v>9378</v>
      </c>
      <c r="E126" t="s">
        <v>9353</v>
      </c>
    </row>
    <row r="127" spans="1:5" hidden="1">
      <c r="A127" t="s">
        <v>9619</v>
      </c>
      <c r="B127" t="s">
        <v>9620</v>
      </c>
      <c r="C127" t="s">
        <v>9378</v>
      </c>
      <c r="D127" t="s">
        <v>9378</v>
      </c>
      <c r="E127" t="s">
        <v>9353</v>
      </c>
    </row>
    <row r="128" spans="1:5" hidden="1">
      <c r="A128" t="s">
        <v>9621</v>
      </c>
      <c r="B128" t="s">
        <v>9622</v>
      </c>
      <c r="C128" t="s">
        <v>9378</v>
      </c>
      <c r="D128" t="s">
        <v>9378</v>
      </c>
      <c r="E128" t="s">
        <v>9378</v>
      </c>
    </row>
    <row r="129" spans="1:5" hidden="1">
      <c r="A129" t="s">
        <v>9623</v>
      </c>
      <c r="B129" t="s">
        <v>9624</v>
      </c>
      <c r="C129" t="s">
        <v>9378</v>
      </c>
      <c r="D129" t="s">
        <v>9378</v>
      </c>
      <c r="E129" t="s">
        <v>9378</v>
      </c>
    </row>
    <row r="130" spans="1:5" hidden="1">
      <c r="A130" t="s">
        <v>9625</v>
      </c>
      <c r="B130" t="s">
        <v>9626</v>
      </c>
      <c r="C130" t="s">
        <v>9378</v>
      </c>
      <c r="D130" t="s">
        <v>9378</v>
      </c>
      <c r="E130" t="s">
        <v>9378</v>
      </c>
    </row>
    <row r="131" spans="1:5" hidden="1">
      <c r="A131" t="s">
        <v>9627</v>
      </c>
      <c r="B131" t="s">
        <v>9628</v>
      </c>
      <c r="C131" t="s">
        <v>9378</v>
      </c>
      <c r="D131" t="s">
        <v>9378</v>
      </c>
      <c r="E131" t="s">
        <v>9378</v>
      </c>
    </row>
    <row r="132" spans="1:5" hidden="1">
      <c r="A132" t="s">
        <v>9629</v>
      </c>
      <c r="B132" t="s">
        <v>9630</v>
      </c>
      <c r="C132" t="s">
        <v>9378</v>
      </c>
      <c r="D132" t="s">
        <v>9378</v>
      </c>
      <c r="E132" t="s">
        <v>9378</v>
      </c>
    </row>
    <row r="133" spans="1:5" hidden="1">
      <c r="A133" t="s">
        <v>9631</v>
      </c>
      <c r="B133" t="s">
        <v>9632</v>
      </c>
      <c r="C133" t="s">
        <v>9378</v>
      </c>
      <c r="D133" t="s">
        <v>9378</v>
      </c>
      <c r="E133" t="s">
        <v>9378</v>
      </c>
    </row>
    <row r="134" spans="1:5" hidden="1">
      <c r="A134" t="s">
        <v>9633</v>
      </c>
      <c r="B134" t="s">
        <v>9634</v>
      </c>
      <c r="C134" t="s">
        <v>9378</v>
      </c>
      <c r="D134" t="s">
        <v>9378</v>
      </c>
      <c r="E134" t="s">
        <v>9378</v>
      </c>
    </row>
    <row r="135" spans="1:5" hidden="1">
      <c r="A135" t="s">
        <v>9635</v>
      </c>
      <c r="B135" t="s">
        <v>9636</v>
      </c>
      <c r="C135" t="s">
        <v>9378</v>
      </c>
      <c r="D135" t="s">
        <v>9378</v>
      </c>
      <c r="E135" t="s">
        <v>9378</v>
      </c>
    </row>
    <row r="136" spans="1:5" hidden="1">
      <c r="A136" t="s">
        <v>9637</v>
      </c>
      <c r="B136" t="s">
        <v>9638</v>
      </c>
      <c r="C136" t="s">
        <v>9378</v>
      </c>
      <c r="D136" t="s">
        <v>9378</v>
      </c>
      <c r="E136" t="s">
        <v>9405</v>
      </c>
    </row>
    <row r="137" spans="1:5" hidden="1">
      <c r="A137" t="s">
        <v>9639</v>
      </c>
      <c r="B137" t="s">
        <v>9640</v>
      </c>
      <c r="C137" t="s">
        <v>9378</v>
      </c>
      <c r="D137" t="s">
        <v>9378</v>
      </c>
      <c r="E137" t="s">
        <v>9378</v>
      </c>
    </row>
    <row r="138" spans="1:5" hidden="1">
      <c r="A138" t="s">
        <v>9641</v>
      </c>
      <c r="B138" t="s">
        <v>9642</v>
      </c>
      <c r="C138" t="s">
        <v>9378</v>
      </c>
      <c r="D138" t="s">
        <v>9378</v>
      </c>
      <c r="E138" t="s">
        <v>9378</v>
      </c>
    </row>
    <row r="139" spans="1:5" hidden="1">
      <c r="A139" t="s">
        <v>9643</v>
      </c>
      <c r="B139" t="s">
        <v>9644</v>
      </c>
      <c r="C139" t="s">
        <v>9378</v>
      </c>
      <c r="D139" t="s">
        <v>9378</v>
      </c>
      <c r="E139" t="s">
        <v>9378</v>
      </c>
    </row>
    <row r="140" spans="1:5" hidden="1">
      <c r="A140" t="s">
        <v>9645</v>
      </c>
      <c r="B140" t="s">
        <v>9646</v>
      </c>
      <c r="C140" t="s">
        <v>9378</v>
      </c>
      <c r="D140" t="s">
        <v>9378</v>
      </c>
      <c r="E140" t="s">
        <v>9378</v>
      </c>
    </row>
    <row r="141" spans="1:5" hidden="1">
      <c r="A141" t="s">
        <v>9647</v>
      </c>
      <c r="B141" t="s">
        <v>9648</v>
      </c>
      <c r="C141" t="s">
        <v>9378</v>
      </c>
      <c r="D141" t="s">
        <v>9378</v>
      </c>
      <c r="E141" t="s">
        <v>9378</v>
      </c>
    </row>
    <row r="142" spans="1:5">
      <c r="A142" t="s">
        <v>9649</v>
      </c>
      <c r="B142" t="s">
        <v>9650</v>
      </c>
      <c r="C142" t="s">
        <v>9369</v>
      </c>
      <c r="D142" t="s">
        <v>9369</v>
      </c>
      <c r="E142" t="s">
        <v>9369</v>
      </c>
    </row>
    <row r="143" spans="1:5" hidden="1">
      <c r="A143" t="s">
        <v>9651</v>
      </c>
      <c r="B143" t="s">
        <v>9652</v>
      </c>
      <c r="C143" t="s">
        <v>9378</v>
      </c>
      <c r="D143" t="s">
        <v>9378</v>
      </c>
      <c r="E143" t="s">
        <v>9378</v>
      </c>
    </row>
    <row r="144" spans="1:5" hidden="1">
      <c r="A144" t="s">
        <v>9653</v>
      </c>
      <c r="B144" t="s">
        <v>9654</v>
      </c>
      <c r="C144" t="s">
        <v>9378</v>
      </c>
      <c r="D144" t="s">
        <v>9378</v>
      </c>
      <c r="E144" t="s">
        <v>9378</v>
      </c>
    </row>
    <row r="145" spans="1:5" hidden="1">
      <c r="A145" t="s">
        <v>9655</v>
      </c>
      <c r="B145" t="s">
        <v>9656</v>
      </c>
      <c r="C145" t="s">
        <v>9378</v>
      </c>
      <c r="D145" t="s">
        <v>9378</v>
      </c>
      <c r="E145" t="s">
        <v>9378</v>
      </c>
    </row>
    <row r="146" spans="1:5" hidden="1">
      <c r="A146" t="s">
        <v>9657</v>
      </c>
      <c r="B146" t="s">
        <v>9658</v>
      </c>
      <c r="C146" t="s">
        <v>9378</v>
      </c>
      <c r="D146" t="s">
        <v>9378</v>
      </c>
      <c r="E146" t="s">
        <v>9378</v>
      </c>
    </row>
    <row r="147" spans="1:5" hidden="1">
      <c r="A147" t="s">
        <v>9659</v>
      </c>
      <c r="B147" t="s">
        <v>9660</v>
      </c>
      <c r="C147" t="s">
        <v>9378</v>
      </c>
      <c r="D147" t="s">
        <v>9378</v>
      </c>
      <c r="E147" t="s">
        <v>9378</v>
      </c>
    </row>
    <row r="148" spans="1:5" hidden="1">
      <c r="A148" t="s">
        <v>9661</v>
      </c>
      <c r="B148" t="s">
        <v>9662</v>
      </c>
      <c r="C148" t="s">
        <v>9378</v>
      </c>
      <c r="D148" t="s">
        <v>9378</v>
      </c>
      <c r="E148" t="s">
        <v>9378</v>
      </c>
    </row>
    <row r="149" spans="1:5" hidden="1">
      <c r="A149" t="s">
        <v>9663</v>
      </c>
      <c r="B149" t="s">
        <v>9664</v>
      </c>
      <c r="C149" t="s">
        <v>9378</v>
      </c>
      <c r="D149" t="s">
        <v>9378</v>
      </c>
      <c r="E149" t="s">
        <v>9378</v>
      </c>
    </row>
    <row r="150" spans="1:5" hidden="1">
      <c r="A150" t="s">
        <v>9665</v>
      </c>
      <c r="B150" t="s">
        <v>9666</v>
      </c>
      <c r="C150" t="s">
        <v>9378</v>
      </c>
      <c r="D150" t="s">
        <v>9378</v>
      </c>
      <c r="E150" t="s">
        <v>9378</v>
      </c>
    </row>
    <row r="151" spans="1:5" hidden="1">
      <c r="A151" t="s">
        <v>9667</v>
      </c>
      <c r="B151" t="s">
        <v>9668</v>
      </c>
      <c r="C151" t="s">
        <v>9378</v>
      </c>
      <c r="D151" t="s">
        <v>9378</v>
      </c>
      <c r="E151" t="s">
        <v>9378</v>
      </c>
    </row>
    <row r="152" spans="1:5" hidden="1">
      <c r="A152" t="s">
        <v>9669</v>
      </c>
      <c r="B152" t="s">
        <v>9670</v>
      </c>
      <c r="C152" t="s">
        <v>9378</v>
      </c>
      <c r="D152" t="s">
        <v>9378</v>
      </c>
      <c r="E152" t="s">
        <v>9378</v>
      </c>
    </row>
    <row r="153" spans="1:5" hidden="1">
      <c r="A153" t="s">
        <v>9671</v>
      </c>
      <c r="B153" t="s">
        <v>9672</v>
      </c>
      <c r="C153" t="s">
        <v>9378</v>
      </c>
      <c r="D153" t="s">
        <v>9378</v>
      </c>
      <c r="E153" t="s">
        <v>9378</v>
      </c>
    </row>
    <row r="154" spans="1:5" hidden="1">
      <c r="A154" t="s">
        <v>9673</v>
      </c>
      <c r="B154" t="s">
        <v>9674</v>
      </c>
      <c r="C154" t="s">
        <v>9378</v>
      </c>
      <c r="D154" t="s">
        <v>9378</v>
      </c>
      <c r="E154" t="s">
        <v>9378</v>
      </c>
    </row>
    <row r="155" spans="1:5" hidden="1">
      <c r="A155" t="s">
        <v>9675</v>
      </c>
      <c r="B155" t="s">
        <v>9676</v>
      </c>
      <c r="C155" t="s">
        <v>9378</v>
      </c>
      <c r="D155" t="s">
        <v>9378</v>
      </c>
      <c r="E155" t="s">
        <v>9378</v>
      </c>
    </row>
    <row r="156" spans="1:5" hidden="1">
      <c r="A156" t="s">
        <v>9677</v>
      </c>
      <c r="B156" t="s">
        <v>9678</v>
      </c>
      <c r="C156" t="s">
        <v>9378</v>
      </c>
      <c r="D156" t="s">
        <v>9378</v>
      </c>
      <c r="E156" t="s">
        <v>9378</v>
      </c>
    </row>
    <row r="157" spans="1:5" hidden="1">
      <c r="A157" t="s">
        <v>9679</v>
      </c>
      <c r="B157" t="s">
        <v>9680</v>
      </c>
      <c r="C157" t="s">
        <v>9378</v>
      </c>
      <c r="D157" t="s">
        <v>9378</v>
      </c>
      <c r="E157" t="s">
        <v>9378</v>
      </c>
    </row>
    <row r="158" spans="1:5" hidden="1">
      <c r="A158" t="s">
        <v>9681</v>
      </c>
      <c r="B158" t="s">
        <v>9682</v>
      </c>
      <c r="C158" t="s">
        <v>9378</v>
      </c>
      <c r="D158" t="s">
        <v>9378</v>
      </c>
      <c r="E158" t="s">
        <v>9378</v>
      </c>
    </row>
    <row r="159" spans="1:5" hidden="1">
      <c r="A159" t="s">
        <v>9683</v>
      </c>
      <c r="B159" t="s">
        <v>9684</v>
      </c>
      <c r="C159" t="s">
        <v>9378</v>
      </c>
      <c r="D159" t="s">
        <v>9378</v>
      </c>
      <c r="E159" t="s">
        <v>9378</v>
      </c>
    </row>
    <row r="160" spans="1:5" hidden="1">
      <c r="A160" t="s">
        <v>9685</v>
      </c>
      <c r="B160" t="s">
        <v>9686</v>
      </c>
      <c r="C160" t="s">
        <v>9378</v>
      </c>
      <c r="D160" t="s">
        <v>9378</v>
      </c>
      <c r="E160" t="s">
        <v>9378</v>
      </c>
    </row>
    <row r="161" spans="1:5" hidden="1">
      <c r="A161" t="s">
        <v>9687</v>
      </c>
      <c r="B161" t="s">
        <v>9688</v>
      </c>
      <c r="C161" t="s">
        <v>9378</v>
      </c>
      <c r="D161" t="s">
        <v>9378</v>
      </c>
      <c r="E161" t="s">
        <v>9378</v>
      </c>
    </row>
    <row r="162" spans="1:5" hidden="1">
      <c r="A162" t="s">
        <v>9689</v>
      </c>
      <c r="B162" t="s">
        <v>9690</v>
      </c>
      <c r="C162" t="s">
        <v>9378</v>
      </c>
      <c r="D162" t="s">
        <v>9378</v>
      </c>
      <c r="E162" t="s">
        <v>9378</v>
      </c>
    </row>
    <row r="163" spans="1:5" hidden="1">
      <c r="A163" t="s">
        <v>9691</v>
      </c>
      <c r="B163" t="s">
        <v>9692</v>
      </c>
      <c r="C163" t="s">
        <v>9378</v>
      </c>
      <c r="D163" t="s">
        <v>9378</v>
      </c>
      <c r="E163" t="s">
        <v>9378</v>
      </c>
    </row>
    <row r="164" spans="1:5" hidden="1">
      <c r="A164" t="s">
        <v>9693</v>
      </c>
      <c r="B164" t="s">
        <v>9694</v>
      </c>
      <c r="C164" t="s">
        <v>9378</v>
      </c>
      <c r="D164" t="s">
        <v>9378</v>
      </c>
      <c r="E164" t="s">
        <v>9405</v>
      </c>
    </row>
    <row r="165" spans="1:5" hidden="1">
      <c r="A165" t="s">
        <v>9695</v>
      </c>
      <c r="B165" t="s">
        <v>9696</v>
      </c>
      <c r="C165" t="s">
        <v>9378</v>
      </c>
      <c r="D165" t="s">
        <v>9378</v>
      </c>
      <c r="E165" t="s">
        <v>9405</v>
      </c>
    </row>
    <row r="166" spans="1:5">
      <c r="A166" t="s">
        <v>9697</v>
      </c>
      <c r="B166" t="s">
        <v>9698</v>
      </c>
      <c r="C166" t="s">
        <v>9369</v>
      </c>
      <c r="D166" t="s">
        <v>9369</v>
      </c>
      <c r="E166" t="s">
        <v>9369</v>
      </c>
    </row>
    <row r="167" spans="1:5">
      <c r="A167" t="s">
        <v>9699</v>
      </c>
      <c r="B167" t="s">
        <v>9700</v>
      </c>
      <c r="C167" t="s">
        <v>9369</v>
      </c>
      <c r="D167" t="s">
        <v>9369</v>
      </c>
      <c r="E167" t="s">
        <v>9369</v>
      </c>
    </row>
    <row r="168" spans="1:5">
      <c r="A168" t="s">
        <v>9701</v>
      </c>
      <c r="B168" t="s">
        <v>9702</v>
      </c>
      <c r="C168" t="s">
        <v>9369</v>
      </c>
      <c r="D168" t="s">
        <v>9369</v>
      </c>
      <c r="E168" t="s">
        <v>9369</v>
      </c>
    </row>
    <row r="169" spans="1:5">
      <c r="A169" t="s">
        <v>9703</v>
      </c>
      <c r="B169" t="s">
        <v>9704</v>
      </c>
      <c r="C169" t="s">
        <v>9369</v>
      </c>
      <c r="D169" t="s">
        <v>9369</v>
      </c>
      <c r="E169" t="s">
        <v>9369</v>
      </c>
    </row>
    <row r="170" spans="1:5">
      <c r="A170" t="s">
        <v>9705</v>
      </c>
      <c r="B170" t="s">
        <v>9706</v>
      </c>
      <c r="C170" t="s">
        <v>9369</v>
      </c>
      <c r="D170" t="s">
        <v>9369</v>
      </c>
      <c r="E170" t="s">
        <v>9369</v>
      </c>
    </row>
    <row r="171" spans="1:5">
      <c r="A171" t="s">
        <v>9707</v>
      </c>
      <c r="B171" t="s">
        <v>9708</v>
      </c>
      <c r="C171" t="s">
        <v>9369</v>
      </c>
      <c r="D171" t="s">
        <v>9369</v>
      </c>
      <c r="E171" t="s">
        <v>9369</v>
      </c>
    </row>
    <row r="172" spans="1:5" hidden="1">
      <c r="A172" t="s">
        <v>9709</v>
      </c>
      <c r="B172" t="s">
        <v>9710</v>
      </c>
      <c r="C172" t="s">
        <v>9378</v>
      </c>
      <c r="D172" t="s">
        <v>9378</v>
      </c>
      <c r="E172" t="s">
        <v>9378</v>
      </c>
    </row>
    <row r="173" spans="1:5" hidden="1">
      <c r="A173" t="s">
        <v>9711</v>
      </c>
      <c r="B173" t="s">
        <v>9712</v>
      </c>
      <c r="C173" t="s">
        <v>9378</v>
      </c>
      <c r="D173" t="s">
        <v>9378</v>
      </c>
      <c r="E173" t="s">
        <v>9378</v>
      </c>
    </row>
    <row r="174" spans="1:5" hidden="1">
      <c r="A174" t="s">
        <v>9713</v>
      </c>
      <c r="B174" t="s">
        <v>9714</v>
      </c>
      <c r="C174" t="s">
        <v>9378</v>
      </c>
      <c r="D174" t="s">
        <v>9378</v>
      </c>
      <c r="E174" t="s">
        <v>9378</v>
      </c>
    </row>
    <row r="175" spans="1:5" hidden="1">
      <c r="A175" t="s">
        <v>9715</v>
      </c>
      <c r="B175" t="s">
        <v>9716</v>
      </c>
      <c r="C175" t="s">
        <v>9378</v>
      </c>
      <c r="D175" t="s">
        <v>9378</v>
      </c>
      <c r="E175" t="s">
        <v>9378</v>
      </c>
    </row>
    <row r="176" spans="1:5" hidden="1">
      <c r="A176" t="s">
        <v>9717</v>
      </c>
      <c r="B176" t="s">
        <v>9718</v>
      </c>
      <c r="C176" t="s">
        <v>9378</v>
      </c>
      <c r="D176" t="s">
        <v>9378</v>
      </c>
      <c r="E176" t="s">
        <v>9378</v>
      </c>
    </row>
    <row r="177" spans="1:5" hidden="1">
      <c r="A177" t="s">
        <v>9719</v>
      </c>
      <c r="B177" t="s">
        <v>9720</v>
      </c>
      <c r="C177" t="s">
        <v>9378</v>
      </c>
      <c r="D177" t="s">
        <v>9378</v>
      </c>
      <c r="E177" t="s">
        <v>9378</v>
      </c>
    </row>
    <row r="178" spans="1:5" hidden="1">
      <c r="A178" t="s">
        <v>9721</v>
      </c>
      <c r="B178" t="s">
        <v>9722</v>
      </c>
      <c r="C178" t="s">
        <v>9378</v>
      </c>
      <c r="D178" t="s">
        <v>9378</v>
      </c>
      <c r="E178" t="s">
        <v>9378</v>
      </c>
    </row>
    <row r="179" spans="1:5" hidden="1">
      <c r="A179" t="s">
        <v>9723</v>
      </c>
      <c r="B179" t="s">
        <v>9724</v>
      </c>
      <c r="C179" t="s">
        <v>9378</v>
      </c>
      <c r="D179" t="s">
        <v>9378</v>
      </c>
      <c r="E179" t="s">
        <v>9378</v>
      </c>
    </row>
    <row r="180" spans="1:5">
      <c r="A180" t="s">
        <v>9725</v>
      </c>
      <c r="B180" t="s">
        <v>9726</v>
      </c>
      <c r="C180" t="s">
        <v>9369</v>
      </c>
      <c r="D180" t="s">
        <v>9369</v>
      </c>
      <c r="E180" t="s">
        <v>9369</v>
      </c>
    </row>
    <row r="181" spans="1:5" hidden="1">
      <c r="A181" t="s">
        <v>9727</v>
      </c>
      <c r="B181" t="s">
        <v>9728</v>
      </c>
      <c r="C181" t="s">
        <v>9378</v>
      </c>
      <c r="D181" t="s">
        <v>9378</v>
      </c>
      <c r="E181" t="s">
        <v>9378</v>
      </c>
    </row>
    <row r="182" spans="1:5" hidden="1">
      <c r="A182" t="s">
        <v>9729</v>
      </c>
      <c r="B182" t="s">
        <v>9730</v>
      </c>
      <c r="C182" t="s">
        <v>9378</v>
      </c>
      <c r="D182" t="s">
        <v>9378</v>
      </c>
      <c r="E182" t="s">
        <v>9378</v>
      </c>
    </row>
    <row r="183" spans="1:5" hidden="1">
      <c r="A183" t="s">
        <v>9731</v>
      </c>
      <c r="B183" t="s">
        <v>9732</v>
      </c>
      <c r="C183" t="s">
        <v>9378</v>
      </c>
      <c r="D183" t="s">
        <v>9378</v>
      </c>
      <c r="E183" t="s">
        <v>9378</v>
      </c>
    </row>
    <row r="184" spans="1:5" hidden="1">
      <c r="A184" t="s">
        <v>9733</v>
      </c>
      <c r="B184" t="s">
        <v>9734</v>
      </c>
      <c r="C184" t="s">
        <v>9378</v>
      </c>
      <c r="D184" t="s">
        <v>9378</v>
      </c>
      <c r="E184" t="s">
        <v>9378</v>
      </c>
    </row>
    <row r="185" spans="1:5" hidden="1">
      <c r="A185" t="s">
        <v>9735</v>
      </c>
      <c r="B185" t="s">
        <v>9736</v>
      </c>
      <c r="C185" t="s">
        <v>9378</v>
      </c>
      <c r="D185" t="s">
        <v>9378</v>
      </c>
      <c r="E185" t="s">
        <v>9378</v>
      </c>
    </row>
    <row r="186" spans="1:5" hidden="1">
      <c r="A186" t="s">
        <v>9737</v>
      </c>
      <c r="B186" t="s">
        <v>9738</v>
      </c>
      <c r="C186" t="s">
        <v>9378</v>
      </c>
      <c r="D186" t="s">
        <v>9378</v>
      </c>
      <c r="E186" t="s">
        <v>9378</v>
      </c>
    </row>
    <row r="187" spans="1:5" hidden="1">
      <c r="A187" t="s">
        <v>9739</v>
      </c>
      <c r="B187" t="s">
        <v>9740</v>
      </c>
      <c r="C187" t="s">
        <v>9378</v>
      </c>
      <c r="D187" t="s">
        <v>9378</v>
      </c>
      <c r="E187" t="s">
        <v>9378</v>
      </c>
    </row>
    <row r="188" spans="1:5" hidden="1">
      <c r="A188" t="s">
        <v>9741</v>
      </c>
      <c r="B188" t="s">
        <v>9742</v>
      </c>
      <c r="C188" t="s">
        <v>9378</v>
      </c>
      <c r="D188" t="s">
        <v>9378</v>
      </c>
      <c r="E188" t="s">
        <v>9378</v>
      </c>
    </row>
    <row r="189" spans="1:5" hidden="1">
      <c r="A189" t="s">
        <v>9743</v>
      </c>
      <c r="B189" t="s">
        <v>9744</v>
      </c>
      <c r="C189" t="s">
        <v>9378</v>
      </c>
      <c r="D189" t="s">
        <v>9378</v>
      </c>
      <c r="E189" t="s">
        <v>9378</v>
      </c>
    </row>
    <row r="190" spans="1:5" hidden="1">
      <c r="A190" t="s">
        <v>9745</v>
      </c>
      <c r="B190" t="s">
        <v>9746</v>
      </c>
      <c r="C190" t="s">
        <v>9378</v>
      </c>
      <c r="D190" t="s">
        <v>9378</v>
      </c>
      <c r="E190" t="s">
        <v>9378</v>
      </c>
    </row>
    <row r="191" spans="1:5" hidden="1">
      <c r="A191" t="s">
        <v>9747</v>
      </c>
      <c r="B191" t="s">
        <v>9748</v>
      </c>
      <c r="C191" t="s">
        <v>9378</v>
      </c>
      <c r="D191" t="s">
        <v>9378</v>
      </c>
      <c r="E191" t="s">
        <v>9378</v>
      </c>
    </row>
    <row r="192" spans="1:5" hidden="1">
      <c r="A192" t="s">
        <v>9749</v>
      </c>
      <c r="B192" t="s">
        <v>9750</v>
      </c>
      <c r="C192" t="s">
        <v>9378</v>
      </c>
      <c r="D192" t="s">
        <v>9378</v>
      </c>
      <c r="E192" t="s">
        <v>9378</v>
      </c>
    </row>
    <row r="193" spans="1:5" hidden="1">
      <c r="A193" t="s">
        <v>9751</v>
      </c>
      <c r="B193" t="s">
        <v>9752</v>
      </c>
      <c r="C193" t="s">
        <v>9378</v>
      </c>
      <c r="D193" t="s">
        <v>9378</v>
      </c>
      <c r="E193" t="s">
        <v>9378</v>
      </c>
    </row>
    <row r="194" spans="1:5" hidden="1">
      <c r="A194" t="s">
        <v>9753</v>
      </c>
      <c r="B194" t="s">
        <v>9754</v>
      </c>
      <c r="C194" t="s">
        <v>9378</v>
      </c>
      <c r="D194" t="s">
        <v>9378</v>
      </c>
      <c r="E194" t="s">
        <v>9378</v>
      </c>
    </row>
    <row r="195" spans="1:5" hidden="1">
      <c r="A195" t="s">
        <v>9755</v>
      </c>
      <c r="B195" t="s">
        <v>9756</v>
      </c>
      <c r="C195" t="s">
        <v>9378</v>
      </c>
      <c r="D195" t="s">
        <v>9378</v>
      </c>
      <c r="E195" t="s">
        <v>9353</v>
      </c>
    </row>
    <row r="196" spans="1:5" hidden="1">
      <c r="A196" t="s">
        <v>9757</v>
      </c>
      <c r="B196" t="s">
        <v>9758</v>
      </c>
      <c r="C196" t="s">
        <v>9378</v>
      </c>
      <c r="D196" t="s">
        <v>9378</v>
      </c>
      <c r="E196" t="s">
        <v>9353</v>
      </c>
    </row>
    <row r="197" spans="1:5" hidden="1">
      <c r="A197" t="s">
        <v>9759</v>
      </c>
      <c r="B197" t="s">
        <v>9760</v>
      </c>
      <c r="C197" t="s">
        <v>9378</v>
      </c>
      <c r="D197" t="s">
        <v>9378</v>
      </c>
      <c r="E197" t="s">
        <v>9353</v>
      </c>
    </row>
    <row r="198" spans="1:5" hidden="1">
      <c r="A198" t="s">
        <v>9761</v>
      </c>
      <c r="B198" t="s">
        <v>9762</v>
      </c>
      <c r="C198" t="s">
        <v>9378</v>
      </c>
      <c r="D198" t="s">
        <v>9378</v>
      </c>
      <c r="E198" t="s">
        <v>9353</v>
      </c>
    </row>
    <row r="199" spans="1:5" hidden="1">
      <c r="A199" t="s">
        <v>9763</v>
      </c>
      <c r="B199" t="s">
        <v>9764</v>
      </c>
      <c r="C199" t="s">
        <v>9378</v>
      </c>
      <c r="D199" t="s">
        <v>9378</v>
      </c>
      <c r="E199" t="s">
        <v>9353</v>
      </c>
    </row>
    <row r="200" spans="1:5" hidden="1">
      <c r="A200" t="s">
        <v>9765</v>
      </c>
      <c r="B200" t="s">
        <v>9766</v>
      </c>
      <c r="C200" t="s">
        <v>9378</v>
      </c>
      <c r="D200" t="s">
        <v>9378</v>
      </c>
      <c r="E200" t="s">
        <v>9378</v>
      </c>
    </row>
    <row r="201" spans="1:5" hidden="1">
      <c r="A201" t="s">
        <v>9767</v>
      </c>
      <c r="B201" t="s">
        <v>9768</v>
      </c>
      <c r="C201" t="s">
        <v>9378</v>
      </c>
      <c r="D201" t="s">
        <v>9378</v>
      </c>
      <c r="E201" t="s">
        <v>9378</v>
      </c>
    </row>
    <row r="202" spans="1:5" hidden="1">
      <c r="A202" t="s">
        <v>9769</v>
      </c>
      <c r="B202" t="s">
        <v>9770</v>
      </c>
      <c r="C202" t="s">
        <v>9378</v>
      </c>
      <c r="D202" t="s">
        <v>9378</v>
      </c>
      <c r="E202" t="s">
        <v>9378</v>
      </c>
    </row>
    <row r="203" spans="1:5" hidden="1">
      <c r="A203" t="s">
        <v>9771</v>
      </c>
      <c r="B203" t="s">
        <v>9772</v>
      </c>
      <c r="C203" t="s">
        <v>9378</v>
      </c>
      <c r="D203" t="s">
        <v>9378</v>
      </c>
      <c r="E203" t="s">
        <v>9378</v>
      </c>
    </row>
    <row r="204" spans="1:5" hidden="1">
      <c r="A204" t="s">
        <v>9773</v>
      </c>
      <c r="B204" t="s">
        <v>9774</v>
      </c>
      <c r="C204" t="s">
        <v>9378</v>
      </c>
      <c r="D204" t="s">
        <v>9378</v>
      </c>
      <c r="E204" t="s">
        <v>9378</v>
      </c>
    </row>
    <row r="205" spans="1:5">
      <c r="A205" t="s">
        <v>434</v>
      </c>
      <c r="B205" t="s">
        <v>435</v>
      </c>
      <c r="C205" t="s">
        <v>9369</v>
      </c>
      <c r="D205" t="s">
        <v>9369</v>
      </c>
      <c r="E205" t="s">
        <v>9369</v>
      </c>
    </row>
    <row r="206" spans="1:5" hidden="1">
      <c r="A206" t="s">
        <v>9775</v>
      </c>
      <c r="B206" t="s">
        <v>9776</v>
      </c>
      <c r="C206" t="s">
        <v>9378</v>
      </c>
      <c r="D206" t="s">
        <v>9378</v>
      </c>
      <c r="E206" t="s">
        <v>9405</v>
      </c>
    </row>
    <row r="207" spans="1:5" hidden="1">
      <c r="A207" t="s">
        <v>9777</v>
      </c>
      <c r="B207" t="s">
        <v>9778</v>
      </c>
      <c r="C207" t="s">
        <v>9378</v>
      </c>
      <c r="D207" t="s">
        <v>9378</v>
      </c>
      <c r="E207" t="s">
        <v>9405</v>
      </c>
    </row>
    <row r="208" spans="1:5" hidden="1">
      <c r="A208" t="s">
        <v>9779</v>
      </c>
      <c r="B208" t="s">
        <v>9780</v>
      </c>
      <c r="C208" t="s">
        <v>9378</v>
      </c>
      <c r="D208" t="s">
        <v>9378</v>
      </c>
      <c r="E208" t="s">
        <v>9378</v>
      </c>
    </row>
    <row r="209" spans="1:5" hidden="1">
      <c r="A209" t="s">
        <v>9781</v>
      </c>
      <c r="B209" t="s">
        <v>9782</v>
      </c>
      <c r="C209" t="s">
        <v>9378</v>
      </c>
      <c r="D209" t="s">
        <v>9378</v>
      </c>
      <c r="E209" t="s">
        <v>9378</v>
      </c>
    </row>
    <row r="210" spans="1:5" hidden="1">
      <c r="A210" t="s">
        <v>9783</v>
      </c>
      <c r="B210" t="s">
        <v>9784</v>
      </c>
      <c r="C210" t="s">
        <v>9378</v>
      </c>
      <c r="D210" t="s">
        <v>9378</v>
      </c>
      <c r="E210" t="s">
        <v>9378</v>
      </c>
    </row>
    <row r="211" spans="1:5" hidden="1">
      <c r="A211" t="s">
        <v>9785</v>
      </c>
      <c r="B211" t="s">
        <v>9786</v>
      </c>
      <c r="C211" t="s">
        <v>9378</v>
      </c>
      <c r="D211" t="s">
        <v>9378</v>
      </c>
      <c r="E211" t="s">
        <v>9378</v>
      </c>
    </row>
    <row r="212" spans="1:5" hidden="1">
      <c r="A212" t="s">
        <v>9787</v>
      </c>
      <c r="B212" t="s">
        <v>9788</v>
      </c>
      <c r="C212" t="s">
        <v>9378</v>
      </c>
      <c r="D212" t="s">
        <v>9378</v>
      </c>
      <c r="E212" t="s">
        <v>9378</v>
      </c>
    </row>
    <row r="213" spans="1:5" hidden="1">
      <c r="A213" t="s">
        <v>9789</v>
      </c>
      <c r="B213" t="s">
        <v>9790</v>
      </c>
      <c r="C213" t="s">
        <v>9378</v>
      </c>
      <c r="D213" t="s">
        <v>9378</v>
      </c>
      <c r="E213" t="s">
        <v>9378</v>
      </c>
    </row>
    <row r="214" spans="1:5" hidden="1">
      <c r="A214" t="s">
        <v>9791</v>
      </c>
      <c r="B214" t="s">
        <v>9792</v>
      </c>
      <c r="C214" t="s">
        <v>9378</v>
      </c>
      <c r="D214" t="s">
        <v>9378</v>
      </c>
      <c r="E214" t="s">
        <v>9378</v>
      </c>
    </row>
    <row r="215" spans="1:5">
      <c r="A215" t="s">
        <v>471</v>
      </c>
      <c r="B215" t="s">
        <v>472</v>
      </c>
      <c r="C215" t="s">
        <v>9369</v>
      </c>
      <c r="D215" t="s">
        <v>9369</v>
      </c>
      <c r="E215" t="s">
        <v>9369</v>
      </c>
    </row>
    <row r="216" spans="1:5">
      <c r="A216" t="s">
        <v>9793</v>
      </c>
      <c r="B216" t="s">
        <v>9794</v>
      </c>
      <c r="C216" t="s">
        <v>9369</v>
      </c>
      <c r="D216" t="s">
        <v>9369</v>
      </c>
      <c r="E216" t="s">
        <v>9369</v>
      </c>
    </row>
    <row r="217" spans="1:5" hidden="1">
      <c r="A217" t="s">
        <v>9795</v>
      </c>
      <c r="B217" t="s">
        <v>9796</v>
      </c>
      <c r="C217" t="s">
        <v>9378</v>
      </c>
      <c r="D217" t="s">
        <v>9378</v>
      </c>
      <c r="E217" t="s">
        <v>9378</v>
      </c>
    </row>
    <row r="218" spans="1:5" hidden="1">
      <c r="A218" t="s">
        <v>9797</v>
      </c>
      <c r="B218" t="s">
        <v>9798</v>
      </c>
      <c r="C218" t="s">
        <v>9378</v>
      </c>
      <c r="D218" t="s">
        <v>9378</v>
      </c>
      <c r="E218" t="s">
        <v>9378</v>
      </c>
    </row>
    <row r="219" spans="1:5" hidden="1">
      <c r="A219" t="s">
        <v>9799</v>
      </c>
      <c r="B219" t="s">
        <v>9800</v>
      </c>
      <c r="C219" t="s">
        <v>9378</v>
      </c>
      <c r="D219" t="s">
        <v>9378</v>
      </c>
      <c r="E219" t="s">
        <v>9378</v>
      </c>
    </row>
    <row r="220" spans="1:5" hidden="1">
      <c r="A220" t="s">
        <v>9801</v>
      </c>
      <c r="B220" t="s">
        <v>9802</v>
      </c>
      <c r="C220" t="s">
        <v>9378</v>
      </c>
      <c r="D220" t="s">
        <v>9378</v>
      </c>
      <c r="E220" t="s">
        <v>9378</v>
      </c>
    </row>
    <row r="221" spans="1:5" hidden="1">
      <c r="A221" t="s">
        <v>9803</v>
      </c>
      <c r="B221" t="s">
        <v>9804</v>
      </c>
      <c r="C221" t="s">
        <v>9378</v>
      </c>
      <c r="D221" t="s">
        <v>9378</v>
      </c>
      <c r="E221" t="s">
        <v>9378</v>
      </c>
    </row>
    <row r="222" spans="1:5" hidden="1">
      <c r="A222" t="s">
        <v>9805</v>
      </c>
      <c r="B222" t="s">
        <v>9806</v>
      </c>
      <c r="C222" t="s">
        <v>9378</v>
      </c>
      <c r="D222" t="s">
        <v>9378</v>
      </c>
      <c r="E222" t="s">
        <v>9378</v>
      </c>
    </row>
    <row r="223" spans="1:5">
      <c r="A223" t="s">
        <v>9807</v>
      </c>
      <c r="B223" t="s">
        <v>9808</v>
      </c>
      <c r="C223" t="s">
        <v>9369</v>
      </c>
      <c r="D223" t="s">
        <v>9369</v>
      </c>
      <c r="E223" t="s">
        <v>9369</v>
      </c>
    </row>
    <row r="224" spans="1:5" hidden="1">
      <c r="A224" t="s">
        <v>9809</v>
      </c>
      <c r="B224" t="s">
        <v>9810</v>
      </c>
      <c r="C224" t="s">
        <v>9378</v>
      </c>
      <c r="D224" t="s">
        <v>9378</v>
      </c>
      <c r="E224" t="s">
        <v>9378</v>
      </c>
    </row>
    <row r="225" spans="1:5" hidden="1">
      <c r="A225" t="s">
        <v>9811</v>
      </c>
      <c r="B225" t="s">
        <v>9812</v>
      </c>
      <c r="C225" t="s">
        <v>9378</v>
      </c>
      <c r="D225" t="s">
        <v>9378</v>
      </c>
      <c r="E225" t="s">
        <v>9378</v>
      </c>
    </row>
    <row r="226" spans="1:5" hidden="1">
      <c r="A226" t="s">
        <v>9813</v>
      </c>
      <c r="B226" t="s">
        <v>9814</v>
      </c>
      <c r="C226" t="s">
        <v>9378</v>
      </c>
      <c r="D226" t="s">
        <v>9378</v>
      </c>
      <c r="E226" t="s">
        <v>9378</v>
      </c>
    </row>
    <row r="227" spans="1:5" hidden="1">
      <c r="A227" t="s">
        <v>9815</v>
      </c>
      <c r="B227" t="s">
        <v>9816</v>
      </c>
      <c r="C227" t="s">
        <v>9378</v>
      </c>
      <c r="D227" t="s">
        <v>9378</v>
      </c>
      <c r="E227" t="s">
        <v>9378</v>
      </c>
    </row>
    <row r="228" spans="1:5" hidden="1">
      <c r="A228" t="s">
        <v>9817</v>
      </c>
      <c r="B228" t="s">
        <v>9818</v>
      </c>
      <c r="C228" t="s">
        <v>9378</v>
      </c>
      <c r="D228" t="s">
        <v>9378</v>
      </c>
      <c r="E228" t="s">
        <v>9378</v>
      </c>
    </row>
    <row r="229" spans="1:5" hidden="1">
      <c r="A229" t="s">
        <v>9819</v>
      </c>
      <c r="B229" t="s">
        <v>9820</v>
      </c>
      <c r="C229" t="s">
        <v>9378</v>
      </c>
      <c r="D229" t="s">
        <v>9378</v>
      </c>
      <c r="E229" t="s">
        <v>9378</v>
      </c>
    </row>
    <row r="230" spans="1:5" hidden="1">
      <c r="A230" t="s">
        <v>9821</v>
      </c>
      <c r="B230" t="s">
        <v>9822</v>
      </c>
      <c r="C230" t="s">
        <v>9378</v>
      </c>
      <c r="D230" t="s">
        <v>9378</v>
      </c>
      <c r="E230" t="s">
        <v>9378</v>
      </c>
    </row>
    <row r="231" spans="1:5" hidden="1">
      <c r="A231" t="s">
        <v>9823</v>
      </c>
      <c r="B231" t="s">
        <v>9824</v>
      </c>
      <c r="C231" t="s">
        <v>9378</v>
      </c>
      <c r="D231" t="s">
        <v>9378</v>
      </c>
      <c r="E231" t="s">
        <v>9378</v>
      </c>
    </row>
    <row r="232" spans="1:5" hidden="1">
      <c r="A232" t="s">
        <v>9825</v>
      </c>
      <c r="B232" t="s">
        <v>9826</v>
      </c>
      <c r="C232" t="s">
        <v>9378</v>
      </c>
      <c r="D232" t="s">
        <v>9378</v>
      </c>
      <c r="E232" t="s">
        <v>9378</v>
      </c>
    </row>
    <row r="233" spans="1:5" hidden="1">
      <c r="A233" t="s">
        <v>9827</v>
      </c>
      <c r="B233" t="s">
        <v>9828</v>
      </c>
      <c r="C233" t="s">
        <v>9378</v>
      </c>
      <c r="D233" t="s">
        <v>9378</v>
      </c>
      <c r="E233" t="s">
        <v>9378</v>
      </c>
    </row>
    <row r="234" spans="1:5" hidden="1">
      <c r="A234" t="s">
        <v>9829</v>
      </c>
      <c r="B234" t="s">
        <v>9830</v>
      </c>
      <c r="C234" t="s">
        <v>9378</v>
      </c>
      <c r="D234" t="s">
        <v>9378</v>
      </c>
      <c r="E234" t="s">
        <v>9378</v>
      </c>
    </row>
    <row r="235" spans="1:5" hidden="1">
      <c r="A235" t="s">
        <v>9831</v>
      </c>
      <c r="B235" t="s">
        <v>9832</v>
      </c>
      <c r="C235" t="s">
        <v>9378</v>
      </c>
      <c r="D235" t="s">
        <v>9378</v>
      </c>
      <c r="E235" t="s">
        <v>9405</v>
      </c>
    </row>
    <row r="236" spans="1:5" hidden="1">
      <c r="A236" t="s">
        <v>9833</v>
      </c>
      <c r="B236" t="s">
        <v>9834</v>
      </c>
      <c r="C236" t="s">
        <v>9378</v>
      </c>
      <c r="D236" t="s">
        <v>9378</v>
      </c>
      <c r="E236" t="s">
        <v>9405</v>
      </c>
    </row>
    <row r="237" spans="1:5">
      <c r="A237" t="s">
        <v>9835</v>
      </c>
      <c r="B237" t="s">
        <v>9836</v>
      </c>
      <c r="C237" t="s">
        <v>9369</v>
      </c>
      <c r="D237" t="s">
        <v>9369</v>
      </c>
      <c r="E237" t="s">
        <v>9369</v>
      </c>
    </row>
    <row r="238" spans="1:5" hidden="1">
      <c r="A238" t="s">
        <v>9837</v>
      </c>
      <c r="B238" t="s">
        <v>9838</v>
      </c>
      <c r="C238" t="s">
        <v>9378</v>
      </c>
      <c r="D238" t="s">
        <v>9378</v>
      </c>
      <c r="E238" t="s">
        <v>9378</v>
      </c>
    </row>
    <row r="239" spans="1:5" hidden="1">
      <c r="A239" t="s">
        <v>9839</v>
      </c>
      <c r="B239" t="s">
        <v>9840</v>
      </c>
      <c r="C239" t="s">
        <v>9378</v>
      </c>
      <c r="D239" t="s">
        <v>9378</v>
      </c>
      <c r="E239" t="s">
        <v>9378</v>
      </c>
    </row>
    <row r="240" spans="1:5" hidden="1">
      <c r="A240" t="s">
        <v>9841</v>
      </c>
      <c r="B240" t="s">
        <v>9842</v>
      </c>
      <c r="C240" t="s">
        <v>9378</v>
      </c>
      <c r="D240" t="s">
        <v>9378</v>
      </c>
      <c r="E240" t="s">
        <v>9378</v>
      </c>
    </row>
    <row r="241" spans="1:5" hidden="1">
      <c r="A241" t="s">
        <v>9843</v>
      </c>
      <c r="B241" t="s">
        <v>9844</v>
      </c>
      <c r="C241" t="s">
        <v>9378</v>
      </c>
      <c r="D241" t="s">
        <v>9378</v>
      </c>
      <c r="E241" t="s">
        <v>9378</v>
      </c>
    </row>
    <row r="242" spans="1:5" hidden="1">
      <c r="A242" t="s">
        <v>9845</v>
      </c>
      <c r="B242" t="s">
        <v>9846</v>
      </c>
      <c r="C242" t="s">
        <v>9378</v>
      </c>
      <c r="D242" t="s">
        <v>9378</v>
      </c>
      <c r="E242" t="s">
        <v>9378</v>
      </c>
    </row>
    <row r="243" spans="1:5" hidden="1">
      <c r="A243" t="s">
        <v>9847</v>
      </c>
      <c r="B243" t="s">
        <v>9848</v>
      </c>
      <c r="C243" t="s">
        <v>9378</v>
      </c>
      <c r="D243" t="s">
        <v>9378</v>
      </c>
      <c r="E243" t="s">
        <v>9378</v>
      </c>
    </row>
    <row r="244" spans="1:5" hidden="1">
      <c r="A244" t="s">
        <v>9849</v>
      </c>
      <c r="B244" t="s">
        <v>9850</v>
      </c>
      <c r="C244" t="s">
        <v>9378</v>
      </c>
      <c r="D244" t="s">
        <v>9378</v>
      </c>
      <c r="E244" t="s">
        <v>9378</v>
      </c>
    </row>
    <row r="245" spans="1:5" hidden="1">
      <c r="A245" t="s">
        <v>9851</v>
      </c>
      <c r="B245" t="s">
        <v>9852</v>
      </c>
      <c r="C245" t="s">
        <v>9378</v>
      </c>
      <c r="D245" t="s">
        <v>9378</v>
      </c>
      <c r="E245" t="s">
        <v>9378</v>
      </c>
    </row>
    <row r="246" spans="1:5" hidden="1">
      <c r="A246" t="s">
        <v>9853</v>
      </c>
      <c r="B246" t="s">
        <v>9854</v>
      </c>
      <c r="C246" t="s">
        <v>9378</v>
      </c>
      <c r="D246" t="s">
        <v>9378</v>
      </c>
      <c r="E246" t="s">
        <v>9378</v>
      </c>
    </row>
    <row r="247" spans="1:5" hidden="1">
      <c r="A247" t="s">
        <v>9855</v>
      </c>
      <c r="B247" t="s">
        <v>9856</v>
      </c>
      <c r="C247" t="s">
        <v>9378</v>
      </c>
      <c r="D247" t="s">
        <v>9378</v>
      </c>
      <c r="E247" t="s">
        <v>9378</v>
      </c>
    </row>
    <row r="248" spans="1:5" hidden="1">
      <c r="A248" t="s">
        <v>9857</v>
      </c>
      <c r="B248" t="s">
        <v>9858</v>
      </c>
      <c r="C248" t="s">
        <v>9378</v>
      </c>
      <c r="D248" t="s">
        <v>9378</v>
      </c>
      <c r="E248" t="s">
        <v>9378</v>
      </c>
    </row>
    <row r="249" spans="1:5" hidden="1">
      <c r="A249" t="s">
        <v>9859</v>
      </c>
      <c r="B249" t="s">
        <v>9860</v>
      </c>
      <c r="C249" t="s">
        <v>9378</v>
      </c>
      <c r="D249" t="s">
        <v>9378</v>
      </c>
      <c r="E249" t="s">
        <v>9378</v>
      </c>
    </row>
    <row r="250" spans="1:5" hidden="1">
      <c r="A250" t="s">
        <v>9861</v>
      </c>
      <c r="B250" t="s">
        <v>9862</v>
      </c>
      <c r="C250" t="s">
        <v>9378</v>
      </c>
      <c r="D250" t="s">
        <v>9378</v>
      </c>
      <c r="E250" t="s">
        <v>9378</v>
      </c>
    </row>
    <row r="251" spans="1:5" hidden="1">
      <c r="A251" t="s">
        <v>9863</v>
      </c>
      <c r="B251" t="s">
        <v>9864</v>
      </c>
      <c r="C251" t="s">
        <v>9378</v>
      </c>
      <c r="D251" t="s">
        <v>9378</v>
      </c>
      <c r="E251" t="s">
        <v>9378</v>
      </c>
    </row>
    <row r="252" spans="1:5" hidden="1">
      <c r="A252" t="s">
        <v>9865</v>
      </c>
      <c r="B252" t="s">
        <v>9866</v>
      </c>
      <c r="C252" t="s">
        <v>9378</v>
      </c>
      <c r="D252" t="s">
        <v>9378</v>
      </c>
      <c r="E252" t="s">
        <v>9378</v>
      </c>
    </row>
    <row r="253" spans="1:5" hidden="1">
      <c r="A253" t="s">
        <v>9867</v>
      </c>
      <c r="B253" t="s">
        <v>9868</v>
      </c>
      <c r="C253" t="s">
        <v>9378</v>
      </c>
      <c r="D253" t="s">
        <v>9378</v>
      </c>
      <c r="E253" t="s">
        <v>9378</v>
      </c>
    </row>
    <row r="254" spans="1:5" hidden="1">
      <c r="A254" t="s">
        <v>9869</v>
      </c>
      <c r="B254" t="s">
        <v>9870</v>
      </c>
      <c r="C254" t="s">
        <v>9378</v>
      </c>
      <c r="D254" t="s">
        <v>9378</v>
      </c>
      <c r="E254" t="s">
        <v>9378</v>
      </c>
    </row>
    <row r="255" spans="1:5" hidden="1">
      <c r="A255" t="s">
        <v>9871</v>
      </c>
      <c r="B255" t="s">
        <v>9872</v>
      </c>
      <c r="C255" t="s">
        <v>9378</v>
      </c>
      <c r="D255" t="s">
        <v>9378</v>
      </c>
      <c r="E255" t="s">
        <v>9405</v>
      </c>
    </row>
    <row r="256" spans="1:5" hidden="1">
      <c r="A256" t="s">
        <v>9873</v>
      </c>
      <c r="B256" t="s">
        <v>9874</v>
      </c>
      <c r="C256" t="s">
        <v>9378</v>
      </c>
      <c r="D256" t="s">
        <v>9378</v>
      </c>
      <c r="E256" t="s">
        <v>9405</v>
      </c>
    </row>
    <row r="257" spans="1:5" hidden="1">
      <c r="A257" t="s">
        <v>9875</v>
      </c>
      <c r="B257" t="s">
        <v>9876</v>
      </c>
      <c r="C257" t="s">
        <v>9378</v>
      </c>
      <c r="D257" t="s">
        <v>9378</v>
      </c>
      <c r="E257" t="s">
        <v>9405</v>
      </c>
    </row>
    <row r="258" spans="1:5">
      <c r="A258" t="s">
        <v>9877</v>
      </c>
      <c r="B258" t="s">
        <v>9878</v>
      </c>
      <c r="C258" t="s">
        <v>9369</v>
      </c>
      <c r="D258" t="s">
        <v>9369</v>
      </c>
      <c r="E258" t="s">
        <v>9369</v>
      </c>
    </row>
    <row r="259" spans="1:5" hidden="1">
      <c r="A259" t="s">
        <v>9879</v>
      </c>
      <c r="B259" t="s">
        <v>9880</v>
      </c>
      <c r="C259" t="s">
        <v>9378</v>
      </c>
      <c r="D259" t="s">
        <v>9378</v>
      </c>
      <c r="E259" t="s">
        <v>9353</v>
      </c>
    </row>
    <row r="260" spans="1:5" hidden="1">
      <c r="A260" t="s">
        <v>9881</v>
      </c>
      <c r="B260" t="s">
        <v>9882</v>
      </c>
      <c r="C260" t="s">
        <v>9378</v>
      </c>
      <c r="D260" t="s">
        <v>9378</v>
      </c>
      <c r="E260" t="s">
        <v>9353</v>
      </c>
    </row>
    <row r="261" spans="1:5" hidden="1">
      <c r="A261" t="s">
        <v>9883</v>
      </c>
      <c r="B261" t="s">
        <v>9884</v>
      </c>
      <c r="C261" t="s">
        <v>9378</v>
      </c>
      <c r="D261" t="s">
        <v>9378</v>
      </c>
      <c r="E261" t="s">
        <v>9353</v>
      </c>
    </row>
    <row r="262" spans="1:5" hidden="1">
      <c r="A262" t="s">
        <v>9885</v>
      </c>
      <c r="B262" t="s">
        <v>9886</v>
      </c>
      <c r="C262" t="s">
        <v>9378</v>
      </c>
      <c r="D262" t="s">
        <v>9378</v>
      </c>
      <c r="E262" t="s">
        <v>9353</v>
      </c>
    </row>
    <row r="263" spans="1:5">
      <c r="A263" t="s">
        <v>468</v>
      </c>
      <c r="B263" t="s">
        <v>9887</v>
      </c>
      <c r="C263" t="s">
        <v>9369</v>
      </c>
      <c r="D263" t="s">
        <v>9369</v>
      </c>
      <c r="E263" t="s">
        <v>9369</v>
      </c>
    </row>
    <row r="264" spans="1:5" hidden="1">
      <c r="A264" t="s">
        <v>9888</v>
      </c>
      <c r="B264" t="s">
        <v>9889</v>
      </c>
      <c r="C264" t="s">
        <v>9378</v>
      </c>
      <c r="D264" t="s">
        <v>9378</v>
      </c>
      <c r="E264" t="s">
        <v>9405</v>
      </c>
    </row>
    <row r="265" spans="1:5" hidden="1">
      <c r="A265" t="s">
        <v>9890</v>
      </c>
      <c r="B265" t="s">
        <v>9891</v>
      </c>
      <c r="C265" t="s">
        <v>9378</v>
      </c>
      <c r="D265" t="s">
        <v>9378</v>
      </c>
      <c r="E265" t="s">
        <v>9378</v>
      </c>
    </row>
    <row r="266" spans="1:5" hidden="1">
      <c r="A266" t="s">
        <v>9892</v>
      </c>
      <c r="B266" t="s">
        <v>9893</v>
      </c>
      <c r="C266" t="s">
        <v>9378</v>
      </c>
      <c r="D266" t="s">
        <v>9378</v>
      </c>
      <c r="E266" t="s">
        <v>9378</v>
      </c>
    </row>
    <row r="267" spans="1:5" hidden="1">
      <c r="A267" t="s">
        <v>9894</v>
      </c>
      <c r="B267" t="s">
        <v>9895</v>
      </c>
      <c r="C267" t="s">
        <v>9378</v>
      </c>
      <c r="D267" t="s">
        <v>9378</v>
      </c>
      <c r="E267" t="s">
        <v>9378</v>
      </c>
    </row>
    <row r="268" spans="1:5" hidden="1">
      <c r="A268" t="s">
        <v>9896</v>
      </c>
      <c r="B268" t="s">
        <v>9897</v>
      </c>
      <c r="C268" t="s">
        <v>9378</v>
      </c>
      <c r="D268" t="s">
        <v>9378</v>
      </c>
      <c r="E268" t="s">
        <v>9378</v>
      </c>
    </row>
    <row r="269" spans="1:5" hidden="1">
      <c r="A269" t="s">
        <v>9898</v>
      </c>
      <c r="B269" t="s">
        <v>9899</v>
      </c>
      <c r="C269" t="s">
        <v>9378</v>
      </c>
      <c r="D269" t="s">
        <v>9378</v>
      </c>
      <c r="E269" t="s">
        <v>9378</v>
      </c>
    </row>
    <row r="270" spans="1:5" hidden="1">
      <c r="A270" t="s">
        <v>9900</v>
      </c>
      <c r="B270" t="s">
        <v>9901</v>
      </c>
      <c r="C270" t="s">
        <v>9378</v>
      </c>
      <c r="D270" t="s">
        <v>9378</v>
      </c>
      <c r="E270" t="s">
        <v>9378</v>
      </c>
    </row>
    <row r="271" spans="1:5" hidden="1">
      <c r="A271" t="s">
        <v>9902</v>
      </c>
      <c r="B271" t="s">
        <v>9903</v>
      </c>
      <c r="C271" t="s">
        <v>9378</v>
      </c>
      <c r="D271" t="s">
        <v>9378</v>
      </c>
      <c r="E271" t="s">
        <v>9378</v>
      </c>
    </row>
    <row r="272" spans="1:5" hidden="1">
      <c r="A272" t="s">
        <v>9904</v>
      </c>
      <c r="B272" t="s">
        <v>9905</v>
      </c>
      <c r="C272" t="s">
        <v>9378</v>
      </c>
      <c r="D272" t="s">
        <v>9378</v>
      </c>
      <c r="E272" t="s">
        <v>9378</v>
      </c>
    </row>
    <row r="273" spans="1:5" hidden="1">
      <c r="A273" t="s">
        <v>9906</v>
      </c>
      <c r="B273" t="s">
        <v>9907</v>
      </c>
      <c r="C273" t="s">
        <v>9378</v>
      </c>
      <c r="D273" t="s">
        <v>9378</v>
      </c>
      <c r="E273" t="s">
        <v>9378</v>
      </c>
    </row>
    <row r="274" spans="1:5" hidden="1">
      <c r="A274" t="s">
        <v>9908</v>
      </c>
      <c r="B274" t="s">
        <v>9909</v>
      </c>
      <c r="C274" t="s">
        <v>9378</v>
      </c>
      <c r="D274" t="s">
        <v>9378</v>
      </c>
      <c r="E274" t="s">
        <v>9378</v>
      </c>
    </row>
    <row r="275" spans="1:5" hidden="1">
      <c r="A275" t="s">
        <v>9910</v>
      </c>
      <c r="B275" t="s">
        <v>9911</v>
      </c>
      <c r="C275" t="s">
        <v>9378</v>
      </c>
      <c r="D275" t="s">
        <v>9378</v>
      </c>
      <c r="E275" t="s">
        <v>9378</v>
      </c>
    </row>
    <row r="276" spans="1:5" hidden="1">
      <c r="A276" t="s">
        <v>9912</v>
      </c>
      <c r="B276" t="s">
        <v>9913</v>
      </c>
      <c r="C276" t="s">
        <v>9378</v>
      </c>
      <c r="D276" t="s">
        <v>9378</v>
      </c>
      <c r="E276" t="s">
        <v>9378</v>
      </c>
    </row>
    <row r="277" spans="1:5" hidden="1">
      <c r="A277" t="s">
        <v>9914</v>
      </c>
      <c r="B277" t="s">
        <v>9915</v>
      </c>
      <c r="C277" t="s">
        <v>9378</v>
      </c>
      <c r="D277" t="s">
        <v>9378</v>
      </c>
      <c r="E277" t="s">
        <v>9378</v>
      </c>
    </row>
    <row r="278" spans="1:5" hidden="1">
      <c r="A278" t="s">
        <v>9916</v>
      </c>
      <c r="B278" t="s">
        <v>9917</v>
      </c>
      <c r="C278" t="s">
        <v>9378</v>
      </c>
      <c r="D278" t="s">
        <v>9378</v>
      </c>
      <c r="E278" t="s">
        <v>9378</v>
      </c>
    </row>
    <row r="279" spans="1:5" hidden="1">
      <c r="A279" t="s">
        <v>9918</v>
      </c>
      <c r="B279" t="s">
        <v>9919</v>
      </c>
      <c r="C279" t="s">
        <v>9378</v>
      </c>
      <c r="D279" t="s">
        <v>9378</v>
      </c>
      <c r="E279" t="s">
        <v>9378</v>
      </c>
    </row>
    <row r="280" spans="1:5" hidden="1">
      <c r="A280" t="s">
        <v>9920</v>
      </c>
      <c r="B280" t="s">
        <v>9921</v>
      </c>
      <c r="C280" t="s">
        <v>9378</v>
      </c>
      <c r="D280" t="s">
        <v>9378</v>
      </c>
      <c r="E280" t="s">
        <v>9353</v>
      </c>
    </row>
    <row r="281" spans="1:5" hidden="1">
      <c r="A281" t="s">
        <v>9922</v>
      </c>
      <c r="B281" t="s">
        <v>9923</v>
      </c>
      <c r="C281" t="s">
        <v>9378</v>
      </c>
      <c r="D281" t="s">
        <v>9378</v>
      </c>
      <c r="E281" t="s">
        <v>9353</v>
      </c>
    </row>
    <row r="282" spans="1:5" hidden="1">
      <c r="A282" t="s">
        <v>9924</v>
      </c>
      <c r="B282" t="s">
        <v>9925</v>
      </c>
      <c r="C282" t="s">
        <v>9378</v>
      </c>
      <c r="D282" t="s">
        <v>9378</v>
      </c>
      <c r="E282" t="s">
        <v>9353</v>
      </c>
    </row>
    <row r="283" spans="1:5" hidden="1">
      <c r="A283" t="s">
        <v>9926</v>
      </c>
      <c r="B283" t="s">
        <v>9927</v>
      </c>
      <c r="C283" t="s">
        <v>9378</v>
      </c>
      <c r="D283" t="s">
        <v>9378</v>
      </c>
      <c r="E283" t="s">
        <v>9353</v>
      </c>
    </row>
    <row r="284" spans="1:5" hidden="1">
      <c r="A284" t="s">
        <v>9928</v>
      </c>
      <c r="B284" t="s">
        <v>9929</v>
      </c>
      <c r="C284" t="s">
        <v>9378</v>
      </c>
      <c r="D284" t="s">
        <v>9378</v>
      </c>
      <c r="E284" t="s">
        <v>9353</v>
      </c>
    </row>
    <row r="285" spans="1:5" hidden="1">
      <c r="A285" t="s">
        <v>9930</v>
      </c>
      <c r="B285" t="s">
        <v>9931</v>
      </c>
      <c r="C285" t="s">
        <v>9378</v>
      </c>
      <c r="D285" t="s">
        <v>9378</v>
      </c>
      <c r="E285" t="s">
        <v>9353</v>
      </c>
    </row>
    <row r="286" spans="1:5" hidden="1">
      <c r="A286" t="s">
        <v>9932</v>
      </c>
      <c r="B286" t="s">
        <v>9933</v>
      </c>
      <c r="C286" t="s">
        <v>9378</v>
      </c>
      <c r="D286" t="s">
        <v>9378</v>
      </c>
      <c r="E286" t="s">
        <v>9378</v>
      </c>
    </row>
    <row r="287" spans="1:5" hidden="1">
      <c r="A287" t="s">
        <v>9934</v>
      </c>
      <c r="B287" t="s">
        <v>9935</v>
      </c>
      <c r="C287" t="s">
        <v>9378</v>
      </c>
      <c r="D287" t="s">
        <v>9378</v>
      </c>
      <c r="E287" t="s">
        <v>9378</v>
      </c>
    </row>
    <row r="288" spans="1:5" hidden="1">
      <c r="A288" t="s">
        <v>9936</v>
      </c>
      <c r="B288" t="s">
        <v>9937</v>
      </c>
      <c r="C288" t="s">
        <v>9378</v>
      </c>
      <c r="D288" t="s">
        <v>9378</v>
      </c>
      <c r="E288" t="s">
        <v>9353</v>
      </c>
    </row>
    <row r="289" spans="1:5" hidden="1">
      <c r="A289" t="s">
        <v>9938</v>
      </c>
      <c r="B289" t="s">
        <v>9939</v>
      </c>
      <c r="C289" t="s">
        <v>9378</v>
      </c>
      <c r="D289" t="s">
        <v>9378</v>
      </c>
      <c r="E289" t="s">
        <v>9378</v>
      </c>
    </row>
    <row r="290" spans="1:5" hidden="1">
      <c r="A290" t="s">
        <v>9940</v>
      </c>
      <c r="B290" t="s">
        <v>9941</v>
      </c>
      <c r="C290" t="s">
        <v>9378</v>
      </c>
      <c r="D290" t="s">
        <v>9378</v>
      </c>
      <c r="E290" t="s">
        <v>9378</v>
      </c>
    </row>
    <row r="291" spans="1:5" hidden="1">
      <c r="A291" t="s">
        <v>9942</v>
      </c>
      <c r="B291" t="s">
        <v>9943</v>
      </c>
      <c r="C291" t="s">
        <v>9378</v>
      </c>
      <c r="D291" t="s">
        <v>9378</v>
      </c>
      <c r="E291" t="s">
        <v>9378</v>
      </c>
    </row>
    <row r="292" spans="1:5" hidden="1">
      <c r="A292" t="s">
        <v>9944</v>
      </c>
      <c r="B292" t="s">
        <v>9945</v>
      </c>
      <c r="C292" t="s">
        <v>9378</v>
      </c>
      <c r="D292" t="s">
        <v>9378</v>
      </c>
      <c r="E292" t="s">
        <v>9378</v>
      </c>
    </row>
    <row r="293" spans="1:5" hidden="1">
      <c r="A293" t="s">
        <v>9946</v>
      </c>
      <c r="B293" t="s">
        <v>9947</v>
      </c>
      <c r="C293" t="s">
        <v>9378</v>
      </c>
      <c r="D293" t="s">
        <v>9378</v>
      </c>
      <c r="E293" t="s">
        <v>9378</v>
      </c>
    </row>
    <row r="294" spans="1:5" hidden="1">
      <c r="A294" t="s">
        <v>9948</v>
      </c>
      <c r="B294" t="s">
        <v>9949</v>
      </c>
      <c r="C294" t="s">
        <v>9378</v>
      </c>
      <c r="D294" t="s">
        <v>9378</v>
      </c>
      <c r="E294" t="s">
        <v>9378</v>
      </c>
    </row>
    <row r="295" spans="1:5">
      <c r="A295" t="s">
        <v>9950</v>
      </c>
      <c r="B295" t="s">
        <v>9951</v>
      </c>
      <c r="C295" t="s">
        <v>9369</v>
      </c>
      <c r="D295" t="s">
        <v>9369</v>
      </c>
      <c r="E295" t="s">
        <v>9369</v>
      </c>
    </row>
    <row r="296" spans="1:5">
      <c r="A296" t="s">
        <v>9952</v>
      </c>
      <c r="B296" t="s">
        <v>9953</v>
      </c>
      <c r="C296" t="s">
        <v>9369</v>
      </c>
      <c r="D296" t="s">
        <v>9369</v>
      </c>
      <c r="E296" t="s">
        <v>9369</v>
      </c>
    </row>
    <row r="297" spans="1:5" hidden="1">
      <c r="A297" t="s">
        <v>9954</v>
      </c>
      <c r="B297" t="s">
        <v>9955</v>
      </c>
      <c r="C297" t="s">
        <v>9378</v>
      </c>
      <c r="D297" t="s">
        <v>9378</v>
      </c>
      <c r="E297" t="s">
        <v>9378</v>
      </c>
    </row>
    <row r="298" spans="1:5" hidden="1">
      <c r="A298" t="s">
        <v>9956</v>
      </c>
      <c r="B298" t="s">
        <v>9957</v>
      </c>
      <c r="C298" t="s">
        <v>9378</v>
      </c>
      <c r="D298" t="s">
        <v>9378</v>
      </c>
      <c r="E298" t="s">
        <v>9378</v>
      </c>
    </row>
    <row r="299" spans="1:5" hidden="1">
      <c r="A299" t="s">
        <v>9958</v>
      </c>
      <c r="B299" t="s">
        <v>9959</v>
      </c>
      <c r="C299" t="s">
        <v>9378</v>
      </c>
      <c r="D299" t="s">
        <v>9378</v>
      </c>
      <c r="E299" t="s">
        <v>9378</v>
      </c>
    </row>
    <row r="300" spans="1:5" hidden="1">
      <c r="A300" t="s">
        <v>9960</v>
      </c>
      <c r="B300" t="s">
        <v>9961</v>
      </c>
      <c r="C300" t="s">
        <v>9378</v>
      </c>
      <c r="D300" t="s">
        <v>9378</v>
      </c>
      <c r="E300" t="s">
        <v>9378</v>
      </c>
    </row>
    <row r="301" spans="1:5" hidden="1">
      <c r="A301" t="s">
        <v>9962</v>
      </c>
      <c r="B301" t="s">
        <v>9963</v>
      </c>
      <c r="C301" t="s">
        <v>9378</v>
      </c>
      <c r="D301" t="s">
        <v>9378</v>
      </c>
      <c r="E301" t="s">
        <v>9378</v>
      </c>
    </row>
    <row r="302" spans="1:5" hidden="1">
      <c r="A302" t="s">
        <v>9964</v>
      </c>
      <c r="B302" t="s">
        <v>9965</v>
      </c>
      <c r="C302" t="s">
        <v>9378</v>
      </c>
      <c r="D302" t="s">
        <v>9378</v>
      </c>
      <c r="E302" t="s">
        <v>9378</v>
      </c>
    </row>
    <row r="303" spans="1:5" hidden="1">
      <c r="A303" t="s">
        <v>9966</v>
      </c>
      <c r="B303" t="s">
        <v>9967</v>
      </c>
      <c r="C303" t="s">
        <v>9378</v>
      </c>
      <c r="D303" t="s">
        <v>9378</v>
      </c>
      <c r="E303" t="s">
        <v>9378</v>
      </c>
    </row>
    <row r="304" spans="1:5" hidden="1">
      <c r="A304" t="s">
        <v>9968</v>
      </c>
      <c r="B304" t="s">
        <v>9969</v>
      </c>
      <c r="C304" t="s">
        <v>9378</v>
      </c>
      <c r="D304" t="s">
        <v>9378</v>
      </c>
      <c r="E304" t="s">
        <v>9378</v>
      </c>
    </row>
    <row r="305" spans="1:5" hidden="1">
      <c r="A305" t="s">
        <v>9970</v>
      </c>
      <c r="B305" t="s">
        <v>9971</v>
      </c>
      <c r="C305" t="s">
        <v>9378</v>
      </c>
      <c r="D305" t="s">
        <v>9378</v>
      </c>
      <c r="E305" t="s">
        <v>9378</v>
      </c>
    </row>
    <row r="306" spans="1:5" hidden="1">
      <c r="A306" t="s">
        <v>9972</v>
      </c>
      <c r="B306" t="s">
        <v>9973</v>
      </c>
      <c r="C306" t="s">
        <v>9378</v>
      </c>
      <c r="D306" t="s">
        <v>9378</v>
      </c>
      <c r="E306" t="s">
        <v>9378</v>
      </c>
    </row>
    <row r="307" spans="1:5" hidden="1">
      <c r="A307" t="s">
        <v>9974</v>
      </c>
      <c r="B307" t="s">
        <v>9975</v>
      </c>
      <c r="C307" t="s">
        <v>9378</v>
      </c>
      <c r="D307" t="s">
        <v>9378</v>
      </c>
      <c r="E307" t="s">
        <v>9378</v>
      </c>
    </row>
    <row r="308" spans="1:5" hidden="1">
      <c r="A308" t="s">
        <v>9976</v>
      </c>
      <c r="B308" t="s">
        <v>9977</v>
      </c>
      <c r="C308" t="s">
        <v>9378</v>
      </c>
      <c r="D308" t="s">
        <v>9378</v>
      </c>
      <c r="E308" t="s">
        <v>9378</v>
      </c>
    </row>
    <row r="309" spans="1:5" hidden="1">
      <c r="A309" t="s">
        <v>9978</v>
      </c>
      <c r="B309" t="s">
        <v>9979</v>
      </c>
      <c r="C309" t="s">
        <v>9378</v>
      </c>
      <c r="D309" t="s">
        <v>9378</v>
      </c>
      <c r="E309" t="s">
        <v>9378</v>
      </c>
    </row>
    <row r="310" spans="1:5" hidden="1">
      <c r="A310" t="s">
        <v>9980</v>
      </c>
      <c r="B310" t="s">
        <v>9981</v>
      </c>
      <c r="C310" t="s">
        <v>9378</v>
      </c>
      <c r="D310" t="s">
        <v>9378</v>
      </c>
      <c r="E310" t="s">
        <v>9378</v>
      </c>
    </row>
    <row r="311" spans="1:5" hidden="1">
      <c r="A311" t="s">
        <v>9982</v>
      </c>
      <c r="B311" t="s">
        <v>9983</v>
      </c>
      <c r="C311" t="s">
        <v>9378</v>
      </c>
      <c r="D311" t="s">
        <v>9378</v>
      </c>
      <c r="E311" t="s">
        <v>9405</v>
      </c>
    </row>
    <row r="312" spans="1:5" hidden="1">
      <c r="A312" t="s">
        <v>9984</v>
      </c>
      <c r="B312" t="s">
        <v>9985</v>
      </c>
      <c r="C312" t="s">
        <v>9378</v>
      </c>
      <c r="D312" t="s">
        <v>9378</v>
      </c>
      <c r="E312" t="s">
        <v>9378</v>
      </c>
    </row>
    <row r="313" spans="1:5" hidden="1">
      <c r="A313" t="s">
        <v>9986</v>
      </c>
      <c r="B313" t="s">
        <v>9987</v>
      </c>
      <c r="C313" t="s">
        <v>9378</v>
      </c>
      <c r="D313" t="s">
        <v>9378</v>
      </c>
      <c r="E313" t="s">
        <v>9378</v>
      </c>
    </row>
    <row r="314" spans="1:5" hidden="1">
      <c r="A314" t="s">
        <v>9988</v>
      </c>
      <c r="B314" t="s">
        <v>9989</v>
      </c>
      <c r="C314" t="s">
        <v>9378</v>
      </c>
      <c r="D314" t="s">
        <v>9378</v>
      </c>
      <c r="E314" t="s">
        <v>9378</v>
      </c>
    </row>
    <row r="315" spans="1:5" hidden="1">
      <c r="A315" t="s">
        <v>9990</v>
      </c>
      <c r="B315" t="s">
        <v>9991</v>
      </c>
      <c r="C315" t="s">
        <v>9378</v>
      </c>
      <c r="D315" t="s">
        <v>9378</v>
      </c>
      <c r="E315" t="s">
        <v>9378</v>
      </c>
    </row>
    <row r="316" spans="1:5" hidden="1">
      <c r="A316" t="s">
        <v>9992</v>
      </c>
      <c r="B316" t="s">
        <v>9993</v>
      </c>
      <c r="C316" t="s">
        <v>9378</v>
      </c>
      <c r="D316" t="s">
        <v>9378</v>
      </c>
      <c r="E316" t="s">
        <v>9378</v>
      </c>
    </row>
    <row r="317" spans="1:5" hidden="1">
      <c r="A317" t="s">
        <v>9994</v>
      </c>
      <c r="B317" t="s">
        <v>9995</v>
      </c>
      <c r="C317" t="s">
        <v>9378</v>
      </c>
      <c r="D317" t="s">
        <v>9378</v>
      </c>
      <c r="E317" t="s">
        <v>9378</v>
      </c>
    </row>
    <row r="318" spans="1:5" hidden="1">
      <c r="A318" t="s">
        <v>9996</v>
      </c>
      <c r="B318" t="s">
        <v>9997</v>
      </c>
      <c r="C318" t="s">
        <v>9378</v>
      </c>
      <c r="D318" t="s">
        <v>9378</v>
      </c>
      <c r="E318" t="s">
        <v>9378</v>
      </c>
    </row>
    <row r="319" spans="1:5" hidden="1">
      <c r="A319" t="s">
        <v>9998</v>
      </c>
      <c r="B319" t="s">
        <v>9999</v>
      </c>
      <c r="C319" t="s">
        <v>9378</v>
      </c>
      <c r="D319" t="s">
        <v>9378</v>
      </c>
      <c r="E319" t="s">
        <v>9378</v>
      </c>
    </row>
    <row r="320" spans="1:5" hidden="1">
      <c r="A320" t="s">
        <v>10000</v>
      </c>
      <c r="B320" t="s">
        <v>10001</v>
      </c>
      <c r="C320" t="s">
        <v>9378</v>
      </c>
      <c r="D320" t="s">
        <v>9378</v>
      </c>
      <c r="E320" t="s">
        <v>9378</v>
      </c>
    </row>
    <row r="321" spans="1:5" hidden="1">
      <c r="A321" t="s">
        <v>10002</v>
      </c>
      <c r="B321" t="s">
        <v>10003</v>
      </c>
      <c r="C321" t="s">
        <v>9378</v>
      </c>
      <c r="D321" t="s">
        <v>9378</v>
      </c>
      <c r="E321" t="s">
        <v>9378</v>
      </c>
    </row>
    <row r="322" spans="1:5" hidden="1">
      <c r="A322" t="s">
        <v>10004</v>
      </c>
      <c r="B322" t="s">
        <v>10005</v>
      </c>
      <c r="C322" t="s">
        <v>9378</v>
      </c>
      <c r="D322" t="s">
        <v>9378</v>
      </c>
      <c r="E322" t="s">
        <v>9378</v>
      </c>
    </row>
    <row r="323" spans="1:5" hidden="1">
      <c r="A323" t="s">
        <v>10006</v>
      </c>
      <c r="B323" t="s">
        <v>10007</v>
      </c>
      <c r="C323" t="s">
        <v>9378</v>
      </c>
      <c r="D323" t="s">
        <v>9378</v>
      </c>
      <c r="E323" t="s">
        <v>9378</v>
      </c>
    </row>
    <row r="324" spans="1:5" hidden="1">
      <c r="A324" t="s">
        <v>10008</v>
      </c>
      <c r="B324" t="s">
        <v>10009</v>
      </c>
      <c r="C324" t="s">
        <v>9378</v>
      </c>
      <c r="D324" t="s">
        <v>9378</v>
      </c>
      <c r="E324" t="s">
        <v>9378</v>
      </c>
    </row>
    <row r="325" spans="1:5" hidden="1">
      <c r="A325" t="s">
        <v>10010</v>
      </c>
      <c r="B325" t="s">
        <v>10011</v>
      </c>
      <c r="C325" t="s">
        <v>9378</v>
      </c>
      <c r="D325" t="s">
        <v>9378</v>
      </c>
      <c r="E325" t="s">
        <v>9378</v>
      </c>
    </row>
    <row r="326" spans="1:5" hidden="1">
      <c r="A326" t="s">
        <v>10012</v>
      </c>
      <c r="B326" t="s">
        <v>10013</v>
      </c>
      <c r="C326" t="s">
        <v>9378</v>
      </c>
      <c r="D326" t="s">
        <v>9378</v>
      </c>
      <c r="E326" t="s">
        <v>9378</v>
      </c>
    </row>
    <row r="327" spans="1:5" hidden="1">
      <c r="A327" t="s">
        <v>10014</v>
      </c>
      <c r="B327" t="s">
        <v>10015</v>
      </c>
      <c r="C327" t="s">
        <v>9378</v>
      </c>
      <c r="D327" t="s">
        <v>9378</v>
      </c>
      <c r="E327" t="s">
        <v>9378</v>
      </c>
    </row>
    <row r="328" spans="1:5" hidden="1">
      <c r="A328" t="s">
        <v>10016</v>
      </c>
      <c r="B328" t="s">
        <v>10017</v>
      </c>
      <c r="C328" t="s">
        <v>9378</v>
      </c>
      <c r="D328" t="s">
        <v>9378</v>
      </c>
      <c r="E328" t="s">
        <v>9378</v>
      </c>
    </row>
    <row r="329" spans="1:5" hidden="1">
      <c r="A329" t="s">
        <v>10018</v>
      </c>
      <c r="B329" t="s">
        <v>10019</v>
      </c>
      <c r="C329" t="s">
        <v>9378</v>
      </c>
      <c r="D329" t="s">
        <v>9378</v>
      </c>
      <c r="E329" t="s">
        <v>9378</v>
      </c>
    </row>
    <row r="330" spans="1:5" hidden="1">
      <c r="A330" t="s">
        <v>10020</v>
      </c>
      <c r="B330" t="s">
        <v>10021</v>
      </c>
      <c r="C330" t="s">
        <v>9378</v>
      </c>
      <c r="D330" t="s">
        <v>9378</v>
      </c>
      <c r="E330" t="s">
        <v>9378</v>
      </c>
    </row>
    <row r="331" spans="1:5" hidden="1">
      <c r="A331" t="s">
        <v>10022</v>
      </c>
      <c r="B331" t="s">
        <v>10023</v>
      </c>
      <c r="C331" t="s">
        <v>9378</v>
      </c>
      <c r="D331" t="s">
        <v>9378</v>
      </c>
      <c r="E331" t="s">
        <v>9378</v>
      </c>
    </row>
    <row r="332" spans="1:5" hidden="1">
      <c r="A332" t="s">
        <v>10024</v>
      </c>
      <c r="B332" t="s">
        <v>10025</v>
      </c>
      <c r="C332" t="s">
        <v>9378</v>
      </c>
      <c r="D332" t="s">
        <v>9378</v>
      </c>
      <c r="E332" t="s">
        <v>9378</v>
      </c>
    </row>
    <row r="333" spans="1:5" hidden="1">
      <c r="A333" t="s">
        <v>10026</v>
      </c>
      <c r="B333" t="s">
        <v>10027</v>
      </c>
      <c r="C333" t="s">
        <v>9378</v>
      </c>
      <c r="D333" t="s">
        <v>9378</v>
      </c>
      <c r="E333" t="s">
        <v>9378</v>
      </c>
    </row>
    <row r="334" spans="1:5" hidden="1">
      <c r="A334" t="s">
        <v>10028</v>
      </c>
      <c r="B334" t="s">
        <v>10029</v>
      </c>
      <c r="C334" t="s">
        <v>9378</v>
      </c>
      <c r="D334" t="s">
        <v>9378</v>
      </c>
      <c r="E334" t="s">
        <v>9378</v>
      </c>
    </row>
    <row r="335" spans="1:5" hidden="1">
      <c r="A335" t="s">
        <v>10030</v>
      </c>
      <c r="B335" t="s">
        <v>10031</v>
      </c>
      <c r="C335" t="s">
        <v>9378</v>
      </c>
      <c r="D335" t="s">
        <v>9378</v>
      </c>
      <c r="E335" t="s">
        <v>9353</v>
      </c>
    </row>
    <row r="336" spans="1:5" hidden="1">
      <c r="A336" t="s">
        <v>10032</v>
      </c>
      <c r="B336" t="s">
        <v>10033</v>
      </c>
      <c r="C336" t="s">
        <v>9378</v>
      </c>
      <c r="D336" t="s">
        <v>9378</v>
      </c>
      <c r="E336" t="s">
        <v>9378</v>
      </c>
    </row>
    <row r="337" spans="1:5" hidden="1">
      <c r="A337" t="s">
        <v>10034</v>
      </c>
      <c r="B337" t="s">
        <v>10035</v>
      </c>
      <c r="C337" t="s">
        <v>9378</v>
      </c>
      <c r="D337" t="s">
        <v>9378</v>
      </c>
      <c r="E337" t="s">
        <v>9378</v>
      </c>
    </row>
    <row r="338" spans="1:5" hidden="1">
      <c r="A338" t="s">
        <v>10036</v>
      </c>
      <c r="B338" t="s">
        <v>10037</v>
      </c>
      <c r="C338" t="s">
        <v>9378</v>
      </c>
      <c r="D338" t="s">
        <v>9378</v>
      </c>
      <c r="E338" t="s">
        <v>9378</v>
      </c>
    </row>
    <row r="339" spans="1:5" hidden="1">
      <c r="A339" t="s">
        <v>10038</v>
      </c>
      <c r="B339" t="s">
        <v>10039</v>
      </c>
      <c r="C339" t="s">
        <v>9378</v>
      </c>
      <c r="D339" t="s">
        <v>9378</v>
      </c>
      <c r="E339" t="s">
        <v>9378</v>
      </c>
    </row>
    <row r="340" spans="1:5" hidden="1">
      <c r="A340" t="s">
        <v>10040</v>
      </c>
      <c r="B340" t="s">
        <v>10041</v>
      </c>
      <c r="C340" t="s">
        <v>9378</v>
      </c>
      <c r="D340" t="s">
        <v>9378</v>
      </c>
      <c r="E340" t="s">
        <v>9378</v>
      </c>
    </row>
    <row r="341" spans="1:5" hidden="1">
      <c r="A341" t="s">
        <v>10042</v>
      </c>
      <c r="B341" t="s">
        <v>10043</v>
      </c>
      <c r="C341" t="s">
        <v>9378</v>
      </c>
      <c r="D341" t="s">
        <v>9378</v>
      </c>
      <c r="E341" t="s">
        <v>9353</v>
      </c>
    </row>
    <row r="342" spans="1:5" hidden="1">
      <c r="A342" t="s">
        <v>10044</v>
      </c>
      <c r="B342" t="s">
        <v>10045</v>
      </c>
      <c r="C342" t="s">
        <v>9378</v>
      </c>
      <c r="D342" t="s">
        <v>9378</v>
      </c>
      <c r="E342" t="s">
        <v>9353</v>
      </c>
    </row>
    <row r="343" spans="1:5" hidden="1">
      <c r="A343" t="s">
        <v>10046</v>
      </c>
      <c r="B343" t="s">
        <v>10047</v>
      </c>
      <c r="C343" t="s">
        <v>9378</v>
      </c>
      <c r="D343" t="s">
        <v>9378</v>
      </c>
      <c r="E343" t="s">
        <v>9353</v>
      </c>
    </row>
    <row r="344" spans="1:5" hidden="1">
      <c r="A344" t="s">
        <v>10048</v>
      </c>
      <c r="B344" t="s">
        <v>10049</v>
      </c>
      <c r="C344" t="s">
        <v>9378</v>
      </c>
      <c r="D344" t="s">
        <v>9378</v>
      </c>
      <c r="E344" t="s">
        <v>9353</v>
      </c>
    </row>
    <row r="345" spans="1:5" hidden="1">
      <c r="A345" t="s">
        <v>10050</v>
      </c>
      <c r="B345" t="s">
        <v>10051</v>
      </c>
      <c r="C345" t="s">
        <v>9378</v>
      </c>
      <c r="D345" t="s">
        <v>9378</v>
      </c>
      <c r="E345" t="s">
        <v>9353</v>
      </c>
    </row>
    <row r="346" spans="1:5" hidden="1">
      <c r="A346" t="s">
        <v>10052</v>
      </c>
      <c r="B346" t="s">
        <v>10053</v>
      </c>
      <c r="C346" t="s">
        <v>9378</v>
      </c>
      <c r="D346" t="s">
        <v>9378</v>
      </c>
      <c r="E346" t="s">
        <v>9353</v>
      </c>
    </row>
    <row r="347" spans="1:5" hidden="1">
      <c r="A347" t="s">
        <v>10054</v>
      </c>
      <c r="B347" t="s">
        <v>10055</v>
      </c>
      <c r="C347" t="s">
        <v>9378</v>
      </c>
      <c r="D347" t="s">
        <v>9378</v>
      </c>
      <c r="E347" t="s">
        <v>9353</v>
      </c>
    </row>
    <row r="348" spans="1:5" hidden="1">
      <c r="A348" t="s">
        <v>10056</v>
      </c>
      <c r="B348" t="s">
        <v>10057</v>
      </c>
      <c r="C348" t="s">
        <v>9378</v>
      </c>
      <c r="D348" t="s">
        <v>9378</v>
      </c>
      <c r="E348" t="s">
        <v>9378</v>
      </c>
    </row>
    <row r="349" spans="1:5" hidden="1">
      <c r="A349" t="s">
        <v>10058</v>
      </c>
      <c r="B349" t="s">
        <v>10059</v>
      </c>
      <c r="C349" t="s">
        <v>9378</v>
      </c>
      <c r="D349" t="s">
        <v>9378</v>
      </c>
      <c r="E349" t="s">
        <v>9378</v>
      </c>
    </row>
    <row r="350" spans="1:5" hidden="1">
      <c r="A350" t="s">
        <v>10060</v>
      </c>
      <c r="B350" t="s">
        <v>10061</v>
      </c>
      <c r="C350" t="s">
        <v>9378</v>
      </c>
      <c r="D350" t="s">
        <v>9378</v>
      </c>
      <c r="E350" t="s">
        <v>9378</v>
      </c>
    </row>
    <row r="351" spans="1:5" hidden="1">
      <c r="A351" t="s">
        <v>10062</v>
      </c>
      <c r="B351" t="s">
        <v>10063</v>
      </c>
      <c r="C351" t="s">
        <v>9378</v>
      </c>
      <c r="D351" t="s">
        <v>9378</v>
      </c>
      <c r="E351" t="s">
        <v>9378</v>
      </c>
    </row>
    <row r="352" spans="1:5" hidden="1">
      <c r="A352" t="s">
        <v>10064</v>
      </c>
      <c r="B352" t="s">
        <v>10065</v>
      </c>
      <c r="C352" t="s">
        <v>9378</v>
      </c>
      <c r="D352" t="s">
        <v>9378</v>
      </c>
      <c r="E352" t="s">
        <v>9378</v>
      </c>
    </row>
    <row r="353" spans="1:5" hidden="1">
      <c r="A353" t="s">
        <v>10066</v>
      </c>
      <c r="B353" t="s">
        <v>10067</v>
      </c>
      <c r="C353" t="s">
        <v>9378</v>
      </c>
      <c r="D353" t="s">
        <v>9378</v>
      </c>
      <c r="E353" t="s">
        <v>9378</v>
      </c>
    </row>
    <row r="354" spans="1:5" hidden="1">
      <c r="A354" t="s">
        <v>10068</v>
      </c>
      <c r="B354" t="s">
        <v>10069</v>
      </c>
      <c r="C354" t="s">
        <v>9378</v>
      </c>
      <c r="D354" t="s">
        <v>9378</v>
      </c>
      <c r="E354" t="s">
        <v>9378</v>
      </c>
    </row>
    <row r="355" spans="1:5" hidden="1">
      <c r="A355" t="s">
        <v>10070</v>
      </c>
      <c r="B355" t="s">
        <v>10071</v>
      </c>
      <c r="C355" t="s">
        <v>9378</v>
      </c>
      <c r="D355" t="s">
        <v>9378</v>
      </c>
      <c r="E355" t="s">
        <v>9378</v>
      </c>
    </row>
    <row r="356" spans="1:5" hidden="1">
      <c r="A356" t="s">
        <v>10072</v>
      </c>
      <c r="B356" t="s">
        <v>10073</v>
      </c>
      <c r="C356" t="s">
        <v>9378</v>
      </c>
      <c r="D356" t="s">
        <v>9378</v>
      </c>
      <c r="E356" t="s">
        <v>9378</v>
      </c>
    </row>
    <row r="357" spans="1:5" hidden="1">
      <c r="A357" t="s">
        <v>10074</v>
      </c>
      <c r="B357" t="s">
        <v>10075</v>
      </c>
      <c r="C357" t="s">
        <v>9378</v>
      </c>
      <c r="D357" t="s">
        <v>9378</v>
      </c>
      <c r="E357" t="s">
        <v>9405</v>
      </c>
    </row>
    <row r="358" spans="1:5" hidden="1">
      <c r="A358" t="s">
        <v>10076</v>
      </c>
      <c r="B358" t="s">
        <v>10077</v>
      </c>
      <c r="C358" t="s">
        <v>9378</v>
      </c>
      <c r="D358" t="s">
        <v>9378</v>
      </c>
      <c r="E358" t="s">
        <v>9378</v>
      </c>
    </row>
    <row r="359" spans="1:5" hidden="1">
      <c r="A359" t="s">
        <v>10078</v>
      </c>
      <c r="B359" t="s">
        <v>10079</v>
      </c>
      <c r="C359" t="s">
        <v>9378</v>
      </c>
      <c r="D359" t="s">
        <v>9378</v>
      </c>
      <c r="E359" t="s">
        <v>9378</v>
      </c>
    </row>
    <row r="360" spans="1:5" hidden="1">
      <c r="A360" t="s">
        <v>10080</v>
      </c>
      <c r="B360" t="s">
        <v>10081</v>
      </c>
      <c r="C360" t="s">
        <v>9378</v>
      </c>
      <c r="D360" t="s">
        <v>9378</v>
      </c>
      <c r="E360" t="s">
        <v>9378</v>
      </c>
    </row>
    <row r="361" spans="1:5" hidden="1">
      <c r="A361" t="s">
        <v>10082</v>
      </c>
      <c r="B361" t="s">
        <v>10083</v>
      </c>
      <c r="C361" t="s">
        <v>9378</v>
      </c>
      <c r="D361" t="s">
        <v>9378</v>
      </c>
      <c r="E361" t="s">
        <v>9378</v>
      </c>
    </row>
    <row r="362" spans="1:5" hidden="1">
      <c r="A362" t="s">
        <v>10084</v>
      </c>
      <c r="B362" t="s">
        <v>10085</v>
      </c>
      <c r="C362" t="s">
        <v>9378</v>
      </c>
      <c r="D362" t="s">
        <v>9378</v>
      </c>
      <c r="E362" t="s">
        <v>9353</v>
      </c>
    </row>
    <row r="363" spans="1:5">
      <c r="A363" t="s">
        <v>10086</v>
      </c>
      <c r="B363" t="s">
        <v>10087</v>
      </c>
      <c r="C363" t="s">
        <v>9369</v>
      </c>
      <c r="D363" t="s">
        <v>9369</v>
      </c>
      <c r="E363" t="s">
        <v>9369</v>
      </c>
    </row>
    <row r="364" spans="1:5" hidden="1">
      <c r="A364" t="s">
        <v>10088</v>
      </c>
      <c r="B364" t="s">
        <v>10089</v>
      </c>
      <c r="C364" t="s">
        <v>9378</v>
      </c>
      <c r="D364" t="s">
        <v>9378</v>
      </c>
      <c r="E364" t="s">
        <v>9378</v>
      </c>
    </row>
    <row r="365" spans="1:5" hidden="1">
      <c r="A365" t="s">
        <v>506</v>
      </c>
      <c r="B365" t="s">
        <v>507</v>
      </c>
      <c r="C365" t="s">
        <v>9378</v>
      </c>
      <c r="D365" t="s">
        <v>9378</v>
      </c>
      <c r="E365" t="s">
        <v>9378</v>
      </c>
    </row>
    <row r="366" spans="1:5" hidden="1">
      <c r="A366" t="s">
        <v>10090</v>
      </c>
      <c r="B366" t="s">
        <v>10091</v>
      </c>
      <c r="C366" t="s">
        <v>9378</v>
      </c>
      <c r="D366" t="s">
        <v>9378</v>
      </c>
      <c r="E366" t="s">
        <v>9378</v>
      </c>
    </row>
    <row r="367" spans="1:5" hidden="1">
      <c r="A367" t="s">
        <v>10092</v>
      </c>
      <c r="B367" t="s">
        <v>10093</v>
      </c>
      <c r="C367" t="s">
        <v>9378</v>
      </c>
      <c r="D367" t="s">
        <v>9542</v>
      </c>
      <c r="E367" t="s">
        <v>9378</v>
      </c>
    </row>
    <row r="368" spans="1:5" hidden="1">
      <c r="A368" t="s">
        <v>10094</v>
      </c>
      <c r="B368" t="s">
        <v>10095</v>
      </c>
      <c r="C368" t="s">
        <v>9378</v>
      </c>
      <c r="D368" t="s">
        <v>9542</v>
      </c>
      <c r="E368" t="s">
        <v>9378</v>
      </c>
    </row>
    <row r="369" spans="1:5" hidden="1">
      <c r="A369" t="s">
        <v>10096</v>
      </c>
      <c r="B369" t="s">
        <v>10097</v>
      </c>
      <c r="C369" t="s">
        <v>9378</v>
      </c>
      <c r="D369" t="s">
        <v>9378</v>
      </c>
      <c r="E369" t="s">
        <v>9378</v>
      </c>
    </row>
    <row r="370" spans="1:5" hidden="1">
      <c r="A370" t="s">
        <v>10098</v>
      </c>
      <c r="B370" t="s">
        <v>10099</v>
      </c>
      <c r="C370" t="s">
        <v>9378</v>
      </c>
      <c r="D370" t="s">
        <v>9378</v>
      </c>
      <c r="E370" t="s">
        <v>9378</v>
      </c>
    </row>
    <row r="371" spans="1:5" hidden="1">
      <c r="A371" t="s">
        <v>10100</v>
      </c>
      <c r="B371" t="s">
        <v>10101</v>
      </c>
      <c r="C371" t="s">
        <v>9378</v>
      </c>
      <c r="D371" t="s">
        <v>9378</v>
      </c>
      <c r="E371" t="s">
        <v>9378</v>
      </c>
    </row>
    <row r="372" spans="1:5" hidden="1">
      <c r="A372" t="s">
        <v>10102</v>
      </c>
      <c r="B372" t="s">
        <v>10103</v>
      </c>
      <c r="C372" t="s">
        <v>9378</v>
      </c>
      <c r="D372" t="s">
        <v>9378</v>
      </c>
      <c r="E372" t="s">
        <v>9378</v>
      </c>
    </row>
    <row r="373" spans="1:5" hidden="1">
      <c r="A373" t="s">
        <v>10104</v>
      </c>
      <c r="B373" t="s">
        <v>10105</v>
      </c>
      <c r="C373" t="s">
        <v>9378</v>
      </c>
      <c r="D373" t="s">
        <v>9378</v>
      </c>
      <c r="E373" t="s">
        <v>9378</v>
      </c>
    </row>
    <row r="374" spans="1:5" hidden="1">
      <c r="A374" t="s">
        <v>10106</v>
      </c>
      <c r="B374" t="s">
        <v>10107</v>
      </c>
      <c r="C374" t="s">
        <v>9378</v>
      </c>
      <c r="D374" t="s">
        <v>9378</v>
      </c>
      <c r="E374" t="s">
        <v>9378</v>
      </c>
    </row>
    <row r="375" spans="1:5" hidden="1">
      <c r="A375" t="s">
        <v>10108</v>
      </c>
      <c r="B375" t="s">
        <v>10109</v>
      </c>
      <c r="C375" t="s">
        <v>9378</v>
      </c>
      <c r="D375" t="s">
        <v>9378</v>
      </c>
      <c r="E375" t="s">
        <v>9353</v>
      </c>
    </row>
    <row r="376" spans="1:5" hidden="1">
      <c r="A376" t="s">
        <v>10110</v>
      </c>
      <c r="B376" t="s">
        <v>10111</v>
      </c>
      <c r="C376" t="s">
        <v>9378</v>
      </c>
      <c r="D376" t="s">
        <v>9378</v>
      </c>
      <c r="E376" t="s">
        <v>9378</v>
      </c>
    </row>
    <row r="377" spans="1:5" hidden="1">
      <c r="A377" t="s">
        <v>10112</v>
      </c>
      <c r="B377" t="s">
        <v>140</v>
      </c>
      <c r="C377" t="s">
        <v>9378</v>
      </c>
      <c r="D377" t="s">
        <v>9378</v>
      </c>
      <c r="E377" t="s">
        <v>9353</v>
      </c>
    </row>
    <row r="378" spans="1:5" hidden="1">
      <c r="A378" t="s">
        <v>10113</v>
      </c>
      <c r="B378" t="s">
        <v>10114</v>
      </c>
      <c r="C378" t="s">
        <v>9378</v>
      </c>
      <c r="D378" t="s">
        <v>9378</v>
      </c>
      <c r="E378" t="s">
        <v>9353</v>
      </c>
    </row>
    <row r="379" spans="1:5" hidden="1">
      <c r="A379" t="s">
        <v>10115</v>
      </c>
      <c r="B379" t="s">
        <v>10116</v>
      </c>
      <c r="C379" t="s">
        <v>9378</v>
      </c>
      <c r="D379" t="s">
        <v>9378</v>
      </c>
      <c r="E379" t="s">
        <v>9353</v>
      </c>
    </row>
    <row r="380" spans="1:5" hidden="1">
      <c r="A380" t="s">
        <v>10117</v>
      </c>
      <c r="B380" t="s">
        <v>10118</v>
      </c>
      <c r="C380" t="s">
        <v>9378</v>
      </c>
      <c r="D380" t="s">
        <v>9378</v>
      </c>
      <c r="E380" t="s">
        <v>9353</v>
      </c>
    </row>
    <row r="381" spans="1:5" hidden="1">
      <c r="A381" t="s">
        <v>10119</v>
      </c>
      <c r="B381" t="s">
        <v>10120</v>
      </c>
      <c r="C381" t="s">
        <v>9378</v>
      </c>
      <c r="D381" t="s">
        <v>9378</v>
      </c>
      <c r="E381" t="s">
        <v>9353</v>
      </c>
    </row>
    <row r="382" spans="1:5" hidden="1">
      <c r="A382" t="s">
        <v>10121</v>
      </c>
      <c r="B382" t="s">
        <v>10122</v>
      </c>
      <c r="C382" t="s">
        <v>9378</v>
      </c>
      <c r="D382" t="s">
        <v>9378</v>
      </c>
      <c r="E382" t="s">
        <v>9378</v>
      </c>
    </row>
    <row r="383" spans="1:5" hidden="1">
      <c r="A383" t="s">
        <v>10123</v>
      </c>
      <c r="B383" t="s">
        <v>10124</v>
      </c>
      <c r="C383" t="s">
        <v>9378</v>
      </c>
      <c r="D383" t="s">
        <v>9378</v>
      </c>
      <c r="E383" t="s">
        <v>9378</v>
      </c>
    </row>
    <row r="384" spans="1:5" hidden="1">
      <c r="A384" t="s">
        <v>10125</v>
      </c>
      <c r="B384" t="s">
        <v>10126</v>
      </c>
      <c r="C384" t="s">
        <v>9378</v>
      </c>
      <c r="D384" t="s">
        <v>9378</v>
      </c>
      <c r="E384" t="s">
        <v>9378</v>
      </c>
    </row>
    <row r="385" spans="1:5" hidden="1">
      <c r="A385" t="s">
        <v>10127</v>
      </c>
      <c r="B385" t="s">
        <v>10128</v>
      </c>
      <c r="C385" t="s">
        <v>9378</v>
      </c>
      <c r="D385" t="s">
        <v>9378</v>
      </c>
      <c r="E385" t="s">
        <v>9378</v>
      </c>
    </row>
    <row r="386" spans="1:5" hidden="1">
      <c r="A386" t="s">
        <v>10129</v>
      </c>
      <c r="B386" t="s">
        <v>10130</v>
      </c>
      <c r="C386" t="s">
        <v>9378</v>
      </c>
      <c r="D386" t="s">
        <v>9378</v>
      </c>
      <c r="E386" t="s">
        <v>9378</v>
      </c>
    </row>
    <row r="387" spans="1:5" hidden="1">
      <c r="A387" t="s">
        <v>10131</v>
      </c>
      <c r="B387" t="s">
        <v>10132</v>
      </c>
      <c r="C387" t="s">
        <v>9378</v>
      </c>
      <c r="D387" t="s">
        <v>9378</v>
      </c>
      <c r="E387" t="s">
        <v>9378</v>
      </c>
    </row>
    <row r="388" spans="1:5" hidden="1">
      <c r="A388" t="s">
        <v>251</v>
      </c>
      <c r="B388" t="s">
        <v>252</v>
      </c>
      <c r="C388" t="s">
        <v>9378</v>
      </c>
      <c r="D388" t="s">
        <v>9378</v>
      </c>
      <c r="E388" t="s">
        <v>9378</v>
      </c>
    </row>
    <row r="389" spans="1:5" hidden="1">
      <c r="A389" t="s">
        <v>284</v>
      </c>
      <c r="B389" t="s">
        <v>285</v>
      </c>
      <c r="C389" t="s">
        <v>9378</v>
      </c>
      <c r="D389" t="s">
        <v>9378</v>
      </c>
      <c r="E389" t="s">
        <v>9378</v>
      </c>
    </row>
    <row r="390" spans="1:5" hidden="1">
      <c r="A390" t="s">
        <v>10133</v>
      </c>
      <c r="B390" t="s">
        <v>10134</v>
      </c>
      <c r="C390" t="s">
        <v>9378</v>
      </c>
      <c r="D390" t="s">
        <v>9378</v>
      </c>
      <c r="E390" t="s">
        <v>9378</v>
      </c>
    </row>
    <row r="391" spans="1:5" hidden="1">
      <c r="A391" t="s">
        <v>10135</v>
      </c>
      <c r="B391" t="s">
        <v>10136</v>
      </c>
      <c r="C391" t="s">
        <v>9378</v>
      </c>
      <c r="D391" t="s">
        <v>9378</v>
      </c>
      <c r="E391" t="s">
        <v>9378</v>
      </c>
    </row>
    <row r="392" spans="1:5">
      <c r="A392" t="s">
        <v>416</v>
      </c>
      <c r="B392" t="s">
        <v>417</v>
      </c>
      <c r="C392" t="s">
        <v>9369</v>
      </c>
      <c r="D392" t="s">
        <v>9369</v>
      </c>
      <c r="E392" t="s">
        <v>9369</v>
      </c>
    </row>
    <row r="393" spans="1:5">
      <c r="A393" t="s">
        <v>10137</v>
      </c>
      <c r="B393" t="s">
        <v>10138</v>
      </c>
      <c r="C393" t="s">
        <v>9369</v>
      </c>
      <c r="D393" t="s">
        <v>9369</v>
      </c>
      <c r="E393" t="s">
        <v>9369</v>
      </c>
    </row>
    <row r="394" spans="1:5">
      <c r="A394" t="s">
        <v>413</v>
      </c>
      <c r="B394" t="s">
        <v>414</v>
      </c>
      <c r="C394" t="s">
        <v>9369</v>
      </c>
      <c r="D394" t="s">
        <v>9369</v>
      </c>
      <c r="E394" t="s">
        <v>9369</v>
      </c>
    </row>
    <row r="395" spans="1:5">
      <c r="A395" t="s">
        <v>10139</v>
      </c>
      <c r="B395" t="s">
        <v>10140</v>
      </c>
      <c r="C395" t="s">
        <v>9369</v>
      </c>
      <c r="D395" t="s">
        <v>9369</v>
      </c>
      <c r="E395" t="s">
        <v>9369</v>
      </c>
    </row>
    <row r="396" spans="1:5">
      <c r="A396" t="s">
        <v>10141</v>
      </c>
      <c r="B396" t="s">
        <v>10142</v>
      </c>
      <c r="C396" t="s">
        <v>9369</v>
      </c>
      <c r="D396" t="s">
        <v>9369</v>
      </c>
      <c r="E396" t="s">
        <v>9369</v>
      </c>
    </row>
    <row r="397" spans="1:5">
      <c r="A397" t="s">
        <v>10143</v>
      </c>
      <c r="B397" t="s">
        <v>10144</v>
      </c>
      <c r="C397" t="s">
        <v>9369</v>
      </c>
      <c r="D397" t="s">
        <v>9369</v>
      </c>
      <c r="E397" t="s">
        <v>9369</v>
      </c>
    </row>
    <row r="398" spans="1:5">
      <c r="A398" t="s">
        <v>425</v>
      </c>
      <c r="B398" t="s">
        <v>426</v>
      </c>
      <c r="C398" t="s">
        <v>9369</v>
      </c>
      <c r="D398" t="s">
        <v>9369</v>
      </c>
      <c r="E398" t="s">
        <v>9369</v>
      </c>
    </row>
    <row r="399" spans="1:5">
      <c r="A399" t="s">
        <v>10145</v>
      </c>
      <c r="B399" t="s">
        <v>10146</v>
      </c>
      <c r="C399" t="s">
        <v>9369</v>
      </c>
      <c r="D399" t="s">
        <v>9369</v>
      </c>
      <c r="E399" t="s">
        <v>9369</v>
      </c>
    </row>
    <row r="400" spans="1:5">
      <c r="A400" t="s">
        <v>10147</v>
      </c>
      <c r="B400" t="s">
        <v>10148</v>
      </c>
      <c r="C400" t="s">
        <v>9369</v>
      </c>
      <c r="D400" t="s">
        <v>9369</v>
      </c>
      <c r="E400" t="s">
        <v>9369</v>
      </c>
    </row>
    <row r="401" spans="1:5">
      <c r="A401" t="s">
        <v>10149</v>
      </c>
      <c r="B401" t="s">
        <v>10150</v>
      </c>
      <c r="C401" t="s">
        <v>9369</v>
      </c>
      <c r="D401" t="s">
        <v>9369</v>
      </c>
      <c r="E401" t="s">
        <v>9369</v>
      </c>
    </row>
    <row r="402" spans="1:5">
      <c r="A402" t="s">
        <v>10151</v>
      </c>
      <c r="B402" t="s">
        <v>10152</v>
      </c>
      <c r="C402" t="s">
        <v>9369</v>
      </c>
      <c r="D402" t="s">
        <v>9369</v>
      </c>
      <c r="E402" t="s">
        <v>9369</v>
      </c>
    </row>
    <row r="403" spans="1:5">
      <c r="A403" t="s">
        <v>419</v>
      </c>
      <c r="B403" t="s">
        <v>420</v>
      </c>
      <c r="C403" t="s">
        <v>9369</v>
      </c>
      <c r="D403" t="s">
        <v>9369</v>
      </c>
      <c r="E403" t="s">
        <v>9369</v>
      </c>
    </row>
    <row r="404" spans="1:5">
      <c r="A404" t="s">
        <v>10153</v>
      </c>
      <c r="B404" t="s">
        <v>10154</v>
      </c>
      <c r="C404" t="s">
        <v>9369</v>
      </c>
      <c r="D404" t="s">
        <v>9369</v>
      </c>
      <c r="E404" t="s">
        <v>9369</v>
      </c>
    </row>
    <row r="405" spans="1:5">
      <c r="A405" t="s">
        <v>10155</v>
      </c>
      <c r="B405" t="s">
        <v>10156</v>
      </c>
      <c r="C405" t="s">
        <v>9369</v>
      </c>
      <c r="D405" t="s">
        <v>9369</v>
      </c>
      <c r="E405" t="s">
        <v>9369</v>
      </c>
    </row>
    <row r="406" spans="1:5">
      <c r="A406" t="s">
        <v>10157</v>
      </c>
      <c r="B406" t="s">
        <v>10158</v>
      </c>
      <c r="C406" t="s">
        <v>9369</v>
      </c>
      <c r="D406" t="s">
        <v>9369</v>
      </c>
      <c r="E406" t="s">
        <v>9369</v>
      </c>
    </row>
    <row r="407" spans="1:5">
      <c r="A407" t="s">
        <v>422</v>
      </c>
      <c r="B407" t="s">
        <v>423</v>
      </c>
      <c r="C407" t="s">
        <v>9369</v>
      </c>
      <c r="D407" t="s">
        <v>9369</v>
      </c>
      <c r="E407" t="s">
        <v>9369</v>
      </c>
    </row>
    <row r="408" spans="1:5">
      <c r="A408" t="s">
        <v>10159</v>
      </c>
      <c r="B408" t="s">
        <v>9706</v>
      </c>
      <c r="C408" t="s">
        <v>9369</v>
      </c>
      <c r="D408" t="s">
        <v>9369</v>
      </c>
      <c r="E408" t="s">
        <v>9369</v>
      </c>
    </row>
    <row r="409" spans="1:5">
      <c r="A409" t="s">
        <v>10160</v>
      </c>
      <c r="B409" t="s">
        <v>10161</v>
      </c>
      <c r="C409" t="s">
        <v>9369</v>
      </c>
      <c r="D409" t="s">
        <v>9369</v>
      </c>
      <c r="E409" t="s">
        <v>9369</v>
      </c>
    </row>
    <row r="410" spans="1:5">
      <c r="A410" t="s">
        <v>392</v>
      </c>
      <c r="B410" t="s">
        <v>393</v>
      </c>
      <c r="C410" t="s">
        <v>9369</v>
      </c>
      <c r="D410" t="s">
        <v>9369</v>
      </c>
      <c r="E410" t="s">
        <v>9369</v>
      </c>
    </row>
    <row r="411" spans="1:5">
      <c r="A411" t="s">
        <v>10162</v>
      </c>
      <c r="B411" t="s">
        <v>10163</v>
      </c>
      <c r="C411" t="s">
        <v>9369</v>
      </c>
      <c r="D411" t="s">
        <v>9369</v>
      </c>
      <c r="E411" t="s">
        <v>9369</v>
      </c>
    </row>
    <row r="412" spans="1:5">
      <c r="A412" t="s">
        <v>10164</v>
      </c>
      <c r="B412" t="s">
        <v>10165</v>
      </c>
      <c r="C412" t="s">
        <v>9369</v>
      </c>
      <c r="D412" t="s">
        <v>9369</v>
      </c>
      <c r="E412" t="s">
        <v>9369</v>
      </c>
    </row>
    <row r="413" spans="1:5">
      <c r="A413" t="s">
        <v>10166</v>
      </c>
      <c r="B413" t="s">
        <v>10167</v>
      </c>
      <c r="C413" t="s">
        <v>9369</v>
      </c>
      <c r="D413" t="s">
        <v>9369</v>
      </c>
      <c r="E413" t="s">
        <v>9369</v>
      </c>
    </row>
    <row r="414" spans="1:5">
      <c r="A414" t="s">
        <v>10168</v>
      </c>
      <c r="B414" t="s">
        <v>10169</v>
      </c>
      <c r="C414" t="s">
        <v>9369</v>
      </c>
      <c r="D414" t="s">
        <v>9369</v>
      </c>
      <c r="E414" t="s">
        <v>9369</v>
      </c>
    </row>
    <row r="415" spans="1:5">
      <c r="A415" t="s">
        <v>10170</v>
      </c>
      <c r="B415" t="s">
        <v>10171</v>
      </c>
      <c r="C415" t="s">
        <v>9369</v>
      </c>
      <c r="D415" t="s">
        <v>9369</v>
      </c>
      <c r="E415" t="s">
        <v>9369</v>
      </c>
    </row>
    <row r="416" spans="1:5">
      <c r="A416" t="s">
        <v>10172</v>
      </c>
      <c r="B416" t="s">
        <v>10173</v>
      </c>
      <c r="C416" t="s">
        <v>9369</v>
      </c>
      <c r="D416" t="s">
        <v>9369</v>
      </c>
      <c r="E416" t="s">
        <v>9369</v>
      </c>
    </row>
    <row r="417" spans="1:5">
      <c r="A417" t="s">
        <v>10174</v>
      </c>
      <c r="B417" t="s">
        <v>10175</v>
      </c>
      <c r="C417" t="s">
        <v>9369</v>
      </c>
      <c r="D417" t="s">
        <v>9369</v>
      </c>
      <c r="E417" t="s">
        <v>9369</v>
      </c>
    </row>
    <row r="418" spans="1:5">
      <c r="A418" t="s">
        <v>10176</v>
      </c>
      <c r="B418" t="s">
        <v>10177</v>
      </c>
      <c r="C418" t="s">
        <v>9369</v>
      </c>
      <c r="D418" t="s">
        <v>9369</v>
      </c>
      <c r="E418" t="s">
        <v>9369</v>
      </c>
    </row>
    <row r="419" spans="1:5">
      <c r="A419" t="s">
        <v>10178</v>
      </c>
      <c r="B419" t="s">
        <v>10179</v>
      </c>
      <c r="C419" t="s">
        <v>9369</v>
      </c>
      <c r="D419" t="s">
        <v>9369</v>
      </c>
      <c r="E419" t="s">
        <v>9369</v>
      </c>
    </row>
    <row r="420" spans="1:5" hidden="1">
      <c r="A420" t="s">
        <v>10180</v>
      </c>
      <c r="B420" t="s">
        <v>10181</v>
      </c>
      <c r="C420" t="s">
        <v>9378</v>
      </c>
      <c r="D420" t="s">
        <v>9378</v>
      </c>
      <c r="E420" t="s">
        <v>9378</v>
      </c>
    </row>
    <row r="421" spans="1:5" hidden="1">
      <c r="A421" t="s">
        <v>10182</v>
      </c>
      <c r="B421" t="s">
        <v>10183</v>
      </c>
      <c r="C421" t="s">
        <v>9378</v>
      </c>
      <c r="D421" t="s">
        <v>9378</v>
      </c>
      <c r="E421" t="s">
        <v>9378</v>
      </c>
    </row>
    <row r="422" spans="1:5" hidden="1">
      <c r="A422" t="s">
        <v>10184</v>
      </c>
      <c r="B422" t="s">
        <v>10185</v>
      </c>
      <c r="C422" t="s">
        <v>9378</v>
      </c>
      <c r="D422" t="s">
        <v>9378</v>
      </c>
      <c r="E422" t="s">
        <v>9378</v>
      </c>
    </row>
    <row r="423" spans="1:5" hidden="1">
      <c r="A423" t="s">
        <v>10186</v>
      </c>
      <c r="B423" t="s">
        <v>10187</v>
      </c>
      <c r="C423" t="s">
        <v>9378</v>
      </c>
      <c r="D423" t="s">
        <v>9378</v>
      </c>
      <c r="E423" t="s">
        <v>9405</v>
      </c>
    </row>
    <row r="424" spans="1:5" hidden="1">
      <c r="A424" t="s">
        <v>212</v>
      </c>
      <c r="B424" t="s">
        <v>10188</v>
      </c>
      <c r="C424" t="s">
        <v>9378</v>
      </c>
      <c r="D424" t="s">
        <v>9378</v>
      </c>
      <c r="E424" t="s">
        <v>9405</v>
      </c>
    </row>
    <row r="425" spans="1:5" hidden="1">
      <c r="A425" t="s">
        <v>10189</v>
      </c>
      <c r="B425" t="s">
        <v>10190</v>
      </c>
      <c r="C425" t="s">
        <v>9378</v>
      </c>
      <c r="D425" t="s">
        <v>9378</v>
      </c>
      <c r="E425" t="s">
        <v>9405</v>
      </c>
    </row>
    <row r="426" spans="1:5" hidden="1">
      <c r="A426" t="s">
        <v>10191</v>
      </c>
      <c r="B426" t="s">
        <v>10192</v>
      </c>
      <c r="C426" t="s">
        <v>9378</v>
      </c>
      <c r="D426" t="s">
        <v>9378</v>
      </c>
      <c r="E426" t="s">
        <v>9405</v>
      </c>
    </row>
    <row r="427" spans="1:5" hidden="1">
      <c r="A427" t="s">
        <v>10193</v>
      </c>
      <c r="B427" t="s">
        <v>10194</v>
      </c>
      <c r="C427" t="s">
        <v>9378</v>
      </c>
      <c r="D427" t="s">
        <v>9378</v>
      </c>
      <c r="E427" t="s">
        <v>9405</v>
      </c>
    </row>
    <row r="428" spans="1:5" hidden="1">
      <c r="A428" t="s">
        <v>10195</v>
      </c>
      <c r="B428" t="s">
        <v>10196</v>
      </c>
      <c r="C428" t="s">
        <v>9378</v>
      </c>
      <c r="D428" t="s">
        <v>9378</v>
      </c>
      <c r="E428" t="s">
        <v>9405</v>
      </c>
    </row>
    <row r="429" spans="1:5" hidden="1">
      <c r="A429" t="s">
        <v>10197</v>
      </c>
      <c r="B429" t="s">
        <v>10198</v>
      </c>
      <c r="C429" t="s">
        <v>9378</v>
      </c>
      <c r="D429" t="s">
        <v>9378</v>
      </c>
      <c r="E429" t="s">
        <v>9405</v>
      </c>
    </row>
    <row r="430" spans="1:5" hidden="1">
      <c r="A430" t="s">
        <v>329</v>
      </c>
      <c r="B430" t="s">
        <v>330</v>
      </c>
      <c r="C430" t="s">
        <v>9378</v>
      </c>
      <c r="D430" t="s">
        <v>9378</v>
      </c>
      <c r="E430" t="s">
        <v>9405</v>
      </c>
    </row>
    <row r="431" spans="1:5" hidden="1">
      <c r="A431" t="s">
        <v>10199</v>
      </c>
      <c r="B431" t="s">
        <v>10200</v>
      </c>
      <c r="C431" t="s">
        <v>9378</v>
      </c>
      <c r="D431" t="s">
        <v>9378</v>
      </c>
      <c r="E431" t="s">
        <v>9405</v>
      </c>
    </row>
    <row r="432" spans="1:5" hidden="1">
      <c r="A432" t="s">
        <v>10201</v>
      </c>
      <c r="B432" t="s">
        <v>10202</v>
      </c>
      <c r="C432" t="s">
        <v>9378</v>
      </c>
      <c r="D432" t="s">
        <v>9378</v>
      </c>
      <c r="E432" t="s">
        <v>9405</v>
      </c>
    </row>
    <row r="433" spans="1:5" hidden="1">
      <c r="A433" t="s">
        <v>91</v>
      </c>
      <c r="B433" t="s">
        <v>10203</v>
      </c>
      <c r="C433" t="s">
        <v>9378</v>
      </c>
      <c r="D433" t="s">
        <v>9378</v>
      </c>
      <c r="E433" t="s">
        <v>9405</v>
      </c>
    </row>
    <row r="434" spans="1:5" hidden="1">
      <c r="A434" t="s">
        <v>242</v>
      </c>
      <c r="B434" t="s">
        <v>10204</v>
      </c>
      <c r="C434" t="s">
        <v>9378</v>
      </c>
      <c r="D434" t="s">
        <v>9378</v>
      </c>
      <c r="E434" t="s">
        <v>9405</v>
      </c>
    </row>
    <row r="435" spans="1:5" hidden="1">
      <c r="A435" t="s">
        <v>236</v>
      </c>
      <c r="B435" t="s">
        <v>237</v>
      </c>
      <c r="C435" t="s">
        <v>9378</v>
      </c>
      <c r="D435" t="s">
        <v>9378</v>
      </c>
      <c r="E435" t="s">
        <v>9405</v>
      </c>
    </row>
    <row r="436" spans="1:5" hidden="1">
      <c r="A436" t="s">
        <v>10205</v>
      </c>
      <c r="B436" t="s">
        <v>10206</v>
      </c>
      <c r="C436" t="s">
        <v>9378</v>
      </c>
      <c r="D436" t="s">
        <v>9378</v>
      </c>
      <c r="E436" t="s">
        <v>9405</v>
      </c>
    </row>
    <row r="437" spans="1:5" hidden="1">
      <c r="A437" t="s">
        <v>10207</v>
      </c>
      <c r="B437" t="s">
        <v>10208</v>
      </c>
      <c r="C437" t="s">
        <v>9378</v>
      </c>
      <c r="D437" t="s">
        <v>9378</v>
      </c>
      <c r="E437" t="s">
        <v>9405</v>
      </c>
    </row>
    <row r="438" spans="1:5" hidden="1">
      <c r="A438" t="s">
        <v>10209</v>
      </c>
      <c r="B438" t="s">
        <v>10210</v>
      </c>
      <c r="C438" t="s">
        <v>9378</v>
      </c>
      <c r="D438" t="s">
        <v>9378</v>
      </c>
      <c r="E438" t="s">
        <v>9405</v>
      </c>
    </row>
    <row r="439" spans="1:5" hidden="1">
      <c r="A439" t="s">
        <v>10211</v>
      </c>
      <c r="B439" t="s">
        <v>10212</v>
      </c>
      <c r="C439" t="s">
        <v>9378</v>
      </c>
      <c r="D439" t="s">
        <v>9378</v>
      </c>
      <c r="E439" t="s">
        <v>9405</v>
      </c>
    </row>
    <row r="440" spans="1:5" hidden="1">
      <c r="A440" t="s">
        <v>10213</v>
      </c>
      <c r="B440" t="s">
        <v>10214</v>
      </c>
      <c r="C440" t="s">
        <v>9378</v>
      </c>
      <c r="D440" t="s">
        <v>9378</v>
      </c>
      <c r="E440" t="s">
        <v>9405</v>
      </c>
    </row>
    <row r="441" spans="1:5" hidden="1">
      <c r="A441" t="s">
        <v>10215</v>
      </c>
      <c r="B441" t="s">
        <v>10216</v>
      </c>
      <c r="C441" t="s">
        <v>9378</v>
      </c>
      <c r="D441" t="s">
        <v>9378</v>
      </c>
      <c r="E441" t="s">
        <v>9405</v>
      </c>
    </row>
    <row r="442" spans="1:5" hidden="1">
      <c r="A442" t="s">
        <v>10217</v>
      </c>
      <c r="B442" t="s">
        <v>10218</v>
      </c>
      <c r="C442" t="s">
        <v>9378</v>
      </c>
      <c r="D442" t="s">
        <v>9378</v>
      </c>
      <c r="E442" t="s">
        <v>9405</v>
      </c>
    </row>
    <row r="443" spans="1:5" hidden="1">
      <c r="A443" t="s">
        <v>10219</v>
      </c>
      <c r="B443" t="s">
        <v>10220</v>
      </c>
      <c r="C443" t="s">
        <v>9378</v>
      </c>
      <c r="D443" t="s">
        <v>9378</v>
      </c>
      <c r="E443" t="s">
        <v>9405</v>
      </c>
    </row>
    <row r="444" spans="1:5" hidden="1">
      <c r="A444" t="s">
        <v>10221</v>
      </c>
      <c r="B444" t="s">
        <v>10222</v>
      </c>
      <c r="C444" t="s">
        <v>9378</v>
      </c>
      <c r="D444" t="s">
        <v>9378</v>
      </c>
      <c r="E444" t="s">
        <v>9405</v>
      </c>
    </row>
    <row r="445" spans="1:5" hidden="1">
      <c r="A445" t="s">
        <v>10223</v>
      </c>
      <c r="B445" t="s">
        <v>10224</v>
      </c>
      <c r="C445" t="s">
        <v>9378</v>
      </c>
      <c r="D445" t="s">
        <v>9378</v>
      </c>
      <c r="E445" t="s">
        <v>9405</v>
      </c>
    </row>
    <row r="446" spans="1:5" hidden="1">
      <c r="A446" t="s">
        <v>10225</v>
      </c>
      <c r="B446" t="s">
        <v>10226</v>
      </c>
      <c r="C446" t="s">
        <v>9378</v>
      </c>
      <c r="D446" t="s">
        <v>9378</v>
      </c>
      <c r="E446" t="s">
        <v>9405</v>
      </c>
    </row>
    <row r="447" spans="1:5" hidden="1">
      <c r="A447" t="s">
        <v>10227</v>
      </c>
      <c r="B447" t="s">
        <v>10228</v>
      </c>
      <c r="C447" t="s">
        <v>9378</v>
      </c>
      <c r="D447" t="s">
        <v>9378</v>
      </c>
      <c r="E447" t="s">
        <v>9405</v>
      </c>
    </row>
    <row r="448" spans="1:5" hidden="1">
      <c r="A448" t="s">
        <v>10229</v>
      </c>
      <c r="B448" t="s">
        <v>10230</v>
      </c>
      <c r="C448" t="s">
        <v>9378</v>
      </c>
      <c r="D448" t="s">
        <v>9378</v>
      </c>
      <c r="E448" t="s">
        <v>9405</v>
      </c>
    </row>
    <row r="449" spans="1:5" hidden="1">
      <c r="A449" t="s">
        <v>10231</v>
      </c>
      <c r="B449" t="s">
        <v>10232</v>
      </c>
      <c r="C449" t="s">
        <v>9378</v>
      </c>
      <c r="D449" t="s">
        <v>9378</v>
      </c>
      <c r="E449" t="s">
        <v>9405</v>
      </c>
    </row>
    <row r="450" spans="1:5" hidden="1">
      <c r="A450" t="s">
        <v>10233</v>
      </c>
      <c r="B450" t="s">
        <v>10234</v>
      </c>
      <c r="C450" t="s">
        <v>9378</v>
      </c>
      <c r="D450" t="s">
        <v>9378</v>
      </c>
      <c r="E450" t="s">
        <v>9405</v>
      </c>
    </row>
    <row r="451" spans="1:5" hidden="1">
      <c r="A451" t="s">
        <v>10235</v>
      </c>
      <c r="B451" t="s">
        <v>10236</v>
      </c>
      <c r="C451" t="s">
        <v>9378</v>
      </c>
      <c r="D451" t="s">
        <v>9378</v>
      </c>
      <c r="E451" t="s">
        <v>9405</v>
      </c>
    </row>
    <row r="452" spans="1:5" hidden="1">
      <c r="A452" t="s">
        <v>10237</v>
      </c>
      <c r="B452" t="s">
        <v>10238</v>
      </c>
      <c r="C452" t="s">
        <v>9378</v>
      </c>
      <c r="D452" t="s">
        <v>9378</v>
      </c>
      <c r="E452" t="s">
        <v>9405</v>
      </c>
    </row>
    <row r="453" spans="1:5" hidden="1">
      <c r="A453" t="s">
        <v>10239</v>
      </c>
      <c r="B453" t="s">
        <v>10240</v>
      </c>
      <c r="C453" t="s">
        <v>9378</v>
      </c>
      <c r="D453" t="s">
        <v>9378</v>
      </c>
      <c r="E453" t="s">
        <v>9405</v>
      </c>
    </row>
    <row r="454" spans="1:5" hidden="1">
      <c r="A454" t="s">
        <v>10241</v>
      </c>
      <c r="B454" t="s">
        <v>10242</v>
      </c>
      <c r="C454" t="s">
        <v>9378</v>
      </c>
      <c r="D454" t="s">
        <v>9378</v>
      </c>
      <c r="E454" t="s">
        <v>9405</v>
      </c>
    </row>
    <row r="455" spans="1:5" hidden="1">
      <c r="A455" t="s">
        <v>10243</v>
      </c>
      <c r="B455" t="s">
        <v>10244</v>
      </c>
      <c r="C455" t="s">
        <v>9378</v>
      </c>
      <c r="D455" t="s">
        <v>9378</v>
      </c>
      <c r="E455" t="s">
        <v>9405</v>
      </c>
    </row>
    <row r="456" spans="1:5" hidden="1">
      <c r="A456" t="s">
        <v>10245</v>
      </c>
      <c r="B456" t="s">
        <v>10246</v>
      </c>
      <c r="C456" t="s">
        <v>9378</v>
      </c>
      <c r="D456" t="s">
        <v>9378</v>
      </c>
      <c r="E456" t="s">
        <v>9405</v>
      </c>
    </row>
    <row r="457" spans="1:5" hidden="1">
      <c r="A457" t="s">
        <v>10247</v>
      </c>
      <c r="B457" t="s">
        <v>10248</v>
      </c>
      <c r="C457" t="s">
        <v>9378</v>
      </c>
      <c r="D457" t="s">
        <v>9378</v>
      </c>
      <c r="E457" t="s">
        <v>9405</v>
      </c>
    </row>
    <row r="458" spans="1:5" hidden="1">
      <c r="A458" t="s">
        <v>10249</v>
      </c>
      <c r="B458" t="s">
        <v>10250</v>
      </c>
      <c r="C458" t="s">
        <v>9378</v>
      </c>
      <c r="D458" t="s">
        <v>9378</v>
      </c>
      <c r="E458" t="s">
        <v>9405</v>
      </c>
    </row>
    <row r="459" spans="1:5" hidden="1">
      <c r="A459" t="s">
        <v>10251</v>
      </c>
      <c r="B459" t="s">
        <v>10252</v>
      </c>
      <c r="C459" t="s">
        <v>9378</v>
      </c>
      <c r="D459" t="s">
        <v>9378</v>
      </c>
      <c r="E459" t="s">
        <v>9405</v>
      </c>
    </row>
    <row r="460" spans="1:5" hidden="1">
      <c r="A460" t="s">
        <v>10253</v>
      </c>
      <c r="B460" t="s">
        <v>10254</v>
      </c>
      <c r="C460" t="s">
        <v>9378</v>
      </c>
      <c r="D460" t="s">
        <v>9378</v>
      </c>
      <c r="E460" t="s">
        <v>9405</v>
      </c>
    </row>
    <row r="461" spans="1:5" hidden="1">
      <c r="A461" t="s">
        <v>10255</v>
      </c>
      <c r="B461" t="s">
        <v>10256</v>
      </c>
      <c r="C461" t="s">
        <v>9378</v>
      </c>
      <c r="D461" t="s">
        <v>9378</v>
      </c>
      <c r="E461" t="s">
        <v>9405</v>
      </c>
    </row>
    <row r="462" spans="1:5" hidden="1">
      <c r="A462" t="s">
        <v>10257</v>
      </c>
      <c r="B462" t="s">
        <v>10258</v>
      </c>
      <c r="C462" t="s">
        <v>9378</v>
      </c>
      <c r="D462" t="s">
        <v>9378</v>
      </c>
      <c r="E462" t="s">
        <v>9405</v>
      </c>
    </row>
    <row r="463" spans="1:5" hidden="1">
      <c r="A463" t="s">
        <v>10259</v>
      </c>
      <c r="B463" t="s">
        <v>10260</v>
      </c>
      <c r="C463" t="s">
        <v>9378</v>
      </c>
      <c r="D463" t="s">
        <v>9378</v>
      </c>
      <c r="E463" t="s">
        <v>9405</v>
      </c>
    </row>
    <row r="464" spans="1:5" hidden="1">
      <c r="A464" t="s">
        <v>10261</v>
      </c>
      <c r="B464" t="s">
        <v>10262</v>
      </c>
      <c r="C464" t="s">
        <v>9378</v>
      </c>
      <c r="D464" t="s">
        <v>9378</v>
      </c>
      <c r="E464" t="s">
        <v>9405</v>
      </c>
    </row>
    <row r="465" spans="1:5" hidden="1">
      <c r="A465" t="s">
        <v>10263</v>
      </c>
      <c r="B465" t="s">
        <v>10264</v>
      </c>
      <c r="C465" t="s">
        <v>9378</v>
      </c>
      <c r="D465" t="s">
        <v>9378</v>
      </c>
      <c r="E465" t="s">
        <v>9405</v>
      </c>
    </row>
    <row r="466" spans="1:5" hidden="1">
      <c r="A466" t="s">
        <v>10265</v>
      </c>
      <c r="B466" t="s">
        <v>10266</v>
      </c>
      <c r="C466" t="s">
        <v>9378</v>
      </c>
      <c r="D466" t="s">
        <v>9378</v>
      </c>
      <c r="E466" t="s">
        <v>9405</v>
      </c>
    </row>
    <row r="467" spans="1:5" hidden="1">
      <c r="A467" t="s">
        <v>10267</v>
      </c>
      <c r="B467" t="s">
        <v>10268</v>
      </c>
      <c r="C467" t="s">
        <v>9378</v>
      </c>
      <c r="D467" t="s">
        <v>9378</v>
      </c>
      <c r="E467" t="s">
        <v>9405</v>
      </c>
    </row>
    <row r="468" spans="1:5" hidden="1">
      <c r="A468" t="s">
        <v>10269</v>
      </c>
      <c r="B468" t="s">
        <v>10270</v>
      </c>
      <c r="C468" t="s">
        <v>9378</v>
      </c>
      <c r="D468" t="s">
        <v>9378</v>
      </c>
      <c r="E468" t="s">
        <v>9405</v>
      </c>
    </row>
    <row r="469" spans="1:5" hidden="1">
      <c r="A469" t="s">
        <v>335</v>
      </c>
      <c r="B469" t="s">
        <v>336</v>
      </c>
      <c r="C469" t="s">
        <v>9378</v>
      </c>
      <c r="D469" t="s">
        <v>9378</v>
      </c>
      <c r="E469" t="s">
        <v>9405</v>
      </c>
    </row>
    <row r="470" spans="1:5" hidden="1">
      <c r="A470" t="s">
        <v>10271</v>
      </c>
      <c r="B470" t="s">
        <v>10272</v>
      </c>
      <c r="C470" t="s">
        <v>9378</v>
      </c>
      <c r="D470" t="s">
        <v>9378</v>
      </c>
      <c r="E470" t="s">
        <v>9405</v>
      </c>
    </row>
    <row r="471" spans="1:5" hidden="1">
      <c r="A471" t="s">
        <v>10273</v>
      </c>
      <c r="B471" t="s">
        <v>10274</v>
      </c>
      <c r="C471" t="s">
        <v>9378</v>
      </c>
      <c r="D471" t="s">
        <v>9378</v>
      </c>
      <c r="E471" t="s">
        <v>9405</v>
      </c>
    </row>
    <row r="472" spans="1:5" hidden="1">
      <c r="A472" t="s">
        <v>10275</v>
      </c>
      <c r="B472" t="s">
        <v>10276</v>
      </c>
      <c r="C472" t="s">
        <v>9378</v>
      </c>
      <c r="D472" t="s">
        <v>9378</v>
      </c>
      <c r="E472" t="s">
        <v>9405</v>
      </c>
    </row>
    <row r="473" spans="1:5" hidden="1">
      <c r="A473" t="s">
        <v>10277</v>
      </c>
      <c r="B473" t="s">
        <v>10278</v>
      </c>
      <c r="C473" t="s">
        <v>9378</v>
      </c>
      <c r="D473" t="s">
        <v>9378</v>
      </c>
      <c r="E473" t="s">
        <v>9405</v>
      </c>
    </row>
    <row r="474" spans="1:5" hidden="1">
      <c r="A474" t="s">
        <v>10279</v>
      </c>
      <c r="B474" t="s">
        <v>10280</v>
      </c>
      <c r="C474" t="s">
        <v>9378</v>
      </c>
      <c r="D474" t="s">
        <v>9378</v>
      </c>
      <c r="E474" t="s">
        <v>9405</v>
      </c>
    </row>
    <row r="475" spans="1:5" hidden="1">
      <c r="A475" t="s">
        <v>209</v>
      </c>
      <c r="B475" t="s">
        <v>10281</v>
      </c>
      <c r="C475" t="s">
        <v>9378</v>
      </c>
      <c r="D475" t="s">
        <v>9378</v>
      </c>
      <c r="E475" t="s">
        <v>9405</v>
      </c>
    </row>
    <row r="476" spans="1:5" hidden="1">
      <c r="A476" t="s">
        <v>10282</v>
      </c>
      <c r="B476" t="s">
        <v>10283</v>
      </c>
      <c r="C476" t="s">
        <v>9378</v>
      </c>
      <c r="D476" t="s">
        <v>9378</v>
      </c>
      <c r="E476" t="s">
        <v>9405</v>
      </c>
    </row>
    <row r="477" spans="1:5" hidden="1">
      <c r="A477" t="s">
        <v>10284</v>
      </c>
      <c r="B477" t="s">
        <v>10285</v>
      </c>
      <c r="C477" t="s">
        <v>9378</v>
      </c>
      <c r="D477" t="s">
        <v>9378</v>
      </c>
      <c r="E477" t="s">
        <v>9405</v>
      </c>
    </row>
    <row r="478" spans="1:5" hidden="1">
      <c r="A478" t="s">
        <v>10286</v>
      </c>
      <c r="B478" t="s">
        <v>10287</v>
      </c>
      <c r="C478" t="s">
        <v>9378</v>
      </c>
      <c r="D478" t="s">
        <v>9378</v>
      </c>
      <c r="E478" t="s">
        <v>9405</v>
      </c>
    </row>
    <row r="479" spans="1:5" hidden="1">
      <c r="A479" t="s">
        <v>10288</v>
      </c>
      <c r="B479" t="s">
        <v>10289</v>
      </c>
      <c r="C479" t="s">
        <v>9378</v>
      </c>
      <c r="D479" t="s">
        <v>9378</v>
      </c>
      <c r="E479" t="s">
        <v>9405</v>
      </c>
    </row>
    <row r="480" spans="1:5" hidden="1">
      <c r="A480" t="s">
        <v>10290</v>
      </c>
      <c r="B480" t="s">
        <v>10291</v>
      </c>
      <c r="C480" t="s">
        <v>9378</v>
      </c>
      <c r="D480" t="s">
        <v>9378</v>
      </c>
      <c r="E480" t="s">
        <v>9405</v>
      </c>
    </row>
    <row r="481" spans="1:5" hidden="1">
      <c r="A481" t="s">
        <v>10292</v>
      </c>
      <c r="B481" t="s">
        <v>10293</v>
      </c>
      <c r="C481" t="s">
        <v>9378</v>
      </c>
      <c r="D481" t="s">
        <v>9378</v>
      </c>
      <c r="E481" t="s">
        <v>9405</v>
      </c>
    </row>
    <row r="482" spans="1:5" hidden="1">
      <c r="A482" t="s">
        <v>10294</v>
      </c>
      <c r="B482" t="s">
        <v>10295</v>
      </c>
      <c r="C482" t="s">
        <v>9378</v>
      </c>
      <c r="D482" t="s">
        <v>9378</v>
      </c>
      <c r="E482" t="s">
        <v>9405</v>
      </c>
    </row>
    <row r="483" spans="1:5" hidden="1">
      <c r="A483" t="s">
        <v>10296</v>
      </c>
      <c r="B483" t="s">
        <v>10297</v>
      </c>
      <c r="C483" t="s">
        <v>9378</v>
      </c>
      <c r="D483" t="s">
        <v>9378</v>
      </c>
      <c r="E483" t="s">
        <v>9405</v>
      </c>
    </row>
    <row r="484" spans="1:5" hidden="1">
      <c r="A484" t="s">
        <v>10298</v>
      </c>
      <c r="B484" t="s">
        <v>10299</v>
      </c>
      <c r="C484" t="s">
        <v>9378</v>
      </c>
      <c r="D484" t="s">
        <v>9378</v>
      </c>
      <c r="E484" t="s">
        <v>9353</v>
      </c>
    </row>
    <row r="485" spans="1:5" hidden="1">
      <c r="A485" t="s">
        <v>10300</v>
      </c>
      <c r="B485" t="s">
        <v>10301</v>
      </c>
      <c r="C485" t="s">
        <v>9378</v>
      </c>
      <c r="D485" t="s">
        <v>9378</v>
      </c>
      <c r="E485" t="s">
        <v>9353</v>
      </c>
    </row>
    <row r="486" spans="1:5" hidden="1">
      <c r="A486" t="s">
        <v>10302</v>
      </c>
      <c r="B486" t="s">
        <v>10303</v>
      </c>
      <c r="C486" t="s">
        <v>9378</v>
      </c>
      <c r="D486" t="s">
        <v>9378</v>
      </c>
      <c r="E486" t="s">
        <v>9405</v>
      </c>
    </row>
    <row r="487" spans="1:5" hidden="1">
      <c r="A487" t="s">
        <v>10304</v>
      </c>
      <c r="B487" t="s">
        <v>10305</v>
      </c>
      <c r="C487" t="s">
        <v>9378</v>
      </c>
      <c r="D487" t="s">
        <v>9378</v>
      </c>
      <c r="E487" t="s">
        <v>9405</v>
      </c>
    </row>
    <row r="488" spans="1:5" hidden="1">
      <c r="A488" t="s">
        <v>10306</v>
      </c>
      <c r="B488" t="s">
        <v>10307</v>
      </c>
      <c r="C488" t="s">
        <v>9378</v>
      </c>
      <c r="D488" t="s">
        <v>9378</v>
      </c>
      <c r="E488" t="s">
        <v>9353</v>
      </c>
    </row>
    <row r="489" spans="1:5" hidden="1">
      <c r="A489" t="s">
        <v>10308</v>
      </c>
      <c r="B489" t="s">
        <v>10309</v>
      </c>
      <c r="C489" t="s">
        <v>9378</v>
      </c>
      <c r="D489" t="s">
        <v>9378</v>
      </c>
      <c r="E489" t="s">
        <v>9353</v>
      </c>
    </row>
    <row r="490" spans="1:5" hidden="1">
      <c r="A490" t="s">
        <v>326</v>
      </c>
      <c r="B490" t="s">
        <v>327</v>
      </c>
      <c r="C490" t="s">
        <v>9378</v>
      </c>
      <c r="D490" t="s">
        <v>9378</v>
      </c>
      <c r="E490" t="s">
        <v>9405</v>
      </c>
    </row>
    <row r="491" spans="1:5" hidden="1">
      <c r="A491" t="s">
        <v>10310</v>
      </c>
      <c r="B491" t="s">
        <v>10311</v>
      </c>
      <c r="C491" t="s">
        <v>9378</v>
      </c>
      <c r="D491" t="s">
        <v>9378</v>
      </c>
      <c r="E491" t="s">
        <v>9405</v>
      </c>
    </row>
    <row r="492" spans="1:5" hidden="1">
      <c r="A492" t="s">
        <v>10312</v>
      </c>
      <c r="B492" t="s">
        <v>10313</v>
      </c>
      <c r="C492" t="s">
        <v>9378</v>
      </c>
      <c r="D492" t="s">
        <v>9378</v>
      </c>
      <c r="E492" t="s">
        <v>9378</v>
      </c>
    </row>
    <row r="493" spans="1:5" hidden="1">
      <c r="A493" t="s">
        <v>10314</v>
      </c>
      <c r="B493" t="s">
        <v>10315</v>
      </c>
      <c r="C493" t="s">
        <v>9378</v>
      </c>
      <c r="D493" t="s">
        <v>9378</v>
      </c>
      <c r="E493" t="s">
        <v>9378</v>
      </c>
    </row>
    <row r="494" spans="1:5" hidden="1">
      <c r="A494" t="s">
        <v>248</v>
      </c>
      <c r="B494" t="s">
        <v>10316</v>
      </c>
      <c r="C494" t="s">
        <v>9378</v>
      </c>
      <c r="D494" t="s">
        <v>9378</v>
      </c>
      <c r="E494" t="s">
        <v>9378</v>
      </c>
    </row>
    <row r="495" spans="1:5" hidden="1">
      <c r="A495" t="s">
        <v>233</v>
      </c>
      <c r="B495" t="s">
        <v>10317</v>
      </c>
      <c r="C495" t="s">
        <v>9378</v>
      </c>
      <c r="D495" t="s">
        <v>9378</v>
      </c>
      <c r="E495" t="s">
        <v>9378</v>
      </c>
    </row>
    <row r="496" spans="1:5" hidden="1">
      <c r="A496" t="s">
        <v>10318</v>
      </c>
      <c r="B496" t="s">
        <v>10319</v>
      </c>
      <c r="C496" t="s">
        <v>9378</v>
      </c>
      <c r="D496" t="s">
        <v>9378</v>
      </c>
      <c r="E496" t="s">
        <v>9378</v>
      </c>
    </row>
    <row r="497" spans="1:5" hidden="1">
      <c r="A497" t="s">
        <v>10320</v>
      </c>
      <c r="B497" t="s">
        <v>10321</v>
      </c>
      <c r="C497" t="s">
        <v>9378</v>
      </c>
      <c r="D497" t="s">
        <v>9378</v>
      </c>
      <c r="E497" t="s">
        <v>9378</v>
      </c>
    </row>
    <row r="498" spans="1:5" hidden="1">
      <c r="A498" t="s">
        <v>332</v>
      </c>
      <c r="B498" t="s">
        <v>333</v>
      </c>
      <c r="C498" t="s">
        <v>9378</v>
      </c>
      <c r="D498" t="s">
        <v>9378</v>
      </c>
      <c r="E498" t="s">
        <v>9378</v>
      </c>
    </row>
    <row r="499" spans="1:5" hidden="1">
      <c r="A499" t="s">
        <v>10322</v>
      </c>
      <c r="B499" t="s">
        <v>10323</v>
      </c>
      <c r="C499" t="s">
        <v>9378</v>
      </c>
      <c r="D499" t="s">
        <v>9378</v>
      </c>
      <c r="E499" t="s">
        <v>9378</v>
      </c>
    </row>
    <row r="500" spans="1:5" hidden="1">
      <c r="A500" t="s">
        <v>203</v>
      </c>
      <c r="B500" t="s">
        <v>10324</v>
      </c>
      <c r="C500" t="s">
        <v>9378</v>
      </c>
      <c r="D500" t="s">
        <v>9378</v>
      </c>
      <c r="E500" t="s">
        <v>9378</v>
      </c>
    </row>
    <row r="501" spans="1:5" hidden="1">
      <c r="A501" t="s">
        <v>299</v>
      </c>
      <c r="B501" t="s">
        <v>10325</v>
      </c>
      <c r="C501" t="s">
        <v>9378</v>
      </c>
      <c r="D501" t="s">
        <v>9378</v>
      </c>
      <c r="E501" t="s">
        <v>9378</v>
      </c>
    </row>
    <row r="502" spans="1:5" hidden="1">
      <c r="A502" t="s">
        <v>10326</v>
      </c>
      <c r="B502" t="s">
        <v>10327</v>
      </c>
      <c r="C502" t="s">
        <v>9378</v>
      </c>
      <c r="D502" t="s">
        <v>9378</v>
      </c>
      <c r="E502" t="s">
        <v>9378</v>
      </c>
    </row>
    <row r="503" spans="1:5" hidden="1">
      <c r="A503" t="s">
        <v>10328</v>
      </c>
      <c r="B503" t="s">
        <v>10329</v>
      </c>
      <c r="C503" t="s">
        <v>9378</v>
      </c>
      <c r="D503" t="s">
        <v>9378</v>
      </c>
      <c r="E503" t="s">
        <v>9378</v>
      </c>
    </row>
    <row r="504" spans="1:5" hidden="1">
      <c r="A504" t="s">
        <v>197</v>
      </c>
      <c r="B504" t="s">
        <v>10330</v>
      </c>
      <c r="C504" t="s">
        <v>9378</v>
      </c>
      <c r="D504" t="s">
        <v>9378</v>
      </c>
      <c r="E504" t="s">
        <v>9378</v>
      </c>
    </row>
    <row r="505" spans="1:5" hidden="1">
      <c r="A505" t="s">
        <v>34</v>
      </c>
      <c r="B505" t="s">
        <v>10331</v>
      </c>
      <c r="C505" t="s">
        <v>9378</v>
      </c>
      <c r="D505" t="s">
        <v>9378</v>
      </c>
      <c r="E505" t="s">
        <v>9378</v>
      </c>
    </row>
    <row r="506" spans="1:5" hidden="1">
      <c r="A506" t="s">
        <v>10332</v>
      </c>
      <c r="B506" t="s">
        <v>10333</v>
      </c>
      <c r="C506" t="s">
        <v>9378</v>
      </c>
      <c r="D506" t="s">
        <v>9378</v>
      </c>
      <c r="E506" t="s">
        <v>9378</v>
      </c>
    </row>
    <row r="507" spans="1:5" hidden="1">
      <c r="A507" t="s">
        <v>10334</v>
      </c>
      <c r="B507" t="s">
        <v>10335</v>
      </c>
      <c r="C507" t="s">
        <v>9378</v>
      </c>
      <c r="D507" t="s">
        <v>9378</v>
      </c>
      <c r="E507" t="s">
        <v>9378</v>
      </c>
    </row>
    <row r="508" spans="1:5" hidden="1">
      <c r="A508" t="s">
        <v>10336</v>
      </c>
      <c r="B508" t="s">
        <v>10337</v>
      </c>
      <c r="C508" t="s">
        <v>9378</v>
      </c>
      <c r="D508" t="s">
        <v>9378</v>
      </c>
      <c r="E508" t="s">
        <v>9378</v>
      </c>
    </row>
    <row r="509" spans="1:5" hidden="1">
      <c r="A509" t="s">
        <v>10338</v>
      </c>
      <c r="B509" t="s">
        <v>10339</v>
      </c>
      <c r="C509" t="s">
        <v>9378</v>
      </c>
      <c r="D509" t="s">
        <v>9378</v>
      </c>
      <c r="E509" t="s">
        <v>9378</v>
      </c>
    </row>
    <row r="510" spans="1:5" hidden="1">
      <c r="A510" t="s">
        <v>10340</v>
      </c>
      <c r="B510" t="s">
        <v>10341</v>
      </c>
      <c r="C510" t="s">
        <v>9378</v>
      </c>
      <c r="D510" t="s">
        <v>9378</v>
      </c>
      <c r="E510" t="s">
        <v>9378</v>
      </c>
    </row>
    <row r="511" spans="1:5" hidden="1">
      <c r="A511" t="s">
        <v>10342</v>
      </c>
      <c r="B511" t="s">
        <v>10343</v>
      </c>
      <c r="C511" t="s">
        <v>9378</v>
      </c>
      <c r="D511" t="s">
        <v>9378</v>
      </c>
      <c r="E511" t="s">
        <v>9378</v>
      </c>
    </row>
    <row r="512" spans="1:5" hidden="1">
      <c r="A512" t="s">
        <v>10344</v>
      </c>
      <c r="B512" t="s">
        <v>10345</v>
      </c>
      <c r="C512" t="s">
        <v>9378</v>
      </c>
      <c r="D512" t="s">
        <v>9378</v>
      </c>
      <c r="E512" t="s">
        <v>9378</v>
      </c>
    </row>
    <row r="513" spans="1:5" hidden="1">
      <c r="A513" t="s">
        <v>82</v>
      </c>
      <c r="B513" t="s">
        <v>83</v>
      </c>
      <c r="C513" t="s">
        <v>9378</v>
      </c>
      <c r="D513" t="s">
        <v>9378</v>
      </c>
      <c r="E513" t="s">
        <v>9378</v>
      </c>
    </row>
    <row r="514" spans="1:5" hidden="1">
      <c r="A514" t="s">
        <v>88</v>
      </c>
      <c r="B514" t="s">
        <v>89</v>
      </c>
      <c r="C514" t="s">
        <v>9378</v>
      </c>
      <c r="D514" t="s">
        <v>9378</v>
      </c>
      <c r="E514" t="s">
        <v>9378</v>
      </c>
    </row>
    <row r="515" spans="1:5" hidden="1">
      <c r="A515" t="s">
        <v>61</v>
      </c>
      <c r="B515" t="s">
        <v>10346</v>
      </c>
      <c r="C515" t="s">
        <v>9378</v>
      </c>
      <c r="D515" t="s">
        <v>9378</v>
      </c>
      <c r="E515" t="s">
        <v>9378</v>
      </c>
    </row>
    <row r="516" spans="1:5" hidden="1">
      <c r="A516" t="s">
        <v>58</v>
      </c>
      <c r="B516" t="s">
        <v>10347</v>
      </c>
      <c r="C516" t="s">
        <v>9378</v>
      </c>
      <c r="D516" t="s">
        <v>9378</v>
      </c>
      <c r="E516" t="s">
        <v>9378</v>
      </c>
    </row>
    <row r="517" spans="1:5" hidden="1">
      <c r="A517" t="s">
        <v>31</v>
      </c>
      <c r="B517" t="s">
        <v>10348</v>
      </c>
      <c r="C517" t="s">
        <v>9378</v>
      </c>
      <c r="D517" t="s">
        <v>9378</v>
      </c>
      <c r="E517" t="s">
        <v>9378</v>
      </c>
    </row>
    <row r="518" spans="1:5" hidden="1">
      <c r="A518" t="s">
        <v>40</v>
      </c>
      <c r="B518" t="s">
        <v>10349</v>
      </c>
      <c r="C518" t="s">
        <v>9378</v>
      </c>
      <c r="D518" t="s">
        <v>9378</v>
      </c>
      <c r="E518" t="s">
        <v>9378</v>
      </c>
    </row>
    <row r="519" spans="1:5" hidden="1">
      <c r="A519" t="s">
        <v>118</v>
      </c>
      <c r="B519" t="s">
        <v>119</v>
      </c>
      <c r="C519" t="s">
        <v>9378</v>
      </c>
      <c r="D519" t="s">
        <v>9378</v>
      </c>
      <c r="E519" t="s">
        <v>9378</v>
      </c>
    </row>
    <row r="520" spans="1:5" hidden="1">
      <c r="A520" t="s">
        <v>266</v>
      </c>
      <c r="B520" t="s">
        <v>267</v>
      </c>
      <c r="C520" t="s">
        <v>9378</v>
      </c>
      <c r="D520" t="s">
        <v>9378</v>
      </c>
      <c r="E520" t="s">
        <v>9378</v>
      </c>
    </row>
    <row r="521" spans="1:5" hidden="1">
      <c r="A521" t="s">
        <v>10350</v>
      </c>
      <c r="B521" t="s">
        <v>10351</v>
      </c>
      <c r="C521" t="s">
        <v>9378</v>
      </c>
      <c r="D521" t="s">
        <v>9378</v>
      </c>
      <c r="E521" t="s">
        <v>9378</v>
      </c>
    </row>
    <row r="522" spans="1:5" hidden="1">
      <c r="A522" t="s">
        <v>10352</v>
      </c>
      <c r="B522" t="s">
        <v>10353</v>
      </c>
      <c r="C522" t="s">
        <v>9378</v>
      </c>
      <c r="D522" t="s">
        <v>9378</v>
      </c>
      <c r="E522" t="s">
        <v>9378</v>
      </c>
    </row>
    <row r="523" spans="1:5" hidden="1">
      <c r="A523" t="s">
        <v>10354</v>
      </c>
      <c r="B523" t="s">
        <v>10355</v>
      </c>
      <c r="C523" t="s">
        <v>9378</v>
      </c>
      <c r="D523" t="s">
        <v>9378</v>
      </c>
      <c r="E523" t="s">
        <v>9378</v>
      </c>
    </row>
    <row r="524" spans="1:5" hidden="1">
      <c r="A524" t="s">
        <v>10356</v>
      </c>
      <c r="B524" t="s">
        <v>10357</v>
      </c>
      <c r="C524" t="s">
        <v>9378</v>
      </c>
      <c r="D524" t="s">
        <v>9378</v>
      </c>
      <c r="E524" t="s">
        <v>9378</v>
      </c>
    </row>
    <row r="525" spans="1:5" hidden="1">
      <c r="A525" t="s">
        <v>260</v>
      </c>
      <c r="B525" t="s">
        <v>261</v>
      </c>
      <c r="C525" t="s">
        <v>9378</v>
      </c>
      <c r="D525" t="s">
        <v>9378</v>
      </c>
      <c r="E525" t="s">
        <v>9378</v>
      </c>
    </row>
    <row r="526" spans="1:5" hidden="1">
      <c r="A526" t="s">
        <v>10358</v>
      </c>
      <c r="B526" t="s">
        <v>10359</v>
      </c>
      <c r="C526" t="s">
        <v>9378</v>
      </c>
      <c r="D526" t="s">
        <v>9378</v>
      </c>
      <c r="E526" t="s">
        <v>9378</v>
      </c>
    </row>
    <row r="527" spans="1:5" hidden="1">
      <c r="A527" t="s">
        <v>10360</v>
      </c>
      <c r="B527" t="s">
        <v>10361</v>
      </c>
      <c r="C527" t="s">
        <v>9378</v>
      </c>
      <c r="D527" t="s">
        <v>9378</v>
      </c>
      <c r="E527" t="s">
        <v>9378</v>
      </c>
    </row>
    <row r="528" spans="1:5" hidden="1">
      <c r="A528" t="s">
        <v>37</v>
      </c>
      <c r="B528" t="s">
        <v>10362</v>
      </c>
      <c r="C528" t="s">
        <v>9378</v>
      </c>
      <c r="D528" t="s">
        <v>9378</v>
      </c>
      <c r="E528" t="s">
        <v>9378</v>
      </c>
    </row>
    <row r="529" spans="1:5" hidden="1">
      <c r="A529" t="s">
        <v>73</v>
      </c>
      <c r="B529" t="s">
        <v>10363</v>
      </c>
      <c r="C529" t="s">
        <v>9378</v>
      </c>
      <c r="D529" t="s">
        <v>9378</v>
      </c>
      <c r="E529" t="s">
        <v>9378</v>
      </c>
    </row>
    <row r="530" spans="1:5" hidden="1">
      <c r="A530" t="s">
        <v>206</v>
      </c>
      <c r="B530" t="s">
        <v>10364</v>
      </c>
      <c r="C530" t="s">
        <v>9378</v>
      </c>
      <c r="D530" t="s">
        <v>9378</v>
      </c>
      <c r="E530" t="s">
        <v>9378</v>
      </c>
    </row>
    <row r="531" spans="1:5" hidden="1">
      <c r="A531" t="s">
        <v>227</v>
      </c>
      <c r="B531" t="s">
        <v>10365</v>
      </c>
      <c r="C531" t="s">
        <v>9378</v>
      </c>
      <c r="D531" t="s">
        <v>9378</v>
      </c>
      <c r="E531" t="s">
        <v>9378</v>
      </c>
    </row>
    <row r="532" spans="1:5" hidden="1">
      <c r="A532" t="s">
        <v>194</v>
      </c>
      <c r="B532" t="s">
        <v>10366</v>
      </c>
      <c r="C532" t="s">
        <v>9378</v>
      </c>
      <c r="D532" t="s">
        <v>9378</v>
      </c>
      <c r="E532" t="s">
        <v>9378</v>
      </c>
    </row>
    <row r="533" spans="1:5" hidden="1">
      <c r="A533" t="s">
        <v>215</v>
      </c>
      <c r="B533" t="s">
        <v>10367</v>
      </c>
      <c r="C533" t="s">
        <v>9378</v>
      </c>
      <c r="D533" t="s">
        <v>9378</v>
      </c>
      <c r="E533" t="s">
        <v>9378</v>
      </c>
    </row>
    <row r="534" spans="1:5" hidden="1">
      <c r="A534" t="s">
        <v>10368</v>
      </c>
      <c r="B534" t="s">
        <v>10369</v>
      </c>
      <c r="C534" t="s">
        <v>9378</v>
      </c>
      <c r="D534" t="s">
        <v>9378</v>
      </c>
      <c r="E534" t="s">
        <v>9378</v>
      </c>
    </row>
    <row r="535" spans="1:5" hidden="1">
      <c r="A535" t="s">
        <v>10370</v>
      </c>
      <c r="B535" t="s">
        <v>10371</v>
      </c>
      <c r="C535" t="s">
        <v>9378</v>
      </c>
      <c r="D535" t="s">
        <v>9378</v>
      </c>
      <c r="E535" t="s">
        <v>9378</v>
      </c>
    </row>
    <row r="536" spans="1:5" hidden="1">
      <c r="A536" t="s">
        <v>10372</v>
      </c>
      <c r="B536" t="s">
        <v>10373</v>
      </c>
      <c r="C536" t="s">
        <v>9378</v>
      </c>
      <c r="D536" t="s">
        <v>9378</v>
      </c>
      <c r="E536" t="s">
        <v>9378</v>
      </c>
    </row>
    <row r="537" spans="1:5" hidden="1">
      <c r="A537" t="s">
        <v>10374</v>
      </c>
      <c r="B537" t="s">
        <v>10375</v>
      </c>
      <c r="C537" t="s">
        <v>9378</v>
      </c>
      <c r="D537" t="s">
        <v>9378</v>
      </c>
      <c r="E537" t="s">
        <v>9378</v>
      </c>
    </row>
    <row r="538" spans="1:5" hidden="1">
      <c r="A538" t="s">
        <v>10376</v>
      </c>
      <c r="B538" t="s">
        <v>10377</v>
      </c>
      <c r="C538" t="s">
        <v>9378</v>
      </c>
      <c r="D538" t="s">
        <v>9378</v>
      </c>
      <c r="E538" t="s">
        <v>9378</v>
      </c>
    </row>
    <row r="539" spans="1:5" hidden="1">
      <c r="A539" t="s">
        <v>10378</v>
      </c>
      <c r="B539" t="s">
        <v>10379</v>
      </c>
      <c r="C539" t="s">
        <v>9378</v>
      </c>
      <c r="D539" t="s">
        <v>9378</v>
      </c>
      <c r="E539" t="s">
        <v>9378</v>
      </c>
    </row>
    <row r="540" spans="1:5" hidden="1">
      <c r="A540" t="s">
        <v>10380</v>
      </c>
      <c r="B540" t="s">
        <v>10381</v>
      </c>
      <c r="C540" t="s">
        <v>9378</v>
      </c>
      <c r="D540" t="s">
        <v>9378</v>
      </c>
      <c r="E540" t="s">
        <v>9378</v>
      </c>
    </row>
    <row r="541" spans="1:5" hidden="1">
      <c r="A541" t="s">
        <v>10382</v>
      </c>
      <c r="B541" t="s">
        <v>10383</v>
      </c>
      <c r="C541" t="s">
        <v>9378</v>
      </c>
      <c r="D541" t="s">
        <v>9378</v>
      </c>
      <c r="E541" t="s">
        <v>9378</v>
      </c>
    </row>
    <row r="542" spans="1:5" hidden="1">
      <c r="A542" t="s">
        <v>10384</v>
      </c>
      <c r="B542" t="s">
        <v>10385</v>
      </c>
      <c r="C542" t="s">
        <v>9378</v>
      </c>
      <c r="D542" t="s">
        <v>9378</v>
      </c>
      <c r="E542" t="s">
        <v>9378</v>
      </c>
    </row>
    <row r="543" spans="1:5" hidden="1">
      <c r="A543" t="s">
        <v>10386</v>
      </c>
      <c r="B543" t="s">
        <v>10387</v>
      </c>
      <c r="C543" t="s">
        <v>9378</v>
      </c>
      <c r="D543" t="s">
        <v>9378</v>
      </c>
      <c r="E543" t="s">
        <v>9378</v>
      </c>
    </row>
    <row r="544" spans="1:5" hidden="1">
      <c r="A544" t="s">
        <v>10388</v>
      </c>
      <c r="B544" t="s">
        <v>10389</v>
      </c>
      <c r="C544" t="s">
        <v>9378</v>
      </c>
      <c r="D544" t="s">
        <v>9378</v>
      </c>
      <c r="E544" t="s">
        <v>9378</v>
      </c>
    </row>
    <row r="545" spans="1:5" hidden="1">
      <c r="A545" t="s">
        <v>10390</v>
      </c>
      <c r="B545" t="s">
        <v>10391</v>
      </c>
      <c r="C545" t="s">
        <v>9378</v>
      </c>
      <c r="D545" t="s">
        <v>9378</v>
      </c>
      <c r="E545" t="s">
        <v>9378</v>
      </c>
    </row>
    <row r="546" spans="1:5" hidden="1">
      <c r="A546" t="s">
        <v>10392</v>
      </c>
      <c r="B546" t="s">
        <v>10393</v>
      </c>
      <c r="C546" t="s">
        <v>9378</v>
      </c>
      <c r="D546" t="s">
        <v>9378</v>
      </c>
      <c r="E546" t="s">
        <v>9378</v>
      </c>
    </row>
    <row r="547" spans="1:5" hidden="1">
      <c r="A547" t="s">
        <v>10394</v>
      </c>
      <c r="B547" t="s">
        <v>10395</v>
      </c>
      <c r="C547" t="s">
        <v>9378</v>
      </c>
      <c r="D547" t="s">
        <v>9378</v>
      </c>
      <c r="E547" t="s">
        <v>9378</v>
      </c>
    </row>
    <row r="548" spans="1:5" hidden="1">
      <c r="A548" t="s">
        <v>10396</v>
      </c>
      <c r="B548" t="s">
        <v>10397</v>
      </c>
      <c r="C548" t="s">
        <v>9378</v>
      </c>
      <c r="D548" t="s">
        <v>9378</v>
      </c>
      <c r="E548" t="s">
        <v>9378</v>
      </c>
    </row>
    <row r="549" spans="1:5" hidden="1">
      <c r="A549" t="s">
        <v>10398</v>
      </c>
      <c r="B549" t="s">
        <v>10399</v>
      </c>
      <c r="C549" t="s">
        <v>9378</v>
      </c>
      <c r="D549" t="s">
        <v>9378</v>
      </c>
      <c r="E549" t="s">
        <v>9378</v>
      </c>
    </row>
    <row r="550" spans="1:5" hidden="1">
      <c r="A550" t="s">
        <v>10400</v>
      </c>
      <c r="B550" t="s">
        <v>10401</v>
      </c>
      <c r="C550" t="s">
        <v>9378</v>
      </c>
      <c r="D550" t="s">
        <v>9378</v>
      </c>
      <c r="E550" t="s">
        <v>9378</v>
      </c>
    </row>
    <row r="551" spans="1:5" hidden="1">
      <c r="A551" t="s">
        <v>10402</v>
      </c>
      <c r="B551" t="s">
        <v>10403</v>
      </c>
      <c r="C551" t="s">
        <v>9378</v>
      </c>
      <c r="D551" t="s">
        <v>9378</v>
      </c>
      <c r="E551" t="s">
        <v>9405</v>
      </c>
    </row>
    <row r="552" spans="1:5" hidden="1">
      <c r="A552" t="s">
        <v>10404</v>
      </c>
      <c r="B552" t="s">
        <v>10405</v>
      </c>
      <c r="C552" t="s">
        <v>9378</v>
      </c>
      <c r="D552" t="s">
        <v>9378</v>
      </c>
      <c r="E552" t="s">
        <v>9378</v>
      </c>
    </row>
    <row r="553" spans="1:5" hidden="1">
      <c r="A553" t="s">
        <v>115</v>
      </c>
      <c r="B553" t="s">
        <v>10406</v>
      </c>
      <c r="C553" t="s">
        <v>9378</v>
      </c>
      <c r="D553" t="s">
        <v>9378</v>
      </c>
      <c r="E553" t="s">
        <v>9378</v>
      </c>
    </row>
    <row r="554" spans="1:5" hidden="1">
      <c r="A554" t="s">
        <v>85</v>
      </c>
      <c r="B554" t="s">
        <v>10407</v>
      </c>
      <c r="C554" t="s">
        <v>9378</v>
      </c>
      <c r="D554" t="s">
        <v>9378</v>
      </c>
      <c r="E554" t="s">
        <v>9378</v>
      </c>
    </row>
    <row r="555" spans="1:5" hidden="1">
      <c r="A555" t="s">
        <v>106</v>
      </c>
      <c r="B555" t="s">
        <v>10408</v>
      </c>
      <c r="C555" t="s">
        <v>9378</v>
      </c>
      <c r="D555" t="s">
        <v>9378</v>
      </c>
      <c r="E555" t="s">
        <v>9378</v>
      </c>
    </row>
    <row r="556" spans="1:5" hidden="1">
      <c r="A556" t="s">
        <v>224</v>
      </c>
      <c r="B556" t="s">
        <v>10409</v>
      </c>
      <c r="C556" t="s">
        <v>9378</v>
      </c>
      <c r="D556" t="s">
        <v>9378</v>
      </c>
      <c r="E556" t="s">
        <v>9378</v>
      </c>
    </row>
    <row r="557" spans="1:5" hidden="1">
      <c r="A557" t="s">
        <v>10410</v>
      </c>
      <c r="B557" t="s">
        <v>10411</v>
      </c>
      <c r="C557" t="s">
        <v>9378</v>
      </c>
      <c r="D557" t="s">
        <v>9378</v>
      </c>
      <c r="E557" t="s">
        <v>9378</v>
      </c>
    </row>
    <row r="558" spans="1:5" hidden="1">
      <c r="A558" t="s">
        <v>124</v>
      </c>
      <c r="B558" t="s">
        <v>125</v>
      </c>
      <c r="C558" t="s">
        <v>9378</v>
      </c>
      <c r="D558" t="s">
        <v>9378</v>
      </c>
      <c r="E558" t="s">
        <v>9378</v>
      </c>
    </row>
    <row r="559" spans="1:5" hidden="1">
      <c r="A559" t="s">
        <v>10412</v>
      </c>
      <c r="B559" t="s">
        <v>10413</v>
      </c>
      <c r="C559" t="s">
        <v>9378</v>
      </c>
      <c r="D559" t="s">
        <v>9378</v>
      </c>
      <c r="E559" t="s">
        <v>9378</v>
      </c>
    </row>
    <row r="560" spans="1:5" hidden="1">
      <c r="A560" t="s">
        <v>10414</v>
      </c>
      <c r="B560" t="s">
        <v>10415</v>
      </c>
      <c r="C560" t="s">
        <v>9378</v>
      </c>
      <c r="D560" t="s">
        <v>9378</v>
      </c>
      <c r="E560" t="s">
        <v>9378</v>
      </c>
    </row>
    <row r="561" spans="1:5" hidden="1">
      <c r="A561" t="s">
        <v>10416</v>
      </c>
      <c r="B561" t="s">
        <v>10417</v>
      </c>
      <c r="C561" t="s">
        <v>9378</v>
      </c>
      <c r="D561" t="s">
        <v>9378</v>
      </c>
      <c r="E561" t="s">
        <v>9378</v>
      </c>
    </row>
    <row r="562" spans="1:5" hidden="1">
      <c r="A562" t="s">
        <v>10418</v>
      </c>
      <c r="B562" t="s">
        <v>10419</v>
      </c>
      <c r="C562" t="s">
        <v>9378</v>
      </c>
      <c r="D562" t="s">
        <v>9378</v>
      </c>
      <c r="E562" t="s">
        <v>9378</v>
      </c>
    </row>
    <row r="563" spans="1:5" hidden="1">
      <c r="A563" t="s">
        <v>10420</v>
      </c>
      <c r="B563" t="s">
        <v>10421</v>
      </c>
      <c r="C563" t="s">
        <v>9378</v>
      </c>
      <c r="D563" t="s">
        <v>9378</v>
      </c>
      <c r="E563" t="s">
        <v>9378</v>
      </c>
    </row>
    <row r="564" spans="1:5" hidden="1">
      <c r="A564" t="s">
        <v>10422</v>
      </c>
      <c r="B564" t="s">
        <v>10423</v>
      </c>
      <c r="C564" t="s">
        <v>9378</v>
      </c>
      <c r="D564" t="s">
        <v>9378</v>
      </c>
      <c r="E564" t="s">
        <v>9378</v>
      </c>
    </row>
    <row r="565" spans="1:5" hidden="1">
      <c r="A565" t="s">
        <v>191</v>
      </c>
      <c r="B565" t="s">
        <v>192</v>
      </c>
      <c r="C565" t="s">
        <v>9378</v>
      </c>
      <c r="D565" t="s">
        <v>9378</v>
      </c>
      <c r="E565" t="s">
        <v>9378</v>
      </c>
    </row>
    <row r="566" spans="1:5" hidden="1">
      <c r="A566" t="s">
        <v>52</v>
      </c>
      <c r="B566" t="s">
        <v>53</v>
      </c>
      <c r="C566" t="s">
        <v>9378</v>
      </c>
      <c r="D566" t="s">
        <v>9378</v>
      </c>
      <c r="E566" t="s">
        <v>9378</v>
      </c>
    </row>
    <row r="567" spans="1:5" hidden="1">
      <c r="A567" t="s">
        <v>25</v>
      </c>
      <c r="B567" t="s">
        <v>10424</v>
      </c>
      <c r="C567" t="s">
        <v>9378</v>
      </c>
      <c r="D567" t="s">
        <v>9378</v>
      </c>
      <c r="E567" t="s">
        <v>9378</v>
      </c>
    </row>
    <row r="568" spans="1:5" hidden="1">
      <c r="A568" t="s">
        <v>94</v>
      </c>
      <c r="B568" t="s">
        <v>95</v>
      </c>
      <c r="C568" t="s">
        <v>9378</v>
      </c>
      <c r="D568" t="s">
        <v>9378</v>
      </c>
      <c r="E568" t="s">
        <v>9378</v>
      </c>
    </row>
    <row r="569" spans="1:5" hidden="1">
      <c r="A569" t="s">
        <v>109</v>
      </c>
      <c r="B569" t="s">
        <v>110</v>
      </c>
      <c r="C569" t="s">
        <v>9378</v>
      </c>
      <c r="D569" t="s">
        <v>9378</v>
      </c>
      <c r="E569" t="s">
        <v>9378</v>
      </c>
    </row>
    <row r="570" spans="1:5" hidden="1">
      <c r="A570" t="s">
        <v>311</v>
      </c>
      <c r="B570" t="s">
        <v>312</v>
      </c>
      <c r="C570" t="s">
        <v>9378</v>
      </c>
      <c r="D570" t="s">
        <v>9378</v>
      </c>
      <c r="E570" t="s">
        <v>9378</v>
      </c>
    </row>
    <row r="571" spans="1:5" hidden="1">
      <c r="A571" t="s">
        <v>10425</v>
      </c>
      <c r="B571" t="s">
        <v>10426</v>
      </c>
      <c r="C571" t="s">
        <v>9378</v>
      </c>
      <c r="D571" t="s">
        <v>9378</v>
      </c>
      <c r="E571" t="s">
        <v>9378</v>
      </c>
    </row>
    <row r="572" spans="1:5" hidden="1">
      <c r="A572" t="s">
        <v>10427</v>
      </c>
      <c r="B572" t="s">
        <v>10428</v>
      </c>
      <c r="C572" t="s">
        <v>9378</v>
      </c>
      <c r="D572" t="s">
        <v>9378</v>
      </c>
      <c r="E572" t="s">
        <v>9378</v>
      </c>
    </row>
    <row r="573" spans="1:5" hidden="1">
      <c r="A573" t="s">
        <v>218</v>
      </c>
      <c r="B573" t="s">
        <v>10429</v>
      </c>
      <c r="C573" t="s">
        <v>9378</v>
      </c>
      <c r="D573" t="s">
        <v>9378</v>
      </c>
      <c r="E573" t="s">
        <v>9378</v>
      </c>
    </row>
    <row r="574" spans="1:5" hidden="1">
      <c r="A574" t="s">
        <v>239</v>
      </c>
      <c r="B574" t="s">
        <v>10430</v>
      </c>
      <c r="C574" t="s">
        <v>9378</v>
      </c>
      <c r="D574" t="s">
        <v>9378</v>
      </c>
      <c r="E574" t="s">
        <v>9378</v>
      </c>
    </row>
    <row r="575" spans="1:5" hidden="1">
      <c r="A575" t="s">
        <v>3</v>
      </c>
      <c r="B575" t="s">
        <v>10431</v>
      </c>
      <c r="C575" t="s">
        <v>9378</v>
      </c>
      <c r="D575" t="s">
        <v>9378</v>
      </c>
      <c r="E575" t="s">
        <v>9378</v>
      </c>
    </row>
    <row r="576" spans="1:5" hidden="1">
      <c r="A576" t="s">
        <v>10432</v>
      </c>
      <c r="B576" t="s">
        <v>10433</v>
      </c>
      <c r="C576" t="s">
        <v>9378</v>
      </c>
      <c r="D576" t="s">
        <v>9378</v>
      </c>
      <c r="E576" t="s">
        <v>9378</v>
      </c>
    </row>
    <row r="577" spans="1:5" hidden="1">
      <c r="A577" t="s">
        <v>10434</v>
      </c>
      <c r="B577" t="s">
        <v>10435</v>
      </c>
      <c r="C577" t="s">
        <v>9378</v>
      </c>
      <c r="D577" t="s">
        <v>9378</v>
      </c>
      <c r="E577" t="s">
        <v>9405</v>
      </c>
    </row>
    <row r="578" spans="1:5" hidden="1">
      <c r="A578" t="s">
        <v>10436</v>
      </c>
      <c r="B578" t="s">
        <v>10437</v>
      </c>
      <c r="C578" t="s">
        <v>9378</v>
      </c>
      <c r="D578" t="s">
        <v>9378</v>
      </c>
      <c r="E578" t="s">
        <v>9378</v>
      </c>
    </row>
    <row r="579" spans="1:5" hidden="1">
      <c r="A579" t="s">
        <v>10438</v>
      </c>
      <c r="B579" t="s">
        <v>10439</v>
      </c>
      <c r="C579" t="s">
        <v>9378</v>
      </c>
      <c r="D579" t="s">
        <v>9378</v>
      </c>
      <c r="E579" t="s">
        <v>9378</v>
      </c>
    </row>
    <row r="580" spans="1:5" hidden="1">
      <c r="A580" t="s">
        <v>10440</v>
      </c>
      <c r="B580" t="s">
        <v>10441</v>
      </c>
      <c r="C580" t="s">
        <v>9378</v>
      </c>
      <c r="D580" t="s">
        <v>9378</v>
      </c>
      <c r="E580" t="s">
        <v>9378</v>
      </c>
    </row>
    <row r="581" spans="1:5" hidden="1">
      <c r="A581" t="s">
        <v>10442</v>
      </c>
      <c r="B581" t="s">
        <v>10443</v>
      </c>
      <c r="C581" t="s">
        <v>9378</v>
      </c>
      <c r="D581" t="s">
        <v>9378</v>
      </c>
      <c r="E581" t="s">
        <v>9378</v>
      </c>
    </row>
    <row r="582" spans="1:5" hidden="1">
      <c r="A582" t="s">
        <v>10444</v>
      </c>
      <c r="B582" t="s">
        <v>10445</v>
      </c>
      <c r="C582" t="s">
        <v>9378</v>
      </c>
      <c r="D582" t="s">
        <v>9378</v>
      </c>
      <c r="E582" t="s">
        <v>9378</v>
      </c>
    </row>
    <row r="583" spans="1:5" hidden="1">
      <c r="A583" t="s">
        <v>10446</v>
      </c>
      <c r="B583" t="s">
        <v>10447</v>
      </c>
      <c r="C583" t="s">
        <v>9378</v>
      </c>
      <c r="D583" t="s">
        <v>9378</v>
      </c>
      <c r="E583" t="s">
        <v>9378</v>
      </c>
    </row>
    <row r="584" spans="1:5" hidden="1">
      <c r="A584" t="s">
        <v>10448</v>
      </c>
      <c r="B584" t="s">
        <v>10449</v>
      </c>
      <c r="C584" t="s">
        <v>9378</v>
      </c>
      <c r="D584" t="s">
        <v>9378</v>
      </c>
      <c r="E584" t="s">
        <v>9378</v>
      </c>
    </row>
    <row r="585" spans="1:5" hidden="1">
      <c r="A585" t="s">
        <v>79</v>
      </c>
      <c r="B585" t="s">
        <v>10450</v>
      </c>
      <c r="C585" t="s">
        <v>9378</v>
      </c>
      <c r="D585" t="s">
        <v>9378</v>
      </c>
      <c r="E585" t="s">
        <v>9378</v>
      </c>
    </row>
    <row r="586" spans="1:5" hidden="1">
      <c r="A586" t="s">
        <v>103</v>
      </c>
      <c r="B586" t="s">
        <v>10451</v>
      </c>
      <c r="C586" t="s">
        <v>9378</v>
      </c>
      <c r="D586" t="s">
        <v>9378</v>
      </c>
      <c r="E586" t="s">
        <v>9378</v>
      </c>
    </row>
    <row r="587" spans="1:5" hidden="1">
      <c r="A587" t="s">
        <v>317</v>
      </c>
      <c r="B587" t="s">
        <v>10452</v>
      </c>
      <c r="C587" t="s">
        <v>9378</v>
      </c>
      <c r="D587" t="s">
        <v>9378</v>
      </c>
      <c r="E587" t="s">
        <v>9378</v>
      </c>
    </row>
    <row r="588" spans="1:5" hidden="1">
      <c r="A588" t="s">
        <v>10453</v>
      </c>
      <c r="B588" t="s">
        <v>10454</v>
      </c>
      <c r="C588" t="s">
        <v>9378</v>
      </c>
      <c r="D588" t="s">
        <v>9378</v>
      </c>
      <c r="E588" t="s">
        <v>9378</v>
      </c>
    </row>
    <row r="589" spans="1:5" hidden="1">
      <c r="A589" t="s">
        <v>10455</v>
      </c>
      <c r="B589" t="s">
        <v>10456</v>
      </c>
      <c r="C589" t="s">
        <v>9378</v>
      </c>
      <c r="D589" t="s">
        <v>9378</v>
      </c>
      <c r="E589" t="s">
        <v>9378</v>
      </c>
    </row>
    <row r="590" spans="1:5" hidden="1">
      <c r="A590" t="s">
        <v>10457</v>
      </c>
      <c r="B590" t="s">
        <v>10458</v>
      </c>
      <c r="C590" t="s">
        <v>9378</v>
      </c>
      <c r="D590" t="s">
        <v>9378</v>
      </c>
      <c r="E590" t="s">
        <v>9378</v>
      </c>
    </row>
    <row r="591" spans="1:5" hidden="1">
      <c r="A591" t="s">
        <v>10459</v>
      </c>
      <c r="B591" t="s">
        <v>10460</v>
      </c>
      <c r="C591" t="s">
        <v>9378</v>
      </c>
      <c r="D591" t="s">
        <v>9378</v>
      </c>
      <c r="E591" t="s">
        <v>9378</v>
      </c>
    </row>
    <row r="592" spans="1:5" hidden="1">
      <c r="A592" t="s">
        <v>10461</v>
      </c>
      <c r="B592" t="s">
        <v>10462</v>
      </c>
      <c r="C592" t="s">
        <v>9378</v>
      </c>
      <c r="D592" t="s">
        <v>9378</v>
      </c>
      <c r="E592" t="s">
        <v>9378</v>
      </c>
    </row>
    <row r="593" spans="1:5" hidden="1">
      <c r="A593" t="s">
        <v>10463</v>
      </c>
      <c r="B593" t="s">
        <v>10464</v>
      </c>
      <c r="C593" t="s">
        <v>9378</v>
      </c>
      <c r="D593" t="s">
        <v>9378</v>
      </c>
      <c r="E593" t="s">
        <v>9378</v>
      </c>
    </row>
    <row r="594" spans="1:5" hidden="1">
      <c r="A594" t="s">
        <v>10465</v>
      </c>
      <c r="B594" t="s">
        <v>10466</v>
      </c>
      <c r="C594" t="s">
        <v>9378</v>
      </c>
      <c r="D594" t="s">
        <v>9378</v>
      </c>
      <c r="E594" t="s">
        <v>9378</v>
      </c>
    </row>
    <row r="595" spans="1:5" hidden="1">
      <c r="A595" t="s">
        <v>10467</v>
      </c>
      <c r="B595" t="s">
        <v>10468</v>
      </c>
      <c r="C595" t="s">
        <v>9378</v>
      </c>
      <c r="D595" t="s">
        <v>9378</v>
      </c>
      <c r="E595" t="s">
        <v>9378</v>
      </c>
    </row>
    <row r="596" spans="1:5" hidden="1">
      <c r="A596" t="s">
        <v>10469</v>
      </c>
      <c r="B596" t="s">
        <v>10470</v>
      </c>
      <c r="C596" t="s">
        <v>9378</v>
      </c>
      <c r="D596" t="s">
        <v>9378</v>
      </c>
      <c r="E596" t="s">
        <v>9378</v>
      </c>
    </row>
    <row r="597" spans="1:5" hidden="1">
      <c r="A597" t="s">
        <v>10471</v>
      </c>
      <c r="B597" t="s">
        <v>10472</v>
      </c>
      <c r="C597" t="s">
        <v>9378</v>
      </c>
      <c r="D597" t="s">
        <v>9378</v>
      </c>
      <c r="E597" t="s">
        <v>9378</v>
      </c>
    </row>
    <row r="598" spans="1:5" hidden="1">
      <c r="A598" t="s">
        <v>10473</v>
      </c>
      <c r="B598" t="s">
        <v>10474</v>
      </c>
      <c r="C598" t="s">
        <v>9378</v>
      </c>
      <c r="D598" t="s">
        <v>9378</v>
      </c>
      <c r="E598" t="s">
        <v>9378</v>
      </c>
    </row>
    <row r="599" spans="1:5" hidden="1">
      <c r="A599" t="s">
        <v>10475</v>
      </c>
      <c r="B599" t="s">
        <v>10476</v>
      </c>
      <c r="C599" t="s">
        <v>9378</v>
      </c>
      <c r="D599" t="s">
        <v>9378</v>
      </c>
      <c r="E599" t="s">
        <v>9378</v>
      </c>
    </row>
    <row r="600" spans="1:5" hidden="1">
      <c r="A600" t="s">
        <v>10477</v>
      </c>
      <c r="B600" t="s">
        <v>10478</v>
      </c>
      <c r="C600" t="s">
        <v>9378</v>
      </c>
      <c r="D600" t="s">
        <v>9378</v>
      </c>
      <c r="E600" t="s">
        <v>9378</v>
      </c>
    </row>
    <row r="601" spans="1:5" hidden="1">
      <c r="A601" t="s">
        <v>10479</v>
      </c>
      <c r="B601" t="s">
        <v>10480</v>
      </c>
      <c r="C601" t="s">
        <v>9378</v>
      </c>
      <c r="D601" t="s">
        <v>9378</v>
      </c>
      <c r="E601" t="s">
        <v>9378</v>
      </c>
    </row>
    <row r="602" spans="1:5" hidden="1">
      <c r="A602" t="s">
        <v>10481</v>
      </c>
      <c r="B602" t="s">
        <v>10482</v>
      </c>
      <c r="C602" t="s">
        <v>9378</v>
      </c>
      <c r="D602" t="s">
        <v>9378</v>
      </c>
      <c r="E602" t="s">
        <v>9378</v>
      </c>
    </row>
    <row r="603" spans="1:5" hidden="1">
      <c r="A603" t="s">
        <v>10483</v>
      </c>
      <c r="B603" t="s">
        <v>10484</v>
      </c>
      <c r="C603" t="s">
        <v>9378</v>
      </c>
      <c r="D603" t="s">
        <v>9378</v>
      </c>
      <c r="E603" t="s">
        <v>9378</v>
      </c>
    </row>
    <row r="604" spans="1:5" hidden="1">
      <c r="A604" t="s">
        <v>10485</v>
      </c>
      <c r="B604" t="s">
        <v>10486</v>
      </c>
      <c r="C604" t="s">
        <v>9378</v>
      </c>
      <c r="D604" t="s">
        <v>9378</v>
      </c>
      <c r="E604" t="s">
        <v>9378</v>
      </c>
    </row>
    <row r="605" spans="1:5" hidden="1">
      <c r="A605" t="s">
        <v>10487</v>
      </c>
      <c r="B605" t="s">
        <v>10488</v>
      </c>
      <c r="C605" t="s">
        <v>9378</v>
      </c>
      <c r="D605" t="s">
        <v>9378</v>
      </c>
      <c r="E605" t="s">
        <v>9378</v>
      </c>
    </row>
    <row r="606" spans="1:5" hidden="1">
      <c r="A606" t="s">
        <v>10489</v>
      </c>
      <c r="B606" t="s">
        <v>10490</v>
      </c>
      <c r="C606" t="s">
        <v>9378</v>
      </c>
      <c r="D606" t="s">
        <v>9378</v>
      </c>
      <c r="E606" t="s">
        <v>9378</v>
      </c>
    </row>
    <row r="607" spans="1:5" hidden="1">
      <c r="A607" t="s">
        <v>302</v>
      </c>
      <c r="B607" t="s">
        <v>303</v>
      </c>
      <c r="C607" t="s">
        <v>9378</v>
      </c>
      <c r="D607" t="s">
        <v>9378</v>
      </c>
      <c r="E607" t="s">
        <v>9378</v>
      </c>
    </row>
    <row r="608" spans="1:5" hidden="1">
      <c r="A608" t="s">
        <v>10491</v>
      </c>
      <c r="B608" t="s">
        <v>10492</v>
      </c>
      <c r="C608" t="s">
        <v>9378</v>
      </c>
      <c r="D608" t="s">
        <v>9378</v>
      </c>
      <c r="E608" t="s">
        <v>9378</v>
      </c>
    </row>
    <row r="609" spans="1:5" hidden="1">
      <c r="A609" t="s">
        <v>10493</v>
      </c>
      <c r="B609" t="s">
        <v>10494</v>
      </c>
      <c r="C609" t="s">
        <v>9378</v>
      </c>
      <c r="D609" t="s">
        <v>9378</v>
      </c>
      <c r="E609" t="s">
        <v>9378</v>
      </c>
    </row>
    <row r="610" spans="1:5" hidden="1">
      <c r="A610" t="s">
        <v>10495</v>
      </c>
      <c r="B610" t="s">
        <v>10496</v>
      </c>
      <c r="C610" t="s">
        <v>9378</v>
      </c>
      <c r="D610" t="s">
        <v>9378</v>
      </c>
      <c r="E610" t="s">
        <v>9378</v>
      </c>
    </row>
    <row r="611" spans="1:5" hidden="1">
      <c r="A611" t="s">
        <v>112</v>
      </c>
      <c r="B611" t="s">
        <v>113</v>
      </c>
      <c r="C611" t="s">
        <v>9378</v>
      </c>
      <c r="D611" t="s">
        <v>9378</v>
      </c>
      <c r="E611" t="s">
        <v>9378</v>
      </c>
    </row>
    <row r="612" spans="1:5" hidden="1">
      <c r="A612" t="s">
        <v>281</v>
      </c>
      <c r="B612" t="s">
        <v>282</v>
      </c>
      <c r="C612" t="s">
        <v>9378</v>
      </c>
      <c r="D612" t="s">
        <v>9378</v>
      </c>
      <c r="E612" t="s">
        <v>9378</v>
      </c>
    </row>
    <row r="613" spans="1:5" hidden="1">
      <c r="A613" t="s">
        <v>290</v>
      </c>
      <c r="B613" t="s">
        <v>10497</v>
      </c>
      <c r="C613" t="s">
        <v>9378</v>
      </c>
      <c r="D613" t="s">
        <v>9378</v>
      </c>
      <c r="E613" t="s">
        <v>9378</v>
      </c>
    </row>
    <row r="614" spans="1:5" hidden="1">
      <c r="A614" t="s">
        <v>97</v>
      </c>
      <c r="B614" t="s">
        <v>98</v>
      </c>
      <c r="C614" t="s">
        <v>9378</v>
      </c>
      <c r="D614" t="s">
        <v>9378</v>
      </c>
      <c r="E614" t="s">
        <v>9378</v>
      </c>
    </row>
    <row r="615" spans="1:5" hidden="1">
      <c r="A615" t="s">
        <v>10498</v>
      </c>
      <c r="B615" t="s">
        <v>10499</v>
      </c>
      <c r="C615" t="s">
        <v>9378</v>
      </c>
      <c r="D615" t="s">
        <v>9378</v>
      </c>
      <c r="E615" t="s">
        <v>9378</v>
      </c>
    </row>
    <row r="616" spans="1:5" hidden="1">
      <c r="A616" t="s">
        <v>10</v>
      </c>
      <c r="B616" t="s">
        <v>11</v>
      </c>
      <c r="C616" t="s">
        <v>9378</v>
      </c>
      <c r="D616" t="s">
        <v>9378</v>
      </c>
      <c r="E616" t="s">
        <v>9378</v>
      </c>
    </row>
    <row r="617" spans="1:5" hidden="1">
      <c r="A617" t="s">
        <v>7</v>
      </c>
      <c r="B617" t="s">
        <v>10500</v>
      </c>
      <c r="C617" t="s">
        <v>9378</v>
      </c>
      <c r="D617" t="s">
        <v>9378</v>
      </c>
      <c r="E617" t="s">
        <v>9378</v>
      </c>
    </row>
    <row r="618" spans="1:5" hidden="1">
      <c r="A618" t="s">
        <v>10501</v>
      </c>
      <c r="B618" t="s">
        <v>10502</v>
      </c>
      <c r="C618" t="s">
        <v>9378</v>
      </c>
      <c r="D618" t="s">
        <v>9378</v>
      </c>
      <c r="E618" t="s">
        <v>9378</v>
      </c>
    </row>
    <row r="619" spans="1:5" hidden="1">
      <c r="A619" t="s">
        <v>10503</v>
      </c>
      <c r="B619" t="s">
        <v>10504</v>
      </c>
      <c r="C619" t="s">
        <v>9378</v>
      </c>
      <c r="D619" t="s">
        <v>9378</v>
      </c>
      <c r="E619" t="s">
        <v>9378</v>
      </c>
    </row>
    <row r="620" spans="1:5" hidden="1">
      <c r="A620" t="s">
        <v>10505</v>
      </c>
      <c r="B620" t="s">
        <v>10506</v>
      </c>
      <c r="C620" t="s">
        <v>9378</v>
      </c>
      <c r="D620" t="s">
        <v>9378</v>
      </c>
      <c r="E620" t="s">
        <v>9378</v>
      </c>
    </row>
    <row r="621" spans="1:5" hidden="1">
      <c r="A621" t="s">
        <v>10507</v>
      </c>
      <c r="B621" t="s">
        <v>10508</v>
      </c>
      <c r="C621" t="s">
        <v>9378</v>
      </c>
      <c r="D621" t="s">
        <v>9378</v>
      </c>
      <c r="E621" t="s">
        <v>9378</v>
      </c>
    </row>
    <row r="622" spans="1:5" hidden="1">
      <c r="A622" t="s">
        <v>133</v>
      </c>
      <c r="B622" t="s">
        <v>134</v>
      </c>
      <c r="C622" t="s">
        <v>9378</v>
      </c>
      <c r="D622" t="s">
        <v>9378</v>
      </c>
      <c r="E622" t="s">
        <v>9378</v>
      </c>
    </row>
    <row r="623" spans="1:5" hidden="1">
      <c r="A623" t="s">
        <v>10509</v>
      </c>
      <c r="B623" t="s">
        <v>10510</v>
      </c>
      <c r="C623" t="s">
        <v>9378</v>
      </c>
      <c r="D623" t="s">
        <v>9378</v>
      </c>
      <c r="E623" t="s">
        <v>9378</v>
      </c>
    </row>
    <row r="624" spans="1:5" hidden="1">
      <c r="A624" t="s">
        <v>10511</v>
      </c>
      <c r="B624" t="s">
        <v>10512</v>
      </c>
      <c r="C624" t="s">
        <v>9378</v>
      </c>
      <c r="D624" t="s">
        <v>9378</v>
      </c>
      <c r="E624" t="s">
        <v>9378</v>
      </c>
    </row>
    <row r="625" spans="1:5" hidden="1">
      <c r="A625" t="s">
        <v>10513</v>
      </c>
      <c r="B625" t="s">
        <v>10514</v>
      </c>
      <c r="C625" t="s">
        <v>9378</v>
      </c>
      <c r="D625" t="s">
        <v>9378</v>
      </c>
      <c r="E625" t="s">
        <v>9378</v>
      </c>
    </row>
    <row r="626" spans="1:5" hidden="1">
      <c r="A626" t="s">
        <v>10515</v>
      </c>
      <c r="B626" t="s">
        <v>10516</v>
      </c>
      <c r="C626" t="s">
        <v>9378</v>
      </c>
      <c r="D626" t="s">
        <v>9378</v>
      </c>
      <c r="E626" t="s">
        <v>9378</v>
      </c>
    </row>
    <row r="627" spans="1:5" hidden="1">
      <c r="A627" t="s">
        <v>10517</v>
      </c>
      <c r="B627" t="s">
        <v>10518</v>
      </c>
      <c r="C627" t="s">
        <v>9378</v>
      </c>
      <c r="D627" t="s">
        <v>9378</v>
      </c>
      <c r="E627" t="s">
        <v>9378</v>
      </c>
    </row>
    <row r="628" spans="1:5" hidden="1">
      <c r="A628" t="s">
        <v>10519</v>
      </c>
      <c r="B628" t="s">
        <v>10520</v>
      </c>
      <c r="C628" t="s">
        <v>9378</v>
      </c>
      <c r="D628" t="s">
        <v>9378</v>
      </c>
      <c r="E628" t="s">
        <v>9378</v>
      </c>
    </row>
    <row r="629" spans="1:5" hidden="1">
      <c r="A629" t="s">
        <v>10521</v>
      </c>
      <c r="B629" t="s">
        <v>10522</v>
      </c>
      <c r="C629" t="s">
        <v>9378</v>
      </c>
      <c r="D629" t="s">
        <v>9378</v>
      </c>
      <c r="E629" t="s">
        <v>9378</v>
      </c>
    </row>
    <row r="630" spans="1:5" hidden="1">
      <c r="A630" t="s">
        <v>257</v>
      </c>
      <c r="B630" t="s">
        <v>10523</v>
      </c>
      <c r="C630" t="s">
        <v>9378</v>
      </c>
      <c r="D630" t="s">
        <v>9378</v>
      </c>
      <c r="E630" t="s">
        <v>9378</v>
      </c>
    </row>
    <row r="631" spans="1:5" hidden="1">
      <c r="A631" t="s">
        <v>221</v>
      </c>
      <c r="B631" t="s">
        <v>10524</v>
      </c>
      <c r="C631" t="s">
        <v>9378</v>
      </c>
      <c r="D631" t="s">
        <v>9378</v>
      </c>
      <c r="E631" t="s">
        <v>9378</v>
      </c>
    </row>
    <row r="632" spans="1:5" hidden="1">
      <c r="A632" t="s">
        <v>10525</v>
      </c>
      <c r="B632" t="s">
        <v>10526</v>
      </c>
      <c r="C632" t="s">
        <v>9378</v>
      </c>
      <c r="D632" t="s">
        <v>9378</v>
      </c>
      <c r="E632" t="s">
        <v>9378</v>
      </c>
    </row>
    <row r="633" spans="1:5" hidden="1">
      <c r="A633" t="s">
        <v>10527</v>
      </c>
      <c r="B633" t="s">
        <v>10528</v>
      </c>
      <c r="C633" t="s">
        <v>9378</v>
      </c>
      <c r="D633" t="s">
        <v>9378</v>
      </c>
      <c r="E633" t="s">
        <v>9378</v>
      </c>
    </row>
    <row r="634" spans="1:5" hidden="1">
      <c r="A634" t="s">
        <v>10529</v>
      </c>
      <c r="B634" t="s">
        <v>10530</v>
      </c>
      <c r="C634" t="s">
        <v>9378</v>
      </c>
      <c r="D634" t="s">
        <v>9378</v>
      </c>
      <c r="E634" t="s">
        <v>9378</v>
      </c>
    </row>
    <row r="635" spans="1:5" hidden="1">
      <c r="A635" t="s">
        <v>10531</v>
      </c>
      <c r="B635" t="s">
        <v>10532</v>
      </c>
      <c r="C635" t="s">
        <v>9378</v>
      </c>
      <c r="D635" t="s">
        <v>9378</v>
      </c>
      <c r="E635" t="s">
        <v>9378</v>
      </c>
    </row>
    <row r="636" spans="1:5" hidden="1">
      <c r="A636" t="s">
        <v>10533</v>
      </c>
      <c r="B636" t="s">
        <v>10534</v>
      </c>
      <c r="C636" t="s">
        <v>9378</v>
      </c>
      <c r="D636" t="s">
        <v>9378</v>
      </c>
      <c r="E636" t="s">
        <v>9378</v>
      </c>
    </row>
    <row r="637" spans="1:5" hidden="1">
      <c r="A637" t="s">
        <v>46</v>
      </c>
      <c r="B637" t="s">
        <v>10535</v>
      </c>
      <c r="C637" t="s">
        <v>9378</v>
      </c>
      <c r="D637" t="s">
        <v>9378</v>
      </c>
      <c r="E637" t="s">
        <v>9378</v>
      </c>
    </row>
    <row r="638" spans="1:5" hidden="1">
      <c r="A638" t="s">
        <v>76</v>
      </c>
      <c r="B638" t="s">
        <v>10536</v>
      </c>
      <c r="C638" t="s">
        <v>9378</v>
      </c>
      <c r="D638" t="s">
        <v>9378</v>
      </c>
      <c r="E638" t="s">
        <v>9378</v>
      </c>
    </row>
    <row r="639" spans="1:5" hidden="1">
      <c r="A639" t="s">
        <v>55</v>
      </c>
      <c r="B639" t="s">
        <v>10537</v>
      </c>
      <c r="C639" t="s">
        <v>9378</v>
      </c>
      <c r="D639" t="s">
        <v>9378</v>
      </c>
      <c r="E639" t="s">
        <v>9378</v>
      </c>
    </row>
    <row r="640" spans="1:5" hidden="1">
      <c r="A640" t="s">
        <v>127</v>
      </c>
      <c r="B640" t="s">
        <v>128</v>
      </c>
      <c r="C640" t="s">
        <v>9378</v>
      </c>
      <c r="D640" t="s">
        <v>9378</v>
      </c>
      <c r="E640" t="s">
        <v>9378</v>
      </c>
    </row>
    <row r="641" spans="1:5" hidden="1">
      <c r="A641" t="s">
        <v>10538</v>
      </c>
      <c r="B641" t="s">
        <v>10539</v>
      </c>
      <c r="C641" t="s">
        <v>9378</v>
      </c>
      <c r="D641" t="s">
        <v>9378</v>
      </c>
      <c r="E641" t="s">
        <v>9378</v>
      </c>
    </row>
    <row r="642" spans="1:5" hidden="1">
      <c r="A642" t="s">
        <v>10540</v>
      </c>
      <c r="B642" t="s">
        <v>10541</v>
      </c>
      <c r="C642" t="s">
        <v>9378</v>
      </c>
      <c r="D642" t="s">
        <v>9378</v>
      </c>
      <c r="E642" t="s">
        <v>9378</v>
      </c>
    </row>
    <row r="643" spans="1:5">
      <c r="A643" t="s">
        <v>10542</v>
      </c>
      <c r="B643" t="s">
        <v>10543</v>
      </c>
      <c r="C643" t="s">
        <v>9369</v>
      </c>
      <c r="D643" t="s">
        <v>9369</v>
      </c>
      <c r="E643" t="s">
        <v>9369</v>
      </c>
    </row>
    <row r="644" spans="1:5" hidden="1">
      <c r="A644" t="s">
        <v>10544</v>
      </c>
      <c r="B644" t="s">
        <v>10545</v>
      </c>
      <c r="C644" t="s">
        <v>9378</v>
      </c>
      <c r="D644" t="s">
        <v>9378</v>
      </c>
      <c r="E644" t="s">
        <v>9378</v>
      </c>
    </row>
    <row r="645" spans="1:5" hidden="1">
      <c r="A645" t="s">
        <v>341</v>
      </c>
      <c r="B645" t="s">
        <v>508</v>
      </c>
      <c r="C645" t="s">
        <v>9378</v>
      </c>
      <c r="D645" t="s">
        <v>9378</v>
      </c>
      <c r="E645" t="s">
        <v>9405</v>
      </c>
    </row>
    <row r="646" spans="1:5" hidden="1">
      <c r="A646" t="s">
        <v>10546</v>
      </c>
      <c r="B646" t="s">
        <v>10547</v>
      </c>
      <c r="C646" t="s">
        <v>9378</v>
      </c>
      <c r="D646" t="s">
        <v>9378</v>
      </c>
      <c r="E646" t="s">
        <v>9378</v>
      </c>
    </row>
    <row r="647" spans="1:5" hidden="1">
      <c r="A647" t="s">
        <v>10548</v>
      </c>
      <c r="B647" t="s">
        <v>10549</v>
      </c>
      <c r="C647" t="s">
        <v>9378</v>
      </c>
      <c r="D647" t="s">
        <v>9378</v>
      </c>
      <c r="E647" t="s">
        <v>9378</v>
      </c>
    </row>
    <row r="648" spans="1:5" hidden="1">
      <c r="A648" t="s">
        <v>70</v>
      </c>
      <c r="B648" t="s">
        <v>10550</v>
      </c>
      <c r="C648" t="s">
        <v>9378</v>
      </c>
      <c r="D648" t="s">
        <v>9378</v>
      </c>
      <c r="E648" t="s">
        <v>9378</v>
      </c>
    </row>
    <row r="649" spans="1:5" hidden="1">
      <c r="A649" t="s">
        <v>100</v>
      </c>
      <c r="B649" t="s">
        <v>10551</v>
      </c>
      <c r="C649" t="s">
        <v>9378</v>
      </c>
      <c r="D649" t="s">
        <v>9378</v>
      </c>
      <c r="E649" t="s">
        <v>9378</v>
      </c>
    </row>
    <row r="650" spans="1:5" hidden="1">
      <c r="A650" t="s">
        <v>130</v>
      </c>
      <c r="B650" t="s">
        <v>10552</v>
      </c>
      <c r="C650" t="s">
        <v>9378</v>
      </c>
      <c r="D650" t="s">
        <v>9378</v>
      </c>
      <c r="E650" t="s">
        <v>9378</v>
      </c>
    </row>
    <row r="651" spans="1:5" hidden="1">
      <c r="A651" t="s">
        <v>10553</v>
      </c>
      <c r="B651" t="s">
        <v>10554</v>
      </c>
      <c r="C651" t="s">
        <v>9378</v>
      </c>
      <c r="D651" t="s">
        <v>9378</v>
      </c>
      <c r="E651" t="s">
        <v>9378</v>
      </c>
    </row>
    <row r="652" spans="1:5" hidden="1">
      <c r="A652" t="s">
        <v>10555</v>
      </c>
      <c r="B652" t="s">
        <v>10556</v>
      </c>
      <c r="C652" t="s">
        <v>9378</v>
      </c>
      <c r="D652" t="s">
        <v>9378</v>
      </c>
      <c r="E652" t="s">
        <v>9378</v>
      </c>
    </row>
    <row r="653" spans="1:5" hidden="1">
      <c r="A653" t="s">
        <v>10557</v>
      </c>
      <c r="B653" t="s">
        <v>10558</v>
      </c>
      <c r="C653" t="s">
        <v>9378</v>
      </c>
      <c r="D653" t="s">
        <v>9378</v>
      </c>
      <c r="E653" t="s">
        <v>9378</v>
      </c>
    </row>
    <row r="654" spans="1:5" hidden="1">
      <c r="A654" t="s">
        <v>10559</v>
      </c>
      <c r="B654" t="s">
        <v>10560</v>
      </c>
      <c r="C654" t="s">
        <v>9378</v>
      </c>
      <c r="D654" t="s">
        <v>9378</v>
      </c>
      <c r="E654" t="s">
        <v>9378</v>
      </c>
    </row>
    <row r="655" spans="1:5" hidden="1">
      <c r="A655" t="s">
        <v>10561</v>
      </c>
      <c r="B655" t="s">
        <v>10562</v>
      </c>
      <c r="C655" t="s">
        <v>9378</v>
      </c>
      <c r="D655" t="s">
        <v>9378</v>
      </c>
      <c r="E655" t="s">
        <v>9378</v>
      </c>
    </row>
    <row r="656" spans="1:5" hidden="1">
      <c r="A656" t="s">
        <v>10563</v>
      </c>
      <c r="B656" t="s">
        <v>10564</v>
      </c>
      <c r="C656" t="s">
        <v>9378</v>
      </c>
      <c r="D656" t="s">
        <v>9378</v>
      </c>
      <c r="E656" t="s">
        <v>9378</v>
      </c>
    </row>
    <row r="657" spans="1:5" hidden="1">
      <c r="A657" t="s">
        <v>136</v>
      </c>
      <c r="B657" t="s">
        <v>137</v>
      </c>
      <c r="C657" t="s">
        <v>9378</v>
      </c>
      <c r="D657" t="s">
        <v>9378</v>
      </c>
      <c r="E657" t="s">
        <v>9405</v>
      </c>
    </row>
    <row r="658" spans="1:5" hidden="1">
      <c r="A658" t="s">
        <v>305</v>
      </c>
      <c r="B658" t="s">
        <v>306</v>
      </c>
      <c r="C658" t="s">
        <v>9378</v>
      </c>
      <c r="D658" t="s">
        <v>9378</v>
      </c>
      <c r="E658" t="s">
        <v>9405</v>
      </c>
    </row>
    <row r="659" spans="1:5" hidden="1">
      <c r="A659" t="s">
        <v>10565</v>
      </c>
      <c r="B659" t="s">
        <v>10566</v>
      </c>
      <c r="C659" t="s">
        <v>9378</v>
      </c>
      <c r="D659" t="s">
        <v>9378</v>
      </c>
      <c r="E659" t="s">
        <v>9405</v>
      </c>
    </row>
    <row r="660" spans="1:5" hidden="1">
      <c r="A660" t="s">
        <v>10567</v>
      </c>
      <c r="B660" t="s">
        <v>10568</v>
      </c>
      <c r="C660" t="s">
        <v>9378</v>
      </c>
      <c r="D660" t="s">
        <v>9378</v>
      </c>
      <c r="E660" t="s">
        <v>9378</v>
      </c>
    </row>
    <row r="661" spans="1:5" hidden="1">
      <c r="A661" t="s">
        <v>10569</v>
      </c>
      <c r="B661" t="s">
        <v>10570</v>
      </c>
      <c r="C661" t="s">
        <v>9378</v>
      </c>
      <c r="D661" t="s">
        <v>9378</v>
      </c>
      <c r="E661" t="s">
        <v>9378</v>
      </c>
    </row>
    <row r="662" spans="1:5" hidden="1">
      <c r="A662" t="s">
        <v>10571</v>
      </c>
      <c r="B662" t="s">
        <v>10572</v>
      </c>
      <c r="C662" t="s">
        <v>9378</v>
      </c>
      <c r="D662" t="s">
        <v>9378</v>
      </c>
      <c r="E662" t="s">
        <v>9378</v>
      </c>
    </row>
    <row r="663" spans="1:5" hidden="1">
      <c r="A663" t="s">
        <v>10573</v>
      </c>
      <c r="B663" t="s">
        <v>10574</v>
      </c>
      <c r="C663" t="s">
        <v>9378</v>
      </c>
      <c r="D663" t="s">
        <v>9378</v>
      </c>
      <c r="E663" t="s">
        <v>9378</v>
      </c>
    </row>
    <row r="664" spans="1:5" hidden="1">
      <c r="A664" t="s">
        <v>10575</v>
      </c>
      <c r="B664" t="s">
        <v>10576</v>
      </c>
      <c r="C664" t="s">
        <v>9378</v>
      </c>
      <c r="D664" t="s">
        <v>9378</v>
      </c>
      <c r="E664" t="s">
        <v>9378</v>
      </c>
    </row>
    <row r="665" spans="1:5" hidden="1">
      <c r="A665" t="s">
        <v>275</v>
      </c>
      <c r="B665" t="s">
        <v>276</v>
      </c>
      <c r="C665" t="s">
        <v>9378</v>
      </c>
      <c r="D665" t="s">
        <v>9378</v>
      </c>
      <c r="E665" t="s">
        <v>9378</v>
      </c>
    </row>
    <row r="666" spans="1:5" hidden="1">
      <c r="A666" t="s">
        <v>254</v>
      </c>
      <c r="B666" t="s">
        <v>255</v>
      </c>
      <c r="C666" t="s">
        <v>9378</v>
      </c>
      <c r="D666" t="s">
        <v>9378</v>
      </c>
      <c r="E666" t="s">
        <v>9378</v>
      </c>
    </row>
    <row r="667" spans="1:5" hidden="1">
      <c r="A667" t="s">
        <v>121</v>
      </c>
      <c r="B667" t="s">
        <v>122</v>
      </c>
      <c r="C667" t="s">
        <v>9378</v>
      </c>
      <c r="D667" t="s">
        <v>9378</v>
      </c>
      <c r="E667" t="s">
        <v>9378</v>
      </c>
    </row>
    <row r="668" spans="1:5" hidden="1">
      <c r="A668" t="s">
        <v>263</v>
      </c>
      <c r="B668" t="s">
        <v>264</v>
      </c>
      <c r="C668" t="s">
        <v>9378</v>
      </c>
      <c r="D668" t="s">
        <v>9378</v>
      </c>
      <c r="E668" t="s">
        <v>9378</v>
      </c>
    </row>
    <row r="669" spans="1:5" hidden="1">
      <c r="A669" t="s">
        <v>296</v>
      </c>
      <c r="B669" t="s">
        <v>297</v>
      </c>
      <c r="C669" t="s">
        <v>9378</v>
      </c>
      <c r="D669" t="s">
        <v>9378</v>
      </c>
      <c r="E669" t="s">
        <v>9378</v>
      </c>
    </row>
    <row r="670" spans="1:5" hidden="1">
      <c r="A670" t="s">
        <v>314</v>
      </c>
      <c r="B670" t="s">
        <v>315</v>
      </c>
      <c r="C670" t="s">
        <v>9378</v>
      </c>
      <c r="D670" t="s">
        <v>9378</v>
      </c>
      <c r="E670" t="s">
        <v>9378</v>
      </c>
    </row>
    <row r="671" spans="1:5" hidden="1">
      <c r="A671" t="s">
        <v>278</v>
      </c>
      <c r="B671" t="s">
        <v>279</v>
      </c>
      <c r="C671" t="s">
        <v>9378</v>
      </c>
      <c r="D671" t="s">
        <v>9378</v>
      </c>
      <c r="E671" t="s">
        <v>9378</v>
      </c>
    </row>
    <row r="672" spans="1:5" hidden="1">
      <c r="A672" t="s">
        <v>323</v>
      </c>
      <c r="B672" t="s">
        <v>324</v>
      </c>
      <c r="C672" t="s">
        <v>9378</v>
      </c>
      <c r="D672" t="s">
        <v>9378</v>
      </c>
      <c r="E672" t="s">
        <v>9378</v>
      </c>
    </row>
    <row r="673" spans="1:5" hidden="1">
      <c r="A673" t="s">
        <v>10577</v>
      </c>
      <c r="B673" t="s">
        <v>10578</v>
      </c>
      <c r="C673" t="s">
        <v>9378</v>
      </c>
      <c r="D673" t="s">
        <v>9378</v>
      </c>
      <c r="E673" t="s">
        <v>9378</v>
      </c>
    </row>
    <row r="674" spans="1:5" hidden="1">
      <c r="A674" t="s">
        <v>139</v>
      </c>
      <c r="B674" t="s">
        <v>10579</v>
      </c>
      <c r="C674" t="s">
        <v>9378</v>
      </c>
      <c r="D674" t="s">
        <v>9378</v>
      </c>
      <c r="E674" t="s">
        <v>9353</v>
      </c>
    </row>
    <row r="675" spans="1:5" hidden="1">
      <c r="A675" t="s">
        <v>10580</v>
      </c>
      <c r="B675" t="s">
        <v>10581</v>
      </c>
      <c r="C675" t="s">
        <v>9378</v>
      </c>
      <c r="D675" t="s">
        <v>9378</v>
      </c>
      <c r="E675" t="s">
        <v>9378</v>
      </c>
    </row>
    <row r="676" spans="1:5" hidden="1">
      <c r="A676" t="s">
        <v>10582</v>
      </c>
      <c r="B676" t="s">
        <v>10583</v>
      </c>
      <c r="C676" t="s">
        <v>9378</v>
      </c>
      <c r="D676" t="s">
        <v>9378</v>
      </c>
      <c r="E676" t="s">
        <v>9378</v>
      </c>
    </row>
    <row r="677" spans="1:5" hidden="1">
      <c r="A677" t="s">
        <v>10584</v>
      </c>
      <c r="B677" t="s">
        <v>10585</v>
      </c>
      <c r="C677" t="s">
        <v>9378</v>
      </c>
      <c r="D677" t="s">
        <v>9378</v>
      </c>
      <c r="E677" t="s">
        <v>9378</v>
      </c>
    </row>
    <row r="678" spans="1:5" hidden="1">
      <c r="A678" t="s">
        <v>10586</v>
      </c>
      <c r="B678" t="s">
        <v>10587</v>
      </c>
      <c r="C678" t="s">
        <v>9378</v>
      </c>
      <c r="D678" t="s">
        <v>9378</v>
      </c>
      <c r="E678" t="s">
        <v>9378</v>
      </c>
    </row>
    <row r="679" spans="1:5" hidden="1">
      <c r="A679" t="s">
        <v>10588</v>
      </c>
      <c r="B679" t="s">
        <v>10589</v>
      </c>
      <c r="C679" t="s">
        <v>9378</v>
      </c>
      <c r="D679" t="s">
        <v>9378</v>
      </c>
      <c r="E679" t="s">
        <v>9378</v>
      </c>
    </row>
    <row r="680" spans="1:5" hidden="1">
      <c r="A680" t="s">
        <v>10590</v>
      </c>
      <c r="B680" t="s">
        <v>10591</v>
      </c>
      <c r="C680" t="s">
        <v>9378</v>
      </c>
      <c r="D680" t="s">
        <v>9378</v>
      </c>
      <c r="E680" t="s">
        <v>9378</v>
      </c>
    </row>
    <row r="681" spans="1:5" hidden="1">
      <c r="A681" t="s">
        <v>10592</v>
      </c>
      <c r="B681" t="s">
        <v>10593</v>
      </c>
      <c r="C681" t="s">
        <v>9378</v>
      </c>
      <c r="D681" t="s">
        <v>9378</v>
      </c>
      <c r="E681" t="s">
        <v>9378</v>
      </c>
    </row>
    <row r="682" spans="1:5" hidden="1">
      <c r="A682" t="s">
        <v>10594</v>
      </c>
      <c r="B682" t="s">
        <v>10595</v>
      </c>
      <c r="C682" t="s">
        <v>9378</v>
      </c>
      <c r="D682" t="s">
        <v>9378</v>
      </c>
      <c r="E682" t="s">
        <v>9378</v>
      </c>
    </row>
    <row r="683" spans="1:5">
      <c r="A683" t="s">
        <v>10596</v>
      </c>
      <c r="B683" t="s">
        <v>10597</v>
      </c>
      <c r="C683" t="s">
        <v>9369</v>
      </c>
      <c r="D683" t="s">
        <v>9369</v>
      </c>
      <c r="E683" t="s">
        <v>9369</v>
      </c>
    </row>
    <row r="684" spans="1:5" hidden="1">
      <c r="A684" t="s">
        <v>10598</v>
      </c>
      <c r="B684" t="s">
        <v>10599</v>
      </c>
      <c r="C684" t="s">
        <v>9378</v>
      </c>
      <c r="D684" t="s">
        <v>9378</v>
      </c>
      <c r="E684" t="s">
        <v>9378</v>
      </c>
    </row>
    <row r="685" spans="1:5">
      <c r="A685" t="s">
        <v>10600</v>
      </c>
      <c r="B685" t="s">
        <v>10601</v>
      </c>
      <c r="C685" t="s">
        <v>9369</v>
      </c>
      <c r="D685" t="s">
        <v>9369</v>
      </c>
      <c r="E685" t="s">
        <v>9369</v>
      </c>
    </row>
    <row r="686" spans="1:5" hidden="1">
      <c r="A686" t="s">
        <v>10602</v>
      </c>
      <c r="B686" t="s">
        <v>10603</v>
      </c>
      <c r="C686" t="s">
        <v>9378</v>
      </c>
      <c r="D686" t="s">
        <v>9378</v>
      </c>
      <c r="E686" t="s">
        <v>9378</v>
      </c>
    </row>
    <row r="687" spans="1:5" hidden="1">
      <c r="A687" t="s">
        <v>16</v>
      </c>
      <c r="B687" t="s">
        <v>17</v>
      </c>
      <c r="C687" t="s">
        <v>9378</v>
      </c>
      <c r="D687" t="s">
        <v>9378</v>
      </c>
      <c r="E687" t="s">
        <v>9378</v>
      </c>
    </row>
    <row r="688" spans="1:5" hidden="1">
      <c r="A688" t="s">
        <v>22</v>
      </c>
      <c r="B688" t="s">
        <v>23</v>
      </c>
      <c r="C688" t="s">
        <v>9378</v>
      </c>
      <c r="D688" t="s">
        <v>9378</v>
      </c>
      <c r="E688" t="s">
        <v>9378</v>
      </c>
    </row>
    <row r="689" spans="1:5" hidden="1">
      <c r="A689" t="s">
        <v>13</v>
      </c>
      <c r="B689" t="s">
        <v>14</v>
      </c>
      <c r="C689" t="s">
        <v>9378</v>
      </c>
      <c r="D689" t="s">
        <v>9378</v>
      </c>
      <c r="E689" t="s">
        <v>9378</v>
      </c>
    </row>
    <row r="690" spans="1:5" hidden="1">
      <c r="A690" t="s">
        <v>19</v>
      </c>
      <c r="B690" t="s">
        <v>20</v>
      </c>
      <c r="C690" t="s">
        <v>9378</v>
      </c>
      <c r="D690" t="s">
        <v>9378</v>
      </c>
      <c r="E690" t="s">
        <v>9378</v>
      </c>
    </row>
    <row r="691" spans="1:5" hidden="1">
      <c r="A691" t="s">
        <v>10604</v>
      </c>
      <c r="B691" t="s">
        <v>10605</v>
      </c>
      <c r="C691" t="s">
        <v>9378</v>
      </c>
      <c r="D691" t="s">
        <v>9378</v>
      </c>
      <c r="E691" t="s">
        <v>9378</v>
      </c>
    </row>
    <row r="692" spans="1:5" hidden="1">
      <c r="A692" t="s">
        <v>10606</v>
      </c>
      <c r="B692" t="s">
        <v>10607</v>
      </c>
      <c r="C692" t="s">
        <v>9378</v>
      </c>
      <c r="D692" t="s">
        <v>9378</v>
      </c>
      <c r="E692" t="s">
        <v>9378</v>
      </c>
    </row>
    <row r="693" spans="1:5" hidden="1">
      <c r="A693" t="s">
        <v>350</v>
      </c>
      <c r="B693" t="s">
        <v>10608</v>
      </c>
      <c r="C693" t="s">
        <v>9378</v>
      </c>
      <c r="D693" t="s">
        <v>9378</v>
      </c>
      <c r="E693" t="s">
        <v>9378</v>
      </c>
    </row>
    <row r="694" spans="1:5" hidden="1">
      <c r="A694" t="s">
        <v>151</v>
      </c>
      <c r="B694" t="s">
        <v>152</v>
      </c>
      <c r="C694" t="s">
        <v>9378</v>
      </c>
      <c r="D694" t="s">
        <v>9378</v>
      </c>
      <c r="E694" t="s">
        <v>9378</v>
      </c>
    </row>
    <row r="695" spans="1:5" hidden="1">
      <c r="A695" t="s">
        <v>157</v>
      </c>
      <c r="B695" t="s">
        <v>158</v>
      </c>
      <c r="C695" t="s">
        <v>9378</v>
      </c>
      <c r="D695" t="s">
        <v>9378</v>
      </c>
      <c r="E695" t="s">
        <v>9378</v>
      </c>
    </row>
    <row r="696" spans="1:5" hidden="1">
      <c r="A696" t="s">
        <v>10609</v>
      </c>
      <c r="B696" t="s">
        <v>10610</v>
      </c>
      <c r="C696" t="s">
        <v>9378</v>
      </c>
      <c r="D696" t="s">
        <v>9378</v>
      </c>
      <c r="E696" t="s">
        <v>9378</v>
      </c>
    </row>
    <row r="697" spans="1:5" hidden="1">
      <c r="A697" t="s">
        <v>344</v>
      </c>
      <c r="B697" t="s">
        <v>10611</v>
      </c>
      <c r="C697" t="s">
        <v>9378</v>
      </c>
      <c r="D697" t="s">
        <v>9378</v>
      </c>
      <c r="E697" t="s">
        <v>9378</v>
      </c>
    </row>
    <row r="698" spans="1:5" hidden="1">
      <c r="A698" t="s">
        <v>145</v>
      </c>
      <c r="B698" t="s">
        <v>10612</v>
      </c>
      <c r="C698" t="s">
        <v>9378</v>
      </c>
      <c r="D698" t="s">
        <v>9378</v>
      </c>
      <c r="E698" t="s">
        <v>9378</v>
      </c>
    </row>
    <row r="699" spans="1:5" hidden="1">
      <c r="A699" t="s">
        <v>142</v>
      </c>
      <c r="B699" t="s">
        <v>10613</v>
      </c>
      <c r="C699" t="s">
        <v>9378</v>
      </c>
      <c r="D699" t="s">
        <v>9378</v>
      </c>
      <c r="E699" t="s">
        <v>9378</v>
      </c>
    </row>
    <row r="700" spans="1:5">
      <c r="A700" t="s">
        <v>10614</v>
      </c>
      <c r="B700" t="s">
        <v>10615</v>
      </c>
      <c r="C700" t="s">
        <v>9369</v>
      </c>
      <c r="D700" t="s">
        <v>9369</v>
      </c>
      <c r="E700" t="s">
        <v>9369</v>
      </c>
    </row>
    <row r="701" spans="1:5" hidden="1">
      <c r="A701" t="s">
        <v>148</v>
      </c>
      <c r="B701" t="s">
        <v>10616</v>
      </c>
      <c r="C701" t="s">
        <v>9378</v>
      </c>
      <c r="D701" t="s">
        <v>9378</v>
      </c>
      <c r="E701" t="s">
        <v>9378</v>
      </c>
    </row>
    <row r="702" spans="1:5" hidden="1">
      <c r="A702" t="s">
        <v>356</v>
      </c>
      <c r="B702" t="s">
        <v>10617</v>
      </c>
      <c r="C702" t="s">
        <v>9378</v>
      </c>
      <c r="D702" t="s">
        <v>9378</v>
      </c>
      <c r="E702" t="s">
        <v>9378</v>
      </c>
    </row>
    <row r="703" spans="1:5" hidden="1">
      <c r="A703" t="s">
        <v>10618</v>
      </c>
      <c r="B703" t="s">
        <v>10619</v>
      </c>
      <c r="C703" t="s">
        <v>9378</v>
      </c>
      <c r="D703" t="s">
        <v>9378</v>
      </c>
      <c r="E703" t="s">
        <v>9378</v>
      </c>
    </row>
    <row r="704" spans="1:5" hidden="1">
      <c r="A704" t="s">
        <v>160</v>
      </c>
      <c r="B704" t="s">
        <v>10620</v>
      </c>
      <c r="C704" t="s">
        <v>9378</v>
      </c>
      <c r="D704" t="s">
        <v>9378</v>
      </c>
      <c r="E704" t="s">
        <v>9378</v>
      </c>
    </row>
    <row r="705" spans="1:5" hidden="1">
      <c r="A705" t="s">
        <v>181</v>
      </c>
      <c r="B705" t="s">
        <v>10621</v>
      </c>
      <c r="C705" t="s">
        <v>9378</v>
      </c>
      <c r="D705" t="s">
        <v>9378</v>
      </c>
      <c r="E705" t="s">
        <v>9378</v>
      </c>
    </row>
    <row r="706" spans="1:5" hidden="1">
      <c r="A706" t="s">
        <v>154</v>
      </c>
      <c r="B706" t="s">
        <v>155</v>
      </c>
      <c r="C706" t="s">
        <v>9378</v>
      </c>
      <c r="D706" t="s">
        <v>9378</v>
      </c>
      <c r="E706" t="s">
        <v>9405</v>
      </c>
    </row>
    <row r="707" spans="1:5" hidden="1">
      <c r="A707" t="s">
        <v>359</v>
      </c>
      <c r="B707" t="s">
        <v>360</v>
      </c>
      <c r="C707" t="s">
        <v>9378</v>
      </c>
      <c r="D707" t="s">
        <v>9378</v>
      </c>
      <c r="E707" t="s">
        <v>9405</v>
      </c>
    </row>
    <row r="708" spans="1:5" hidden="1">
      <c r="A708" t="s">
        <v>10622</v>
      </c>
      <c r="B708" t="s">
        <v>10623</v>
      </c>
      <c r="C708" t="s">
        <v>9378</v>
      </c>
      <c r="D708" t="s">
        <v>9378</v>
      </c>
      <c r="E708" t="s">
        <v>9405</v>
      </c>
    </row>
    <row r="709" spans="1:5" hidden="1">
      <c r="A709" t="s">
        <v>10624</v>
      </c>
      <c r="B709" t="s">
        <v>10625</v>
      </c>
      <c r="C709" t="s">
        <v>9378</v>
      </c>
      <c r="D709" t="s">
        <v>9378</v>
      </c>
      <c r="E709" t="s">
        <v>9405</v>
      </c>
    </row>
    <row r="710" spans="1:5" hidden="1">
      <c r="A710" t="s">
        <v>10626</v>
      </c>
      <c r="B710" t="s">
        <v>10627</v>
      </c>
      <c r="C710" t="s">
        <v>9378</v>
      </c>
      <c r="D710" t="s">
        <v>9378</v>
      </c>
      <c r="E710" t="s">
        <v>9405</v>
      </c>
    </row>
    <row r="711" spans="1:5" hidden="1">
      <c r="A711" t="s">
        <v>338</v>
      </c>
      <c r="B711" t="s">
        <v>339</v>
      </c>
      <c r="C711" t="s">
        <v>9378</v>
      </c>
      <c r="D711" t="s">
        <v>9378</v>
      </c>
      <c r="E711" t="s">
        <v>9405</v>
      </c>
    </row>
    <row r="712" spans="1:5" hidden="1">
      <c r="A712" t="s">
        <v>10628</v>
      </c>
      <c r="B712" t="s">
        <v>10629</v>
      </c>
      <c r="C712" t="s">
        <v>9378</v>
      </c>
      <c r="D712" t="s">
        <v>9378</v>
      </c>
      <c r="E712" t="s">
        <v>9405</v>
      </c>
    </row>
    <row r="713" spans="1:5" hidden="1">
      <c r="A713" t="s">
        <v>10630</v>
      </c>
      <c r="B713" t="s">
        <v>10631</v>
      </c>
      <c r="C713" t="s">
        <v>9378</v>
      </c>
      <c r="D713" t="s">
        <v>9378</v>
      </c>
      <c r="E713" t="s">
        <v>9405</v>
      </c>
    </row>
    <row r="714" spans="1:5" hidden="1">
      <c r="A714" t="s">
        <v>185</v>
      </c>
      <c r="B714" t="s">
        <v>10632</v>
      </c>
      <c r="C714" t="s">
        <v>9378</v>
      </c>
      <c r="D714" t="s">
        <v>9378</v>
      </c>
      <c r="E714" t="s">
        <v>9405</v>
      </c>
    </row>
    <row r="715" spans="1:5" hidden="1">
      <c r="A715" t="s">
        <v>10633</v>
      </c>
      <c r="B715" t="s">
        <v>10634</v>
      </c>
      <c r="C715" t="s">
        <v>9378</v>
      </c>
      <c r="D715" t="s">
        <v>9378</v>
      </c>
      <c r="E715" t="s">
        <v>9405</v>
      </c>
    </row>
    <row r="716" spans="1:5" hidden="1">
      <c r="A716" t="s">
        <v>269</v>
      </c>
      <c r="B716" t="s">
        <v>270</v>
      </c>
      <c r="C716" t="s">
        <v>9378</v>
      </c>
      <c r="D716" t="s">
        <v>9378</v>
      </c>
      <c r="E716" t="s">
        <v>9405</v>
      </c>
    </row>
    <row r="717" spans="1:5" hidden="1">
      <c r="A717" t="s">
        <v>10635</v>
      </c>
      <c r="B717" t="s">
        <v>10636</v>
      </c>
      <c r="C717" t="s">
        <v>9378</v>
      </c>
      <c r="D717" t="s">
        <v>9378</v>
      </c>
      <c r="E717" t="s">
        <v>9405</v>
      </c>
    </row>
    <row r="718" spans="1:5" hidden="1">
      <c r="A718" t="s">
        <v>320</v>
      </c>
      <c r="B718" t="s">
        <v>321</v>
      </c>
      <c r="C718" t="s">
        <v>9378</v>
      </c>
      <c r="D718" t="s">
        <v>9378</v>
      </c>
      <c r="E718" t="s">
        <v>9405</v>
      </c>
    </row>
    <row r="719" spans="1:5" hidden="1">
      <c r="A719" t="s">
        <v>10637</v>
      </c>
      <c r="B719" t="s">
        <v>10638</v>
      </c>
      <c r="C719" t="s">
        <v>9378</v>
      </c>
      <c r="D719" t="s">
        <v>9378</v>
      </c>
      <c r="E719" t="s">
        <v>9405</v>
      </c>
    </row>
    <row r="720" spans="1:5" hidden="1">
      <c r="A720" t="s">
        <v>43</v>
      </c>
      <c r="B720" t="s">
        <v>44</v>
      </c>
      <c r="C720" t="s">
        <v>9378</v>
      </c>
      <c r="D720" t="s">
        <v>9378</v>
      </c>
      <c r="E720" t="s">
        <v>9405</v>
      </c>
    </row>
    <row r="721" spans="1:5" hidden="1">
      <c r="A721" t="s">
        <v>188</v>
      </c>
      <c r="B721" t="s">
        <v>189</v>
      </c>
      <c r="C721" t="s">
        <v>9378</v>
      </c>
      <c r="D721" t="s">
        <v>9378</v>
      </c>
      <c r="E721" t="s">
        <v>9405</v>
      </c>
    </row>
    <row r="722" spans="1:5" hidden="1">
      <c r="A722" t="s">
        <v>10639</v>
      </c>
      <c r="B722" t="s">
        <v>10640</v>
      </c>
      <c r="C722" t="s">
        <v>9378</v>
      </c>
      <c r="D722" t="s">
        <v>9378</v>
      </c>
      <c r="E722" t="s">
        <v>9405</v>
      </c>
    </row>
    <row r="723" spans="1:5" hidden="1">
      <c r="A723" t="s">
        <v>10641</v>
      </c>
      <c r="B723" t="s">
        <v>10642</v>
      </c>
      <c r="C723" t="s">
        <v>9378</v>
      </c>
      <c r="D723" t="s">
        <v>9378</v>
      </c>
      <c r="E723" t="s">
        <v>9405</v>
      </c>
    </row>
    <row r="724" spans="1:5" hidden="1">
      <c r="A724" t="s">
        <v>10643</v>
      </c>
      <c r="B724" t="s">
        <v>10644</v>
      </c>
      <c r="C724" t="s">
        <v>9378</v>
      </c>
      <c r="D724" t="s">
        <v>9378</v>
      </c>
      <c r="E724" t="s">
        <v>9405</v>
      </c>
    </row>
    <row r="725" spans="1:5" hidden="1">
      <c r="A725" t="s">
        <v>308</v>
      </c>
      <c r="B725" t="s">
        <v>10645</v>
      </c>
      <c r="C725" t="s">
        <v>9378</v>
      </c>
      <c r="D725" t="s">
        <v>9378</v>
      </c>
      <c r="E725" t="s">
        <v>9405</v>
      </c>
    </row>
    <row r="726" spans="1:5" hidden="1">
      <c r="A726" t="s">
        <v>10646</v>
      </c>
      <c r="B726" t="s">
        <v>10647</v>
      </c>
      <c r="C726" t="s">
        <v>9378</v>
      </c>
      <c r="D726" t="s">
        <v>9378</v>
      </c>
      <c r="E726" t="s">
        <v>9405</v>
      </c>
    </row>
    <row r="727" spans="1:5" hidden="1">
      <c r="A727" t="s">
        <v>49</v>
      </c>
      <c r="B727" t="s">
        <v>10648</v>
      </c>
      <c r="C727" t="s">
        <v>9378</v>
      </c>
      <c r="D727" t="s">
        <v>9378</v>
      </c>
      <c r="E727" t="s">
        <v>9405</v>
      </c>
    </row>
    <row r="728" spans="1:5" hidden="1">
      <c r="A728" t="s">
        <v>10649</v>
      </c>
      <c r="B728" t="s">
        <v>10650</v>
      </c>
      <c r="C728" t="s">
        <v>9378</v>
      </c>
      <c r="D728" t="s">
        <v>9378</v>
      </c>
      <c r="E728" t="s">
        <v>9405</v>
      </c>
    </row>
    <row r="729" spans="1:5" hidden="1">
      <c r="A729" t="s">
        <v>64</v>
      </c>
      <c r="B729" t="s">
        <v>10651</v>
      </c>
      <c r="C729" t="s">
        <v>9378</v>
      </c>
      <c r="D729" t="s">
        <v>9378</v>
      </c>
      <c r="E729" t="s">
        <v>9405</v>
      </c>
    </row>
    <row r="730" spans="1:5" hidden="1">
      <c r="A730" t="s">
        <v>230</v>
      </c>
      <c r="B730" t="s">
        <v>231</v>
      </c>
      <c r="C730" t="s">
        <v>9378</v>
      </c>
      <c r="D730" t="s">
        <v>9378</v>
      </c>
      <c r="E730" t="s">
        <v>9405</v>
      </c>
    </row>
    <row r="731" spans="1:5" hidden="1">
      <c r="A731" t="s">
        <v>10652</v>
      </c>
      <c r="B731" t="s">
        <v>10653</v>
      </c>
      <c r="C731" t="s">
        <v>9378</v>
      </c>
      <c r="D731" t="s">
        <v>9378</v>
      </c>
      <c r="E731" t="s">
        <v>9405</v>
      </c>
    </row>
    <row r="732" spans="1:5" hidden="1">
      <c r="A732" t="s">
        <v>10654</v>
      </c>
      <c r="B732" t="s">
        <v>10655</v>
      </c>
      <c r="C732" t="s">
        <v>9378</v>
      </c>
      <c r="D732" t="s">
        <v>9378</v>
      </c>
      <c r="E732" t="s">
        <v>9405</v>
      </c>
    </row>
    <row r="733" spans="1:5" hidden="1">
      <c r="A733" t="s">
        <v>28</v>
      </c>
      <c r="B733" t="s">
        <v>29</v>
      </c>
      <c r="C733" t="s">
        <v>9378</v>
      </c>
      <c r="D733" t="s">
        <v>9378</v>
      </c>
      <c r="E733" t="s">
        <v>9405</v>
      </c>
    </row>
    <row r="734" spans="1:5" hidden="1">
      <c r="A734" t="s">
        <v>10656</v>
      </c>
      <c r="B734" t="s">
        <v>10657</v>
      </c>
      <c r="C734" t="s">
        <v>9378</v>
      </c>
      <c r="D734" t="s">
        <v>9378</v>
      </c>
      <c r="E734" t="s">
        <v>9405</v>
      </c>
    </row>
    <row r="735" spans="1:5" hidden="1">
      <c r="A735" t="s">
        <v>10658</v>
      </c>
      <c r="B735" t="s">
        <v>10659</v>
      </c>
      <c r="C735" t="s">
        <v>9378</v>
      </c>
      <c r="D735" t="s">
        <v>9378</v>
      </c>
      <c r="E735" t="s">
        <v>9405</v>
      </c>
    </row>
    <row r="736" spans="1:5" hidden="1">
      <c r="A736" t="s">
        <v>10660</v>
      </c>
      <c r="B736" t="s">
        <v>10661</v>
      </c>
      <c r="C736" t="s">
        <v>9378</v>
      </c>
      <c r="D736" t="s">
        <v>9378</v>
      </c>
      <c r="E736" t="s">
        <v>9405</v>
      </c>
    </row>
    <row r="737" spans="1:5" hidden="1">
      <c r="A737" t="s">
        <v>10662</v>
      </c>
      <c r="B737" t="s">
        <v>10663</v>
      </c>
      <c r="C737" t="s">
        <v>9378</v>
      </c>
      <c r="D737" t="s">
        <v>9378</v>
      </c>
      <c r="E737" t="s">
        <v>9405</v>
      </c>
    </row>
    <row r="738" spans="1:5" hidden="1">
      <c r="A738" t="s">
        <v>10664</v>
      </c>
      <c r="B738" t="s">
        <v>10665</v>
      </c>
      <c r="C738" t="s">
        <v>9378</v>
      </c>
      <c r="D738" t="s">
        <v>9378</v>
      </c>
      <c r="E738" t="s">
        <v>9405</v>
      </c>
    </row>
    <row r="739" spans="1:5" hidden="1">
      <c r="A739" t="s">
        <v>10666</v>
      </c>
      <c r="B739" t="s">
        <v>10667</v>
      </c>
      <c r="C739" t="s">
        <v>9378</v>
      </c>
      <c r="D739" t="s">
        <v>9378</v>
      </c>
      <c r="E739" t="s">
        <v>9405</v>
      </c>
    </row>
    <row r="740" spans="1:5" hidden="1">
      <c r="A740" t="s">
        <v>10668</v>
      </c>
      <c r="B740" t="s">
        <v>10669</v>
      </c>
      <c r="C740" t="s">
        <v>9378</v>
      </c>
      <c r="D740" t="s">
        <v>9378</v>
      </c>
      <c r="E740" t="s">
        <v>9405</v>
      </c>
    </row>
    <row r="741" spans="1:5" hidden="1">
      <c r="A741" t="s">
        <v>10670</v>
      </c>
      <c r="B741" t="s">
        <v>10671</v>
      </c>
      <c r="C741" t="s">
        <v>9378</v>
      </c>
      <c r="D741" t="s">
        <v>9378</v>
      </c>
      <c r="E741" t="s">
        <v>9405</v>
      </c>
    </row>
    <row r="742" spans="1:5" hidden="1">
      <c r="A742" t="s">
        <v>10672</v>
      </c>
      <c r="B742" t="s">
        <v>10673</v>
      </c>
      <c r="C742" t="s">
        <v>9378</v>
      </c>
      <c r="D742" t="s">
        <v>9378</v>
      </c>
      <c r="E742" t="s">
        <v>9405</v>
      </c>
    </row>
    <row r="743" spans="1:5" hidden="1">
      <c r="A743" t="s">
        <v>10674</v>
      </c>
      <c r="B743" t="s">
        <v>10675</v>
      </c>
      <c r="C743" t="s">
        <v>9378</v>
      </c>
      <c r="D743" t="s">
        <v>9378</v>
      </c>
      <c r="E743" t="s">
        <v>9405</v>
      </c>
    </row>
    <row r="744" spans="1:5" hidden="1">
      <c r="A744" t="s">
        <v>10676</v>
      </c>
      <c r="B744" t="s">
        <v>10677</v>
      </c>
      <c r="C744" t="s">
        <v>9378</v>
      </c>
      <c r="D744" t="s">
        <v>9378</v>
      </c>
      <c r="E744" t="s">
        <v>9405</v>
      </c>
    </row>
    <row r="745" spans="1:5" hidden="1">
      <c r="A745" t="s">
        <v>10678</v>
      </c>
      <c r="B745" t="s">
        <v>10679</v>
      </c>
      <c r="C745" t="s">
        <v>9378</v>
      </c>
      <c r="D745" t="s">
        <v>9378</v>
      </c>
      <c r="E745" t="s">
        <v>9405</v>
      </c>
    </row>
    <row r="746" spans="1:5" hidden="1">
      <c r="A746" t="s">
        <v>10680</v>
      </c>
      <c r="B746" t="s">
        <v>10681</v>
      </c>
      <c r="C746" t="s">
        <v>9378</v>
      </c>
      <c r="D746" t="s">
        <v>9378</v>
      </c>
      <c r="E746" t="s">
        <v>9405</v>
      </c>
    </row>
    <row r="747" spans="1:5" hidden="1">
      <c r="A747" t="s">
        <v>10682</v>
      </c>
      <c r="B747" t="s">
        <v>10683</v>
      </c>
      <c r="C747" t="s">
        <v>9378</v>
      </c>
      <c r="D747" t="s">
        <v>9378</v>
      </c>
      <c r="E747" t="s">
        <v>9405</v>
      </c>
    </row>
    <row r="748" spans="1:5" hidden="1">
      <c r="A748" t="s">
        <v>10684</v>
      </c>
      <c r="B748" t="s">
        <v>10685</v>
      </c>
      <c r="C748" t="s">
        <v>9378</v>
      </c>
      <c r="D748" t="s">
        <v>9378</v>
      </c>
      <c r="E748" t="s">
        <v>9405</v>
      </c>
    </row>
    <row r="749" spans="1:5" hidden="1">
      <c r="A749" t="s">
        <v>10686</v>
      </c>
      <c r="B749" t="s">
        <v>10687</v>
      </c>
      <c r="C749" t="s">
        <v>9378</v>
      </c>
      <c r="D749" t="s">
        <v>9378</v>
      </c>
      <c r="E749" t="s">
        <v>9405</v>
      </c>
    </row>
    <row r="750" spans="1:5" hidden="1">
      <c r="A750" t="s">
        <v>10688</v>
      </c>
      <c r="B750" t="s">
        <v>10689</v>
      </c>
      <c r="C750" t="s">
        <v>9378</v>
      </c>
      <c r="D750" t="s">
        <v>9378</v>
      </c>
      <c r="E750" t="s">
        <v>9405</v>
      </c>
    </row>
    <row r="751" spans="1:5" hidden="1">
      <c r="A751" t="s">
        <v>10690</v>
      </c>
      <c r="B751" t="s">
        <v>10691</v>
      </c>
      <c r="C751" t="s">
        <v>9378</v>
      </c>
      <c r="D751" t="s">
        <v>9378</v>
      </c>
      <c r="E751" t="s">
        <v>9405</v>
      </c>
    </row>
    <row r="752" spans="1:5" hidden="1">
      <c r="A752" t="s">
        <v>10692</v>
      </c>
      <c r="B752" t="s">
        <v>10693</v>
      </c>
      <c r="C752" t="s">
        <v>9378</v>
      </c>
      <c r="D752" t="s">
        <v>9378</v>
      </c>
      <c r="E752" t="s">
        <v>9405</v>
      </c>
    </row>
    <row r="753" spans="1:5" hidden="1">
      <c r="A753" t="s">
        <v>169</v>
      </c>
      <c r="B753" t="s">
        <v>170</v>
      </c>
      <c r="C753" t="s">
        <v>9378</v>
      </c>
      <c r="D753" t="s">
        <v>9378</v>
      </c>
      <c r="E753" t="s">
        <v>9378</v>
      </c>
    </row>
    <row r="754" spans="1:5" hidden="1">
      <c r="A754" t="s">
        <v>166</v>
      </c>
      <c r="B754" t="s">
        <v>10694</v>
      </c>
      <c r="C754" t="s">
        <v>9378</v>
      </c>
      <c r="D754" t="s">
        <v>9378</v>
      </c>
      <c r="E754" t="s">
        <v>9378</v>
      </c>
    </row>
    <row r="755" spans="1:5" hidden="1">
      <c r="A755" t="s">
        <v>163</v>
      </c>
      <c r="B755" t="s">
        <v>164</v>
      </c>
      <c r="C755" t="s">
        <v>9378</v>
      </c>
      <c r="D755" t="s">
        <v>9378</v>
      </c>
      <c r="E755" t="s">
        <v>9378</v>
      </c>
    </row>
    <row r="756" spans="1:5" hidden="1">
      <c r="A756" t="s">
        <v>272</v>
      </c>
      <c r="B756" t="s">
        <v>273</v>
      </c>
      <c r="C756" t="s">
        <v>9378</v>
      </c>
      <c r="D756" t="s">
        <v>9378</v>
      </c>
      <c r="E756" t="s">
        <v>9405</v>
      </c>
    </row>
    <row r="757" spans="1:5" hidden="1">
      <c r="A757" t="s">
        <v>10695</v>
      </c>
      <c r="B757" t="s">
        <v>10696</v>
      </c>
      <c r="C757" t="s">
        <v>9378</v>
      </c>
      <c r="D757" t="s">
        <v>9378</v>
      </c>
      <c r="E757" t="s">
        <v>9405</v>
      </c>
    </row>
    <row r="758" spans="1:5" hidden="1">
      <c r="A758" t="s">
        <v>10697</v>
      </c>
      <c r="B758" t="s">
        <v>10698</v>
      </c>
      <c r="C758" t="s">
        <v>9378</v>
      </c>
      <c r="D758" t="s">
        <v>9542</v>
      </c>
      <c r="E758" t="s">
        <v>9378</v>
      </c>
    </row>
    <row r="759" spans="1:5" hidden="1">
      <c r="A759" t="s">
        <v>353</v>
      </c>
      <c r="B759" t="s">
        <v>354</v>
      </c>
      <c r="C759" t="s">
        <v>9378</v>
      </c>
      <c r="D759" t="s">
        <v>9378</v>
      </c>
      <c r="E759" t="s">
        <v>9405</v>
      </c>
    </row>
    <row r="760" spans="1:5" hidden="1">
      <c r="A760" t="s">
        <v>347</v>
      </c>
      <c r="B760" t="s">
        <v>348</v>
      </c>
      <c r="C760" t="s">
        <v>9378</v>
      </c>
      <c r="D760" t="s">
        <v>9542</v>
      </c>
      <c r="E760" t="s">
        <v>9378</v>
      </c>
    </row>
    <row r="761" spans="1:5" hidden="1">
      <c r="A761" t="s">
        <v>10699</v>
      </c>
      <c r="B761" t="s">
        <v>10700</v>
      </c>
      <c r="C761" t="s">
        <v>9378</v>
      </c>
      <c r="D761" t="s">
        <v>9378</v>
      </c>
      <c r="E761" t="s">
        <v>9405</v>
      </c>
    </row>
    <row r="762" spans="1:5" hidden="1">
      <c r="A762" t="s">
        <v>10701</v>
      </c>
      <c r="B762" t="s">
        <v>10702</v>
      </c>
      <c r="C762" t="s">
        <v>9378</v>
      </c>
      <c r="D762" t="s">
        <v>9542</v>
      </c>
      <c r="E762" t="s">
        <v>9378</v>
      </c>
    </row>
    <row r="763" spans="1:5" hidden="1">
      <c r="A763" t="s">
        <v>10703</v>
      </c>
      <c r="B763" t="s">
        <v>10704</v>
      </c>
      <c r="C763" t="s">
        <v>9378</v>
      </c>
      <c r="D763" t="s">
        <v>9542</v>
      </c>
      <c r="E763" t="s">
        <v>9378</v>
      </c>
    </row>
    <row r="764" spans="1:5" hidden="1">
      <c r="A764" t="s">
        <v>175</v>
      </c>
      <c r="B764" t="s">
        <v>505</v>
      </c>
      <c r="C764" t="s">
        <v>9378</v>
      </c>
      <c r="D764" t="s">
        <v>9378</v>
      </c>
      <c r="E764" t="s">
        <v>9405</v>
      </c>
    </row>
    <row r="765" spans="1:5" hidden="1">
      <c r="A765" t="s">
        <v>362</v>
      </c>
      <c r="B765" t="s">
        <v>10705</v>
      </c>
      <c r="C765" t="s">
        <v>9378</v>
      </c>
      <c r="D765" t="s">
        <v>9378</v>
      </c>
      <c r="E765" t="s">
        <v>9405</v>
      </c>
    </row>
    <row r="766" spans="1:5" hidden="1">
      <c r="A766" t="s">
        <v>172</v>
      </c>
      <c r="B766" t="s">
        <v>10706</v>
      </c>
      <c r="C766" t="s">
        <v>9378</v>
      </c>
      <c r="D766" t="s">
        <v>9378</v>
      </c>
      <c r="E766" t="s">
        <v>9378</v>
      </c>
    </row>
    <row r="767" spans="1:5" hidden="1">
      <c r="A767" t="s">
        <v>178</v>
      </c>
      <c r="B767" t="s">
        <v>10707</v>
      </c>
      <c r="C767" t="s">
        <v>9378</v>
      </c>
      <c r="D767" t="s">
        <v>9378</v>
      </c>
      <c r="E767" t="s">
        <v>9378</v>
      </c>
    </row>
    <row r="768" spans="1:5" hidden="1">
      <c r="A768" t="s">
        <v>10708</v>
      </c>
      <c r="B768" t="s">
        <v>10709</v>
      </c>
      <c r="C768" t="s">
        <v>9378</v>
      </c>
      <c r="D768" t="s">
        <v>9378</v>
      </c>
      <c r="E768" t="s">
        <v>9378</v>
      </c>
    </row>
    <row r="769" spans="1:5">
      <c r="A769" t="s">
        <v>10710</v>
      </c>
      <c r="B769" t="s">
        <v>10711</v>
      </c>
      <c r="C769" t="s">
        <v>9369</v>
      </c>
      <c r="D769" t="s">
        <v>9369</v>
      </c>
      <c r="E769" t="s">
        <v>9369</v>
      </c>
    </row>
    <row r="770" spans="1:5">
      <c r="A770" t="s">
        <v>465</v>
      </c>
      <c r="B770" t="s">
        <v>466</v>
      </c>
      <c r="C770" t="s">
        <v>9369</v>
      </c>
      <c r="D770" t="s">
        <v>9369</v>
      </c>
      <c r="E770" t="s">
        <v>9369</v>
      </c>
    </row>
    <row r="771" spans="1:5">
      <c r="A771" t="s">
        <v>10712</v>
      </c>
      <c r="B771" t="s">
        <v>10713</v>
      </c>
      <c r="C771" t="s">
        <v>9369</v>
      </c>
      <c r="D771" t="s">
        <v>9369</v>
      </c>
      <c r="E771" t="s">
        <v>9369</v>
      </c>
    </row>
    <row r="772" spans="1:5">
      <c r="A772" t="s">
        <v>10714</v>
      </c>
      <c r="B772" t="s">
        <v>10715</v>
      </c>
      <c r="C772" t="s">
        <v>9369</v>
      </c>
      <c r="D772" t="s">
        <v>9369</v>
      </c>
      <c r="E772" t="s">
        <v>9369</v>
      </c>
    </row>
    <row r="773" spans="1:5">
      <c r="A773" t="s">
        <v>10716</v>
      </c>
      <c r="B773" t="s">
        <v>10717</v>
      </c>
      <c r="C773" t="s">
        <v>9369</v>
      </c>
      <c r="D773" t="s">
        <v>9369</v>
      </c>
      <c r="E773" t="s">
        <v>9369</v>
      </c>
    </row>
    <row r="774" spans="1:5">
      <c r="A774" t="s">
        <v>10718</v>
      </c>
      <c r="B774" t="s">
        <v>10719</v>
      </c>
      <c r="C774" t="s">
        <v>9369</v>
      </c>
      <c r="D774" t="s">
        <v>9369</v>
      </c>
      <c r="E774" t="s">
        <v>9369</v>
      </c>
    </row>
    <row r="775" spans="1:5">
      <c r="A775" t="s">
        <v>10720</v>
      </c>
      <c r="B775" t="s">
        <v>10721</v>
      </c>
      <c r="C775" t="s">
        <v>9369</v>
      </c>
      <c r="D775" t="s">
        <v>9369</v>
      </c>
      <c r="E775" t="s">
        <v>9369</v>
      </c>
    </row>
    <row r="776" spans="1:5">
      <c r="A776" t="s">
        <v>10722</v>
      </c>
      <c r="B776" t="s">
        <v>10723</v>
      </c>
      <c r="C776" t="s">
        <v>9369</v>
      </c>
      <c r="D776" t="s">
        <v>9369</v>
      </c>
      <c r="E776" t="s">
        <v>9369</v>
      </c>
    </row>
    <row r="777" spans="1:5">
      <c r="A777" t="s">
        <v>10724</v>
      </c>
      <c r="B777" t="s">
        <v>10725</v>
      </c>
      <c r="C777" t="s">
        <v>9369</v>
      </c>
      <c r="D777" t="s">
        <v>9369</v>
      </c>
      <c r="E777" t="s">
        <v>9369</v>
      </c>
    </row>
    <row r="778" spans="1:5">
      <c r="A778" t="s">
        <v>10726</v>
      </c>
      <c r="B778" t="s">
        <v>10727</v>
      </c>
      <c r="C778" t="s">
        <v>9369</v>
      </c>
      <c r="D778" t="s">
        <v>9369</v>
      </c>
      <c r="E778" t="s">
        <v>9369</v>
      </c>
    </row>
    <row r="779" spans="1:5">
      <c r="A779" t="s">
        <v>10728</v>
      </c>
      <c r="B779" t="s">
        <v>10729</v>
      </c>
      <c r="C779" t="s">
        <v>9369</v>
      </c>
      <c r="D779" t="s">
        <v>9369</v>
      </c>
      <c r="E779" t="s">
        <v>9369</v>
      </c>
    </row>
    <row r="780" spans="1:5">
      <c r="A780" t="s">
        <v>453</v>
      </c>
      <c r="B780" t="s">
        <v>454</v>
      </c>
      <c r="C780" t="s">
        <v>9369</v>
      </c>
      <c r="D780" t="s">
        <v>9369</v>
      </c>
      <c r="E780" t="s">
        <v>9369</v>
      </c>
    </row>
    <row r="781" spans="1:5">
      <c r="A781" t="s">
        <v>10730</v>
      </c>
      <c r="B781" t="s">
        <v>10731</v>
      </c>
      <c r="C781" t="s">
        <v>9369</v>
      </c>
      <c r="D781" t="s">
        <v>9369</v>
      </c>
      <c r="E781" t="s">
        <v>9369</v>
      </c>
    </row>
    <row r="782" spans="1:5">
      <c r="A782" t="s">
        <v>10732</v>
      </c>
      <c r="B782" t="s">
        <v>10733</v>
      </c>
      <c r="C782" t="s">
        <v>9369</v>
      </c>
      <c r="D782" t="s">
        <v>9369</v>
      </c>
      <c r="E782" t="s">
        <v>9369</v>
      </c>
    </row>
    <row r="783" spans="1:5">
      <c r="A783" t="s">
        <v>10734</v>
      </c>
      <c r="B783" t="s">
        <v>10735</v>
      </c>
      <c r="C783" t="s">
        <v>9369</v>
      </c>
      <c r="D783" t="s">
        <v>9369</v>
      </c>
      <c r="E783" t="s">
        <v>9369</v>
      </c>
    </row>
    <row r="784" spans="1:5">
      <c r="A784" t="s">
        <v>10736</v>
      </c>
      <c r="B784" t="s">
        <v>10737</v>
      </c>
      <c r="C784" t="s">
        <v>9369</v>
      </c>
      <c r="D784" t="s">
        <v>9369</v>
      </c>
      <c r="E784" t="s">
        <v>9369</v>
      </c>
    </row>
    <row r="785" spans="1:5">
      <c r="A785" t="s">
        <v>10738</v>
      </c>
      <c r="B785" t="s">
        <v>10739</v>
      </c>
      <c r="C785" t="s">
        <v>9369</v>
      </c>
      <c r="D785" t="s">
        <v>9369</v>
      </c>
      <c r="E785" t="s">
        <v>9369</v>
      </c>
    </row>
    <row r="786" spans="1:5">
      <c r="A786" t="s">
        <v>10740</v>
      </c>
      <c r="B786" t="s">
        <v>10741</v>
      </c>
      <c r="C786" t="s">
        <v>9369</v>
      </c>
      <c r="D786" t="s">
        <v>9369</v>
      </c>
      <c r="E786" t="s">
        <v>9369</v>
      </c>
    </row>
    <row r="787" spans="1:5">
      <c r="A787" t="s">
        <v>10742</v>
      </c>
      <c r="B787" t="s">
        <v>10743</v>
      </c>
      <c r="C787" t="s">
        <v>9369</v>
      </c>
      <c r="D787" t="s">
        <v>9369</v>
      </c>
      <c r="E787" t="s">
        <v>9369</v>
      </c>
    </row>
    <row r="788" spans="1:5">
      <c r="A788" t="s">
        <v>10744</v>
      </c>
      <c r="B788" t="s">
        <v>10745</v>
      </c>
      <c r="C788" t="s">
        <v>9369</v>
      </c>
      <c r="D788" t="s">
        <v>9369</v>
      </c>
      <c r="E788" t="s">
        <v>9369</v>
      </c>
    </row>
    <row r="789" spans="1:5">
      <c r="A789" t="s">
        <v>456</v>
      </c>
      <c r="B789" t="s">
        <v>457</v>
      </c>
      <c r="C789" t="s">
        <v>9369</v>
      </c>
      <c r="D789" t="s">
        <v>9369</v>
      </c>
      <c r="E789" t="s">
        <v>9369</v>
      </c>
    </row>
    <row r="790" spans="1:5">
      <c r="A790" t="s">
        <v>10746</v>
      </c>
      <c r="B790" t="s">
        <v>10747</v>
      </c>
      <c r="C790" t="s">
        <v>9369</v>
      </c>
      <c r="D790" t="s">
        <v>9369</v>
      </c>
      <c r="E790" t="s">
        <v>9369</v>
      </c>
    </row>
    <row r="791" spans="1:5">
      <c r="A791" t="s">
        <v>474</v>
      </c>
      <c r="B791" t="s">
        <v>475</v>
      </c>
      <c r="C791" t="s">
        <v>9369</v>
      </c>
      <c r="D791" t="s">
        <v>9369</v>
      </c>
      <c r="E791" t="s">
        <v>9369</v>
      </c>
    </row>
    <row r="792" spans="1:5">
      <c r="A792" t="s">
        <v>459</v>
      </c>
      <c r="B792" t="s">
        <v>460</v>
      </c>
      <c r="C792" t="s">
        <v>9369</v>
      </c>
      <c r="D792" t="s">
        <v>9369</v>
      </c>
      <c r="E792" t="s">
        <v>9369</v>
      </c>
    </row>
    <row r="793" spans="1:5">
      <c r="A793" t="s">
        <v>462</v>
      </c>
      <c r="B793" t="s">
        <v>463</v>
      </c>
      <c r="C793" t="s">
        <v>9369</v>
      </c>
      <c r="D793" t="s">
        <v>9369</v>
      </c>
      <c r="E793" t="s">
        <v>9369</v>
      </c>
    </row>
    <row r="794" spans="1:5">
      <c r="A794" t="s">
        <v>10748</v>
      </c>
      <c r="B794" t="s">
        <v>10749</v>
      </c>
      <c r="C794" t="s">
        <v>9369</v>
      </c>
      <c r="D794" t="s">
        <v>9369</v>
      </c>
      <c r="E794" t="s">
        <v>9369</v>
      </c>
    </row>
    <row r="795" spans="1:5">
      <c r="A795" t="s">
        <v>10750</v>
      </c>
      <c r="B795" t="s">
        <v>10751</v>
      </c>
      <c r="C795" t="s">
        <v>9369</v>
      </c>
      <c r="D795" t="s">
        <v>9369</v>
      </c>
      <c r="E795" t="s">
        <v>9369</v>
      </c>
    </row>
    <row r="796" spans="1:5">
      <c r="A796" t="s">
        <v>10752</v>
      </c>
      <c r="B796" t="s">
        <v>10753</v>
      </c>
      <c r="C796" t="s">
        <v>9369</v>
      </c>
      <c r="D796" t="s">
        <v>9369</v>
      </c>
      <c r="E796" t="s">
        <v>9369</v>
      </c>
    </row>
    <row r="797" spans="1:5">
      <c r="A797" t="s">
        <v>374</v>
      </c>
      <c r="B797" t="s">
        <v>375</v>
      </c>
      <c r="C797" t="s">
        <v>9369</v>
      </c>
      <c r="D797" t="s">
        <v>9369</v>
      </c>
      <c r="E797" t="s">
        <v>9369</v>
      </c>
    </row>
    <row r="798" spans="1:5">
      <c r="A798" t="s">
        <v>371</v>
      </c>
      <c r="B798" t="s">
        <v>372</v>
      </c>
      <c r="C798" t="s">
        <v>9369</v>
      </c>
      <c r="D798" t="s">
        <v>9369</v>
      </c>
      <c r="E798" t="s">
        <v>9369</v>
      </c>
    </row>
    <row r="799" spans="1:5">
      <c r="A799" t="s">
        <v>380</v>
      </c>
      <c r="B799" t="s">
        <v>381</v>
      </c>
      <c r="C799" t="s">
        <v>9369</v>
      </c>
      <c r="D799" t="s">
        <v>9369</v>
      </c>
      <c r="E799" t="s">
        <v>9369</v>
      </c>
    </row>
    <row r="800" spans="1:5">
      <c r="A800" t="s">
        <v>377</v>
      </c>
      <c r="B800" t="s">
        <v>378</v>
      </c>
      <c r="C800" t="s">
        <v>9369</v>
      </c>
      <c r="D800" t="s">
        <v>9369</v>
      </c>
      <c r="E800" t="s">
        <v>9369</v>
      </c>
    </row>
    <row r="801" spans="1:5">
      <c r="A801" t="s">
        <v>383</v>
      </c>
      <c r="B801" t="s">
        <v>384</v>
      </c>
      <c r="C801" t="s">
        <v>9369</v>
      </c>
      <c r="D801" t="s">
        <v>9369</v>
      </c>
      <c r="E801" t="s">
        <v>9369</v>
      </c>
    </row>
    <row r="802" spans="1:5">
      <c r="A802" t="s">
        <v>10754</v>
      </c>
      <c r="B802" t="s">
        <v>10755</v>
      </c>
      <c r="C802" t="s">
        <v>9369</v>
      </c>
      <c r="D802" t="s">
        <v>9369</v>
      </c>
      <c r="E802" t="s">
        <v>9369</v>
      </c>
    </row>
    <row r="803" spans="1:5">
      <c r="A803" t="s">
        <v>10756</v>
      </c>
      <c r="B803" t="s">
        <v>10757</v>
      </c>
      <c r="C803" t="s">
        <v>9369</v>
      </c>
      <c r="D803" t="s">
        <v>9369</v>
      </c>
      <c r="E803" t="s">
        <v>9369</v>
      </c>
    </row>
    <row r="804" spans="1:5">
      <c r="A804" t="s">
        <v>10758</v>
      </c>
      <c r="B804" t="s">
        <v>10759</v>
      </c>
      <c r="C804" t="s">
        <v>9369</v>
      </c>
      <c r="D804" t="s">
        <v>9369</v>
      </c>
      <c r="E804" t="s">
        <v>9369</v>
      </c>
    </row>
    <row r="805" spans="1:5">
      <c r="A805" t="s">
        <v>449</v>
      </c>
      <c r="B805" t="s">
        <v>450</v>
      </c>
      <c r="C805" t="s">
        <v>9369</v>
      </c>
      <c r="D805" t="s">
        <v>9369</v>
      </c>
      <c r="E805" t="s">
        <v>9369</v>
      </c>
    </row>
    <row r="806" spans="1:5">
      <c r="A806" t="s">
        <v>10760</v>
      </c>
      <c r="B806" t="s">
        <v>10761</v>
      </c>
      <c r="C806" t="s">
        <v>9369</v>
      </c>
      <c r="D806" t="s">
        <v>9369</v>
      </c>
      <c r="E806" t="s">
        <v>9369</v>
      </c>
    </row>
    <row r="807" spans="1:5">
      <c r="A807" t="s">
        <v>10762</v>
      </c>
      <c r="B807" t="s">
        <v>10763</v>
      </c>
      <c r="C807" t="s">
        <v>9369</v>
      </c>
      <c r="D807" t="s">
        <v>9369</v>
      </c>
      <c r="E807" t="s">
        <v>9369</v>
      </c>
    </row>
    <row r="808" spans="1:5">
      <c r="A808" t="s">
        <v>10764</v>
      </c>
      <c r="B808" t="s">
        <v>10765</v>
      </c>
      <c r="C808" t="s">
        <v>9369</v>
      </c>
      <c r="D808" t="s">
        <v>9369</v>
      </c>
      <c r="E808" t="s">
        <v>9369</v>
      </c>
    </row>
    <row r="809" spans="1:5">
      <c r="A809" t="s">
        <v>10766</v>
      </c>
      <c r="B809" t="s">
        <v>12753</v>
      </c>
      <c r="C809" t="s">
        <v>9369</v>
      </c>
      <c r="D809" t="s">
        <v>9369</v>
      </c>
      <c r="E809" t="s">
        <v>9369</v>
      </c>
    </row>
    <row r="810" spans="1:5">
      <c r="A810" t="s">
        <v>10767</v>
      </c>
      <c r="B810" t="s">
        <v>10768</v>
      </c>
      <c r="C810" t="s">
        <v>9369</v>
      </c>
      <c r="D810" t="s">
        <v>9369</v>
      </c>
      <c r="E810" t="s">
        <v>9369</v>
      </c>
    </row>
    <row r="811" spans="1:5">
      <c r="A811" t="s">
        <v>10769</v>
      </c>
      <c r="B811" t="s">
        <v>10770</v>
      </c>
      <c r="C811" t="s">
        <v>9369</v>
      </c>
      <c r="D811" t="s">
        <v>9369</v>
      </c>
      <c r="E811" t="s">
        <v>9369</v>
      </c>
    </row>
    <row r="812" spans="1:5">
      <c r="A812" t="s">
        <v>10771</v>
      </c>
      <c r="B812" t="s">
        <v>10772</v>
      </c>
      <c r="C812" t="s">
        <v>9369</v>
      </c>
      <c r="D812" t="s">
        <v>9369</v>
      </c>
      <c r="E812" t="s">
        <v>9369</v>
      </c>
    </row>
    <row r="813" spans="1:5">
      <c r="A813" t="s">
        <v>10773</v>
      </c>
      <c r="B813" t="s">
        <v>10774</v>
      </c>
      <c r="C813" t="s">
        <v>9369</v>
      </c>
      <c r="D813" t="s">
        <v>9369</v>
      </c>
      <c r="E813" t="s">
        <v>9369</v>
      </c>
    </row>
    <row r="814" spans="1:5">
      <c r="A814" t="s">
        <v>10775</v>
      </c>
      <c r="B814" t="s">
        <v>10776</v>
      </c>
      <c r="C814" t="s">
        <v>9369</v>
      </c>
      <c r="D814" t="s">
        <v>9369</v>
      </c>
      <c r="E814" t="s">
        <v>9369</v>
      </c>
    </row>
    <row r="815" spans="1:5">
      <c r="A815" t="s">
        <v>386</v>
      </c>
      <c r="B815" t="s">
        <v>387</v>
      </c>
      <c r="C815" t="s">
        <v>9369</v>
      </c>
      <c r="D815" t="s">
        <v>9369</v>
      </c>
      <c r="E815" t="s">
        <v>9369</v>
      </c>
    </row>
    <row r="816" spans="1:5">
      <c r="A816" t="s">
        <v>10777</v>
      </c>
      <c r="B816" t="s">
        <v>10778</v>
      </c>
      <c r="C816" t="s">
        <v>9369</v>
      </c>
      <c r="D816" t="s">
        <v>9369</v>
      </c>
      <c r="E816" t="s">
        <v>9369</v>
      </c>
    </row>
    <row r="817" spans="1:5">
      <c r="A817" t="s">
        <v>10779</v>
      </c>
      <c r="B817" t="s">
        <v>10780</v>
      </c>
      <c r="C817" t="s">
        <v>9369</v>
      </c>
      <c r="D817" t="s">
        <v>9369</v>
      </c>
      <c r="E817" t="s">
        <v>9369</v>
      </c>
    </row>
    <row r="818" spans="1:5">
      <c r="A818" t="s">
        <v>10781</v>
      </c>
      <c r="B818" t="s">
        <v>10782</v>
      </c>
      <c r="C818" t="s">
        <v>9369</v>
      </c>
      <c r="D818" t="s">
        <v>9369</v>
      </c>
      <c r="E818" t="s">
        <v>9369</v>
      </c>
    </row>
    <row r="819" spans="1:5">
      <c r="A819" t="s">
        <v>368</v>
      </c>
      <c r="B819" t="s">
        <v>369</v>
      </c>
      <c r="C819" t="s">
        <v>9369</v>
      </c>
      <c r="D819" t="s">
        <v>9369</v>
      </c>
      <c r="E819" t="s">
        <v>9369</v>
      </c>
    </row>
    <row r="820" spans="1:5">
      <c r="A820" t="s">
        <v>10783</v>
      </c>
      <c r="B820" t="s">
        <v>10784</v>
      </c>
      <c r="C820" t="s">
        <v>9369</v>
      </c>
      <c r="D820" t="s">
        <v>9369</v>
      </c>
      <c r="E820" t="s">
        <v>9369</v>
      </c>
    </row>
    <row r="821" spans="1:5">
      <c r="A821" t="s">
        <v>10785</v>
      </c>
      <c r="B821" t="s">
        <v>10786</v>
      </c>
      <c r="C821" t="s">
        <v>9369</v>
      </c>
      <c r="D821" t="s">
        <v>9369</v>
      </c>
      <c r="E821" t="s">
        <v>9369</v>
      </c>
    </row>
    <row r="822" spans="1:5">
      <c r="A822" t="s">
        <v>389</v>
      </c>
      <c r="B822" t="s">
        <v>390</v>
      </c>
      <c r="C822" t="s">
        <v>9369</v>
      </c>
      <c r="D822" t="s">
        <v>9369</v>
      </c>
      <c r="E822" t="s">
        <v>9369</v>
      </c>
    </row>
    <row r="823" spans="1:5">
      <c r="A823" t="s">
        <v>10787</v>
      </c>
      <c r="B823" t="s">
        <v>10788</v>
      </c>
      <c r="C823" t="s">
        <v>9369</v>
      </c>
      <c r="D823" t="s">
        <v>9369</v>
      </c>
      <c r="E823" t="s">
        <v>9369</v>
      </c>
    </row>
    <row r="824" spans="1:5">
      <c r="A824" t="s">
        <v>10789</v>
      </c>
      <c r="B824" t="s">
        <v>10790</v>
      </c>
      <c r="C824" t="s">
        <v>9369</v>
      </c>
      <c r="D824" t="s">
        <v>9369</v>
      </c>
      <c r="E824" t="s">
        <v>9369</v>
      </c>
    </row>
    <row r="825" spans="1:5">
      <c r="A825" t="s">
        <v>398</v>
      </c>
      <c r="B825" t="s">
        <v>399</v>
      </c>
      <c r="C825" t="s">
        <v>9369</v>
      </c>
      <c r="D825" t="s">
        <v>9369</v>
      </c>
      <c r="E825" t="s">
        <v>9369</v>
      </c>
    </row>
    <row r="826" spans="1:5">
      <c r="A826" t="s">
        <v>443</v>
      </c>
      <c r="B826" t="s">
        <v>444</v>
      </c>
      <c r="C826" t="s">
        <v>9369</v>
      </c>
      <c r="D826" t="s">
        <v>9369</v>
      </c>
      <c r="E826" t="s">
        <v>9369</v>
      </c>
    </row>
    <row r="827" spans="1:5">
      <c r="A827" t="s">
        <v>10791</v>
      </c>
      <c r="B827" t="s">
        <v>10792</v>
      </c>
      <c r="C827" t="s">
        <v>9369</v>
      </c>
      <c r="D827" t="s">
        <v>9369</v>
      </c>
      <c r="E827" t="s">
        <v>9369</v>
      </c>
    </row>
    <row r="828" spans="1:5">
      <c r="A828" t="s">
        <v>437</v>
      </c>
      <c r="B828" t="s">
        <v>438</v>
      </c>
      <c r="C828" t="s">
        <v>9369</v>
      </c>
      <c r="D828" t="s">
        <v>9369</v>
      </c>
      <c r="E828" t="s">
        <v>9369</v>
      </c>
    </row>
    <row r="829" spans="1:5">
      <c r="A829" t="s">
        <v>10793</v>
      </c>
      <c r="B829" t="s">
        <v>10794</v>
      </c>
      <c r="C829" t="s">
        <v>9369</v>
      </c>
      <c r="D829" t="s">
        <v>9369</v>
      </c>
      <c r="E829" t="s">
        <v>9369</v>
      </c>
    </row>
    <row r="830" spans="1:5">
      <c r="A830" t="s">
        <v>10795</v>
      </c>
      <c r="B830" t="s">
        <v>10796</v>
      </c>
      <c r="C830" t="s">
        <v>9369</v>
      </c>
      <c r="D830" t="s">
        <v>9369</v>
      </c>
      <c r="E830" t="s">
        <v>9369</v>
      </c>
    </row>
    <row r="831" spans="1:5">
      <c r="A831" t="s">
        <v>401</v>
      </c>
      <c r="B831" t="s">
        <v>402</v>
      </c>
      <c r="C831" t="s">
        <v>9369</v>
      </c>
      <c r="D831" t="s">
        <v>9369</v>
      </c>
      <c r="E831" t="s">
        <v>9369</v>
      </c>
    </row>
    <row r="832" spans="1:5">
      <c r="A832" t="s">
        <v>10797</v>
      </c>
      <c r="B832" t="s">
        <v>10798</v>
      </c>
      <c r="C832" t="s">
        <v>9369</v>
      </c>
      <c r="D832" t="s">
        <v>9369</v>
      </c>
      <c r="E832" t="s">
        <v>9369</v>
      </c>
    </row>
    <row r="833" spans="1:5">
      <c r="A833" t="s">
        <v>428</v>
      </c>
      <c r="B833" t="s">
        <v>429</v>
      </c>
      <c r="C833" t="s">
        <v>9369</v>
      </c>
      <c r="D833" t="s">
        <v>9369</v>
      </c>
      <c r="E833" t="s">
        <v>9369</v>
      </c>
    </row>
    <row r="834" spans="1:5">
      <c r="A834" t="s">
        <v>395</v>
      </c>
      <c r="B834" t="s">
        <v>396</v>
      </c>
      <c r="C834" t="s">
        <v>9369</v>
      </c>
      <c r="D834" t="s">
        <v>9369</v>
      </c>
      <c r="E834" t="s">
        <v>9369</v>
      </c>
    </row>
    <row r="835" spans="1:5">
      <c r="A835" t="s">
        <v>446</v>
      </c>
      <c r="B835" t="s">
        <v>447</v>
      </c>
      <c r="C835" t="s">
        <v>9369</v>
      </c>
      <c r="D835" t="s">
        <v>9369</v>
      </c>
      <c r="E835" t="s">
        <v>9369</v>
      </c>
    </row>
    <row r="836" spans="1:5">
      <c r="A836" t="s">
        <v>431</v>
      </c>
      <c r="B836" t="s">
        <v>432</v>
      </c>
      <c r="C836" t="s">
        <v>9369</v>
      </c>
      <c r="D836" t="s">
        <v>9369</v>
      </c>
      <c r="E836" t="s">
        <v>9369</v>
      </c>
    </row>
    <row r="837" spans="1:5">
      <c r="A837" s="14" t="s">
        <v>10799</v>
      </c>
      <c r="B837" t="s">
        <v>10800</v>
      </c>
      <c r="C837" t="s">
        <v>9369</v>
      </c>
      <c r="D837" t="s">
        <v>9369</v>
      </c>
      <c r="E837" t="s">
        <v>9369</v>
      </c>
    </row>
    <row r="838" spans="1:5">
      <c r="A838" t="s">
        <v>10801</v>
      </c>
      <c r="B838" t="s">
        <v>10802</v>
      </c>
      <c r="C838" t="s">
        <v>9369</v>
      </c>
      <c r="D838" t="s">
        <v>9369</v>
      </c>
      <c r="E838" t="s">
        <v>9369</v>
      </c>
    </row>
    <row r="839" spans="1:5">
      <c r="A839" t="s">
        <v>440</v>
      </c>
      <c r="B839" t="s">
        <v>441</v>
      </c>
      <c r="C839" t="s">
        <v>9369</v>
      </c>
      <c r="D839" t="s">
        <v>9369</v>
      </c>
      <c r="E839" t="s">
        <v>9369</v>
      </c>
    </row>
    <row r="840" spans="1:5">
      <c r="A840" t="s">
        <v>10803</v>
      </c>
      <c r="B840" t="s">
        <v>10804</v>
      </c>
      <c r="C840" t="s">
        <v>9369</v>
      </c>
      <c r="D840" t="s">
        <v>9369</v>
      </c>
      <c r="E840" t="s">
        <v>9369</v>
      </c>
    </row>
    <row r="841" spans="1:5">
      <c r="A841" t="s">
        <v>10805</v>
      </c>
      <c r="B841" t="s">
        <v>10806</v>
      </c>
      <c r="C841" t="s">
        <v>9369</v>
      </c>
      <c r="D841" t="s">
        <v>9369</v>
      </c>
      <c r="E841" t="s">
        <v>9369</v>
      </c>
    </row>
    <row r="842" spans="1:5">
      <c r="A842" t="s">
        <v>404</v>
      </c>
      <c r="B842" t="s">
        <v>405</v>
      </c>
      <c r="C842" t="s">
        <v>9369</v>
      </c>
      <c r="D842" t="s">
        <v>9369</v>
      </c>
      <c r="E842" t="s">
        <v>9369</v>
      </c>
    </row>
    <row r="843" spans="1:5">
      <c r="A843" t="s">
        <v>407</v>
      </c>
      <c r="B843" t="s">
        <v>408</v>
      </c>
      <c r="C843" t="s">
        <v>9369</v>
      </c>
      <c r="D843" t="s">
        <v>9369</v>
      </c>
      <c r="E843" t="s">
        <v>9369</v>
      </c>
    </row>
    <row r="844" spans="1:5">
      <c r="A844" t="s">
        <v>410</v>
      </c>
      <c r="B844" t="s">
        <v>411</v>
      </c>
      <c r="C844" t="s">
        <v>9369</v>
      </c>
      <c r="D844" t="s">
        <v>9369</v>
      </c>
      <c r="E844" t="s">
        <v>9369</v>
      </c>
    </row>
    <row r="845" spans="1:5" hidden="1">
      <c r="A845" t="s">
        <v>10807</v>
      </c>
      <c r="B845" t="s">
        <v>10808</v>
      </c>
      <c r="C845" t="s">
        <v>9378</v>
      </c>
      <c r="D845" t="s">
        <v>9378</v>
      </c>
      <c r="E845" t="s">
        <v>9378</v>
      </c>
    </row>
    <row r="846" spans="1:5" hidden="1">
      <c r="A846" t="s">
        <v>10809</v>
      </c>
      <c r="B846" t="s">
        <v>10810</v>
      </c>
      <c r="C846" t="s">
        <v>9378</v>
      </c>
      <c r="D846" t="s">
        <v>9378</v>
      </c>
      <c r="E846" t="s">
        <v>9378</v>
      </c>
    </row>
    <row r="847" spans="1:5" hidden="1">
      <c r="A847" t="s">
        <v>10811</v>
      </c>
      <c r="B847" t="s">
        <v>10812</v>
      </c>
      <c r="C847" t="s">
        <v>9378</v>
      </c>
      <c r="D847" t="s">
        <v>9378</v>
      </c>
      <c r="E847" t="s">
        <v>9378</v>
      </c>
    </row>
    <row r="848" spans="1:5" hidden="1">
      <c r="A848" t="s">
        <v>10813</v>
      </c>
      <c r="B848" t="s">
        <v>10814</v>
      </c>
      <c r="C848" t="s">
        <v>9378</v>
      </c>
      <c r="D848" t="s">
        <v>9378</v>
      </c>
      <c r="E848" t="s">
        <v>9378</v>
      </c>
    </row>
    <row r="849" spans="1:5" hidden="1">
      <c r="A849" t="s">
        <v>10815</v>
      </c>
      <c r="B849" t="s">
        <v>10816</v>
      </c>
      <c r="C849" t="s">
        <v>9378</v>
      </c>
      <c r="D849" t="s">
        <v>9378</v>
      </c>
      <c r="E849" t="s">
        <v>9378</v>
      </c>
    </row>
    <row r="850" spans="1:5" hidden="1">
      <c r="A850" t="s">
        <v>10817</v>
      </c>
      <c r="B850" t="s">
        <v>10818</v>
      </c>
      <c r="C850" t="s">
        <v>9378</v>
      </c>
      <c r="D850" t="s">
        <v>9378</v>
      </c>
      <c r="E850" t="s">
        <v>9378</v>
      </c>
    </row>
    <row r="851" spans="1:5" hidden="1">
      <c r="A851" t="s">
        <v>10819</v>
      </c>
      <c r="B851" t="s">
        <v>10820</v>
      </c>
      <c r="C851" t="s">
        <v>9378</v>
      </c>
      <c r="D851" t="s">
        <v>9378</v>
      </c>
      <c r="E851" t="s">
        <v>9378</v>
      </c>
    </row>
    <row r="852" spans="1:5" hidden="1">
      <c r="A852" t="s">
        <v>10821</v>
      </c>
      <c r="B852" t="s">
        <v>10822</v>
      </c>
      <c r="C852" t="s">
        <v>9378</v>
      </c>
      <c r="D852" t="s">
        <v>9378</v>
      </c>
      <c r="E852" t="s">
        <v>9378</v>
      </c>
    </row>
    <row r="853" spans="1:5">
      <c r="A853" t="s">
        <v>10823</v>
      </c>
      <c r="B853" t="s">
        <v>10824</v>
      </c>
      <c r="C853" t="s">
        <v>9369</v>
      </c>
      <c r="D853" t="s">
        <v>9369</v>
      </c>
      <c r="E853" t="s">
        <v>9369</v>
      </c>
    </row>
    <row r="854" spans="1:5" hidden="1">
      <c r="A854" t="s">
        <v>10825</v>
      </c>
      <c r="B854" t="s">
        <v>10826</v>
      </c>
      <c r="C854" t="s">
        <v>9378</v>
      </c>
      <c r="D854" t="s">
        <v>9378</v>
      </c>
      <c r="E854" t="s">
        <v>9378</v>
      </c>
    </row>
    <row r="855" spans="1:5" hidden="1">
      <c r="A855" t="s">
        <v>10827</v>
      </c>
      <c r="B855" t="s">
        <v>10828</v>
      </c>
      <c r="C855" t="s">
        <v>9378</v>
      </c>
      <c r="D855" t="s">
        <v>9378</v>
      </c>
      <c r="E855" t="s">
        <v>9378</v>
      </c>
    </row>
    <row r="856" spans="1:5">
      <c r="A856" t="s">
        <v>10829</v>
      </c>
      <c r="B856" t="s">
        <v>10830</v>
      </c>
      <c r="C856" t="s">
        <v>9369</v>
      </c>
      <c r="D856" t="s">
        <v>9369</v>
      </c>
      <c r="E856" t="s">
        <v>9369</v>
      </c>
    </row>
    <row r="857" spans="1:5" hidden="1">
      <c r="A857" t="s">
        <v>10831</v>
      </c>
      <c r="B857" t="s">
        <v>10832</v>
      </c>
      <c r="C857" t="s">
        <v>9378</v>
      </c>
      <c r="D857" t="s">
        <v>9378</v>
      </c>
      <c r="E857" t="s">
        <v>9378</v>
      </c>
    </row>
    <row r="858" spans="1:5">
      <c r="A858" t="s">
        <v>10833</v>
      </c>
      <c r="B858" t="s">
        <v>10834</v>
      </c>
      <c r="C858" t="s">
        <v>9369</v>
      </c>
      <c r="D858" t="s">
        <v>9369</v>
      </c>
      <c r="E858" t="s">
        <v>9369</v>
      </c>
    </row>
    <row r="859" spans="1:5" hidden="1">
      <c r="A859" t="s">
        <v>10835</v>
      </c>
      <c r="B859" t="s">
        <v>10836</v>
      </c>
      <c r="C859" t="s">
        <v>9378</v>
      </c>
      <c r="D859" t="s">
        <v>9378</v>
      </c>
      <c r="E859" t="s">
        <v>9378</v>
      </c>
    </row>
    <row r="860" spans="1:5" hidden="1">
      <c r="A860" t="s">
        <v>10837</v>
      </c>
      <c r="B860" t="s">
        <v>10838</v>
      </c>
      <c r="C860" t="s">
        <v>9378</v>
      </c>
      <c r="D860" t="s">
        <v>9378</v>
      </c>
      <c r="E860" t="s">
        <v>9405</v>
      </c>
    </row>
    <row r="861" spans="1:5" hidden="1">
      <c r="A861" t="s">
        <v>365</v>
      </c>
      <c r="B861" t="s">
        <v>10839</v>
      </c>
      <c r="C861" t="s">
        <v>9378</v>
      </c>
      <c r="D861" t="s">
        <v>9378</v>
      </c>
      <c r="E861" t="s">
        <v>9378</v>
      </c>
    </row>
    <row r="862" spans="1:5" hidden="1">
      <c r="A862" t="s">
        <v>10840</v>
      </c>
      <c r="B862" t="s">
        <v>10841</v>
      </c>
      <c r="C862" t="s">
        <v>9378</v>
      </c>
      <c r="D862" t="s">
        <v>9378</v>
      </c>
      <c r="E862" t="s">
        <v>9353</v>
      </c>
    </row>
    <row r="863" spans="1:5" hidden="1">
      <c r="A863" t="s">
        <v>10842</v>
      </c>
      <c r="B863" t="s">
        <v>10843</v>
      </c>
      <c r="C863" t="s">
        <v>9378</v>
      </c>
      <c r="D863" t="s">
        <v>9378</v>
      </c>
      <c r="E863" t="s">
        <v>9353</v>
      </c>
    </row>
    <row r="864" spans="1:5" hidden="1">
      <c r="A864" t="s">
        <v>10844</v>
      </c>
      <c r="B864" t="s">
        <v>10845</v>
      </c>
      <c r="C864" t="s">
        <v>9378</v>
      </c>
      <c r="D864" t="s">
        <v>9378</v>
      </c>
      <c r="E864" t="s">
        <v>9353</v>
      </c>
    </row>
    <row r="865" spans="1:5" hidden="1">
      <c r="A865" t="s">
        <v>10846</v>
      </c>
      <c r="B865" t="s">
        <v>10847</v>
      </c>
      <c r="C865" t="s">
        <v>9378</v>
      </c>
      <c r="D865" t="s">
        <v>9378</v>
      </c>
      <c r="E865" t="s">
        <v>9353</v>
      </c>
    </row>
    <row r="866" spans="1:5" hidden="1">
      <c r="A866" t="s">
        <v>10848</v>
      </c>
      <c r="B866" t="s">
        <v>10849</v>
      </c>
      <c r="C866" t="s">
        <v>9378</v>
      </c>
      <c r="D866" t="s">
        <v>9378</v>
      </c>
      <c r="E866" t="s">
        <v>9353</v>
      </c>
    </row>
    <row r="867" spans="1:5" hidden="1">
      <c r="A867" t="s">
        <v>10850</v>
      </c>
      <c r="B867" t="s">
        <v>10851</v>
      </c>
      <c r="C867" t="s">
        <v>9378</v>
      </c>
      <c r="D867" t="s">
        <v>9378</v>
      </c>
      <c r="E867" t="s">
        <v>9353</v>
      </c>
    </row>
    <row r="868" spans="1:5" hidden="1">
      <c r="A868" t="s">
        <v>10852</v>
      </c>
      <c r="B868" t="s">
        <v>10853</v>
      </c>
      <c r="C868" t="s">
        <v>9378</v>
      </c>
      <c r="D868" t="s">
        <v>9378</v>
      </c>
      <c r="E868" t="s">
        <v>9353</v>
      </c>
    </row>
    <row r="869" spans="1:5" hidden="1">
      <c r="A869" t="s">
        <v>10854</v>
      </c>
      <c r="B869" t="s">
        <v>10855</v>
      </c>
      <c r="C869" t="s">
        <v>9378</v>
      </c>
      <c r="D869" t="s">
        <v>9378</v>
      </c>
      <c r="E869" t="s">
        <v>9353</v>
      </c>
    </row>
    <row r="870" spans="1:5" hidden="1">
      <c r="A870" t="s">
        <v>10856</v>
      </c>
      <c r="B870" t="s">
        <v>10857</v>
      </c>
      <c r="C870" t="s">
        <v>9378</v>
      </c>
      <c r="D870" t="s">
        <v>9378</v>
      </c>
      <c r="E870" t="s">
        <v>9353</v>
      </c>
    </row>
    <row r="871" spans="1:5" hidden="1">
      <c r="A871" t="s">
        <v>10858</v>
      </c>
      <c r="B871" t="s">
        <v>10859</v>
      </c>
      <c r="C871" t="s">
        <v>9378</v>
      </c>
      <c r="D871" t="s">
        <v>9378</v>
      </c>
      <c r="E871" t="s">
        <v>9353</v>
      </c>
    </row>
    <row r="872" spans="1:5" hidden="1">
      <c r="A872" t="s">
        <v>10860</v>
      </c>
      <c r="B872" t="s">
        <v>10861</v>
      </c>
      <c r="C872" t="s">
        <v>9378</v>
      </c>
      <c r="D872" t="s">
        <v>9378</v>
      </c>
      <c r="E872" t="s">
        <v>9353</v>
      </c>
    </row>
    <row r="873" spans="1:5" hidden="1">
      <c r="A873" t="s">
        <v>200</v>
      </c>
      <c r="B873" t="s">
        <v>201</v>
      </c>
      <c r="C873" t="s">
        <v>9378</v>
      </c>
      <c r="D873" t="s">
        <v>9378</v>
      </c>
      <c r="E873" t="s">
        <v>9353</v>
      </c>
    </row>
    <row r="874" spans="1:5" hidden="1">
      <c r="A874" t="s">
        <v>10862</v>
      </c>
      <c r="B874" t="s">
        <v>10863</v>
      </c>
      <c r="C874" t="s">
        <v>9378</v>
      </c>
      <c r="D874" t="s">
        <v>9378</v>
      </c>
      <c r="E874" t="s">
        <v>9353</v>
      </c>
    </row>
    <row r="875" spans="1:5" hidden="1">
      <c r="A875" t="s">
        <v>10864</v>
      </c>
      <c r="B875" t="s">
        <v>10865</v>
      </c>
      <c r="C875" t="s">
        <v>9378</v>
      </c>
      <c r="D875" t="s">
        <v>9378</v>
      </c>
      <c r="E875" t="s">
        <v>9353</v>
      </c>
    </row>
    <row r="876" spans="1:5" hidden="1">
      <c r="A876" t="s">
        <v>10866</v>
      </c>
      <c r="B876" t="s">
        <v>10867</v>
      </c>
      <c r="C876" t="s">
        <v>9378</v>
      </c>
      <c r="D876" t="s">
        <v>9378</v>
      </c>
      <c r="E876" t="s">
        <v>9353</v>
      </c>
    </row>
    <row r="877" spans="1:5" hidden="1">
      <c r="A877" t="s">
        <v>10868</v>
      </c>
      <c r="B877" t="s">
        <v>10869</v>
      </c>
      <c r="C877" t="s">
        <v>9378</v>
      </c>
      <c r="D877" t="s">
        <v>9378</v>
      </c>
      <c r="E877" t="s">
        <v>9353</v>
      </c>
    </row>
    <row r="878" spans="1:5" hidden="1">
      <c r="A878" t="s">
        <v>10870</v>
      </c>
      <c r="B878" t="s">
        <v>10871</v>
      </c>
      <c r="C878" t="s">
        <v>9378</v>
      </c>
      <c r="D878" t="s">
        <v>9378</v>
      </c>
      <c r="E878" t="s">
        <v>9353</v>
      </c>
    </row>
    <row r="879" spans="1:5" hidden="1">
      <c r="A879" t="s">
        <v>10872</v>
      </c>
      <c r="B879" t="s">
        <v>10873</v>
      </c>
      <c r="C879" t="s">
        <v>9378</v>
      </c>
      <c r="D879" t="s">
        <v>9378</v>
      </c>
      <c r="E879" t="s">
        <v>9353</v>
      </c>
    </row>
    <row r="880" spans="1:5" hidden="1">
      <c r="A880" t="s">
        <v>10874</v>
      </c>
      <c r="B880" t="s">
        <v>10875</v>
      </c>
      <c r="C880" t="s">
        <v>9378</v>
      </c>
      <c r="D880" t="s">
        <v>9378</v>
      </c>
      <c r="E880" t="s">
        <v>9353</v>
      </c>
    </row>
    <row r="881" spans="1:5" hidden="1">
      <c r="A881" t="s">
        <v>10876</v>
      </c>
      <c r="B881" t="s">
        <v>10877</v>
      </c>
      <c r="C881" t="s">
        <v>9378</v>
      </c>
      <c r="D881" t="s">
        <v>9378</v>
      </c>
      <c r="E881" t="s">
        <v>9353</v>
      </c>
    </row>
    <row r="882" spans="1:5" hidden="1">
      <c r="A882" t="s">
        <v>10878</v>
      </c>
      <c r="B882" t="s">
        <v>10879</v>
      </c>
      <c r="C882" t="s">
        <v>9378</v>
      </c>
      <c r="D882" t="s">
        <v>9378</v>
      </c>
      <c r="E882" t="s">
        <v>9353</v>
      </c>
    </row>
    <row r="883" spans="1:5" hidden="1">
      <c r="A883" t="s">
        <v>10880</v>
      </c>
      <c r="B883" t="s">
        <v>10881</v>
      </c>
      <c r="C883" t="s">
        <v>9378</v>
      </c>
      <c r="D883" t="s">
        <v>9378</v>
      </c>
      <c r="E883" t="s">
        <v>9353</v>
      </c>
    </row>
    <row r="884" spans="1:5" hidden="1">
      <c r="A884" t="s">
        <v>10882</v>
      </c>
      <c r="B884" t="s">
        <v>10883</v>
      </c>
      <c r="C884" t="s">
        <v>9378</v>
      </c>
      <c r="D884" t="s">
        <v>9378</v>
      </c>
      <c r="E884" t="s">
        <v>9353</v>
      </c>
    </row>
    <row r="885" spans="1:5" hidden="1">
      <c r="A885" t="s">
        <v>10884</v>
      </c>
      <c r="B885" t="s">
        <v>10885</v>
      </c>
      <c r="C885" t="s">
        <v>9378</v>
      </c>
      <c r="D885" t="s">
        <v>9378</v>
      </c>
      <c r="E885" t="s">
        <v>9353</v>
      </c>
    </row>
    <row r="886" spans="1:5" hidden="1">
      <c r="A886" t="s">
        <v>10886</v>
      </c>
      <c r="B886" t="s">
        <v>10887</v>
      </c>
      <c r="C886" t="s">
        <v>9378</v>
      </c>
      <c r="D886" t="s">
        <v>9378</v>
      </c>
      <c r="E886" t="s">
        <v>9353</v>
      </c>
    </row>
    <row r="887" spans="1:5" hidden="1">
      <c r="A887" t="s">
        <v>10888</v>
      </c>
      <c r="B887" t="s">
        <v>10889</v>
      </c>
      <c r="C887" t="s">
        <v>9378</v>
      </c>
      <c r="D887" t="s">
        <v>9378</v>
      </c>
      <c r="E887" t="s">
        <v>9353</v>
      </c>
    </row>
    <row r="888" spans="1:5" hidden="1">
      <c r="A888" t="s">
        <v>10890</v>
      </c>
      <c r="B888" t="s">
        <v>10891</v>
      </c>
      <c r="C888" t="s">
        <v>9378</v>
      </c>
      <c r="D888" t="s">
        <v>9378</v>
      </c>
      <c r="E888" t="s">
        <v>9353</v>
      </c>
    </row>
    <row r="889" spans="1:5" hidden="1">
      <c r="A889" t="s">
        <v>10892</v>
      </c>
      <c r="B889" t="s">
        <v>10893</v>
      </c>
      <c r="C889" t="s">
        <v>9378</v>
      </c>
      <c r="D889" t="s">
        <v>9378</v>
      </c>
      <c r="E889" t="s">
        <v>9353</v>
      </c>
    </row>
    <row r="890" spans="1:5" hidden="1">
      <c r="A890" t="s">
        <v>10894</v>
      </c>
      <c r="B890" t="s">
        <v>10895</v>
      </c>
      <c r="C890" t="s">
        <v>9378</v>
      </c>
      <c r="D890" t="s">
        <v>9378</v>
      </c>
      <c r="E890" t="s">
        <v>9353</v>
      </c>
    </row>
    <row r="891" spans="1:5" hidden="1">
      <c r="A891" t="s">
        <v>10896</v>
      </c>
      <c r="B891" t="s">
        <v>10897</v>
      </c>
      <c r="C891" t="s">
        <v>9378</v>
      </c>
      <c r="D891" t="s">
        <v>9378</v>
      </c>
      <c r="E891" t="s">
        <v>9353</v>
      </c>
    </row>
    <row r="892" spans="1:5" hidden="1">
      <c r="A892" t="s">
        <v>10898</v>
      </c>
      <c r="B892" t="s">
        <v>10899</v>
      </c>
      <c r="C892" t="s">
        <v>9378</v>
      </c>
      <c r="D892" t="s">
        <v>9378</v>
      </c>
      <c r="E892" t="s">
        <v>9353</v>
      </c>
    </row>
    <row r="893" spans="1:5" hidden="1">
      <c r="A893" t="s">
        <v>10900</v>
      </c>
      <c r="B893" t="s">
        <v>10901</v>
      </c>
      <c r="C893" t="s">
        <v>9378</v>
      </c>
      <c r="D893" t="s">
        <v>9378</v>
      </c>
      <c r="E893" t="s">
        <v>9353</v>
      </c>
    </row>
    <row r="894" spans="1:5" hidden="1">
      <c r="A894" t="s">
        <v>10902</v>
      </c>
      <c r="B894" t="s">
        <v>10903</v>
      </c>
      <c r="C894" t="s">
        <v>9378</v>
      </c>
      <c r="D894" t="s">
        <v>9378</v>
      </c>
      <c r="E894" t="s">
        <v>9353</v>
      </c>
    </row>
    <row r="895" spans="1:5" hidden="1">
      <c r="A895" t="s">
        <v>10904</v>
      </c>
      <c r="B895" t="s">
        <v>10905</v>
      </c>
      <c r="C895" t="s">
        <v>9378</v>
      </c>
      <c r="D895" t="s">
        <v>9378</v>
      </c>
      <c r="E895" t="s">
        <v>9353</v>
      </c>
    </row>
    <row r="896" spans="1:5" hidden="1">
      <c r="A896" t="s">
        <v>10906</v>
      </c>
      <c r="B896" t="s">
        <v>10907</v>
      </c>
      <c r="C896" t="s">
        <v>9378</v>
      </c>
      <c r="D896" t="s">
        <v>9378</v>
      </c>
      <c r="E896" t="s">
        <v>9353</v>
      </c>
    </row>
    <row r="897" spans="1:5" hidden="1">
      <c r="A897" t="s">
        <v>10908</v>
      </c>
      <c r="B897" t="s">
        <v>10909</v>
      </c>
      <c r="C897" t="s">
        <v>9378</v>
      </c>
      <c r="D897" t="s">
        <v>9378</v>
      </c>
      <c r="E897" t="s">
        <v>9353</v>
      </c>
    </row>
    <row r="898" spans="1:5" hidden="1">
      <c r="A898" t="s">
        <v>10910</v>
      </c>
      <c r="B898" t="s">
        <v>10911</v>
      </c>
      <c r="C898" t="s">
        <v>9378</v>
      </c>
      <c r="D898" t="s">
        <v>9378</v>
      </c>
      <c r="E898" t="s">
        <v>9353</v>
      </c>
    </row>
    <row r="899" spans="1:5" hidden="1">
      <c r="A899" t="s">
        <v>287</v>
      </c>
      <c r="B899" t="s">
        <v>10912</v>
      </c>
      <c r="C899" t="s">
        <v>9378</v>
      </c>
      <c r="D899" t="s">
        <v>9378</v>
      </c>
      <c r="E899" t="s">
        <v>9353</v>
      </c>
    </row>
    <row r="900" spans="1:5" hidden="1">
      <c r="A900" t="s">
        <v>10913</v>
      </c>
      <c r="B900" t="s">
        <v>10914</v>
      </c>
      <c r="C900" t="s">
        <v>9378</v>
      </c>
      <c r="D900" t="s">
        <v>9378</v>
      </c>
      <c r="E900" t="s">
        <v>9353</v>
      </c>
    </row>
    <row r="901" spans="1:5" hidden="1">
      <c r="A901" t="s">
        <v>10915</v>
      </c>
      <c r="B901" t="s">
        <v>10916</v>
      </c>
      <c r="C901" t="s">
        <v>9378</v>
      </c>
      <c r="D901" t="s">
        <v>9378</v>
      </c>
      <c r="E901" t="s">
        <v>9353</v>
      </c>
    </row>
    <row r="902" spans="1:5" hidden="1">
      <c r="A902" t="s">
        <v>10917</v>
      </c>
      <c r="B902" t="s">
        <v>10918</v>
      </c>
      <c r="C902" t="s">
        <v>9378</v>
      </c>
      <c r="D902" t="s">
        <v>9378</v>
      </c>
      <c r="E902" t="s">
        <v>9353</v>
      </c>
    </row>
    <row r="903" spans="1:5" hidden="1">
      <c r="A903" t="s">
        <v>245</v>
      </c>
      <c r="B903" t="s">
        <v>246</v>
      </c>
      <c r="C903" t="s">
        <v>9378</v>
      </c>
      <c r="D903" t="s">
        <v>9378</v>
      </c>
      <c r="E903" t="s">
        <v>9353</v>
      </c>
    </row>
    <row r="904" spans="1:5" hidden="1">
      <c r="A904" t="s">
        <v>10919</v>
      </c>
      <c r="B904" t="s">
        <v>10920</v>
      </c>
      <c r="C904" t="s">
        <v>9378</v>
      </c>
      <c r="D904" t="s">
        <v>9378</v>
      </c>
      <c r="E904" t="s">
        <v>9353</v>
      </c>
    </row>
    <row r="905" spans="1:5" hidden="1">
      <c r="A905" t="s">
        <v>10921</v>
      </c>
      <c r="B905" t="s">
        <v>10922</v>
      </c>
      <c r="C905" t="s">
        <v>9378</v>
      </c>
      <c r="D905" t="s">
        <v>9378</v>
      </c>
      <c r="E905" t="s">
        <v>9353</v>
      </c>
    </row>
    <row r="906" spans="1:5" hidden="1">
      <c r="A906" t="s">
        <v>10923</v>
      </c>
      <c r="B906" t="s">
        <v>10924</v>
      </c>
      <c r="C906" t="s">
        <v>9378</v>
      </c>
      <c r="D906" t="s">
        <v>9378</v>
      </c>
      <c r="E906" t="s">
        <v>9353</v>
      </c>
    </row>
    <row r="907" spans="1:5" hidden="1">
      <c r="A907" t="s">
        <v>10925</v>
      </c>
      <c r="B907" t="s">
        <v>10926</v>
      </c>
      <c r="C907" t="s">
        <v>9378</v>
      </c>
      <c r="D907" t="s">
        <v>9378</v>
      </c>
      <c r="E907" t="s">
        <v>9353</v>
      </c>
    </row>
    <row r="908" spans="1:5" hidden="1">
      <c r="A908" t="s">
        <v>10927</v>
      </c>
      <c r="B908" t="s">
        <v>10928</v>
      </c>
      <c r="C908" t="s">
        <v>9378</v>
      </c>
      <c r="D908" t="s">
        <v>9378</v>
      </c>
      <c r="E908" t="s">
        <v>9353</v>
      </c>
    </row>
    <row r="909" spans="1:5" hidden="1">
      <c r="A909" t="s">
        <v>10929</v>
      </c>
      <c r="B909" t="s">
        <v>10930</v>
      </c>
      <c r="C909" t="s">
        <v>9378</v>
      </c>
      <c r="D909" t="s">
        <v>9378</v>
      </c>
      <c r="E909" t="s">
        <v>9353</v>
      </c>
    </row>
    <row r="910" spans="1:5" hidden="1">
      <c r="A910" t="s">
        <v>10931</v>
      </c>
      <c r="B910" t="s">
        <v>10932</v>
      </c>
      <c r="C910" t="s">
        <v>9378</v>
      </c>
      <c r="D910" t="s">
        <v>9378</v>
      </c>
      <c r="E910" t="s">
        <v>9353</v>
      </c>
    </row>
    <row r="911" spans="1:5" hidden="1">
      <c r="A911" t="s">
        <v>10933</v>
      </c>
      <c r="B911" t="s">
        <v>10934</v>
      </c>
      <c r="C911" t="s">
        <v>9378</v>
      </c>
      <c r="D911" t="s">
        <v>9378</v>
      </c>
      <c r="E911" t="s">
        <v>9353</v>
      </c>
    </row>
    <row r="912" spans="1:5" hidden="1">
      <c r="A912" t="s">
        <v>10935</v>
      </c>
      <c r="B912" t="s">
        <v>10936</v>
      </c>
      <c r="C912" t="s">
        <v>9378</v>
      </c>
      <c r="D912" t="s">
        <v>9378</v>
      </c>
      <c r="E912" t="s">
        <v>9353</v>
      </c>
    </row>
    <row r="913" spans="1:5" hidden="1">
      <c r="A913" t="s">
        <v>10937</v>
      </c>
      <c r="B913" t="s">
        <v>10938</v>
      </c>
      <c r="C913" t="s">
        <v>9378</v>
      </c>
      <c r="D913" t="s">
        <v>9378</v>
      </c>
      <c r="E913" t="s">
        <v>9353</v>
      </c>
    </row>
    <row r="914" spans="1:5" hidden="1">
      <c r="A914" t="s">
        <v>10939</v>
      </c>
      <c r="B914" t="s">
        <v>10940</v>
      </c>
      <c r="C914" t="s">
        <v>9378</v>
      </c>
      <c r="D914" t="s">
        <v>9378</v>
      </c>
      <c r="E914" t="s">
        <v>9353</v>
      </c>
    </row>
    <row r="915" spans="1:5" hidden="1">
      <c r="A915" t="s">
        <v>10941</v>
      </c>
      <c r="B915" t="s">
        <v>10942</v>
      </c>
      <c r="C915" t="s">
        <v>9378</v>
      </c>
      <c r="D915" t="s">
        <v>9378</v>
      </c>
      <c r="E915" t="s">
        <v>9353</v>
      </c>
    </row>
    <row r="916" spans="1:5" hidden="1">
      <c r="A916" t="s">
        <v>10943</v>
      </c>
      <c r="B916" t="s">
        <v>10944</v>
      </c>
      <c r="C916" t="s">
        <v>9378</v>
      </c>
      <c r="D916" t="s">
        <v>9378</v>
      </c>
      <c r="E916" t="s">
        <v>9353</v>
      </c>
    </row>
    <row r="917" spans="1:5" hidden="1">
      <c r="A917" t="s">
        <v>293</v>
      </c>
      <c r="B917" t="s">
        <v>294</v>
      </c>
      <c r="C917" t="s">
        <v>9378</v>
      </c>
      <c r="D917" t="s">
        <v>9378</v>
      </c>
      <c r="E917" t="s">
        <v>9353</v>
      </c>
    </row>
    <row r="918" spans="1:5" hidden="1">
      <c r="A918" t="s">
        <v>10945</v>
      </c>
      <c r="B918" t="s">
        <v>10946</v>
      </c>
      <c r="C918" t="s">
        <v>9378</v>
      </c>
      <c r="D918" t="s">
        <v>9378</v>
      </c>
      <c r="E918" t="s">
        <v>9353</v>
      </c>
    </row>
    <row r="919" spans="1:5" hidden="1">
      <c r="A919" t="s">
        <v>10947</v>
      </c>
      <c r="B919" t="s">
        <v>10948</v>
      </c>
      <c r="C919" t="s">
        <v>9378</v>
      </c>
      <c r="D919" t="s">
        <v>9378</v>
      </c>
      <c r="E919" t="s">
        <v>9353</v>
      </c>
    </row>
    <row r="920" spans="1:5" hidden="1">
      <c r="A920" t="s">
        <v>10949</v>
      </c>
      <c r="B920" t="s">
        <v>10950</v>
      </c>
      <c r="C920" t="s">
        <v>9378</v>
      </c>
      <c r="D920" t="s">
        <v>9378</v>
      </c>
      <c r="E920" t="s">
        <v>9353</v>
      </c>
    </row>
    <row r="921" spans="1:5" hidden="1">
      <c r="A921" t="s">
        <v>10951</v>
      </c>
      <c r="B921" t="s">
        <v>10952</v>
      </c>
      <c r="C921" t="s">
        <v>9378</v>
      </c>
      <c r="D921" t="s">
        <v>9378</v>
      </c>
      <c r="E921" t="s">
        <v>9353</v>
      </c>
    </row>
    <row r="922" spans="1:5" hidden="1">
      <c r="A922" t="s">
        <v>10953</v>
      </c>
      <c r="B922" t="s">
        <v>10954</v>
      </c>
      <c r="C922" t="s">
        <v>9378</v>
      </c>
      <c r="D922" t="s">
        <v>9378</v>
      </c>
      <c r="E922" t="s">
        <v>9353</v>
      </c>
    </row>
    <row r="923" spans="1:5" hidden="1">
      <c r="A923" t="s">
        <v>10955</v>
      </c>
      <c r="B923" t="s">
        <v>10956</v>
      </c>
      <c r="C923" t="s">
        <v>9378</v>
      </c>
      <c r="D923" t="s">
        <v>9378</v>
      </c>
      <c r="E923" t="s">
        <v>9353</v>
      </c>
    </row>
    <row r="924" spans="1:5" hidden="1">
      <c r="A924" t="s">
        <v>67</v>
      </c>
      <c r="B924" t="s">
        <v>68</v>
      </c>
      <c r="C924" t="s">
        <v>9378</v>
      </c>
      <c r="D924" t="s">
        <v>9378</v>
      </c>
      <c r="E924" t="s">
        <v>9353</v>
      </c>
    </row>
    <row r="925" spans="1:5" hidden="1">
      <c r="A925" t="s">
        <v>10957</v>
      </c>
      <c r="B925" t="s">
        <v>10958</v>
      </c>
      <c r="C925" t="s">
        <v>9378</v>
      </c>
      <c r="D925" t="s">
        <v>9378</v>
      </c>
      <c r="E925" t="s">
        <v>9353</v>
      </c>
    </row>
    <row r="926" spans="1:5" hidden="1">
      <c r="A926" t="s">
        <v>10959</v>
      </c>
      <c r="B926" t="s">
        <v>10960</v>
      </c>
      <c r="C926" t="s">
        <v>9378</v>
      </c>
      <c r="D926" t="s">
        <v>9378</v>
      </c>
      <c r="E926" t="s">
        <v>9353</v>
      </c>
    </row>
    <row r="927" spans="1:5" hidden="1">
      <c r="A927" t="s">
        <v>10961</v>
      </c>
      <c r="B927" t="s">
        <v>10962</v>
      </c>
      <c r="C927" t="s">
        <v>9378</v>
      </c>
      <c r="D927" t="s">
        <v>9378</v>
      </c>
      <c r="E927" t="s">
        <v>9353</v>
      </c>
    </row>
    <row r="928" spans="1:5" hidden="1">
      <c r="A928" t="s">
        <v>10963</v>
      </c>
      <c r="B928" t="s">
        <v>10964</v>
      </c>
      <c r="C928" t="s">
        <v>9378</v>
      </c>
      <c r="D928" t="s">
        <v>9378</v>
      </c>
      <c r="E928" t="s">
        <v>9353</v>
      </c>
    </row>
    <row r="929" spans="1:5" hidden="1">
      <c r="A929" t="s">
        <v>10965</v>
      </c>
      <c r="B929" t="s">
        <v>10966</v>
      </c>
      <c r="C929" t="s">
        <v>9378</v>
      </c>
      <c r="D929" t="s">
        <v>9378</v>
      </c>
      <c r="E929" t="s">
        <v>9353</v>
      </c>
    </row>
    <row r="930" spans="1:5" hidden="1">
      <c r="A930" t="s">
        <v>10967</v>
      </c>
      <c r="B930" t="s">
        <v>10968</v>
      </c>
      <c r="C930" t="s">
        <v>9378</v>
      </c>
      <c r="D930" t="s">
        <v>9378</v>
      </c>
      <c r="E930" t="s">
        <v>9353</v>
      </c>
    </row>
    <row r="931" spans="1:5" hidden="1">
      <c r="A931" t="s">
        <v>10969</v>
      </c>
      <c r="B931" t="s">
        <v>10970</v>
      </c>
      <c r="C931" t="s">
        <v>9378</v>
      </c>
      <c r="D931" t="s">
        <v>9378</v>
      </c>
      <c r="E931" t="s">
        <v>9353</v>
      </c>
    </row>
    <row r="932" spans="1:5" hidden="1">
      <c r="A932" t="s">
        <v>10971</v>
      </c>
      <c r="B932" t="s">
        <v>10972</v>
      </c>
      <c r="C932" t="s">
        <v>9378</v>
      </c>
      <c r="D932" t="s">
        <v>9378</v>
      </c>
      <c r="E932" t="s">
        <v>9353</v>
      </c>
    </row>
    <row r="933" spans="1:5" hidden="1">
      <c r="A933" t="s">
        <v>10973</v>
      </c>
      <c r="B933" t="s">
        <v>10974</v>
      </c>
      <c r="C933" t="s">
        <v>9378</v>
      </c>
      <c r="D933" t="s">
        <v>9378</v>
      </c>
      <c r="E933" t="s">
        <v>9353</v>
      </c>
    </row>
    <row r="934" spans="1:5" hidden="1">
      <c r="A934" t="s">
        <v>10975</v>
      </c>
      <c r="B934" t="s">
        <v>10976</v>
      </c>
      <c r="C934" t="s">
        <v>9378</v>
      </c>
      <c r="D934" t="s">
        <v>9378</v>
      </c>
      <c r="E934" t="s">
        <v>9353</v>
      </c>
    </row>
    <row r="935" spans="1:5" hidden="1">
      <c r="A935" t="s">
        <v>10977</v>
      </c>
      <c r="B935" t="s">
        <v>10978</v>
      </c>
      <c r="C935" t="s">
        <v>9378</v>
      </c>
      <c r="D935" t="s">
        <v>9378</v>
      </c>
      <c r="E935" t="s">
        <v>9353</v>
      </c>
    </row>
    <row r="936" spans="1:5" hidden="1">
      <c r="A936" t="s">
        <v>10979</v>
      </c>
      <c r="B936" t="s">
        <v>10980</v>
      </c>
      <c r="C936" t="s">
        <v>9378</v>
      </c>
      <c r="D936" t="s">
        <v>9378</v>
      </c>
      <c r="E936" t="s">
        <v>9353</v>
      </c>
    </row>
    <row r="937" spans="1:5" hidden="1">
      <c r="A937" t="s">
        <v>10981</v>
      </c>
      <c r="B937" t="s">
        <v>10982</v>
      </c>
      <c r="C937" t="s">
        <v>9378</v>
      </c>
      <c r="D937" t="s">
        <v>9378</v>
      </c>
      <c r="E937" t="s">
        <v>9353</v>
      </c>
    </row>
    <row r="938" spans="1:5" hidden="1">
      <c r="A938" t="s">
        <v>10983</v>
      </c>
      <c r="B938" t="s">
        <v>10984</v>
      </c>
      <c r="C938" t="s">
        <v>9378</v>
      </c>
      <c r="D938" t="s">
        <v>9378</v>
      </c>
      <c r="E938" t="s">
        <v>9353</v>
      </c>
    </row>
    <row r="939" spans="1:5" hidden="1">
      <c r="A939" t="s">
        <v>10985</v>
      </c>
      <c r="B939" t="s">
        <v>10986</v>
      </c>
      <c r="C939" t="s">
        <v>9378</v>
      </c>
      <c r="D939" t="s">
        <v>9378</v>
      </c>
      <c r="E939" t="s">
        <v>9353</v>
      </c>
    </row>
    <row r="940" spans="1:5" hidden="1">
      <c r="A940" t="s">
        <v>10987</v>
      </c>
      <c r="B940" t="s">
        <v>10988</v>
      </c>
      <c r="C940" t="s">
        <v>9378</v>
      </c>
      <c r="D940" t="s">
        <v>9378</v>
      </c>
      <c r="E940" t="s">
        <v>9353</v>
      </c>
    </row>
    <row r="941" spans="1:5" hidden="1">
      <c r="A941" t="s">
        <v>10989</v>
      </c>
      <c r="B941" t="s">
        <v>10990</v>
      </c>
      <c r="C941" t="s">
        <v>9378</v>
      </c>
      <c r="D941" t="s">
        <v>9378</v>
      </c>
      <c r="E941" t="s">
        <v>9353</v>
      </c>
    </row>
    <row r="942" spans="1:5" hidden="1">
      <c r="A942" t="s">
        <v>10991</v>
      </c>
      <c r="B942" t="s">
        <v>10992</v>
      </c>
      <c r="C942" t="s">
        <v>9378</v>
      </c>
      <c r="D942" t="s">
        <v>9378</v>
      </c>
      <c r="E942" t="s">
        <v>9353</v>
      </c>
    </row>
    <row r="943" spans="1:5" hidden="1">
      <c r="A943" t="s">
        <v>10993</v>
      </c>
      <c r="B943" t="s">
        <v>10994</v>
      </c>
      <c r="C943" t="s">
        <v>9378</v>
      </c>
      <c r="D943" t="s">
        <v>9378</v>
      </c>
      <c r="E943" t="s">
        <v>9353</v>
      </c>
    </row>
    <row r="944" spans="1:5" hidden="1">
      <c r="A944" t="s">
        <v>10995</v>
      </c>
      <c r="B944" t="s">
        <v>10996</v>
      </c>
      <c r="C944" t="s">
        <v>9378</v>
      </c>
      <c r="D944" t="s">
        <v>9378</v>
      </c>
      <c r="E944" t="s">
        <v>9353</v>
      </c>
    </row>
    <row r="945" spans="1:10" hidden="1">
      <c r="A945" t="s">
        <v>10997</v>
      </c>
      <c r="B945" t="s">
        <v>10998</v>
      </c>
      <c r="C945" t="s">
        <v>9378</v>
      </c>
      <c r="D945" t="s">
        <v>9378</v>
      </c>
      <c r="E945" t="s">
        <v>9353</v>
      </c>
    </row>
    <row r="946" spans="1:10" hidden="1">
      <c r="A946" t="s">
        <v>10999</v>
      </c>
      <c r="B946" t="s">
        <v>11000</v>
      </c>
      <c r="C946" t="s">
        <v>9378</v>
      </c>
      <c r="D946" t="s">
        <v>9378</v>
      </c>
      <c r="E946" t="s">
        <v>9353</v>
      </c>
    </row>
    <row r="947" spans="1:10" hidden="1">
      <c r="A947" t="s">
        <v>11001</v>
      </c>
      <c r="B947" t="s">
        <v>11002</v>
      </c>
      <c r="C947" t="s">
        <v>9378</v>
      </c>
      <c r="D947" t="s">
        <v>9378</v>
      </c>
      <c r="E947" t="s">
        <v>9353</v>
      </c>
    </row>
    <row r="948" spans="1:10" ht="18.75" hidden="1">
      <c r="A948" t="s">
        <v>11003</v>
      </c>
      <c r="B948" t="s">
        <v>11004</v>
      </c>
      <c r="C948" t="s">
        <v>9378</v>
      </c>
      <c r="D948" t="s">
        <v>9378</v>
      </c>
      <c r="E948" t="s">
        <v>9353</v>
      </c>
      <c r="J948" s="34"/>
    </row>
    <row r="949" spans="1:10" hidden="1">
      <c r="A949" t="s">
        <v>11005</v>
      </c>
      <c r="B949" t="s">
        <v>11006</v>
      </c>
      <c r="C949" t="s">
        <v>9378</v>
      </c>
      <c r="D949" t="s">
        <v>9378</v>
      </c>
      <c r="E949" t="s">
        <v>9378</v>
      </c>
    </row>
    <row r="950" spans="1:10" hidden="1">
      <c r="A950" t="s">
        <v>11007</v>
      </c>
      <c r="B950" t="s">
        <v>11008</v>
      </c>
      <c r="C950" t="s">
        <v>9378</v>
      </c>
      <c r="D950" t="s">
        <v>9378</v>
      </c>
      <c r="E950" t="s">
        <v>9378</v>
      </c>
    </row>
    <row r="951" spans="1:10" hidden="1">
      <c r="A951" t="s">
        <v>11009</v>
      </c>
      <c r="B951" t="s">
        <v>11010</v>
      </c>
      <c r="C951" t="s">
        <v>9378</v>
      </c>
      <c r="D951" t="s">
        <v>9378</v>
      </c>
      <c r="E951" t="s">
        <v>9378</v>
      </c>
    </row>
    <row r="952" spans="1:10" hidden="1">
      <c r="A952" t="s">
        <v>11011</v>
      </c>
      <c r="B952" t="s">
        <v>11012</v>
      </c>
      <c r="C952" t="s">
        <v>9378</v>
      </c>
      <c r="D952" t="s">
        <v>9378</v>
      </c>
      <c r="E952" t="s">
        <v>9378</v>
      </c>
    </row>
    <row r="953" spans="1:10" hidden="1">
      <c r="A953" t="s">
        <v>11013</v>
      </c>
      <c r="B953" t="s">
        <v>11014</v>
      </c>
      <c r="C953" t="s">
        <v>9378</v>
      </c>
      <c r="D953" t="s">
        <v>9378</v>
      </c>
      <c r="E953" t="s">
        <v>9378</v>
      </c>
    </row>
    <row r="954" spans="1:10" hidden="1">
      <c r="A954" t="s">
        <v>11015</v>
      </c>
      <c r="B954" t="s">
        <v>11016</v>
      </c>
      <c r="C954" t="s">
        <v>9378</v>
      </c>
      <c r="D954" t="s">
        <v>9378</v>
      </c>
      <c r="E954" t="s">
        <v>9405</v>
      </c>
    </row>
    <row r="955" spans="1:10" hidden="1">
      <c r="A955" t="s">
        <v>11017</v>
      </c>
      <c r="B955" t="s">
        <v>11018</v>
      </c>
      <c r="C955" t="s">
        <v>9378</v>
      </c>
      <c r="D955" t="s">
        <v>9542</v>
      </c>
      <c r="E955" t="s">
        <v>9378</v>
      </c>
    </row>
    <row r="956" spans="1:10" hidden="1">
      <c r="A956" t="s">
        <v>11019</v>
      </c>
      <c r="B956" t="s">
        <v>11020</v>
      </c>
      <c r="C956" t="s">
        <v>9378</v>
      </c>
      <c r="D956" t="s">
        <v>9378</v>
      </c>
      <c r="E956" t="s">
        <v>9378</v>
      </c>
    </row>
    <row r="957" spans="1:10" hidden="1">
      <c r="A957" t="s">
        <v>11021</v>
      </c>
      <c r="B957" t="s">
        <v>11022</v>
      </c>
      <c r="C957" t="s">
        <v>9378</v>
      </c>
      <c r="D957" t="s">
        <v>9378</v>
      </c>
      <c r="E957" t="s">
        <v>9378</v>
      </c>
    </row>
    <row r="958" spans="1:10" hidden="1">
      <c r="A958" t="s">
        <v>11023</v>
      </c>
      <c r="B958" t="s">
        <v>11024</v>
      </c>
      <c r="C958" t="s">
        <v>9378</v>
      </c>
      <c r="D958" t="s">
        <v>9378</v>
      </c>
      <c r="E958" t="s">
        <v>9378</v>
      </c>
    </row>
    <row r="959" spans="1:10">
      <c r="A959" t="s">
        <v>11025</v>
      </c>
      <c r="B959" t="s">
        <v>11026</v>
      </c>
      <c r="C959" t="s">
        <v>9369</v>
      </c>
      <c r="D959" t="s">
        <v>9369</v>
      </c>
      <c r="E959" t="s">
        <v>9369</v>
      </c>
    </row>
    <row r="960" spans="1:10" hidden="1">
      <c r="A960" t="s">
        <v>11027</v>
      </c>
      <c r="B960" t="s">
        <v>11028</v>
      </c>
      <c r="C960" t="s">
        <v>9378</v>
      </c>
      <c r="D960" t="s">
        <v>9378</v>
      </c>
      <c r="E960" t="s">
        <v>9378</v>
      </c>
    </row>
    <row r="961" spans="1:5" hidden="1">
      <c r="A961" t="s">
        <v>11029</v>
      </c>
      <c r="B961" t="s">
        <v>11030</v>
      </c>
      <c r="C961" t="s">
        <v>9378</v>
      </c>
      <c r="D961" t="s">
        <v>9378</v>
      </c>
      <c r="E961" t="s">
        <v>9405</v>
      </c>
    </row>
    <row r="962" spans="1:5" hidden="1">
      <c r="A962" t="s">
        <v>11031</v>
      </c>
      <c r="B962" t="s">
        <v>11032</v>
      </c>
      <c r="C962" t="s">
        <v>9378</v>
      </c>
      <c r="D962" t="s">
        <v>9378</v>
      </c>
      <c r="E962" t="s">
        <v>9405</v>
      </c>
    </row>
    <row r="963" spans="1:5" hidden="1">
      <c r="A963" t="s">
        <v>11033</v>
      </c>
      <c r="B963" t="s">
        <v>11034</v>
      </c>
      <c r="C963" t="s">
        <v>9378</v>
      </c>
      <c r="D963" t="s">
        <v>9378</v>
      </c>
      <c r="E963" t="s">
        <v>9405</v>
      </c>
    </row>
    <row r="964" spans="1:5" hidden="1">
      <c r="A964" t="s">
        <v>11035</v>
      </c>
      <c r="B964" t="s">
        <v>11036</v>
      </c>
      <c r="C964" t="s">
        <v>9378</v>
      </c>
      <c r="D964" t="s">
        <v>9378</v>
      </c>
      <c r="E964" t="s">
        <v>9405</v>
      </c>
    </row>
    <row r="965" spans="1:5" hidden="1">
      <c r="A965" t="s">
        <v>11037</v>
      </c>
      <c r="B965" t="s">
        <v>11038</v>
      </c>
      <c r="C965" t="s">
        <v>9378</v>
      </c>
      <c r="D965" t="s">
        <v>9378</v>
      </c>
      <c r="E965" t="s">
        <v>9405</v>
      </c>
    </row>
    <row r="966" spans="1:5" hidden="1">
      <c r="A966" t="s">
        <v>11039</v>
      </c>
      <c r="B966" t="s">
        <v>11040</v>
      </c>
      <c r="C966" t="s">
        <v>9378</v>
      </c>
      <c r="D966" t="s">
        <v>9378</v>
      </c>
      <c r="E966" t="s">
        <v>9378</v>
      </c>
    </row>
    <row r="967" spans="1:5" hidden="1">
      <c r="A967" t="s">
        <v>11041</v>
      </c>
      <c r="B967" t="s">
        <v>11042</v>
      </c>
      <c r="C967" t="s">
        <v>9378</v>
      </c>
      <c r="D967" t="s">
        <v>9378</v>
      </c>
      <c r="E967" t="s">
        <v>9378</v>
      </c>
    </row>
    <row r="968" spans="1:5">
      <c r="A968" t="s">
        <v>483</v>
      </c>
      <c r="B968" t="s">
        <v>484</v>
      </c>
      <c r="C968" t="s">
        <v>9369</v>
      </c>
      <c r="D968" t="s">
        <v>9369</v>
      </c>
      <c r="E968" t="s">
        <v>9369</v>
      </c>
    </row>
    <row r="969" spans="1:5" hidden="1">
      <c r="A969" t="s">
        <v>11043</v>
      </c>
      <c r="B969" t="s">
        <v>11044</v>
      </c>
      <c r="C969" t="s">
        <v>9378</v>
      </c>
      <c r="D969" t="s">
        <v>9378</v>
      </c>
      <c r="E969" t="s">
        <v>9378</v>
      </c>
    </row>
    <row r="970" spans="1:5" hidden="1">
      <c r="A970" t="s">
        <v>11045</v>
      </c>
      <c r="B970" t="s">
        <v>11046</v>
      </c>
      <c r="C970" t="s">
        <v>9378</v>
      </c>
      <c r="D970" t="s">
        <v>9378</v>
      </c>
      <c r="E970" t="s">
        <v>9378</v>
      </c>
    </row>
    <row r="971" spans="1:5" hidden="1">
      <c r="A971" t="s">
        <v>11047</v>
      </c>
      <c r="B971" t="s">
        <v>11048</v>
      </c>
      <c r="C971" t="s">
        <v>9378</v>
      </c>
      <c r="D971" t="s">
        <v>9378</v>
      </c>
      <c r="E971" t="s">
        <v>9378</v>
      </c>
    </row>
    <row r="972" spans="1:5" hidden="1">
      <c r="A972" t="s">
        <v>11049</v>
      </c>
      <c r="B972" t="s">
        <v>11050</v>
      </c>
      <c r="C972" t="s">
        <v>9378</v>
      </c>
      <c r="D972" t="s">
        <v>9378</v>
      </c>
      <c r="E972" t="s">
        <v>9378</v>
      </c>
    </row>
    <row r="973" spans="1:5">
      <c r="A973" t="s">
        <v>11051</v>
      </c>
      <c r="B973" t="s">
        <v>11052</v>
      </c>
      <c r="C973" t="s">
        <v>9369</v>
      </c>
      <c r="D973" t="s">
        <v>9369</v>
      </c>
      <c r="E973" t="s">
        <v>9369</v>
      </c>
    </row>
    <row r="974" spans="1:5" hidden="1">
      <c r="A974" t="s">
        <v>11053</v>
      </c>
      <c r="B974" t="s">
        <v>11054</v>
      </c>
      <c r="C974" t="s">
        <v>9378</v>
      </c>
      <c r="D974" t="s">
        <v>9378</v>
      </c>
      <c r="E974" t="s">
        <v>9378</v>
      </c>
    </row>
    <row r="975" spans="1:5">
      <c r="A975" t="s">
        <v>12471</v>
      </c>
      <c r="B975" t="s">
        <v>12467</v>
      </c>
      <c r="C975" t="s">
        <v>9369</v>
      </c>
      <c r="D975" t="s">
        <v>9369</v>
      </c>
      <c r="E975" t="s">
        <v>9369</v>
      </c>
    </row>
    <row r="976" spans="1:5">
      <c r="A976" t="s">
        <v>12472</v>
      </c>
      <c r="B976" t="s">
        <v>12468</v>
      </c>
      <c r="C976" t="s">
        <v>9369</v>
      </c>
      <c r="D976" t="s">
        <v>9369</v>
      </c>
      <c r="E976" t="s">
        <v>9369</v>
      </c>
    </row>
    <row r="977" spans="1:5">
      <c r="A977" s="45" t="s">
        <v>12717</v>
      </c>
      <c r="B977" t="s">
        <v>12476</v>
      </c>
      <c r="C977" t="s">
        <v>9369</v>
      </c>
      <c r="D977" t="s">
        <v>9369</v>
      </c>
      <c r="E977" t="s">
        <v>9369</v>
      </c>
    </row>
    <row r="978" spans="1:5">
      <c r="A978" t="s">
        <v>12828</v>
      </c>
      <c r="B978" t="s">
        <v>12825</v>
      </c>
      <c r="C978" t="s">
        <v>9369</v>
      </c>
      <c r="D978" t="s">
        <v>9369</v>
      </c>
      <c r="E978" t="s">
        <v>9369</v>
      </c>
    </row>
    <row r="979" spans="1:5">
      <c r="A979" t="s">
        <v>13413</v>
      </c>
      <c r="B979" t="s">
        <v>13414</v>
      </c>
      <c r="C979" t="s">
        <v>9369</v>
      </c>
      <c r="D979" t="s">
        <v>9369</v>
      </c>
      <c r="E979" t="s">
        <v>9369</v>
      </c>
    </row>
  </sheetData>
  <conditionalFormatting sqref="A1:A1048576">
    <cfRule type="duplicateValues" dxfId="16" priority="1"/>
  </conditionalFormatting>
  <conditionalFormatting sqref="A977">
    <cfRule type="duplicateValues" dxfId="15"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E233"/>
  <sheetViews>
    <sheetView topLeftCell="A214" zoomScale="85" zoomScaleNormal="85" workbookViewId="0">
      <selection activeCell="B233" sqref="B233"/>
    </sheetView>
  </sheetViews>
  <sheetFormatPr defaultColWidth="9" defaultRowHeight="18.75"/>
  <cols>
    <col min="1" max="1" width="23" style="7" customWidth="1"/>
    <col min="2" max="2" width="15.7109375" style="7" bestFit="1" customWidth="1"/>
    <col min="3" max="3" width="94.140625" style="7" bestFit="1" customWidth="1"/>
    <col min="4" max="4" width="17.85546875" style="7" customWidth="1"/>
    <col min="5" max="5" width="27.42578125" style="7" customWidth="1"/>
    <col min="6" max="16384" width="9" style="7"/>
  </cols>
  <sheetData>
    <row r="1" spans="1:5">
      <c r="A1" s="7" t="s">
        <v>9348</v>
      </c>
      <c r="B1" s="7" t="s">
        <v>486</v>
      </c>
      <c r="C1" s="7" t="s">
        <v>487</v>
      </c>
      <c r="D1" s="8" t="s">
        <v>0</v>
      </c>
      <c r="E1" s="7" t="s">
        <v>1</v>
      </c>
    </row>
    <row r="2" spans="1:5">
      <c r="A2" s="7" t="s">
        <v>2</v>
      </c>
      <c r="B2" s="20" t="s">
        <v>3</v>
      </c>
      <c r="C2" s="7" t="s">
        <v>4</v>
      </c>
      <c r="D2" s="8">
        <v>26095</v>
      </c>
      <c r="E2" s="7" t="s">
        <v>5</v>
      </c>
    </row>
    <row r="3" spans="1:5">
      <c r="A3" s="7" t="s">
        <v>6</v>
      </c>
      <c r="B3" s="20" t="s">
        <v>7</v>
      </c>
      <c r="C3" s="7" t="s">
        <v>8</v>
      </c>
      <c r="D3" s="8">
        <v>29645</v>
      </c>
      <c r="E3" s="7" t="s">
        <v>5</v>
      </c>
    </row>
    <row r="4" spans="1:5">
      <c r="A4" s="7" t="s">
        <v>9</v>
      </c>
      <c r="B4" s="20" t="s">
        <v>10</v>
      </c>
      <c r="C4" s="7" t="s">
        <v>11</v>
      </c>
      <c r="D4" s="8">
        <v>29645</v>
      </c>
      <c r="E4" s="7" t="s">
        <v>5</v>
      </c>
    </row>
    <row r="5" spans="1:5">
      <c r="A5" s="7" t="s">
        <v>12</v>
      </c>
      <c r="B5" s="20" t="s">
        <v>13</v>
      </c>
      <c r="C5" s="7" t="s">
        <v>14</v>
      </c>
      <c r="D5" s="8">
        <v>29568</v>
      </c>
      <c r="E5" s="7" t="s">
        <v>5</v>
      </c>
    </row>
    <row r="6" spans="1:5">
      <c r="A6" s="7" t="s">
        <v>15</v>
      </c>
      <c r="B6" s="20" t="s">
        <v>16</v>
      </c>
      <c r="C6" s="7" t="s">
        <v>17</v>
      </c>
      <c r="D6" s="8">
        <v>27600</v>
      </c>
      <c r="E6" s="7" t="s">
        <v>5</v>
      </c>
    </row>
    <row r="7" spans="1:5">
      <c r="A7" s="7" t="s">
        <v>18</v>
      </c>
      <c r="B7" s="20" t="s">
        <v>19</v>
      </c>
      <c r="C7" s="7" t="s">
        <v>20</v>
      </c>
      <c r="D7" s="8">
        <v>29568</v>
      </c>
      <c r="E7" s="7" t="s">
        <v>5</v>
      </c>
    </row>
    <row r="8" spans="1:5">
      <c r="A8" s="7" t="s">
        <v>21</v>
      </c>
      <c r="B8" s="20" t="s">
        <v>22</v>
      </c>
      <c r="C8" s="7" t="s">
        <v>23</v>
      </c>
      <c r="D8" s="8">
        <v>29568</v>
      </c>
      <c r="E8" s="7" t="s">
        <v>5</v>
      </c>
    </row>
    <row r="9" spans="1:5">
      <c r="A9" s="7" t="s">
        <v>24</v>
      </c>
      <c r="B9" s="20" t="s">
        <v>25</v>
      </c>
      <c r="C9" s="7" t="s">
        <v>26</v>
      </c>
      <c r="D9" s="8">
        <v>18768</v>
      </c>
      <c r="E9" s="7" t="s">
        <v>5</v>
      </c>
    </row>
    <row r="10" spans="1:5">
      <c r="A10" s="7" t="s">
        <v>27</v>
      </c>
      <c r="B10" s="20" t="s">
        <v>28</v>
      </c>
      <c r="C10" s="7" t="s">
        <v>29</v>
      </c>
      <c r="D10" s="8">
        <v>19571</v>
      </c>
      <c r="E10" s="7" t="s">
        <v>5</v>
      </c>
    </row>
    <row r="11" spans="1:5">
      <c r="A11" s="7" t="s">
        <v>30</v>
      </c>
      <c r="B11" s="20" t="s">
        <v>31</v>
      </c>
      <c r="C11" s="7" t="s">
        <v>32</v>
      </c>
      <c r="D11" s="8">
        <v>24960</v>
      </c>
      <c r="E11" s="7" t="s">
        <v>5</v>
      </c>
    </row>
    <row r="12" spans="1:5">
      <c r="A12" s="7" t="s">
        <v>33</v>
      </c>
      <c r="B12" s="20" t="s">
        <v>34</v>
      </c>
      <c r="C12" s="7" t="s">
        <v>35</v>
      </c>
      <c r="D12" s="8">
        <v>20064</v>
      </c>
      <c r="E12" s="7" t="s">
        <v>5</v>
      </c>
    </row>
    <row r="13" spans="1:5">
      <c r="A13" s="7" t="s">
        <v>36</v>
      </c>
      <c r="B13" s="20" t="s">
        <v>37</v>
      </c>
      <c r="C13" s="7" t="s">
        <v>38</v>
      </c>
      <c r="D13" s="8">
        <v>24960</v>
      </c>
      <c r="E13" s="7" t="s">
        <v>5</v>
      </c>
    </row>
    <row r="14" spans="1:5">
      <c r="A14" s="7" t="s">
        <v>39</v>
      </c>
      <c r="B14" s="20" t="s">
        <v>40</v>
      </c>
      <c r="C14" s="7" t="s">
        <v>41</v>
      </c>
      <c r="D14" s="8">
        <v>24960</v>
      </c>
      <c r="E14" s="7" t="s">
        <v>5</v>
      </c>
    </row>
    <row r="15" spans="1:5">
      <c r="A15" s="7" t="s">
        <v>42</v>
      </c>
      <c r="B15" s="20" t="s">
        <v>43</v>
      </c>
      <c r="C15" s="7" t="s">
        <v>44</v>
      </c>
      <c r="D15" s="8">
        <v>43718</v>
      </c>
      <c r="E15" s="7" t="s">
        <v>5</v>
      </c>
    </row>
    <row r="16" spans="1:5">
      <c r="A16" s="7" t="s">
        <v>45</v>
      </c>
      <c r="B16" s="20" t="s">
        <v>46</v>
      </c>
      <c r="C16" s="7" t="s">
        <v>47</v>
      </c>
      <c r="D16" s="8">
        <v>27216</v>
      </c>
      <c r="E16" s="7" t="s">
        <v>5</v>
      </c>
    </row>
    <row r="17" spans="1:5">
      <c r="A17" s="7" t="s">
        <v>48</v>
      </c>
      <c r="B17" s="20" t="s">
        <v>49</v>
      </c>
      <c r="C17" s="7" t="s">
        <v>50</v>
      </c>
      <c r="D17" s="8">
        <v>48175</v>
      </c>
      <c r="E17" s="7" t="s">
        <v>5</v>
      </c>
    </row>
    <row r="18" spans="1:5">
      <c r="A18" s="7" t="s">
        <v>51</v>
      </c>
      <c r="B18" s="20" t="s">
        <v>52</v>
      </c>
      <c r="C18" s="7" t="s">
        <v>53</v>
      </c>
      <c r="D18" s="8">
        <v>45120</v>
      </c>
      <c r="E18" s="7" t="s">
        <v>5</v>
      </c>
    </row>
    <row r="19" spans="1:5">
      <c r="A19" s="7" t="s">
        <v>54</v>
      </c>
      <c r="B19" s="20" t="s">
        <v>55</v>
      </c>
      <c r="C19" s="7" t="s">
        <v>56</v>
      </c>
      <c r="D19" s="8">
        <v>27216</v>
      </c>
      <c r="E19" s="7" t="s">
        <v>5</v>
      </c>
    </row>
    <row r="20" spans="1:5">
      <c r="A20" s="7" t="s">
        <v>57</v>
      </c>
      <c r="B20" s="20" t="s">
        <v>58</v>
      </c>
      <c r="C20" s="7" t="s">
        <v>59</v>
      </c>
      <c r="D20" s="8">
        <v>24960</v>
      </c>
      <c r="E20" s="7" t="s">
        <v>5</v>
      </c>
    </row>
    <row r="21" spans="1:5">
      <c r="A21" s="7" t="s">
        <v>60</v>
      </c>
      <c r="B21" s="20" t="s">
        <v>61</v>
      </c>
      <c r="C21" s="7" t="s">
        <v>62</v>
      </c>
      <c r="D21" s="8">
        <v>24960</v>
      </c>
      <c r="E21" s="7" t="s">
        <v>5</v>
      </c>
    </row>
    <row r="22" spans="1:5">
      <c r="A22" s="7" t="s">
        <v>63</v>
      </c>
      <c r="B22" s="20" t="s">
        <v>64</v>
      </c>
      <c r="C22" s="7" t="s">
        <v>65</v>
      </c>
      <c r="D22" s="8">
        <v>24096</v>
      </c>
      <c r="E22" s="7" t="s">
        <v>5</v>
      </c>
    </row>
    <row r="23" spans="1:5">
      <c r="A23" s="7" t="s">
        <v>66</v>
      </c>
      <c r="B23" s="20" t="s">
        <v>67</v>
      </c>
      <c r="C23" s="7" t="s">
        <v>68</v>
      </c>
      <c r="D23" s="8">
        <v>29236</v>
      </c>
      <c r="E23" s="7" t="s">
        <v>5</v>
      </c>
    </row>
    <row r="24" spans="1:5">
      <c r="A24" s="7" t="s">
        <v>69</v>
      </c>
      <c r="B24" s="20" t="s">
        <v>70</v>
      </c>
      <c r="C24" s="7" t="s">
        <v>71</v>
      </c>
      <c r="D24" s="8">
        <v>24096</v>
      </c>
      <c r="E24" s="7" t="s">
        <v>5</v>
      </c>
    </row>
    <row r="25" spans="1:5">
      <c r="A25" s="7" t="s">
        <v>72</v>
      </c>
      <c r="B25" s="20" t="s">
        <v>73</v>
      </c>
      <c r="C25" s="7" t="s">
        <v>74</v>
      </c>
      <c r="D25" s="8">
        <v>24960</v>
      </c>
      <c r="E25" s="7" t="s">
        <v>5</v>
      </c>
    </row>
    <row r="26" spans="1:5">
      <c r="A26" s="7" t="s">
        <v>75</v>
      </c>
      <c r="B26" s="20" t="s">
        <v>76</v>
      </c>
      <c r="C26" s="7" t="s">
        <v>77</v>
      </c>
      <c r="D26" s="8">
        <v>16934</v>
      </c>
      <c r="E26" s="7" t="s">
        <v>5</v>
      </c>
    </row>
    <row r="27" spans="1:5">
      <c r="A27" s="7" t="s">
        <v>78</v>
      </c>
      <c r="B27" s="20" t="s">
        <v>79</v>
      </c>
      <c r="C27" s="7" t="s">
        <v>80</v>
      </c>
      <c r="D27" s="8">
        <v>22075</v>
      </c>
      <c r="E27" s="7" t="s">
        <v>5</v>
      </c>
    </row>
    <row r="28" spans="1:5">
      <c r="A28" s="7" t="s">
        <v>81</v>
      </c>
      <c r="B28" s="20" t="s">
        <v>82</v>
      </c>
      <c r="C28" s="7" t="s">
        <v>83</v>
      </c>
      <c r="D28" s="8">
        <v>9878</v>
      </c>
      <c r="E28" s="7" t="s">
        <v>5</v>
      </c>
    </row>
    <row r="29" spans="1:5">
      <c r="A29" s="7" t="s">
        <v>84</v>
      </c>
      <c r="B29" s="20" t="s">
        <v>85</v>
      </c>
      <c r="C29" s="7" t="s">
        <v>86</v>
      </c>
      <c r="D29" s="8">
        <v>25200</v>
      </c>
      <c r="E29" s="7" t="s">
        <v>5</v>
      </c>
    </row>
    <row r="30" spans="1:5">
      <c r="A30" s="7" t="s">
        <v>87</v>
      </c>
      <c r="B30" s="20" t="s">
        <v>88</v>
      </c>
      <c r="C30" s="7" t="s">
        <v>89</v>
      </c>
      <c r="D30" s="8">
        <v>17376</v>
      </c>
      <c r="E30" s="7" t="s">
        <v>5</v>
      </c>
    </row>
    <row r="31" spans="1:5">
      <c r="A31" s="7" t="s">
        <v>90</v>
      </c>
      <c r="B31" s="20" t="s">
        <v>91</v>
      </c>
      <c r="C31" s="7" t="s">
        <v>92</v>
      </c>
      <c r="D31" s="8">
        <v>25091</v>
      </c>
      <c r="E31" s="7" t="s">
        <v>5</v>
      </c>
    </row>
    <row r="32" spans="1:5">
      <c r="A32" s="7" t="s">
        <v>93</v>
      </c>
      <c r="B32" s="20" t="s">
        <v>94</v>
      </c>
      <c r="C32" s="7" t="s">
        <v>95</v>
      </c>
      <c r="D32" s="8">
        <v>9475</v>
      </c>
      <c r="E32" s="7" t="s">
        <v>5</v>
      </c>
    </row>
    <row r="33" spans="1:5">
      <c r="A33" s="7" t="s">
        <v>96</v>
      </c>
      <c r="B33" s="20" t="s">
        <v>97</v>
      </c>
      <c r="C33" s="7" t="s">
        <v>98</v>
      </c>
      <c r="D33" s="8">
        <v>28325</v>
      </c>
      <c r="E33" s="7" t="s">
        <v>5</v>
      </c>
    </row>
    <row r="34" spans="1:5">
      <c r="A34" s="7" t="s">
        <v>99</v>
      </c>
      <c r="B34" s="20" t="s">
        <v>100</v>
      </c>
      <c r="C34" s="7" t="s">
        <v>101</v>
      </c>
      <c r="D34" s="8">
        <v>27216</v>
      </c>
      <c r="E34" s="7" t="s">
        <v>5</v>
      </c>
    </row>
    <row r="35" spans="1:5">
      <c r="A35" s="7" t="s">
        <v>102</v>
      </c>
      <c r="B35" s="20" t="s">
        <v>103</v>
      </c>
      <c r="C35" s="7" t="s">
        <v>104</v>
      </c>
      <c r="D35" s="8">
        <v>22075</v>
      </c>
      <c r="E35" s="7" t="s">
        <v>5</v>
      </c>
    </row>
    <row r="36" spans="1:5">
      <c r="A36" s="7" t="s">
        <v>105</v>
      </c>
      <c r="B36" s="20" t="s">
        <v>106</v>
      </c>
      <c r="C36" s="7" t="s">
        <v>107</v>
      </c>
      <c r="D36" s="8">
        <v>16632</v>
      </c>
      <c r="E36" s="7" t="s">
        <v>5</v>
      </c>
    </row>
    <row r="37" spans="1:5">
      <c r="A37" s="7" t="s">
        <v>108</v>
      </c>
      <c r="B37" s="20" t="s">
        <v>109</v>
      </c>
      <c r="C37" s="7" t="s">
        <v>110</v>
      </c>
      <c r="D37" s="8">
        <v>9475</v>
      </c>
      <c r="E37" s="7" t="s">
        <v>5</v>
      </c>
    </row>
    <row r="38" spans="1:5">
      <c r="A38" s="7" t="s">
        <v>111</v>
      </c>
      <c r="B38" s="20" t="s">
        <v>112</v>
      </c>
      <c r="C38" s="7" t="s">
        <v>113</v>
      </c>
      <c r="D38" s="8">
        <v>25704</v>
      </c>
      <c r="E38" s="7" t="s">
        <v>5</v>
      </c>
    </row>
    <row r="39" spans="1:5">
      <c r="A39" s="7" t="s">
        <v>114</v>
      </c>
      <c r="B39" s="20" t="s">
        <v>115</v>
      </c>
      <c r="C39" s="7" t="s">
        <v>116</v>
      </c>
      <c r="D39" s="8">
        <v>8568</v>
      </c>
      <c r="E39" s="7" t="s">
        <v>5</v>
      </c>
    </row>
    <row r="40" spans="1:5">
      <c r="A40" s="7" t="s">
        <v>117</v>
      </c>
      <c r="B40" s="20" t="s">
        <v>118</v>
      </c>
      <c r="C40" s="7" t="s">
        <v>119</v>
      </c>
      <c r="D40" s="8">
        <v>5846</v>
      </c>
      <c r="E40" s="7" t="s">
        <v>5</v>
      </c>
    </row>
    <row r="41" spans="1:5">
      <c r="A41" s="7" t="s">
        <v>120</v>
      </c>
      <c r="B41" s="20" t="s">
        <v>121</v>
      </c>
      <c r="C41" s="7" t="s">
        <v>122</v>
      </c>
      <c r="D41" s="8">
        <v>22691</v>
      </c>
      <c r="E41" s="7" t="s">
        <v>5</v>
      </c>
    </row>
    <row r="42" spans="1:5">
      <c r="A42" s="7" t="s">
        <v>123</v>
      </c>
      <c r="B42" s="20" t="s">
        <v>124</v>
      </c>
      <c r="C42" s="7" t="s">
        <v>125</v>
      </c>
      <c r="D42" s="8">
        <v>8870</v>
      </c>
      <c r="E42" s="7" t="s">
        <v>5</v>
      </c>
    </row>
    <row r="43" spans="1:5">
      <c r="A43" s="7" t="s">
        <v>126</v>
      </c>
      <c r="B43" s="20" t="s">
        <v>127</v>
      </c>
      <c r="C43" s="7" t="s">
        <v>128</v>
      </c>
      <c r="D43" s="8">
        <v>6754</v>
      </c>
      <c r="E43" s="7" t="s">
        <v>5</v>
      </c>
    </row>
    <row r="44" spans="1:5">
      <c r="A44" s="7" t="s">
        <v>129</v>
      </c>
      <c r="B44" s="20" t="s">
        <v>130</v>
      </c>
      <c r="C44" s="7" t="s">
        <v>131</v>
      </c>
      <c r="D44" s="8">
        <v>22075</v>
      </c>
      <c r="E44" s="7" t="s">
        <v>5</v>
      </c>
    </row>
    <row r="45" spans="1:5">
      <c r="A45" s="7" t="s">
        <v>132</v>
      </c>
      <c r="B45" s="20" t="s">
        <v>506</v>
      </c>
      <c r="C45" s="7" t="s">
        <v>507</v>
      </c>
      <c r="D45" s="8">
        <v>22752</v>
      </c>
      <c r="E45" s="7" t="s">
        <v>5</v>
      </c>
    </row>
    <row r="46" spans="1:5">
      <c r="A46" s="7" t="s">
        <v>135</v>
      </c>
      <c r="B46" s="20" t="s">
        <v>136</v>
      </c>
      <c r="C46" s="7" t="s">
        <v>137</v>
      </c>
      <c r="D46" s="8">
        <v>24873</v>
      </c>
      <c r="E46" s="7" t="s">
        <v>5</v>
      </c>
    </row>
    <row r="47" spans="1:5">
      <c r="A47" s="7" t="s">
        <v>138</v>
      </c>
      <c r="B47" s="20" t="s">
        <v>139</v>
      </c>
      <c r="C47" s="7" t="s">
        <v>140</v>
      </c>
      <c r="D47" s="8">
        <v>6982</v>
      </c>
      <c r="E47" s="7" t="s">
        <v>5</v>
      </c>
    </row>
    <row r="48" spans="1:5">
      <c r="A48" s="7" t="s">
        <v>141</v>
      </c>
      <c r="B48" s="20" t="s">
        <v>142</v>
      </c>
      <c r="C48" s="7" t="s">
        <v>143</v>
      </c>
      <c r="D48" s="8">
        <v>65520</v>
      </c>
      <c r="E48" s="7" t="s">
        <v>5</v>
      </c>
    </row>
    <row r="49" spans="1:5">
      <c r="A49" s="7" t="s">
        <v>144</v>
      </c>
      <c r="B49" s="20" t="s">
        <v>145</v>
      </c>
      <c r="C49" s="7" t="s">
        <v>146</v>
      </c>
      <c r="D49" s="8">
        <v>55440</v>
      </c>
      <c r="E49" s="7" t="s">
        <v>5</v>
      </c>
    </row>
    <row r="50" spans="1:5">
      <c r="A50" s="7" t="s">
        <v>147</v>
      </c>
      <c r="B50" s="20" t="s">
        <v>148</v>
      </c>
      <c r="C50" s="7" t="s">
        <v>149</v>
      </c>
      <c r="D50" s="8">
        <v>26880</v>
      </c>
      <c r="E50" s="7" t="s">
        <v>5</v>
      </c>
    </row>
    <row r="51" spans="1:5">
      <c r="A51" s="7" t="s">
        <v>150</v>
      </c>
      <c r="B51" s="20" t="s">
        <v>151</v>
      </c>
      <c r="C51" s="7" t="s">
        <v>152</v>
      </c>
      <c r="D51" s="8">
        <v>87072</v>
      </c>
      <c r="E51" s="7" t="s">
        <v>5</v>
      </c>
    </row>
    <row r="52" spans="1:5">
      <c r="A52" s="7" t="s">
        <v>153</v>
      </c>
      <c r="B52" s="20" t="s">
        <v>154</v>
      </c>
      <c r="C52" s="7" t="s">
        <v>155</v>
      </c>
      <c r="D52" s="8">
        <v>32832</v>
      </c>
      <c r="E52" s="7" t="s">
        <v>5</v>
      </c>
    </row>
    <row r="53" spans="1:5">
      <c r="A53" s="7" t="s">
        <v>156</v>
      </c>
      <c r="B53" s="20" t="s">
        <v>157</v>
      </c>
      <c r="C53" s="7" t="s">
        <v>158</v>
      </c>
      <c r="D53" s="8">
        <v>52224</v>
      </c>
      <c r="E53" s="7" t="s">
        <v>5</v>
      </c>
    </row>
    <row r="54" spans="1:5">
      <c r="A54" s="7" t="s">
        <v>159</v>
      </c>
      <c r="B54" s="20" t="s">
        <v>160</v>
      </c>
      <c r="C54" s="7" t="s">
        <v>161</v>
      </c>
      <c r="D54" s="8">
        <v>29568</v>
      </c>
      <c r="E54" s="7" t="s">
        <v>5</v>
      </c>
    </row>
    <row r="55" spans="1:5">
      <c r="A55" s="7" t="s">
        <v>162</v>
      </c>
      <c r="B55" s="20" t="s">
        <v>163</v>
      </c>
      <c r="C55" s="7" t="s">
        <v>164</v>
      </c>
      <c r="D55" s="8">
        <v>11345</v>
      </c>
      <c r="E55" s="7" t="s">
        <v>5</v>
      </c>
    </row>
    <row r="56" spans="1:5">
      <c r="A56" s="7" t="s">
        <v>165</v>
      </c>
      <c r="B56" s="20" t="s">
        <v>166</v>
      </c>
      <c r="C56" s="7" t="s">
        <v>167</v>
      </c>
      <c r="D56" s="8">
        <v>11345</v>
      </c>
      <c r="E56" s="7" t="s">
        <v>5</v>
      </c>
    </row>
    <row r="57" spans="1:5">
      <c r="A57" s="7" t="s">
        <v>168</v>
      </c>
      <c r="B57" s="20" t="s">
        <v>169</v>
      </c>
      <c r="C57" s="7" t="s">
        <v>170</v>
      </c>
      <c r="D57" s="8">
        <v>11345</v>
      </c>
      <c r="E57" s="7" t="s">
        <v>5</v>
      </c>
    </row>
    <row r="58" spans="1:5">
      <c r="A58" s="7" t="s">
        <v>171</v>
      </c>
      <c r="B58" s="20" t="s">
        <v>172</v>
      </c>
      <c r="C58" s="7" t="s">
        <v>173</v>
      </c>
      <c r="D58" s="8">
        <v>11597</v>
      </c>
      <c r="E58" s="7" t="s">
        <v>5</v>
      </c>
    </row>
    <row r="59" spans="1:5">
      <c r="A59" s="7" t="s">
        <v>174</v>
      </c>
      <c r="B59" s="20" t="s">
        <v>175</v>
      </c>
      <c r="C59" s="7" t="s">
        <v>176</v>
      </c>
      <c r="D59" s="8">
        <v>26400</v>
      </c>
      <c r="E59" s="7" t="s">
        <v>5</v>
      </c>
    </row>
    <row r="60" spans="1:5">
      <c r="A60" s="7" t="s">
        <v>177</v>
      </c>
      <c r="B60" s="20" t="s">
        <v>178</v>
      </c>
      <c r="C60" s="7" t="s">
        <v>179</v>
      </c>
      <c r="D60" s="8">
        <v>11597</v>
      </c>
      <c r="E60" s="7" t="s">
        <v>5</v>
      </c>
    </row>
    <row r="61" spans="1:5">
      <c r="A61" s="7" t="s">
        <v>180</v>
      </c>
      <c r="B61" s="20" t="s">
        <v>181</v>
      </c>
      <c r="C61" s="7" t="s">
        <v>182</v>
      </c>
      <c r="D61" s="8">
        <v>29568</v>
      </c>
      <c r="E61" s="7" t="s">
        <v>5</v>
      </c>
    </row>
    <row r="62" spans="1:5">
      <c r="A62" s="7" t="s">
        <v>2</v>
      </c>
      <c r="B62" s="20" t="s">
        <v>3</v>
      </c>
      <c r="C62" s="7" t="s">
        <v>4</v>
      </c>
      <c r="D62" s="8">
        <v>26095</v>
      </c>
      <c r="E62" s="7" t="s">
        <v>183</v>
      </c>
    </row>
    <row r="63" spans="1:5">
      <c r="A63" s="7" t="s">
        <v>6</v>
      </c>
      <c r="B63" s="20" t="s">
        <v>7</v>
      </c>
      <c r="C63" s="7" t="s">
        <v>8</v>
      </c>
      <c r="D63" s="8">
        <v>29645</v>
      </c>
      <c r="E63" s="7" t="s">
        <v>183</v>
      </c>
    </row>
    <row r="64" spans="1:5">
      <c r="A64" s="7" t="s">
        <v>9</v>
      </c>
      <c r="B64" s="20" t="s">
        <v>10</v>
      </c>
      <c r="C64" s="7" t="s">
        <v>11</v>
      </c>
      <c r="D64" s="8">
        <v>29645</v>
      </c>
      <c r="E64" s="7" t="s">
        <v>183</v>
      </c>
    </row>
    <row r="65" spans="1:5">
      <c r="A65" s="7" t="s">
        <v>12</v>
      </c>
      <c r="B65" s="20" t="s">
        <v>13</v>
      </c>
      <c r="C65" s="7" t="s">
        <v>14</v>
      </c>
      <c r="D65" s="8">
        <v>29568</v>
      </c>
      <c r="E65" s="7" t="s">
        <v>183</v>
      </c>
    </row>
    <row r="66" spans="1:5">
      <c r="A66" s="7" t="s">
        <v>15</v>
      </c>
      <c r="B66" s="20" t="s">
        <v>16</v>
      </c>
      <c r="C66" s="7" t="s">
        <v>17</v>
      </c>
      <c r="D66" s="8">
        <v>27600</v>
      </c>
      <c r="E66" s="7" t="s">
        <v>183</v>
      </c>
    </row>
    <row r="67" spans="1:5">
      <c r="A67" s="7" t="s">
        <v>18</v>
      </c>
      <c r="B67" s="20" t="s">
        <v>19</v>
      </c>
      <c r="C67" s="7" t="s">
        <v>20</v>
      </c>
      <c r="D67" s="8">
        <v>29568</v>
      </c>
      <c r="E67" s="7" t="s">
        <v>183</v>
      </c>
    </row>
    <row r="68" spans="1:5">
      <c r="A68" s="7" t="s">
        <v>21</v>
      </c>
      <c r="B68" s="20" t="s">
        <v>22</v>
      </c>
      <c r="C68" s="7" t="s">
        <v>23</v>
      </c>
      <c r="D68" s="8">
        <v>29568</v>
      </c>
      <c r="E68" s="7" t="s">
        <v>183</v>
      </c>
    </row>
    <row r="69" spans="1:5">
      <c r="A69" s="7" t="s">
        <v>24</v>
      </c>
      <c r="B69" s="20" t="s">
        <v>25</v>
      </c>
      <c r="C69" s="7" t="s">
        <v>26</v>
      </c>
      <c r="D69" s="8">
        <v>18768</v>
      </c>
      <c r="E69" s="7" t="s">
        <v>183</v>
      </c>
    </row>
    <row r="70" spans="1:5">
      <c r="A70" s="7" t="s">
        <v>27</v>
      </c>
      <c r="B70" s="20" t="s">
        <v>28</v>
      </c>
      <c r="C70" s="7" t="s">
        <v>29</v>
      </c>
      <c r="D70" s="8">
        <v>19571</v>
      </c>
      <c r="E70" s="7" t="s">
        <v>183</v>
      </c>
    </row>
    <row r="71" spans="1:5">
      <c r="A71" s="7" t="s">
        <v>30</v>
      </c>
      <c r="B71" s="20" t="s">
        <v>31</v>
      </c>
      <c r="C71" s="7" t="s">
        <v>32</v>
      </c>
      <c r="D71" s="8">
        <v>24960</v>
      </c>
      <c r="E71" s="7" t="s">
        <v>183</v>
      </c>
    </row>
    <row r="72" spans="1:5">
      <c r="A72" s="7" t="s">
        <v>33</v>
      </c>
      <c r="B72" s="20" t="s">
        <v>34</v>
      </c>
      <c r="C72" s="7" t="s">
        <v>35</v>
      </c>
      <c r="D72" s="8">
        <v>20064</v>
      </c>
      <c r="E72" s="7" t="s">
        <v>183</v>
      </c>
    </row>
    <row r="73" spans="1:5">
      <c r="A73" s="7" t="s">
        <v>36</v>
      </c>
      <c r="B73" s="20" t="s">
        <v>37</v>
      </c>
      <c r="C73" s="7" t="s">
        <v>38</v>
      </c>
      <c r="D73" s="8">
        <v>24960</v>
      </c>
      <c r="E73" s="7" t="s">
        <v>183</v>
      </c>
    </row>
    <row r="74" spans="1:5">
      <c r="A74" s="7" t="s">
        <v>184</v>
      </c>
      <c r="B74" s="20" t="s">
        <v>185</v>
      </c>
      <c r="C74" s="7" t="s">
        <v>186</v>
      </c>
      <c r="D74" s="8">
        <v>38861</v>
      </c>
      <c r="E74" s="7" t="s">
        <v>183</v>
      </c>
    </row>
    <row r="75" spans="1:5">
      <c r="A75" s="7" t="s">
        <v>39</v>
      </c>
      <c r="B75" s="20" t="s">
        <v>40</v>
      </c>
      <c r="C75" s="7" t="s">
        <v>41</v>
      </c>
      <c r="D75" s="8">
        <v>24960</v>
      </c>
      <c r="E75" s="7" t="s">
        <v>183</v>
      </c>
    </row>
    <row r="76" spans="1:5">
      <c r="A76" s="7" t="s">
        <v>42</v>
      </c>
      <c r="B76" s="20" t="s">
        <v>43</v>
      </c>
      <c r="C76" s="7" t="s">
        <v>44</v>
      </c>
      <c r="D76" s="8">
        <v>43718</v>
      </c>
      <c r="E76" s="7" t="s">
        <v>183</v>
      </c>
    </row>
    <row r="77" spans="1:5">
      <c r="A77" s="7" t="s">
        <v>45</v>
      </c>
      <c r="B77" s="20" t="s">
        <v>46</v>
      </c>
      <c r="C77" s="7" t="s">
        <v>47</v>
      </c>
      <c r="D77" s="8">
        <v>27216</v>
      </c>
      <c r="E77" s="7" t="s">
        <v>183</v>
      </c>
    </row>
    <row r="78" spans="1:5">
      <c r="A78" s="7" t="s">
        <v>48</v>
      </c>
      <c r="B78" s="20" t="s">
        <v>49</v>
      </c>
      <c r="C78" s="7" t="s">
        <v>50</v>
      </c>
      <c r="D78" s="8">
        <v>48175</v>
      </c>
      <c r="E78" s="7" t="s">
        <v>183</v>
      </c>
    </row>
    <row r="79" spans="1:5">
      <c r="A79" s="7" t="s">
        <v>54</v>
      </c>
      <c r="B79" s="20" t="s">
        <v>55</v>
      </c>
      <c r="C79" s="7" t="s">
        <v>56</v>
      </c>
      <c r="D79" s="8">
        <v>27216</v>
      </c>
      <c r="E79" s="7" t="s">
        <v>183</v>
      </c>
    </row>
    <row r="80" spans="1:5">
      <c r="A80" s="7" t="s">
        <v>57</v>
      </c>
      <c r="B80" s="20" t="s">
        <v>58</v>
      </c>
      <c r="C80" s="7" t="s">
        <v>59</v>
      </c>
      <c r="D80" s="8">
        <v>24960</v>
      </c>
      <c r="E80" s="7" t="s">
        <v>183</v>
      </c>
    </row>
    <row r="81" spans="1:5">
      <c r="A81" s="7" t="s">
        <v>187</v>
      </c>
      <c r="B81" s="20" t="s">
        <v>188</v>
      </c>
      <c r="C81" s="7" t="s">
        <v>189</v>
      </c>
      <c r="D81" s="8">
        <v>85008</v>
      </c>
      <c r="E81" s="7" t="s">
        <v>183</v>
      </c>
    </row>
    <row r="82" spans="1:5">
      <c r="A82" s="7" t="s">
        <v>60</v>
      </c>
      <c r="B82" s="20" t="s">
        <v>61</v>
      </c>
      <c r="C82" s="7" t="s">
        <v>62</v>
      </c>
      <c r="D82" s="8">
        <v>24960</v>
      </c>
      <c r="E82" s="7" t="s">
        <v>183</v>
      </c>
    </row>
    <row r="83" spans="1:5">
      <c r="A83" s="7" t="s">
        <v>63</v>
      </c>
      <c r="B83" s="20" t="s">
        <v>64</v>
      </c>
      <c r="C83" s="7" t="s">
        <v>65</v>
      </c>
      <c r="D83" s="8">
        <v>24096</v>
      </c>
      <c r="E83" s="7" t="s">
        <v>183</v>
      </c>
    </row>
    <row r="84" spans="1:5">
      <c r="A84" s="7" t="s">
        <v>190</v>
      </c>
      <c r="B84" s="20" t="s">
        <v>191</v>
      </c>
      <c r="C84" s="7" t="s">
        <v>192</v>
      </c>
      <c r="D84" s="8">
        <v>47376</v>
      </c>
      <c r="E84" s="7" t="s">
        <v>183</v>
      </c>
    </row>
    <row r="85" spans="1:5">
      <c r="A85" s="7" t="s">
        <v>66</v>
      </c>
      <c r="B85" s="20" t="s">
        <v>67</v>
      </c>
      <c r="C85" s="7" t="s">
        <v>68</v>
      </c>
      <c r="D85" s="8">
        <v>29236</v>
      </c>
      <c r="E85" s="7" t="s">
        <v>183</v>
      </c>
    </row>
    <row r="86" spans="1:5">
      <c r="A86" s="7" t="s">
        <v>69</v>
      </c>
      <c r="B86" s="20" t="s">
        <v>70</v>
      </c>
      <c r="C86" s="7" t="s">
        <v>71</v>
      </c>
      <c r="D86" s="8">
        <v>24096</v>
      </c>
      <c r="E86" s="7" t="s">
        <v>183</v>
      </c>
    </row>
    <row r="87" spans="1:5">
      <c r="A87" s="7" t="s">
        <v>72</v>
      </c>
      <c r="B87" s="20" t="s">
        <v>73</v>
      </c>
      <c r="C87" s="7" t="s">
        <v>74</v>
      </c>
      <c r="D87" s="8">
        <v>24960</v>
      </c>
      <c r="E87" s="7" t="s">
        <v>183</v>
      </c>
    </row>
    <row r="88" spans="1:5">
      <c r="A88" s="7" t="s">
        <v>193</v>
      </c>
      <c r="B88" s="20" t="s">
        <v>194</v>
      </c>
      <c r="C88" s="7" t="s">
        <v>195</v>
      </c>
      <c r="D88" s="8">
        <v>24960</v>
      </c>
      <c r="E88" s="7" t="s">
        <v>183</v>
      </c>
    </row>
    <row r="89" spans="1:5">
      <c r="A89" s="7" t="s">
        <v>75</v>
      </c>
      <c r="B89" s="20" t="s">
        <v>76</v>
      </c>
      <c r="C89" s="7" t="s">
        <v>77</v>
      </c>
      <c r="D89" s="8">
        <v>16934</v>
      </c>
      <c r="E89" s="7" t="s">
        <v>183</v>
      </c>
    </row>
    <row r="90" spans="1:5">
      <c r="A90" s="7" t="s">
        <v>78</v>
      </c>
      <c r="B90" s="20" t="s">
        <v>79</v>
      </c>
      <c r="C90" s="7" t="s">
        <v>80</v>
      </c>
      <c r="D90" s="8">
        <v>22075</v>
      </c>
      <c r="E90" s="7" t="s">
        <v>183</v>
      </c>
    </row>
    <row r="91" spans="1:5">
      <c r="A91" s="7" t="s">
        <v>196</v>
      </c>
      <c r="B91" s="20" t="s">
        <v>197</v>
      </c>
      <c r="C91" s="7" t="s">
        <v>198</v>
      </c>
      <c r="D91" s="8">
        <v>30720</v>
      </c>
      <c r="E91" s="7" t="s">
        <v>183</v>
      </c>
    </row>
    <row r="92" spans="1:5">
      <c r="A92" s="7" t="s">
        <v>199</v>
      </c>
      <c r="B92" s="20" t="s">
        <v>200</v>
      </c>
      <c r="C92" s="7" t="s">
        <v>201</v>
      </c>
      <c r="D92" s="8">
        <v>61067</v>
      </c>
      <c r="E92" s="7" t="s">
        <v>183</v>
      </c>
    </row>
    <row r="93" spans="1:5">
      <c r="A93" s="7" t="s">
        <v>202</v>
      </c>
      <c r="B93" s="20" t="s">
        <v>203</v>
      </c>
      <c r="C93" s="7" t="s">
        <v>204</v>
      </c>
      <c r="D93" s="8">
        <v>28512</v>
      </c>
      <c r="E93" s="7" t="s">
        <v>183</v>
      </c>
    </row>
    <row r="94" spans="1:5">
      <c r="A94" s="7" t="s">
        <v>81</v>
      </c>
      <c r="B94" s="20" t="s">
        <v>82</v>
      </c>
      <c r="C94" s="7" t="s">
        <v>83</v>
      </c>
      <c r="D94" s="8">
        <v>9878</v>
      </c>
      <c r="E94" s="7" t="s">
        <v>183</v>
      </c>
    </row>
    <row r="95" spans="1:5">
      <c r="A95" s="7" t="s">
        <v>205</v>
      </c>
      <c r="B95" s="20" t="s">
        <v>206</v>
      </c>
      <c r="C95" s="7" t="s">
        <v>207</v>
      </c>
      <c r="D95" s="8">
        <v>24960</v>
      </c>
      <c r="E95" s="7" t="s">
        <v>183</v>
      </c>
    </row>
    <row r="96" spans="1:5">
      <c r="A96" s="7" t="s">
        <v>84</v>
      </c>
      <c r="B96" s="20" t="s">
        <v>85</v>
      </c>
      <c r="C96" s="7" t="s">
        <v>86</v>
      </c>
      <c r="D96" s="8">
        <v>25200</v>
      </c>
      <c r="E96" s="7" t="s">
        <v>183</v>
      </c>
    </row>
    <row r="97" spans="1:5">
      <c r="A97" s="7" t="s">
        <v>87</v>
      </c>
      <c r="B97" s="20" t="s">
        <v>88</v>
      </c>
      <c r="C97" s="7" t="s">
        <v>89</v>
      </c>
      <c r="D97" s="8">
        <v>17376</v>
      </c>
      <c r="E97" s="7" t="s">
        <v>183</v>
      </c>
    </row>
    <row r="98" spans="1:5">
      <c r="A98" s="7" t="s">
        <v>208</v>
      </c>
      <c r="B98" s="20" t="s">
        <v>209</v>
      </c>
      <c r="C98" s="7" t="s">
        <v>210</v>
      </c>
      <c r="D98" s="8">
        <v>32116</v>
      </c>
      <c r="E98" s="7" t="s">
        <v>183</v>
      </c>
    </row>
    <row r="99" spans="1:5">
      <c r="A99" s="7" t="s">
        <v>90</v>
      </c>
      <c r="B99" s="20" t="s">
        <v>91</v>
      </c>
      <c r="C99" s="7" t="s">
        <v>92</v>
      </c>
      <c r="D99" s="8">
        <v>25091</v>
      </c>
      <c r="E99" s="7" t="s">
        <v>183</v>
      </c>
    </row>
    <row r="100" spans="1:5">
      <c r="A100" s="7" t="s">
        <v>211</v>
      </c>
      <c r="B100" s="20" t="s">
        <v>212</v>
      </c>
      <c r="C100" s="7" t="s">
        <v>213</v>
      </c>
      <c r="D100" s="8">
        <v>27837</v>
      </c>
      <c r="E100" s="7" t="s">
        <v>183</v>
      </c>
    </row>
    <row r="101" spans="1:5">
      <c r="A101" s="7" t="s">
        <v>214</v>
      </c>
      <c r="B101" s="20" t="s">
        <v>215</v>
      </c>
      <c r="C101" s="7" t="s">
        <v>216</v>
      </c>
      <c r="D101" s="8">
        <v>24960</v>
      </c>
      <c r="E101" s="7" t="s">
        <v>183</v>
      </c>
    </row>
    <row r="102" spans="1:5">
      <c r="A102" s="7" t="s">
        <v>93</v>
      </c>
      <c r="B102" s="20" t="s">
        <v>94</v>
      </c>
      <c r="C102" s="7" t="s">
        <v>95</v>
      </c>
      <c r="D102" s="8">
        <v>9475</v>
      </c>
      <c r="E102" s="7" t="s">
        <v>183</v>
      </c>
    </row>
    <row r="103" spans="1:5">
      <c r="A103" s="7" t="s">
        <v>217</v>
      </c>
      <c r="B103" s="20" t="s">
        <v>218</v>
      </c>
      <c r="C103" s="7" t="s">
        <v>219</v>
      </c>
      <c r="D103" s="8">
        <v>17424</v>
      </c>
      <c r="E103" s="7" t="s">
        <v>183</v>
      </c>
    </row>
    <row r="104" spans="1:5">
      <c r="A104" s="7" t="s">
        <v>220</v>
      </c>
      <c r="B104" s="20" t="s">
        <v>221</v>
      </c>
      <c r="C104" s="7" t="s">
        <v>222</v>
      </c>
      <c r="D104" s="8">
        <v>25200</v>
      </c>
      <c r="E104" s="7" t="s">
        <v>183</v>
      </c>
    </row>
    <row r="105" spans="1:5">
      <c r="A105" s="7" t="s">
        <v>96</v>
      </c>
      <c r="B105" s="20" t="s">
        <v>97</v>
      </c>
      <c r="C105" s="7" t="s">
        <v>98</v>
      </c>
      <c r="D105" s="8">
        <v>28325</v>
      </c>
      <c r="E105" s="7" t="s">
        <v>183</v>
      </c>
    </row>
    <row r="106" spans="1:5">
      <c r="A106" s="7" t="s">
        <v>99</v>
      </c>
      <c r="B106" s="20" t="s">
        <v>100</v>
      </c>
      <c r="C106" s="7" t="s">
        <v>101</v>
      </c>
      <c r="D106" s="8">
        <v>27216</v>
      </c>
      <c r="E106" s="7" t="s">
        <v>183</v>
      </c>
    </row>
    <row r="107" spans="1:5">
      <c r="A107" s="7" t="s">
        <v>223</v>
      </c>
      <c r="B107" s="20" t="s">
        <v>224</v>
      </c>
      <c r="C107" s="7" t="s">
        <v>225</v>
      </c>
      <c r="D107" s="8">
        <v>16632</v>
      </c>
      <c r="E107" s="7" t="s">
        <v>183</v>
      </c>
    </row>
    <row r="108" spans="1:5">
      <c r="A108" s="7" t="s">
        <v>102</v>
      </c>
      <c r="B108" s="20" t="s">
        <v>103</v>
      </c>
      <c r="C108" s="7" t="s">
        <v>104</v>
      </c>
      <c r="D108" s="8">
        <v>22075</v>
      </c>
      <c r="E108" s="7" t="s">
        <v>183</v>
      </c>
    </row>
    <row r="109" spans="1:5">
      <c r="A109" s="7" t="s">
        <v>226</v>
      </c>
      <c r="B109" s="20" t="s">
        <v>227</v>
      </c>
      <c r="C109" s="7" t="s">
        <v>228</v>
      </c>
      <c r="D109" s="8">
        <v>24960</v>
      </c>
      <c r="E109" s="7" t="s">
        <v>183</v>
      </c>
    </row>
    <row r="110" spans="1:5">
      <c r="A110" s="7" t="s">
        <v>229</v>
      </c>
      <c r="B110" s="20" t="s">
        <v>230</v>
      </c>
      <c r="C110" s="7" t="s">
        <v>231</v>
      </c>
      <c r="D110" s="8">
        <v>18168</v>
      </c>
      <c r="E110" s="7" t="s">
        <v>183</v>
      </c>
    </row>
    <row r="111" spans="1:5">
      <c r="A111" s="7" t="s">
        <v>105</v>
      </c>
      <c r="B111" s="20" t="s">
        <v>106</v>
      </c>
      <c r="C111" s="7" t="s">
        <v>107</v>
      </c>
      <c r="D111" s="8">
        <v>16632</v>
      </c>
      <c r="E111" s="7" t="s">
        <v>183</v>
      </c>
    </row>
    <row r="112" spans="1:5">
      <c r="A112" s="7" t="s">
        <v>232</v>
      </c>
      <c r="B112" s="20" t="s">
        <v>233</v>
      </c>
      <c r="C112" s="7" t="s">
        <v>234</v>
      </c>
      <c r="D112" s="8">
        <v>27720</v>
      </c>
      <c r="E112" s="7" t="s">
        <v>183</v>
      </c>
    </row>
    <row r="113" spans="1:5">
      <c r="A113" s="7" t="s">
        <v>235</v>
      </c>
      <c r="B113" s="20" t="s">
        <v>236</v>
      </c>
      <c r="C113" s="7" t="s">
        <v>237</v>
      </c>
      <c r="D113" s="8">
        <v>22085</v>
      </c>
      <c r="E113" s="7" t="s">
        <v>183</v>
      </c>
    </row>
    <row r="114" spans="1:5">
      <c r="A114" s="7" t="s">
        <v>108</v>
      </c>
      <c r="B114" s="20" t="s">
        <v>109</v>
      </c>
      <c r="C114" s="7" t="s">
        <v>110</v>
      </c>
      <c r="D114" s="8">
        <v>9475</v>
      </c>
      <c r="E114" s="7" t="s">
        <v>183</v>
      </c>
    </row>
    <row r="115" spans="1:5">
      <c r="A115" s="7" t="s">
        <v>111</v>
      </c>
      <c r="B115" s="20" t="s">
        <v>112</v>
      </c>
      <c r="C115" s="7" t="s">
        <v>113</v>
      </c>
      <c r="D115" s="8">
        <v>25704</v>
      </c>
      <c r="E115" s="7" t="s">
        <v>183</v>
      </c>
    </row>
    <row r="116" spans="1:5">
      <c r="A116" s="7" t="s">
        <v>114</v>
      </c>
      <c r="B116" s="20" t="s">
        <v>115</v>
      </c>
      <c r="C116" s="7" t="s">
        <v>116</v>
      </c>
      <c r="D116" s="8">
        <v>8568</v>
      </c>
      <c r="E116" s="7" t="s">
        <v>183</v>
      </c>
    </row>
    <row r="117" spans="1:5">
      <c r="A117" s="7" t="s">
        <v>238</v>
      </c>
      <c r="B117" s="20" t="s">
        <v>239</v>
      </c>
      <c r="C117" s="7" t="s">
        <v>240</v>
      </c>
      <c r="D117" s="8">
        <v>18648</v>
      </c>
      <c r="E117" s="7" t="s">
        <v>183</v>
      </c>
    </row>
    <row r="118" spans="1:5">
      <c r="A118" s="7" t="s">
        <v>117</v>
      </c>
      <c r="B118" s="20" t="s">
        <v>118</v>
      </c>
      <c r="C118" s="7" t="s">
        <v>119</v>
      </c>
      <c r="D118" s="8">
        <v>5846</v>
      </c>
      <c r="E118" s="7" t="s">
        <v>183</v>
      </c>
    </row>
    <row r="119" spans="1:5">
      <c r="A119" s="7" t="s">
        <v>241</v>
      </c>
      <c r="B119" s="20" t="s">
        <v>242</v>
      </c>
      <c r="C119" s="7" t="s">
        <v>243</v>
      </c>
      <c r="D119" s="8">
        <v>50181</v>
      </c>
      <c r="E119" s="7" t="s">
        <v>183</v>
      </c>
    </row>
    <row r="120" spans="1:5">
      <c r="A120" s="7" t="s">
        <v>244</v>
      </c>
      <c r="B120" s="20" t="s">
        <v>245</v>
      </c>
      <c r="C120" s="7" t="s">
        <v>246</v>
      </c>
      <c r="D120" s="8">
        <v>106933</v>
      </c>
      <c r="E120" s="7" t="s">
        <v>183</v>
      </c>
    </row>
    <row r="121" spans="1:5">
      <c r="A121" s="7" t="s">
        <v>247</v>
      </c>
      <c r="B121" s="20" t="s">
        <v>248</v>
      </c>
      <c r="C121" s="7" t="s">
        <v>249</v>
      </c>
      <c r="D121" s="8">
        <v>27720</v>
      </c>
      <c r="E121" s="7" t="s">
        <v>183</v>
      </c>
    </row>
    <row r="122" spans="1:5">
      <c r="A122" s="7" t="s">
        <v>120</v>
      </c>
      <c r="B122" s="20" t="s">
        <v>121</v>
      </c>
      <c r="C122" s="7" t="s">
        <v>122</v>
      </c>
      <c r="D122" s="8">
        <v>22691</v>
      </c>
      <c r="E122" s="7" t="s">
        <v>183</v>
      </c>
    </row>
    <row r="123" spans="1:5">
      <c r="A123" s="7" t="s">
        <v>250</v>
      </c>
      <c r="B123" s="20" t="s">
        <v>251</v>
      </c>
      <c r="C123" s="7" t="s">
        <v>252</v>
      </c>
      <c r="D123" s="8">
        <v>6221</v>
      </c>
      <c r="E123" s="7" t="s">
        <v>183</v>
      </c>
    </row>
    <row r="124" spans="1:5">
      <c r="A124" s="7" t="s">
        <v>253</v>
      </c>
      <c r="B124" s="20" t="s">
        <v>254</v>
      </c>
      <c r="C124" s="7" t="s">
        <v>255</v>
      </c>
      <c r="D124" s="8">
        <v>31111</v>
      </c>
      <c r="E124" s="7" t="s">
        <v>183</v>
      </c>
    </row>
    <row r="125" spans="1:5">
      <c r="A125" s="7" t="s">
        <v>256</v>
      </c>
      <c r="B125" s="20" t="s">
        <v>257</v>
      </c>
      <c r="C125" s="7" t="s">
        <v>258</v>
      </c>
      <c r="D125" s="8">
        <v>13745</v>
      </c>
      <c r="E125" s="7" t="s">
        <v>183</v>
      </c>
    </row>
    <row r="126" spans="1:5">
      <c r="A126" s="7" t="s">
        <v>259</v>
      </c>
      <c r="B126" s="20" t="s">
        <v>260</v>
      </c>
      <c r="C126" s="7" t="s">
        <v>261</v>
      </c>
      <c r="D126" s="8">
        <v>13152</v>
      </c>
      <c r="E126" s="7" t="s">
        <v>183</v>
      </c>
    </row>
    <row r="127" spans="1:5">
      <c r="A127" s="7" t="s">
        <v>262</v>
      </c>
      <c r="B127" s="20" t="s">
        <v>263</v>
      </c>
      <c r="C127" s="7" t="s">
        <v>264</v>
      </c>
      <c r="D127" s="8">
        <v>22691</v>
      </c>
      <c r="E127" s="7" t="s">
        <v>183</v>
      </c>
    </row>
    <row r="128" spans="1:5">
      <c r="A128" s="7" t="s">
        <v>265</v>
      </c>
      <c r="B128" s="20" t="s">
        <v>266</v>
      </c>
      <c r="C128" s="7" t="s">
        <v>267</v>
      </c>
      <c r="D128" s="8">
        <v>24960</v>
      </c>
      <c r="E128" s="7" t="s">
        <v>183</v>
      </c>
    </row>
    <row r="129" spans="1:5">
      <c r="A129" s="7" t="s">
        <v>268</v>
      </c>
      <c r="B129" s="20" t="s">
        <v>269</v>
      </c>
      <c r="C129" s="7" t="s">
        <v>270</v>
      </c>
      <c r="D129" s="8">
        <v>90816</v>
      </c>
      <c r="E129" s="7" t="s">
        <v>183</v>
      </c>
    </row>
    <row r="130" spans="1:5">
      <c r="A130" s="7" t="s">
        <v>123</v>
      </c>
      <c r="B130" s="20" t="s">
        <v>124</v>
      </c>
      <c r="C130" s="7" t="s">
        <v>125</v>
      </c>
      <c r="D130" s="8">
        <v>8870</v>
      </c>
      <c r="E130" s="7" t="s">
        <v>183</v>
      </c>
    </row>
    <row r="131" spans="1:5">
      <c r="A131" s="7" t="s">
        <v>271</v>
      </c>
      <c r="B131" s="20" t="s">
        <v>272</v>
      </c>
      <c r="C131" s="7" t="s">
        <v>273</v>
      </c>
      <c r="D131" s="8">
        <v>42937</v>
      </c>
      <c r="E131" s="7" t="s">
        <v>183</v>
      </c>
    </row>
    <row r="132" spans="1:5">
      <c r="A132" s="7" t="s">
        <v>126</v>
      </c>
      <c r="B132" s="20" t="s">
        <v>127</v>
      </c>
      <c r="C132" s="7" t="s">
        <v>128</v>
      </c>
      <c r="D132" s="8">
        <v>6754</v>
      </c>
      <c r="E132" s="7" t="s">
        <v>183</v>
      </c>
    </row>
    <row r="133" spans="1:5">
      <c r="A133" s="7" t="s">
        <v>274</v>
      </c>
      <c r="B133" s="20" t="s">
        <v>275</v>
      </c>
      <c r="C133" s="7" t="s">
        <v>276</v>
      </c>
      <c r="D133" s="8">
        <v>31111</v>
      </c>
      <c r="E133" s="7" t="s">
        <v>183</v>
      </c>
    </row>
    <row r="134" spans="1:5">
      <c r="A134" s="7" t="s">
        <v>277</v>
      </c>
      <c r="B134" s="20" t="s">
        <v>278</v>
      </c>
      <c r="C134" s="7" t="s">
        <v>279</v>
      </c>
      <c r="D134" s="8">
        <v>22691</v>
      </c>
      <c r="E134" s="7" t="s">
        <v>183</v>
      </c>
    </row>
    <row r="135" spans="1:5">
      <c r="A135" s="7" t="s">
        <v>280</v>
      </c>
      <c r="B135" s="20" t="s">
        <v>281</v>
      </c>
      <c r="C135" s="7" t="s">
        <v>282</v>
      </c>
      <c r="D135" s="8">
        <v>8770</v>
      </c>
      <c r="E135" s="7" t="s">
        <v>183</v>
      </c>
    </row>
    <row r="136" spans="1:5">
      <c r="A136" s="7" t="s">
        <v>283</v>
      </c>
      <c r="B136" s="20" t="s">
        <v>284</v>
      </c>
      <c r="C136" s="7" t="s">
        <v>285</v>
      </c>
      <c r="D136" s="8">
        <v>6221</v>
      </c>
      <c r="E136" s="7" t="s">
        <v>183</v>
      </c>
    </row>
    <row r="137" spans="1:5">
      <c r="A137" s="7" t="s">
        <v>286</v>
      </c>
      <c r="B137" s="20" t="s">
        <v>287</v>
      </c>
      <c r="C137" s="7" t="s">
        <v>288</v>
      </c>
      <c r="D137" s="8">
        <v>119289</v>
      </c>
      <c r="E137" s="7" t="s">
        <v>183</v>
      </c>
    </row>
    <row r="138" spans="1:5">
      <c r="A138" s="7" t="s">
        <v>289</v>
      </c>
      <c r="B138" s="20" t="s">
        <v>290</v>
      </c>
      <c r="C138" s="7" t="s">
        <v>291</v>
      </c>
      <c r="D138" s="8">
        <v>25704</v>
      </c>
      <c r="E138" s="7" t="s">
        <v>183</v>
      </c>
    </row>
    <row r="139" spans="1:5">
      <c r="A139" s="7" t="s">
        <v>292</v>
      </c>
      <c r="B139" s="20" t="s">
        <v>293</v>
      </c>
      <c r="C139" s="7" t="s">
        <v>294</v>
      </c>
      <c r="D139" s="8">
        <v>25920</v>
      </c>
      <c r="E139" s="7" t="s">
        <v>183</v>
      </c>
    </row>
    <row r="140" spans="1:5">
      <c r="A140" s="7" t="s">
        <v>129</v>
      </c>
      <c r="B140" s="20" t="s">
        <v>130</v>
      </c>
      <c r="C140" s="7" t="s">
        <v>131</v>
      </c>
      <c r="D140" s="8">
        <v>22075</v>
      </c>
      <c r="E140" s="7" t="s">
        <v>183</v>
      </c>
    </row>
    <row r="141" spans="1:5">
      <c r="A141" s="7" t="s">
        <v>295</v>
      </c>
      <c r="B141" s="20" t="s">
        <v>296</v>
      </c>
      <c r="C141" s="7" t="s">
        <v>297</v>
      </c>
      <c r="D141" s="8">
        <v>22691</v>
      </c>
      <c r="E141" s="7" t="s">
        <v>183</v>
      </c>
    </row>
    <row r="142" spans="1:5">
      <c r="A142" s="7" t="s">
        <v>132</v>
      </c>
      <c r="B142" s="20" t="s">
        <v>506</v>
      </c>
      <c r="C142" s="7" t="s">
        <v>507</v>
      </c>
      <c r="D142" s="8">
        <v>22752</v>
      </c>
      <c r="E142" s="7" t="s">
        <v>183</v>
      </c>
    </row>
    <row r="143" spans="1:5">
      <c r="A143" s="7" t="s">
        <v>298</v>
      </c>
      <c r="B143" s="20" t="s">
        <v>299</v>
      </c>
      <c r="C143" s="7" t="s">
        <v>300</v>
      </c>
      <c r="D143" s="8">
        <v>28512</v>
      </c>
      <c r="E143" s="7" t="s">
        <v>183</v>
      </c>
    </row>
    <row r="144" spans="1:5">
      <c r="A144" s="7" t="s">
        <v>301</v>
      </c>
      <c r="B144" s="20" t="s">
        <v>302</v>
      </c>
      <c r="C144" s="7" t="s">
        <v>303</v>
      </c>
      <c r="D144" s="8">
        <v>22075</v>
      </c>
      <c r="E144" s="7" t="s">
        <v>183</v>
      </c>
    </row>
    <row r="145" spans="1:5">
      <c r="A145" s="7" t="s">
        <v>304</v>
      </c>
      <c r="B145" s="20" t="s">
        <v>305</v>
      </c>
      <c r="C145" s="7" t="s">
        <v>306</v>
      </c>
      <c r="D145" s="8">
        <v>46255</v>
      </c>
      <c r="E145" s="7" t="s">
        <v>183</v>
      </c>
    </row>
    <row r="146" spans="1:5">
      <c r="A146" s="7" t="s">
        <v>307</v>
      </c>
      <c r="B146" s="20" t="s">
        <v>308</v>
      </c>
      <c r="C146" s="7" t="s">
        <v>309</v>
      </c>
      <c r="D146" s="8">
        <v>105380</v>
      </c>
      <c r="E146" s="7" t="s">
        <v>183</v>
      </c>
    </row>
    <row r="147" spans="1:5">
      <c r="A147" s="7" t="s">
        <v>310</v>
      </c>
      <c r="B147" s="20" t="s">
        <v>311</v>
      </c>
      <c r="C147" s="7" t="s">
        <v>312</v>
      </c>
      <c r="D147" s="8">
        <v>9475</v>
      </c>
      <c r="E147" s="7" t="s">
        <v>183</v>
      </c>
    </row>
    <row r="148" spans="1:5">
      <c r="A148" s="7" t="s">
        <v>313</v>
      </c>
      <c r="B148" s="20" t="s">
        <v>314</v>
      </c>
      <c r="C148" s="7" t="s">
        <v>315</v>
      </c>
      <c r="D148" s="8">
        <v>22691</v>
      </c>
      <c r="E148" s="7" t="s">
        <v>183</v>
      </c>
    </row>
    <row r="149" spans="1:5">
      <c r="A149" s="7" t="s">
        <v>316</v>
      </c>
      <c r="B149" s="20" t="s">
        <v>317</v>
      </c>
      <c r="C149" s="7" t="s">
        <v>318</v>
      </c>
      <c r="D149" s="8">
        <v>22075</v>
      </c>
      <c r="E149" s="7" t="s">
        <v>183</v>
      </c>
    </row>
    <row r="150" spans="1:5">
      <c r="A150" s="7" t="s">
        <v>319</v>
      </c>
      <c r="B150" s="20" t="s">
        <v>320</v>
      </c>
      <c r="C150" s="7" t="s">
        <v>321</v>
      </c>
      <c r="D150" s="8">
        <v>57600</v>
      </c>
      <c r="E150" s="7" t="s">
        <v>183</v>
      </c>
    </row>
    <row r="151" spans="1:5">
      <c r="A151" s="7" t="s">
        <v>322</v>
      </c>
      <c r="B151" s="20" t="s">
        <v>323</v>
      </c>
      <c r="C151" s="7" t="s">
        <v>324</v>
      </c>
      <c r="D151" s="8">
        <v>22691</v>
      </c>
      <c r="E151" s="7" t="s">
        <v>183</v>
      </c>
    </row>
    <row r="152" spans="1:5">
      <c r="A152" s="7" t="s">
        <v>325</v>
      </c>
      <c r="B152" s="20" t="s">
        <v>326</v>
      </c>
      <c r="C152" s="7" t="s">
        <v>327</v>
      </c>
      <c r="D152" s="8">
        <v>46327</v>
      </c>
      <c r="E152" s="7" t="s">
        <v>183</v>
      </c>
    </row>
    <row r="153" spans="1:5">
      <c r="A153" s="7" t="s">
        <v>135</v>
      </c>
      <c r="B153" s="20" t="s">
        <v>136</v>
      </c>
      <c r="C153" s="7" t="s">
        <v>137</v>
      </c>
      <c r="D153" s="8">
        <v>24873</v>
      </c>
      <c r="E153" s="7" t="s">
        <v>183</v>
      </c>
    </row>
    <row r="154" spans="1:5">
      <c r="A154" s="7" t="s">
        <v>328</v>
      </c>
      <c r="B154" s="20" t="s">
        <v>329</v>
      </c>
      <c r="C154" s="7" t="s">
        <v>330</v>
      </c>
      <c r="D154" s="8">
        <v>42654</v>
      </c>
      <c r="E154" s="7" t="s">
        <v>183</v>
      </c>
    </row>
    <row r="155" spans="1:5">
      <c r="A155" s="7" t="s">
        <v>331</v>
      </c>
      <c r="B155" s="20" t="s">
        <v>332</v>
      </c>
      <c r="C155" s="7" t="s">
        <v>333</v>
      </c>
      <c r="D155" s="8">
        <v>26400</v>
      </c>
      <c r="E155" s="7" t="s">
        <v>183</v>
      </c>
    </row>
    <row r="156" spans="1:5">
      <c r="A156" s="7" t="s">
        <v>334</v>
      </c>
      <c r="B156" s="20" t="s">
        <v>335</v>
      </c>
      <c r="C156" s="7" t="s">
        <v>336</v>
      </c>
      <c r="D156" s="8">
        <v>34925</v>
      </c>
      <c r="E156" s="7" t="s">
        <v>183</v>
      </c>
    </row>
    <row r="157" spans="1:5">
      <c r="A157" s="7" t="s">
        <v>337</v>
      </c>
      <c r="B157" s="20" t="s">
        <v>338</v>
      </c>
      <c r="C157" s="7" t="s">
        <v>339</v>
      </c>
      <c r="D157" s="8">
        <v>39744</v>
      </c>
      <c r="E157" s="7" t="s">
        <v>183</v>
      </c>
    </row>
    <row r="158" spans="1:5">
      <c r="A158" s="7" t="s">
        <v>340</v>
      </c>
      <c r="B158" s="20" t="s">
        <v>341</v>
      </c>
      <c r="C158" s="7" t="s">
        <v>342</v>
      </c>
      <c r="D158" s="8">
        <v>26400</v>
      </c>
      <c r="E158" s="7" t="s">
        <v>183</v>
      </c>
    </row>
    <row r="159" spans="1:5">
      <c r="A159" s="7" t="s">
        <v>138</v>
      </c>
      <c r="B159" s="20" t="s">
        <v>139</v>
      </c>
      <c r="C159" s="7" t="s">
        <v>140</v>
      </c>
      <c r="D159" s="8">
        <v>6982</v>
      </c>
      <c r="E159" s="7" t="s">
        <v>183</v>
      </c>
    </row>
    <row r="160" spans="1:5">
      <c r="A160" s="7" t="s">
        <v>343</v>
      </c>
      <c r="B160" s="20" t="s">
        <v>344</v>
      </c>
      <c r="C160" s="7" t="s">
        <v>345</v>
      </c>
      <c r="D160" s="8">
        <v>65520</v>
      </c>
      <c r="E160" s="7" t="s">
        <v>183</v>
      </c>
    </row>
    <row r="161" spans="1:5">
      <c r="A161" s="7" t="s">
        <v>141</v>
      </c>
      <c r="B161" s="20" t="s">
        <v>142</v>
      </c>
      <c r="C161" s="7" t="s">
        <v>143</v>
      </c>
      <c r="D161" s="8">
        <v>65520</v>
      </c>
      <c r="E161" s="7" t="s">
        <v>183</v>
      </c>
    </row>
    <row r="162" spans="1:5">
      <c r="A162" s="7" t="s">
        <v>346</v>
      </c>
      <c r="B162" s="20" t="s">
        <v>347</v>
      </c>
      <c r="C162" s="7" t="s">
        <v>348</v>
      </c>
      <c r="D162" s="8">
        <v>37113</v>
      </c>
      <c r="E162" s="7" t="s">
        <v>183</v>
      </c>
    </row>
    <row r="163" spans="1:5">
      <c r="A163" s="7" t="s">
        <v>349</v>
      </c>
      <c r="B163" s="20" t="s">
        <v>350</v>
      </c>
      <c r="C163" s="7" t="s">
        <v>351</v>
      </c>
      <c r="D163" s="8">
        <v>71568</v>
      </c>
      <c r="E163" s="7" t="s">
        <v>183</v>
      </c>
    </row>
    <row r="164" spans="1:5">
      <c r="A164" s="7" t="s">
        <v>352</v>
      </c>
      <c r="B164" s="20" t="s">
        <v>353</v>
      </c>
      <c r="C164" s="7" t="s">
        <v>354</v>
      </c>
      <c r="D164" s="8">
        <v>28865</v>
      </c>
      <c r="E164" s="7" t="s">
        <v>183</v>
      </c>
    </row>
    <row r="165" spans="1:5">
      <c r="A165" s="7" t="s">
        <v>144</v>
      </c>
      <c r="B165" s="20" t="s">
        <v>145</v>
      </c>
      <c r="C165" s="7" t="s">
        <v>146</v>
      </c>
      <c r="D165" s="8">
        <v>55440</v>
      </c>
      <c r="E165" s="7" t="s">
        <v>183</v>
      </c>
    </row>
    <row r="166" spans="1:5">
      <c r="A166" s="7" t="s">
        <v>147</v>
      </c>
      <c r="B166" s="20" t="s">
        <v>148</v>
      </c>
      <c r="C166" s="7" t="s">
        <v>149</v>
      </c>
      <c r="D166" s="8">
        <v>26880</v>
      </c>
      <c r="E166" s="7" t="s">
        <v>183</v>
      </c>
    </row>
    <row r="167" spans="1:5">
      <c r="A167" s="7" t="s">
        <v>355</v>
      </c>
      <c r="B167" s="20" t="s">
        <v>356</v>
      </c>
      <c r="C167" s="7" t="s">
        <v>357</v>
      </c>
      <c r="D167" s="8">
        <v>26880</v>
      </c>
      <c r="E167" s="7" t="s">
        <v>183</v>
      </c>
    </row>
    <row r="168" spans="1:5">
      <c r="A168" s="7" t="s">
        <v>150</v>
      </c>
      <c r="B168" s="20" t="s">
        <v>151</v>
      </c>
      <c r="C168" s="7" t="s">
        <v>152</v>
      </c>
      <c r="D168" s="8">
        <v>87072</v>
      </c>
      <c r="E168" s="7" t="s">
        <v>183</v>
      </c>
    </row>
    <row r="169" spans="1:5">
      <c r="A169" s="7" t="s">
        <v>153</v>
      </c>
      <c r="B169" s="20" t="s">
        <v>154</v>
      </c>
      <c r="C169" s="7" t="s">
        <v>155</v>
      </c>
      <c r="D169" s="8">
        <v>32832</v>
      </c>
      <c r="E169" s="7" t="s">
        <v>183</v>
      </c>
    </row>
    <row r="170" spans="1:5">
      <c r="A170" s="7" t="s">
        <v>358</v>
      </c>
      <c r="B170" s="20" t="s">
        <v>359</v>
      </c>
      <c r="C170" s="7" t="s">
        <v>360</v>
      </c>
      <c r="D170" s="8">
        <v>62208</v>
      </c>
      <c r="E170" s="7" t="s">
        <v>183</v>
      </c>
    </row>
    <row r="171" spans="1:5">
      <c r="A171" s="7" t="s">
        <v>156</v>
      </c>
      <c r="B171" s="20" t="s">
        <v>157</v>
      </c>
      <c r="C171" s="7" t="s">
        <v>158</v>
      </c>
      <c r="D171" s="8">
        <v>52224</v>
      </c>
      <c r="E171" s="7" t="s">
        <v>183</v>
      </c>
    </row>
    <row r="172" spans="1:5">
      <c r="A172" s="7" t="s">
        <v>159</v>
      </c>
      <c r="B172" s="20" t="s">
        <v>160</v>
      </c>
      <c r="C172" s="7" t="s">
        <v>161</v>
      </c>
      <c r="D172" s="8">
        <v>29568</v>
      </c>
      <c r="E172" s="7" t="s">
        <v>183</v>
      </c>
    </row>
    <row r="173" spans="1:5">
      <c r="A173" s="7" t="s">
        <v>162</v>
      </c>
      <c r="B173" s="20" t="s">
        <v>163</v>
      </c>
      <c r="C173" s="7" t="s">
        <v>164</v>
      </c>
      <c r="D173" s="8">
        <v>11345</v>
      </c>
      <c r="E173" s="7" t="s">
        <v>183</v>
      </c>
    </row>
    <row r="174" spans="1:5">
      <c r="A174" s="7" t="s">
        <v>165</v>
      </c>
      <c r="B174" s="20" t="s">
        <v>166</v>
      </c>
      <c r="C174" s="7" t="s">
        <v>167</v>
      </c>
      <c r="D174" s="8">
        <v>11345</v>
      </c>
      <c r="E174" s="7" t="s">
        <v>183</v>
      </c>
    </row>
    <row r="175" spans="1:5">
      <c r="A175" s="7" t="s">
        <v>168</v>
      </c>
      <c r="B175" s="20" t="s">
        <v>169</v>
      </c>
      <c r="C175" s="7" t="s">
        <v>170</v>
      </c>
      <c r="D175" s="8">
        <v>11345</v>
      </c>
      <c r="E175" s="7" t="s">
        <v>183</v>
      </c>
    </row>
    <row r="176" spans="1:5">
      <c r="A176" s="7" t="s">
        <v>171</v>
      </c>
      <c r="B176" s="20" t="s">
        <v>172</v>
      </c>
      <c r="C176" s="7" t="s">
        <v>173</v>
      </c>
      <c r="D176" s="8">
        <v>11597</v>
      </c>
      <c r="E176" s="7" t="s">
        <v>183</v>
      </c>
    </row>
    <row r="177" spans="1:5">
      <c r="A177" s="7" t="s">
        <v>174</v>
      </c>
      <c r="B177" s="20" t="s">
        <v>175</v>
      </c>
      <c r="C177" s="7" t="s">
        <v>176</v>
      </c>
      <c r="D177" s="8">
        <v>26400</v>
      </c>
      <c r="E177" s="7" t="s">
        <v>183</v>
      </c>
    </row>
    <row r="178" spans="1:5">
      <c r="A178" s="7" t="s">
        <v>177</v>
      </c>
      <c r="B178" s="20" t="s">
        <v>178</v>
      </c>
      <c r="C178" s="7" t="s">
        <v>179</v>
      </c>
      <c r="D178" s="8">
        <v>11597</v>
      </c>
      <c r="E178" s="7" t="s">
        <v>183</v>
      </c>
    </row>
    <row r="179" spans="1:5">
      <c r="A179" s="7" t="s">
        <v>180</v>
      </c>
      <c r="B179" s="20" t="s">
        <v>181</v>
      </c>
      <c r="C179" s="7" t="s">
        <v>182</v>
      </c>
      <c r="D179" s="8">
        <v>29568</v>
      </c>
      <c r="E179" s="7" t="s">
        <v>183</v>
      </c>
    </row>
    <row r="180" spans="1:5">
      <c r="A180" s="7" t="s">
        <v>361</v>
      </c>
      <c r="B180" s="20" t="s">
        <v>362</v>
      </c>
      <c r="C180" s="7" t="s">
        <v>363</v>
      </c>
      <c r="D180" s="8">
        <v>38400</v>
      </c>
      <c r="E180" s="7" t="s">
        <v>183</v>
      </c>
    </row>
    <row r="181" spans="1:5">
      <c r="A181" s="7" t="s">
        <v>364</v>
      </c>
      <c r="B181" s="20" t="s">
        <v>365</v>
      </c>
      <c r="C181" s="7" t="s">
        <v>366</v>
      </c>
      <c r="D181" s="8">
        <v>109440</v>
      </c>
      <c r="E181" s="7" t="s">
        <v>183</v>
      </c>
    </row>
    <row r="182" spans="1:5">
      <c r="A182" s="7" t="s">
        <v>367</v>
      </c>
      <c r="B182" s="20" t="s">
        <v>10777</v>
      </c>
      <c r="C182" s="7" t="s">
        <v>369</v>
      </c>
      <c r="D182" s="8">
        <v>84500</v>
      </c>
      <c r="E182" s="7" t="s">
        <v>500</v>
      </c>
    </row>
    <row r="183" spans="1:5">
      <c r="A183" s="7" t="s">
        <v>370</v>
      </c>
      <c r="B183" s="20" t="s">
        <v>371</v>
      </c>
      <c r="C183" s="7" t="s">
        <v>372</v>
      </c>
      <c r="D183" s="8">
        <v>35200</v>
      </c>
      <c r="E183" s="7" t="s">
        <v>500</v>
      </c>
    </row>
    <row r="184" spans="1:5">
      <c r="A184" s="7" t="s">
        <v>373</v>
      </c>
      <c r="B184" s="20" t="s">
        <v>374</v>
      </c>
      <c r="C184" s="7" t="s">
        <v>375</v>
      </c>
      <c r="D184" s="8">
        <v>79100</v>
      </c>
      <c r="E184" s="7" t="s">
        <v>500</v>
      </c>
    </row>
    <row r="185" spans="1:5">
      <c r="A185" s="7" t="s">
        <v>376</v>
      </c>
      <c r="B185" s="20" t="s">
        <v>377</v>
      </c>
      <c r="C185" s="7" t="s">
        <v>378</v>
      </c>
      <c r="D185" s="8">
        <v>38400</v>
      </c>
      <c r="E185" s="7" t="s">
        <v>500</v>
      </c>
    </row>
    <row r="186" spans="1:5">
      <c r="A186" s="7" t="s">
        <v>379</v>
      </c>
      <c r="B186" s="20" t="s">
        <v>380</v>
      </c>
      <c r="C186" s="7" t="s">
        <v>381</v>
      </c>
      <c r="D186" s="8">
        <v>84200</v>
      </c>
      <c r="E186" s="7" t="s">
        <v>500</v>
      </c>
    </row>
    <row r="187" spans="1:5">
      <c r="A187" s="7" t="s">
        <v>382</v>
      </c>
      <c r="B187" s="20" t="s">
        <v>383</v>
      </c>
      <c r="C187" s="7" t="s">
        <v>384</v>
      </c>
      <c r="D187" s="8">
        <v>84200</v>
      </c>
      <c r="E187" s="7" t="s">
        <v>500</v>
      </c>
    </row>
    <row r="188" spans="1:5">
      <c r="A188" s="7" t="s">
        <v>385</v>
      </c>
      <c r="B188" s="20" t="s">
        <v>386</v>
      </c>
      <c r="C188" s="7" t="s">
        <v>387</v>
      </c>
      <c r="D188" s="8">
        <v>38400</v>
      </c>
      <c r="E188" s="7" t="s">
        <v>500</v>
      </c>
    </row>
    <row r="189" spans="1:5">
      <c r="A189" s="7" t="s">
        <v>388</v>
      </c>
      <c r="B189" s="20" t="s">
        <v>389</v>
      </c>
      <c r="C189" s="7" t="s">
        <v>390</v>
      </c>
      <c r="D189" s="8">
        <v>96800</v>
      </c>
      <c r="E189" s="7" t="s">
        <v>500</v>
      </c>
    </row>
    <row r="190" spans="1:5">
      <c r="A190" s="7" t="s">
        <v>391</v>
      </c>
      <c r="B190" s="20" t="s">
        <v>392</v>
      </c>
      <c r="C190" s="7" t="s">
        <v>393</v>
      </c>
      <c r="D190" s="8">
        <v>84000</v>
      </c>
      <c r="E190" s="7" t="s">
        <v>500</v>
      </c>
    </row>
    <row r="191" spans="1:5">
      <c r="A191" s="7" t="s">
        <v>394</v>
      </c>
      <c r="B191" s="20" t="s">
        <v>395</v>
      </c>
      <c r="C191" s="7" t="s">
        <v>396</v>
      </c>
      <c r="D191" s="8">
        <v>49400</v>
      </c>
      <c r="E191" s="7" t="s">
        <v>500</v>
      </c>
    </row>
    <row r="192" spans="1:5">
      <c r="A192" s="7" t="s">
        <v>397</v>
      </c>
      <c r="B192" s="20" t="s">
        <v>398</v>
      </c>
      <c r="C192" s="7" t="s">
        <v>399</v>
      </c>
      <c r="D192" s="8">
        <v>49400</v>
      </c>
      <c r="E192" s="7" t="s">
        <v>500</v>
      </c>
    </row>
    <row r="193" spans="1:5">
      <c r="A193" s="7" t="s">
        <v>400</v>
      </c>
      <c r="B193" s="20" t="s">
        <v>401</v>
      </c>
      <c r="C193" s="7" t="s">
        <v>402</v>
      </c>
      <c r="D193" s="8">
        <v>17100</v>
      </c>
      <c r="E193" s="7" t="s">
        <v>500</v>
      </c>
    </row>
    <row r="194" spans="1:5">
      <c r="A194" s="7" t="s">
        <v>403</v>
      </c>
      <c r="B194" s="20" t="s">
        <v>404</v>
      </c>
      <c r="C194" s="7" t="s">
        <v>405</v>
      </c>
      <c r="D194" s="8">
        <v>21100</v>
      </c>
      <c r="E194" s="7" t="s">
        <v>500</v>
      </c>
    </row>
    <row r="195" spans="1:5">
      <c r="A195" s="7" t="s">
        <v>406</v>
      </c>
      <c r="B195" s="20" t="s">
        <v>407</v>
      </c>
      <c r="C195" s="7" t="s">
        <v>408</v>
      </c>
      <c r="D195" s="8">
        <v>52800</v>
      </c>
      <c r="E195" s="7" t="s">
        <v>500</v>
      </c>
    </row>
    <row r="196" spans="1:5">
      <c r="A196" s="7" t="s">
        <v>409</v>
      </c>
      <c r="B196" s="20" t="s">
        <v>410</v>
      </c>
      <c r="C196" s="7" t="s">
        <v>411</v>
      </c>
      <c r="D196" s="8">
        <v>20100</v>
      </c>
      <c r="E196" s="7" t="s">
        <v>500</v>
      </c>
    </row>
    <row r="197" spans="1:5">
      <c r="A197" s="7" t="s">
        <v>412</v>
      </c>
      <c r="B197" s="20" t="s">
        <v>413</v>
      </c>
      <c r="C197" s="7" t="s">
        <v>414</v>
      </c>
      <c r="D197" s="8">
        <v>50200</v>
      </c>
      <c r="E197" s="7" t="s">
        <v>500</v>
      </c>
    </row>
    <row r="198" spans="1:5">
      <c r="A198" s="7" t="s">
        <v>415</v>
      </c>
      <c r="B198" s="20" t="s">
        <v>10137</v>
      </c>
      <c r="C198" s="7" t="s">
        <v>10138</v>
      </c>
      <c r="D198" s="8">
        <v>55600</v>
      </c>
      <c r="E198" s="7" t="s">
        <v>500</v>
      </c>
    </row>
    <row r="199" spans="1:5">
      <c r="A199" s="7" t="s">
        <v>418</v>
      </c>
      <c r="B199" s="20" t="s">
        <v>419</v>
      </c>
      <c r="C199" s="7" t="s">
        <v>420</v>
      </c>
      <c r="D199" s="8">
        <v>53900</v>
      </c>
      <c r="E199" s="7" t="s">
        <v>500</v>
      </c>
    </row>
    <row r="200" spans="1:5">
      <c r="A200" s="7" t="s">
        <v>421</v>
      </c>
      <c r="B200" s="20" t="s">
        <v>422</v>
      </c>
      <c r="C200" s="7" t="s">
        <v>423</v>
      </c>
      <c r="D200" s="8">
        <v>13100</v>
      </c>
      <c r="E200" s="7" t="s">
        <v>500</v>
      </c>
    </row>
    <row r="201" spans="1:5">
      <c r="A201" s="7" t="s">
        <v>424</v>
      </c>
      <c r="B201" s="20" t="s">
        <v>425</v>
      </c>
      <c r="C201" s="7" t="s">
        <v>426</v>
      </c>
      <c r="D201" s="8">
        <v>55600</v>
      </c>
      <c r="E201" s="7" t="s">
        <v>500</v>
      </c>
    </row>
    <row r="202" spans="1:5">
      <c r="A202" s="7" t="s">
        <v>427</v>
      </c>
      <c r="B202" s="20" t="s">
        <v>428</v>
      </c>
      <c r="C202" s="7" t="s">
        <v>429</v>
      </c>
      <c r="D202" s="8">
        <v>74500</v>
      </c>
      <c r="E202" s="7" t="s">
        <v>500</v>
      </c>
    </row>
    <row r="203" spans="1:5">
      <c r="A203" s="7" t="s">
        <v>430</v>
      </c>
      <c r="B203" s="20" t="s">
        <v>431</v>
      </c>
      <c r="C203" s="7" t="s">
        <v>432</v>
      </c>
      <c r="D203" s="8">
        <v>84600</v>
      </c>
      <c r="E203" s="7" t="s">
        <v>500</v>
      </c>
    </row>
    <row r="204" spans="1:5">
      <c r="A204" s="7" t="s">
        <v>433</v>
      </c>
      <c r="B204" s="20" t="s">
        <v>10172</v>
      </c>
      <c r="C204" s="7" t="s">
        <v>435</v>
      </c>
      <c r="D204" s="8">
        <v>67700</v>
      </c>
      <c r="E204" s="7" t="s">
        <v>500</v>
      </c>
    </row>
    <row r="205" spans="1:5">
      <c r="A205" s="7" t="s">
        <v>436</v>
      </c>
      <c r="B205" s="20" t="s">
        <v>437</v>
      </c>
      <c r="C205" s="7" t="s">
        <v>438</v>
      </c>
      <c r="D205" s="8">
        <v>41200</v>
      </c>
      <c r="E205" s="7" t="s">
        <v>500</v>
      </c>
    </row>
    <row r="206" spans="1:5">
      <c r="A206" s="7" t="s">
        <v>439</v>
      </c>
      <c r="B206" s="20" t="s">
        <v>440</v>
      </c>
      <c r="C206" s="7" t="s">
        <v>441</v>
      </c>
      <c r="D206" s="8">
        <v>36300</v>
      </c>
      <c r="E206" s="7" t="s">
        <v>500</v>
      </c>
    </row>
    <row r="207" spans="1:5">
      <c r="A207" s="7" t="s">
        <v>442</v>
      </c>
      <c r="B207" s="20" t="s">
        <v>443</v>
      </c>
      <c r="C207" s="7" t="s">
        <v>444</v>
      </c>
      <c r="D207" s="8">
        <v>37000</v>
      </c>
      <c r="E207" s="7" t="s">
        <v>500</v>
      </c>
    </row>
    <row r="208" spans="1:5">
      <c r="A208" s="7" t="s">
        <v>445</v>
      </c>
      <c r="B208" s="20" t="s">
        <v>446</v>
      </c>
      <c r="C208" s="7" t="s">
        <v>447</v>
      </c>
      <c r="D208" s="8">
        <v>37000</v>
      </c>
      <c r="E208" s="7" t="s">
        <v>500</v>
      </c>
    </row>
    <row r="209" spans="1:5">
      <c r="A209" s="7" t="s">
        <v>448</v>
      </c>
      <c r="B209" s="20" t="s">
        <v>449</v>
      </c>
      <c r="C209" s="7" t="s">
        <v>450</v>
      </c>
      <c r="D209" s="8">
        <v>48384</v>
      </c>
      <c r="E209" s="7" t="s">
        <v>500</v>
      </c>
    </row>
    <row r="210" spans="1:5">
      <c r="A210" s="7" t="s">
        <v>451</v>
      </c>
      <c r="B210" s="20" t="s">
        <v>10762</v>
      </c>
      <c r="C210" s="7" t="s">
        <v>12345</v>
      </c>
      <c r="D210" s="8">
        <v>42000</v>
      </c>
      <c r="E210" s="7" t="s">
        <v>500</v>
      </c>
    </row>
    <row r="211" spans="1:5">
      <c r="A211" s="7" t="s">
        <v>452</v>
      </c>
      <c r="B211" s="20" t="s">
        <v>453</v>
      </c>
      <c r="C211" s="7" t="s">
        <v>454</v>
      </c>
      <c r="D211" s="8">
        <v>9300</v>
      </c>
      <c r="E211" s="7" t="s">
        <v>500</v>
      </c>
    </row>
    <row r="212" spans="1:5">
      <c r="A212" s="7" t="s">
        <v>455</v>
      </c>
      <c r="B212" s="20" t="s">
        <v>456</v>
      </c>
      <c r="C212" s="7" t="s">
        <v>457</v>
      </c>
      <c r="D212" s="8">
        <v>9300</v>
      </c>
      <c r="E212" s="7" t="s">
        <v>500</v>
      </c>
    </row>
    <row r="213" spans="1:5">
      <c r="A213" s="7" t="s">
        <v>458</v>
      </c>
      <c r="B213" s="20" t="s">
        <v>459</v>
      </c>
      <c r="C213" s="7" t="s">
        <v>460</v>
      </c>
      <c r="D213" s="8">
        <v>9300</v>
      </c>
      <c r="E213" s="7" t="s">
        <v>500</v>
      </c>
    </row>
    <row r="214" spans="1:5">
      <c r="A214" s="7" t="s">
        <v>461</v>
      </c>
      <c r="B214" s="20" t="s">
        <v>462</v>
      </c>
      <c r="C214" s="7" t="s">
        <v>463</v>
      </c>
      <c r="D214" s="8">
        <v>9300</v>
      </c>
      <c r="E214" s="7" t="s">
        <v>500</v>
      </c>
    </row>
    <row r="215" spans="1:5">
      <c r="A215" s="7" t="s">
        <v>464</v>
      </c>
      <c r="B215" s="20" t="s">
        <v>10710</v>
      </c>
      <c r="C215" s="7" t="s">
        <v>11075</v>
      </c>
      <c r="D215" s="8">
        <v>35500</v>
      </c>
      <c r="E215" s="7" t="s">
        <v>500</v>
      </c>
    </row>
    <row r="216" spans="1:5">
      <c r="A216" s="7" t="s">
        <v>467</v>
      </c>
      <c r="B216" s="20" t="s">
        <v>468</v>
      </c>
      <c r="C216" s="7" t="s">
        <v>469</v>
      </c>
      <c r="D216" s="8">
        <v>14200</v>
      </c>
      <c r="E216" s="7" t="s">
        <v>500</v>
      </c>
    </row>
    <row r="217" spans="1:5">
      <c r="A217" s="7" t="s">
        <v>470</v>
      </c>
      <c r="B217" s="20" t="s">
        <v>10766</v>
      </c>
      <c r="C217" s="7" t="s">
        <v>12753</v>
      </c>
      <c r="D217" s="8">
        <v>39150</v>
      </c>
      <c r="E217" s="7" t="s">
        <v>500</v>
      </c>
    </row>
    <row r="218" spans="1:5">
      <c r="A218" s="7" t="s">
        <v>473</v>
      </c>
      <c r="B218" s="20" t="s">
        <v>474</v>
      </c>
      <c r="C218" s="7" t="s">
        <v>475</v>
      </c>
      <c r="D218" s="8">
        <v>18300</v>
      </c>
      <c r="E218" s="7" t="s">
        <v>500</v>
      </c>
    </row>
    <row r="219" spans="1:5">
      <c r="A219" s="7" t="s">
        <v>476</v>
      </c>
      <c r="B219" s="20" t="s">
        <v>477</v>
      </c>
      <c r="C219" s="7" t="s">
        <v>478</v>
      </c>
      <c r="D219" s="8">
        <v>31524</v>
      </c>
      <c r="E219" s="7" t="s">
        <v>500</v>
      </c>
    </row>
    <row r="220" spans="1:5">
      <c r="A220" s="7" t="s">
        <v>479</v>
      </c>
      <c r="B220" s="20" t="s">
        <v>480</v>
      </c>
      <c r="C220" s="7" t="s">
        <v>481</v>
      </c>
      <c r="D220" s="8">
        <v>31524</v>
      </c>
      <c r="E220" s="7" t="s">
        <v>500</v>
      </c>
    </row>
    <row r="221" spans="1:5">
      <c r="A221" s="7" t="s">
        <v>482</v>
      </c>
      <c r="B221" s="20" t="s">
        <v>483</v>
      </c>
      <c r="C221" s="7" t="s">
        <v>484</v>
      </c>
      <c r="D221" s="8">
        <v>105000</v>
      </c>
      <c r="E221" s="7" t="s">
        <v>500</v>
      </c>
    </row>
    <row r="222" spans="1:5">
      <c r="A222" s="20" t="s">
        <v>11077</v>
      </c>
      <c r="B222" s="20" t="s">
        <v>10712</v>
      </c>
      <c r="C222" s="7" t="s">
        <v>11076</v>
      </c>
      <c r="D222" s="8">
        <v>33750</v>
      </c>
      <c r="E222" s="7" t="s">
        <v>500</v>
      </c>
    </row>
    <row r="223" spans="1:5">
      <c r="A223" s="20" t="s">
        <v>11078</v>
      </c>
      <c r="B223" s="20" t="s">
        <v>465</v>
      </c>
      <c r="C223" s="7" t="s">
        <v>12465</v>
      </c>
      <c r="D223" s="8">
        <v>70000</v>
      </c>
      <c r="E223" s="7" t="s">
        <v>500</v>
      </c>
    </row>
    <row r="224" spans="1:5">
      <c r="A224" s="7" t="s">
        <v>12459</v>
      </c>
      <c r="B224" s="20" t="s">
        <v>11025</v>
      </c>
      <c r="C224" s="7" t="s">
        <v>12466</v>
      </c>
      <c r="D224" s="8">
        <v>42000</v>
      </c>
      <c r="E224" s="7" t="s">
        <v>500</v>
      </c>
    </row>
    <row r="225" spans="1:5">
      <c r="A225" s="7" t="s">
        <v>12460</v>
      </c>
      <c r="B225" s="20" t="s">
        <v>12471</v>
      </c>
      <c r="C225" s="7" t="s">
        <v>12467</v>
      </c>
      <c r="D225" s="8">
        <v>16500</v>
      </c>
      <c r="E225" s="7" t="s">
        <v>500</v>
      </c>
    </row>
    <row r="226" spans="1:5">
      <c r="A226" s="7" t="s">
        <v>12461</v>
      </c>
      <c r="B226" s="20" t="s">
        <v>12472</v>
      </c>
      <c r="C226" s="7" t="s">
        <v>12468</v>
      </c>
      <c r="D226" s="8">
        <v>26000</v>
      </c>
      <c r="E226" s="7" t="s">
        <v>500</v>
      </c>
    </row>
    <row r="227" spans="1:5">
      <c r="A227" s="20" t="s">
        <v>12462</v>
      </c>
      <c r="B227" s="20" t="s">
        <v>10799</v>
      </c>
      <c r="C227" s="7" t="s">
        <v>10800</v>
      </c>
      <c r="D227" s="8">
        <v>82080</v>
      </c>
      <c r="E227" s="7" t="s">
        <v>500</v>
      </c>
    </row>
    <row r="228" spans="1:5">
      <c r="A228" s="7" t="s">
        <v>12463</v>
      </c>
      <c r="B228" s="20" t="s">
        <v>10748</v>
      </c>
      <c r="C228" s="7" t="s">
        <v>12469</v>
      </c>
      <c r="D228" s="8">
        <v>8837</v>
      </c>
      <c r="E228" s="7" t="s">
        <v>500</v>
      </c>
    </row>
    <row r="229" spans="1:5">
      <c r="A229" s="7" t="s">
        <v>12464</v>
      </c>
      <c r="B229" s="20" t="s">
        <v>10752</v>
      </c>
      <c r="C229" s="7" t="s">
        <v>12470</v>
      </c>
      <c r="D229" s="8">
        <v>8837</v>
      </c>
      <c r="E229" s="7" t="s">
        <v>500</v>
      </c>
    </row>
    <row r="230" spans="1:5">
      <c r="A230" s="20" t="s">
        <v>12475</v>
      </c>
      <c r="B230" s="35" t="s">
        <v>12717</v>
      </c>
      <c r="C230" s="7" t="s">
        <v>12476</v>
      </c>
      <c r="D230" s="8">
        <v>44000</v>
      </c>
      <c r="E230" s="7" t="s">
        <v>500</v>
      </c>
    </row>
    <row r="231" spans="1:5">
      <c r="A231" s="7" t="s">
        <v>12824</v>
      </c>
      <c r="B231" s="35" t="s">
        <v>12828</v>
      </c>
      <c r="C231" s="7" t="s">
        <v>12825</v>
      </c>
      <c r="D231" s="8">
        <v>36000</v>
      </c>
      <c r="E231" s="7" t="s">
        <v>500</v>
      </c>
    </row>
    <row r="232" spans="1:5">
      <c r="A232" s="7" t="s">
        <v>12826</v>
      </c>
      <c r="B232" s="35" t="s">
        <v>10542</v>
      </c>
      <c r="C232" s="7" t="s">
        <v>12827</v>
      </c>
      <c r="D232" s="8">
        <v>52000</v>
      </c>
      <c r="E232" s="7" t="s">
        <v>500</v>
      </c>
    </row>
    <row r="233" spans="1:5">
      <c r="A233" s="35" t="s">
        <v>13412</v>
      </c>
      <c r="B233" s="35" t="s">
        <v>13413</v>
      </c>
      <c r="C233" s="7" t="s">
        <v>13414</v>
      </c>
      <c r="D233" s="8">
        <v>30000</v>
      </c>
      <c r="E233" s="7" t="s">
        <v>500</v>
      </c>
    </row>
  </sheetData>
  <conditionalFormatting sqref="B2:B230 C231">
    <cfRule type="duplicateValues" dxfId="14" priority="2"/>
    <cfRule type="duplicateValues" dxfId="13" priority="7"/>
  </conditionalFormatting>
  <conditionalFormatting sqref="B2:B233">
    <cfRule type="duplicateValues" dxfId="12"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8D907AB-841C-41C8-B298-8CB95E1197E5}">
          <x14:formula1>
            <xm:f>'Data Validation'!$C$2:$C$4</xm:f>
          </x14:formula1>
          <xm:sqref>E2:E233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5F0D-C6CB-4AC4-A8A2-65799F9BD1B7}">
  <sheetPr>
    <tabColor rgb="FFC00000"/>
    <pageSetUpPr fitToPage="1"/>
  </sheetPr>
  <dimension ref="A1:Q170"/>
  <sheetViews>
    <sheetView tabSelected="1" topLeftCell="A142" zoomScale="58" zoomScaleNormal="58" zoomScaleSheetLayoutView="40" workbookViewId="0">
      <selection activeCell="B167" sqref="B167"/>
    </sheetView>
  </sheetViews>
  <sheetFormatPr defaultColWidth="9" defaultRowHeight="21.75" customHeight="1"/>
  <cols>
    <col min="1" max="1" width="11.42578125" style="25" customWidth="1"/>
    <col min="2" max="2" width="34.7109375" style="3" bestFit="1" customWidth="1"/>
    <col min="3" max="3" width="17.140625" style="3" bestFit="1" customWidth="1"/>
    <col min="4" max="4" width="16.140625" style="3" bestFit="1" customWidth="1"/>
    <col min="5" max="6" width="22" style="3" bestFit="1" customWidth="1"/>
    <col min="7" max="7" width="26.85546875" style="3" customWidth="1"/>
    <col min="8" max="8" width="22" style="3" bestFit="1" customWidth="1"/>
    <col min="9" max="9" width="90.140625" style="3" bestFit="1" customWidth="1"/>
    <col min="10" max="10" width="16.7109375" style="3" bestFit="1" customWidth="1"/>
    <col min="11" max="11" width="20.85546875" style="7" bestFit="1" customWidth="1"/>
    <col min="12" max="12" width="25.5703125" style="3" bestFit="1" customWidth="1"/>
    <col min="13" max="13" width="27.5703125" style="3" bestFit="1" customWidth="1"/>
    <col min="14" max="14" width="23.5703125" style="3" bestFit="1" customWidth="1"/>
    <col min="15" max="15" width="71.140625" style="3" bestFit="1" customWidth="1"/>
    <col min="16" max="16" width="53" style="3" bestFit="1" customWidth="1"/>
    <col min="17" max="17" width="32.5703125" style="3" customWidth="1"/>
    <col min="18" max="16384" width="9" style="3"/>
  </cols>
  <sheetData>
    <row r="1" spans="1:17" s="1" customFormat="1" ht="21.75" customHeight="1">
      <c r="A1" s="24" t="s">
        <v>504</v>
      </c>
      <c r="B1" s="1" t="s">
        <v>488</v>
      </c>
      <c r="C1" s="1" t="s">
        <v>1</v>
      </c>
      <c r="D1" s="1" t="s">
        <v>495</v>
      </c>
      <c r="E1" s="1" t="s">
        <v>489</v>
      </c>
      <c r="F1" s="1" t="s">
        <v>490</v>
      </c>
      <c r="G1" s="1" t="s">
        <v>485</v>
      </c>
      <c r="H1" s="1" t="s">
        <v>486</v>
      </c>
      <c r="I1" s="1" t="s">
        <v>487</v>
      </c>
      <c r="J1" s="2" t="s">
        <v>0</v>
      </c>
      <c r="K1" s="55" t="s">
        <v>491</v>
      </c>
      <c r="L1" s="2" t="s">
        <v>492</v>
      </c>
      <c r="M1" s="2" t="s">
        <v>501</v>
      </c>
      <c r="N1" s="2" t="s">
        <v>493</v>
      </c>
      <c r="O1" s="2" t="s">
        <v>494</v>
      </c>
      <c r="P1" s="1" t="s">
        <v>509</v>
      </c>
      <c r="Q1" s="1" t="s">
        <v>12314</v>
      </c>
    </row>
    <row r="2" spans="1:17" s="27" customFormat="1" ht="18.75">
      <c r="A2" s="29">
        <f>ROW()-1</f>
        <v>1</v>
      </c>
      <c r="B2" s="23" t="s">
        <v>11232</v>
      </c>
      <c r="C2" s="23" t="s">
        <v>500</v>
      </c>
      <c r="D2" s="23" t="s">
        <v>496</v>
      </c>
      <c r="E2" s="23" t="s">
        <v>11231</v>
      </c>
      <c r="F2" s="23" t="s">
        <v>11233</v>
      </c>
      <c r="G2" s="23" t="s">
        <v>373</v>
      </c>
      <c r="H2" s="27" t="str">
        <f>VLOOKUP(gia_khuyen_mai[[#This Row],[Barcode]],'Giá gốc'!$A:$B,2,0)</f>
        <v>2145686</v>
      </c>
      <c r="I2" s="27" t="str">
        <f>VLOOKUP(gia_khuyen_mai[[#This Row],[Mã sản phẩm]],'Giá gốc'!$B:$C,2,0)</f>
        <v>Xúc xích hong khói 450g</v>
      </c>
      <c r="J2" s="30">
        <f>VLOOKUP(gia_khuyen_mai[[#This Row],[Mã sản phẩm]],'Giá gốc'!B:D,3,0)</f>
        <v>79100</v>
      </c>
      <c r="K2" s="56"/>
      <c r="L2" s="28">
        <f>ROUND((1-gia_khuyen_mai[[#This Row],[% Giảm giá]]) * gia_khuyen_mai[[#This Row],[Giá gốc]], 0)</f>
        <v>79100</v>
      </c>
      <c r="M2" s="28" t="s">
        <v>503</v>
      </c>
      <c r="N2" s="27" t="s">
        <v>410</v>
      </c>
      <c r="O2" s="27" t="str">
        <f>IFERROR(VLOOKUP(gia_khuyen_mai[[#This Row],[Mã hàng tặng]],'Giá gốc'!B:C,2,0),"")</f>
        <v>Xúc xích Hotdog 200g</v>
      </c>
      <c r="P2" s="23"/>
      <c r="Q2" s="27" t="str">
        <f>VLOOKUP(gia_khuyen_mai[[#This Row],[Mã sản phẩm]],product[[Mã sản phẩm]:[DS - ĐV]],3,0)</f>
        <v>Food Đức Việt</v>
      </c>
    </row>
    <row r="3" spans="1:17" ht="21.75" customHeight="1">
      <c r="A3" s="29">
        <f t="shared" ref="A3:A66" si="0">ROW()-1</f>
        <v>2</v>
      </c>
      <c r="B3" s="23" t="s">
        <v>11232</v>
      </c>
      <c r="C3" s="23" t="s">
        <v>500</v>
      </c>
      <c r="D3" s="23" t="s">
        <v>496</v>
      </c>
      <c r="E3" s="23" t="s">
        <v>11231</v>
      </c>
      <c r="F3" s="23" t="s">
        <v>11233</v>
      </c>
      <c r="G3" s="4" t="s">
        <v>476</v>
      </c>
      <c r="H3" s="3" t="str">
        <f>VLOOKUP(gia_khuyen_mai[[#This Row],[Barcode]],'Giá gốc'!$A:$B,2,0)</f>
        <v>2150337</v>
      </c>
      <c r="I3" s="3" t="str">
        <f>VLOOKUP(gia_khuyen_mai[[#This Row],[Mã sản phẩm]],'Giá gốc'!$B:$C,2,0)</f>
        <v>O'food Chả giò da xốp nhân thịt 300g</v>
      </c>
      <c r="J3" s="5">
        <f>VLOOKUP(gia_khuyen_mai[[#This Row],[Mã sản phẩm]],'Giá gốc'!B:D,3,0)</f>
        <v>31524</v>
      </c>
      <c r="K3" s="57">
        <v>0.3</v>
      </c>
      <c r="L3" s="6">
        <f>ROUND((1-gia_khuyen_mai[[#This Row],[% Giảm giá]]) * gia_khuyen_mai[[#This Row],[Giá gốc]], 0)</f>
        <v>22067</v>
      </c>
      <c r="M3" s="6"/>
      <c r="O3" s="3" t="str">
        <f>IFERROR(VLOOKUP(gia_khuyen_mai[[#This Row],[Mã hàng tặng]],'Giá gốc'!B:C,2,0),"")</f>
        <v/>
      </c>
      <c r="Q3" s="3" t="str">
        <f>VLOOKUP(gia_khuyen_mai[[#This Row],[Mã sản phẩm]],product[[Mã sản phẩm]:[DS - ĐV]],3,0)</f>
        <v>Food Đức Việt</v>
      </c>
    </row>
    <row r="4" spans="1:17" ht="21.75" customHeight="1">
      <c r="A4" s="29">
        <f t="shared" si="0"/>
        <v>3</v>
      </c>
      <c r="B4" s="23" t="s">
        <v>11232</v>
      </c>
      <c r="C4" s="23" t="s">
        <v>500</v>
      </c>
      <c r="D4" s="23" t="s">
        <v>496</v>
      </c>
      <c r="E4" s="23" t="s">
        <v>11231</v>
      </c>
      <c r="F4" s="23" t="s">
        <v>12344</v>
      </c>
      <c r="G4" s="4" t="s">
        <v>427</v>
      </c>
      <c r="H4" s="3" t="str">
        <f>VLOOKUP(gia_khuyen_mai[[#This Row],[Barcode]],'Giá gốc'!$A:$B,2,0)</f>
        <v>2145743</v>
      </c>
      <c r="I4" s="3" t="str">
        <f>VLOOKUP(gia_khuyen_mai[[#This Row],[Mã sản phẩm]],'Giá gốc'!$B:$C,2,0)</f>
        <v>Xúc xích sụn nướng Bulgogi 450g</v>
      </c>
      <c r="J4" s="5">
        <f>VLOOKUP(gia_khuyen_mai[[#This Row],[Mã sản phẩm]],'Giá gốc'!B:D,3,0)</f>
        <v>74500</v>
      </c>
      <c r="K4" s="57">
        <v>0.3</v>
      </c>
      <c r="L4" s="6">
        <f>ROUND((1-gia_khuyen_mai[[#This Row],[% Giảm giá]]) * gia_khuyen_mai[[#This Row],[Giá gốc]], 0)</f>
        <v>52150</v>
      </c>
      <c r="M4" s="6"/>
      <c r="O4" s="3" t="str">
        <f>IFERROR(VLOOKUP(gia_khuyen_mai[[#This Row],[Mã hàng tặng]],'Giá gốc'!B:C,2,0),"")</f>
        <v/>
      </c>
      <c r="Q4" s="3" t="str">
        <f>VLOOKUP(gia_khuyen_mai[[#This Row],[Mã sản phẩm]],product[[Mã sản phẩm]:[DS - ĐV]],3,0)</f>
        <v>Food Đức Việt</v>
      </c>
    </row>
    <row r="5" spans="1:17" ht="21.75" customHeight="1">
      <c r="A5" s="29">
        <f t="shared" si="0"/>
        <v>4</v>
      </c>
      <c r="B5" s="23" t="s">
        <v>11232</v>
      </c>
      <c r="C5" s="23" t="s">
        <v>500</v>
      </c>
      <c r="D5" s="23" t="s">
        <v>496</v>
      </c>
      <c r="E5" s="23" t="s">
        <v>11231</v>
      </c>
      <c r="F5" s="23" t="s">
        <v>11233</v>
      </c>
      <c r="G5" s="4" t="s">
        <v>397</v>
      </c>
      <c r="H5" s="3" t="str">
        <f>VLOOKUP(gia_khuyen_mai[[#This Row],[Barcode]],'Giá gốc'!$A:$B,2,0)</f>
        <v>2145726</v>
      </c>
      <c r="I5" s="3" t="str">
        <f>VLOOKUP(gia_khuyen_mai[[#This Row],[Mã sản phẩm]],'Giá gốc'!$B:$C,2,0)</f>
        <v>Xúc xích phô mai Cheesy 250g</v>
      </c>
      <c r="J5" s="5">
        <f>VLOOKUP(gia_khuyen_mai[[#This Row],[Mã sản phẩm]],'Giá gốc'!B:D,3,0)</f>
        <v>49400</v>
      </c>
      <c r="K5" s="57">
        <v>0.3</v>
      </c>
      <c r="L5" s="6">
        <f>ROUND((1-gia_khuyen_mai[[#This Row],[% Giảm giá]]) * gia_khuyen_mai[[#This Row],[Giá gốc]], 0)</f>
        <v>34580</v>
      </c>
      <c r="M5" s="6"/>
      <c r="O5" s="3" t="str">
        <f>IFERROR(VLOOKUP(gia_khuyen_mai[[#This Row],[Mã hàng tặng]],'Giá gốc'!B:C,2,0),"")</f>
        <v/>
      </c>
      <c r="Q5" s="3" t="str">
        <f>VLOOKUP(gia_khuyen_mai[[#This Row],[Mã sản phẩm]],product[[Mã sản phẩm]:[DS - ĐV]],3,0)</f>
        <v>Food Đức Việt</v>
      </c>
    </row>
    <row r="6" spans="1:17" ht="21.75" customHeight="1">
      <c r="A6" s="29">
        <f t="shared" si="0"/>
        <v>5</v>
      </c>
      <c r="B6" s="23" t="s">
        <v>11232</v>
      </c>
      <c r="C6" s="23" t="s">
        <v>500</v>
      </c>
      <c r="D6" s="23" t="s">
        <v>496</v>
      </c>
      <c r="E6" s="23" t="s">
        <v>11231</v>
      </c>
      <c r="F6" s="23" t="s">
        <v>11233</v>
      </c>
      <c r="G6" s="4" t="s">
        <v>464</v>
      </c>
      <c r="H6" s="3" t="str">
        <f>VLOOKUP(gia_khuyen_mai[[#This Row],[Barcode]],'Giá gốc'!$A:$B,2,0)</f>
        <v>2145622</v>
      </c>
      <c r="I6" s="3" t="str">
        <f>VLOOKUP(gia_khuyen_mai[[#This Row],[Mã sản phẩm]],'Giá gốc'!$B:$C,2,0)</f>
        <v>Kim chi 450</v>
      </c>
      <c r="J6" s="5">
        <f>VLOOKUP(gia_khuyen_mai[[#This Row],[Mã sản phẩm]],'Giá gốc'!B:D,3,0)</f>
        <v>35500</v>
      </c>
      <c r="K6" s="57">
        <v>0.3</v>
      </c>
      <c r="L6" s="6">
        <f>ROUND((1-gia_khuyen_mai[[#This Row],[% Giảm giá]]) * gia_khuyen_mai[[#This Row],[Giá gốc]], 0)</f>
        <v>24850</v>
      </c>
      <c r="M6" s="6"/>
      <c r="O6" s="3" t="str">
        <f>IFERROR(VLOOKUP(gia_khuyen_mai[[#This Row],[Mã hàng tặng]],'Giá gốc'!B:C,2,0),"")</f>
        <v/>
      </c>
      <c r="Q6" s="3" t="str">
        <f>VLOOKUP(gia_khuyen_mai[[#This Row],[Mã sản phẩm]],product[[Mã sản phẩm]:[DS - ĐV]],3,0)</f>
        <v>Food Đức Việt</v>
      </c>
    </row>
    <row r="7" spans="1:17" ht="21.75" customHeight="1">
      <c r="A7" s="29">
        <f t="shared" si="0"/>
        <v>6</v>
      </c>
      <c r="B7" s="23" t="s">
        <v>11232</v>
      </c>
      <c r="C7" s="23" t="s">
        <v>500</v>
      </c>
      <c r="D7" s="23" t="s">
        <v>496</v>
      </c>
      <c r="E7" s="23" t="s">
        <v>11231</v>
      </c>
      <c r="F7" s="23" t="s">
        <v>11233</v>
      </c>
      <c r="G7" s="4" t="s">
        <v>418</v>
      </c>
      <c r="H7" s="3" t="str">
        <f>VLOOKUP(gia_khuyen_mai[[#This Row],[Barcode]],'Giá gốc'!$A:$B,2,0)</f>
        <v>2145783</v>
      </c>
      <c r="I7" s="3" t="str">
        <f>VLOOKUP(gia_khuyen_mai[[#This Row],[Mã sản phẩm]],'Giá gốc'!$B:$C,2,0)</f>
        <v>Xúc xích Romas ( 50g) 500g</v>
      </c>
      <c r="J7" s="5">
        <f>VLOOKUP(gia_khuyen_mai[[#This Row],[Mã sản phẩm]],'Giá gốc'!B:D,3,0)</f>
        <v>53900</v>
      </c>
      <c r="K7" s="57">
        <v>0.25</v>
      </c>
      <c r="L7" s="6">
        <f>ROUND((1-gia_khuyen_mai[[#This Row],[% Giảm giá]]) * gia_khuyen_mai[[#This Row],[Giá gốc]], 0)</f>
        <v>40425</v>
      </c>
      <c r="M7" s="6"/>
      <c r="O7" s="3" t="str">
        <f>IFERROR(VLOOKUP(gia_khuyen_mai[[#This Row],[Mã hàng tặng]],'Giá gốc'!B:C,2,0),"")</f>
        <v/>
      </c>
      <c r="Q7" s="3" t="str">
        <f>VLOOKUP(gia_khuyen_mai[[#This Row],[Mã sản phẩm]],product[[Mã sản phẩm]:[DS - ĐV]],3,0)</f>
        <v>Food Đức Việt</v>
      </c>
    </row>
    <row r="8" spans="1:17" ht="21.75" customHeight="1">
      <c r="A8" s="29">
        <f t="shared" si="0"/>
        <v>7</v>
      </c>
      <c r="B8" s="23" t="s">
        <v>11232</v>
      </c>
      <c r="C8" s="23" t="s">
        <v>500</v>
      </c>
      <c r="D8" s="23" t="s">
        <v>496</v>
      </c>
      <c r="E8" s="23" t="s">
        <v>11231</v>
      </c>
      <c r="F8" s="23" t="s">
        <v>11233</v>
      </c>
      <c r="G8" s="4" t="s">
        <v>424</v>
      </c>
      <c r="H8" s="3" t="str">
        <f>VLOOKUP(gia_khuyen_mai[[#This Row],[Barcode]],'Giá gốc'!$A:$B,2,0)</f>
        <v>2145774</v>
      </c>
      <c r="I8" s="3" t="str">
        <f>VLOOKUP(gia_khuyen_mai[[#This Row],[Mã sản phẩm]],'Giá gốc'!$B:$C,2,0)</f>
        <v>Xúc xích Pari (50g) 500g</v>
      </c>
      <c r="J8" s="5">
        <f>VLOOKUP(gia_khuyen_mai[[#This Row],[Mã sản phẩm]],'Giá gốc'!B:D,3,0)</f>
        <v>55600</v>
      </c>
      <c r="K8" s="57">
        <v>0.22</v>
      </c>
      <c r="L8" s="6">
        <f>ROUND((1-gia_khuyen_mai[[#This Row],[% Giảm giá]]) * gia_khuyen_mai[[#This Row],[Giá gốc]], 0)</f>
        <v>43368</v>
      </c>
      <c r="M8" s="6"/>
      <c r="O8" s="3" t="str">
        <f>IFERROR(VLOOKUP(gia_khuyen_mai[[#This Row],[Mã hàng tặng]],'Giá gốc'!B:C,2,0),"")</f>
        <v/>
      </c>
      <c r="Q8" s="3" t="str">
        <f>VLOOKUP(gia_khuyen_mai[[#This Row],[Mã sản phẩm]],product[[Mã sản phẩm]:[DS - ĐV]],3,0)</f>
        <v>Food Đức Việt</v>
      </c>
    </row>
    <row r="9" spans="1:17" ht="21.75" customHeight="1">
      <c r="A9" s="29">
        <f t="shared" si="0"/>
        <v>8</v>
      </c>
      <c r="B9" s="4" t="s">
        <v>12309</v>
      </c>
      <c r="C9" s="4" t="s">
        <v>5</v>
      </c>
      <c r="D9" s="4" t="s">
        <v>496</v>
      </c>
      <c r="E9" s="23" t="s">
        <v>11231</v>
      </c>
      <c r="F9" s="4" t="s">
        <v>12310</v>
      </c>
      <c r="G9" s="3" t="s">
        <v>382</v>
      </c>
      <c r="H9" s="3" t="str">
        <f>VLOOKUP(gia_khuyen_mai[[#This Row],[Barcode]],'Giá gốc'!$A:$B,2,0)</f>
        <v>2145691</v>
      </c>
      <c r="I9" s="3" t="str">
        <f>VLOOKUP(gia_khuyen_mai[[#This Row],[Mã sản phẩm]],'Giá gốc'!$B:$C,2,0)</f>
        <v>Xúc xích viên hong khói 450g * 1EA</v>
      </c>
      <c r="J9" s="5">
        <f>VLOOKUP(gia_khuyen_mai[[#This Row],[Mã sản phẩm]],'Giá gốc'!B:D,3,0)</f>
        <v>84200</v>
      </c>
      <c r="K9" s="57"/>
      <c r="L9" s="6">
        <f>ROUND((1-gia_khuyen_mai[[#This Row],[% Giảm giá]]) * gia_khuyen_mai[[#This Row],[Giá gốc]], 0)</f>
        <v>84200</v>
      </c>
      <c r="M9" s="6" t="s">
        <v>503</v>
      </c>
      <c r="N9" s="4" t="s">
        <v>401</v>
      </c>
      <c r="O9" s="3" t="str">
        <f>IFERROR(VLOOKUP(gia_khuyen_mai[[#This Row],[Mã hàng tặng]],'Giá gốc'!B:C,2,0),"")</f>
        <v>Xúc xích phô mai Cheesy 70g * 30EA</v>
      </c>
      <c r="Q9" s="3" t="str">
        <f>VLOOKUP(gia_khuyen_mai[[#This Row],[Mã sản phẩm]],product[[Mã sản phẩm]:[DS - ĐV]],3,0)</f>
        <v>Food Đức Việt</v>
      </c>
    </row>
    <row r="10" spans="1:17" ht="21.75" customHeight="1">
      <c r="A10" s="29">
        <f t="shared" si="0"/>
        <v>9</v>
      </c>
      <c r="B10" s="4" t="s">
        <v>12317</v>
      </c>
      <c r="C10" s="4" t="s">
        <v>500</v>
      </c>
      <c r="D10" s="4" t="s">
        <v>496</v>
      </c>
      <c r="E10" s="4" t="s">
        <v>12315</v>
      </c>
      <c r="F10" s="4" t="s">
        <v>12440</v>
      </c>
      <c r="G10" s="4" t="s">
        <v>394</v>
      </c>
      <c r="H10" s="3" t="str">
        <f>VLOOKUP(gia_khuyen_mai[[#This Row],[Barcode]],'Giá gốc'!$A:$B,2,0)</f>
        <v>2145744</v>
      </c>
      <c r="I10" s="3" t="str">
        <f>VLOOKUP(gia_khuyen_mai[[#This Row],[Mã sản phẩm]],'Giá gốc'!$B:$C,2,0)</f>
        <v>Xúc xích bắp phô mai 250g</v>
      </c>
      <c r="J10" s="5">
        <f>VLOOKUP(gia_khuyen_mai[[#This Row],[Mã sản phẩm]],'Giá gốc'!B:D,3,0)</f>
        <v>49400</v>
      </c>
      <c r="K10" s="57">
        <v>0.3</v>
      </c>
      <c r="L10" s="6">
        <f>ROUND((1-gia_khuyen_mai[[#This Row],[% Giảm giá]]) * gia_khuyen_mai[[#This Row],[Giá gốc]], 0)</f>
        <v>34580</v>
      </c>
      <c r="M10" s="6"/>
      <c r="O10" s="3" t="str">
        <f>IFERROR(VLOOKUP(gia_khuyen_mai[[#This Row],[Mã hàng tặng]],'Giá gốc'!B:C,2,0),"")</f>
        <v/>
      </c>
      <c r="Q10" s="3" t="str">
        <f>VLOOKUP(gia_khuyen_mai[[#This Row],[Mã sản phẩm]],product[[Mã sản phẩm]:[DS - ĐV]],3,0)</f>
        <v>Food Đức Việt</v>
      </c>
    </row>
    <row r="11" spans="1:17" ht="21.75" customHeight="1">
      <c r="A11" s="29">
        <f t="shared" si="0"/>
        <v>10</v>
      </c>
      <c r="B11" s="4" t="s">
        <v>12317</v>
      </c>
      <c r="C11" s="4" t="s">
        <v>500</v>
      </c>
      <c r="D11" s="4" t="s">
        <v>496</v>
      </c>
      <c r="E11" s="4" t="s">
        <v>12315</v>
      </c>
      <c r="F11" s="4" t="s">
        <v>12316</v>
      </c>
      <c r="G11" s="4" t="s">
        <v>470</v>
      </c>
      <c r="H11" s="3" t="str">
        <f>VLOOKUP(gia_khuyen_mai[[#This Row],[Barcode]],'Giá gốc'!$A:$B,2,0)</f>
        <v>2145699</v>
      </c>
      <c r="I11" s="3" t="str">
        <f>VLOOKUP(gia_khuyen_mai[[#This Row],[Mã sản phẩm]],'Giá gốc'!$B:$C,2,0)</f>
        <v>Seoul's Hotdog Chiên xù 250g (Đ)</v>
      </c>
      <c r="J11" s="5">
        <f>VLOOKUP(gia_khuyen_mai[[#This Row],[Mã sản phẩm]],'Giá gốc'!B:D,3,0)</f>
        <v>39150</v>
      </c>
      <c r="K11" s="57">
        <v>0.22</v>
      </c>
      <c r="L11" s="6">
        <f>ROUND((1-gia_khuyen_mai[[#This Row],[% Giảm giá]]) * gia_khuyen_mai[[#This Row],[Giá gốc]], 0)</f>
        <v>30537</v>
      </c>
      <c r="M11" s="6"/>
      <c r="O11" s="3" t="str">
        <f>IFERROR(VLOOKUP(gia_khuyen_mai[[#This Row],[Mã hàng tặng]],'Giá gốc'!B:C,2,0),"")</f>
        <v/>
      </c>
      <c r="Q11" s="3" t="str">
        <f>VLOOKUP(gia_khuyen_mai[[#This Row],[Mã sản phẩm]],product[[Mã sản phẩm]:[DS - ĐV]],3,0)</f>
        <v>Food Đức Việt</v>
      </c>
    </row>
    <row r="12" spans="1:17" ht="21.75" customHeight="1">
      <c r="A12" s="29">
        <f t="shared" si="0"/>
        <v>11</v>
      </c>
      <c r="B12" s="4" t="s">
        <v>12317</v>
      </c>
      <c r="C12" s="4" t="s">
        <v>500</v>
      </c>
      <c r="D12" s="4" t="s">
        <v>496</v>
      </c>
      <c r="E12" s="4" t="s">
        <v>12315</v>
      </c>
      <c r="F12" s="4" t="s">
        <v>12440</v>
      </c>
      <c r="G12" s="4" t="s">
        <v>445</v>
      </c>
      <c r="H12" s="3" t="str">
        <f>VLOOKUP(gia_khuyen_mai[[#This Row],[Barcode]],'Giá gốc'!$A:$B,2,0)</f>
        <v>2145745</v>
      </c>
      <c r="I12" s="3" t="str">
        <f>VLOOKUP(gia_khuyen_mai[[#This Row],[Mã sản phẩm]],'Giá gốc'!$B:$C,2,0)</f>
        <v>Jăm bông hấp 200g</v>
      </c>
      <c r="J12" s="5">
        <f>VLOOKUP(gia_khuyen_mai[[#This Row],[Mã sản phẩm]],'Giá gốc'!B:D,3,0)</f>
        <v>37000</v>
      </c>
      <c r="K12" s="57">
        <v>0.15</v>
      </c>
      <c r="L12" s="6">
        <f>ROUND((1-gia_khuyen_mai[[#This Row],[% Giảm giá]]) * gia_khuyen_mai[[#This Row],[Giá gốc]], 0)</f>
        <v>31450</v>
      </c>
      <c r="M12" s="6"/>
      <c r="O12" s="3" t="str">
        <f>IFERROR(VLOOKUP(gia_khuyen_mai[[#This Row],[Mã hàng tặng]],'Giá gốc'!B:C,2,0),"")</f>
        <v/>
      </c>
      <c r="Q12" s="3" t="str">
        <f>VLOOKUP(gia_khuyen_mai[[#This Row],[Mã sản phẩm]],product[[Mã sản phẩm]:[DS - ĐV]],3,0)</f>
        <v>Food Đức Việt</v>
      </c>
    </row>
    <row r="13" spans="1:17" ht="21.75" customHeight="1">
      <c r="A13" s="29">
        <f t="shared" si="0"/>
        <v>12</v>
      </c>
      <c r="B13" s="4" t="s">
        <v>12317</v>
      </c>
      <c r="C13" s="4" t="s">
        <v>500</v>
      </c>
      <c r="D13" s="4" t="s">
        <v>496</v>
      </c>
      <c r="E13" s="4" t="s">
        <v>12315</v>
      </c>
      <c r="F13" s="4" t="s">
        <v>12316</v>
      </c>
      <c r="G13" s="4" t="s">
        <v>409</v>
      </c>
      <c r="H13" s="3" t="str">
        <f>VLOOKUP(gia_khuyen_mai[[#This Row],[Barcode]],'Giá gốc'!$A:$B,2,0)</f>
        <v>2145765</v>
      </c>
      <c r="I13" s="3" t="str">
        <f>VLOOKUP(gia_khuyen_mai[[#This Row],[Mã sản phẩm]],'Giá gốc'!$B:$C,2,0)</f>
        <v>Xúc xích Hotdog 200g</v>
      </c>
      <c r="J13" s="5">
        <f>VLOOKUP(gia_khuyen_mai[[#This Row],[Mã sản phẩm]],'Giá gốc'!B:D,3,0)</f>
        <v>20100</v>
      </c>
      <c r="K13" s="57">
        <v>0.2</v>
      </c>
      <c r="L13" s="6">
        <f>ROUND((1-gia_khuyen_mai[[#This Row],[% Giảm giá]]) * gia_khuyen_mai[[#This Row],[Giá gốc]], 0)</f>
        <v>16080</v>
      </c>
      <c r="M13" s="6"/>
      <c r="O13" s="3" t="str">
        <f>IFERROR(VLOOKUP(gia_khuyen_mai[[#This Row],[Mã hàng tặng]],'Giá gốc'!B:C,2,0),"")</f>
        <v/>
      </c>
      <c r="Q13" s="3" t="str">
        <f>VLOOKUP(gia_khuyen_mai[[#This Row],[Mã sản phẩm]],product[[Mã sản phẩm]:[DS - ĐV]],3,0)</f>
        <v>Food Đức Việt</v>
      </c>
    </row>
    <row r="14" spans="1:17" ht="21.75" customHeight="1">
      <c r="A14" s="29">
        <f t="shared" si="0"/>
        <v>13</v>
      </c>
      <c r="B14" s="4" t="s">
        <v>12317</v>
      </c>
      <c r="C14" s="4" t="s">
        <v>500</v>
      </c>
      <c r="D14" s="4" t="s">
        <v>496</v>
      </c>
      <c r="E14" s="4" t="s">
        <v>12315</v>
      </c>
      <c r="F14" s="4" t="s">
        <v>12316</v>
      </c>
      <c r="G14" s="4" t="s">
        <v>376</v>
      </c>
      <c r="H14" s="3" t="str">
        <f>VLOOKUP(gia_khuyen_mai[[#This Row],[Barcode]],'Giá gốc'!$A:$B,2,0)</f>
        <v>2145690</v>
      </c>
      <c r="I14" s="3" t="str">
        <f>VLOOKUP(gia_khuyen_mai[[#This Row],[Mã sản phẩm]],'Giá gốc'!$B:$C,2,0)</f>
        <v>Xúc xích vườn bia 200g * 1EA</v>
      </c>
      <c r="J14" s="5">
        <f>VLOOKUP(gia_khuyen_mai[[#This Row],[Mã sản phẩm]],'Giá gốc'!B:D,3,0)</f>
        <v>38400</v>
      </c>
      <c r="K14" s="57">
        <v>0.2</v>
      </c>
      <c r="L14" s="6">
        <f>ROUND((1-gia_khuyen_mai[[#This Row],[% Giảm giá]]) * gia_khuyen_mai[[#This Row],[Giá gốc]], 0)</f>
        <v>30720</v>
      </c>
      <c r="M14" s="6"/>
      <c r="O14" s="3" t="str">
        <f>IFERROR(VLOOKUP(gia_khuyen_mai[[#This Row],[Mã hàng tặng]],'Giá gốc'!B:C,2,0),"")</f>
        <v/>
      </c>
      <c r="Q14" s="3" t="str">
        <f>VLOOKUP(gia_khuyen_mai[[#This Row],[Mã sản phẩm]],product[[Mã sản phẩm]:[DS - ĐV]],3,0)</f>
        <v>Food Đức Việt</v>
      </c>
    </row>
    <row r="15" spans="1:17" ht="21.75" customHeight="1">
      <c r="A15" s="29">
        <f t="shared" si="0"/>
        <v>14</v>
      </c>
      <c r="B15" s="4" t="s">
        <v>12317</v>
      </c>
      <c r="C15" s="4" t="s">
        <v>500</v>
      </c>
      <c r="D15" s="4" t="s">
        <v>496</v>
      </c>
      <c r="E15" s="4" t="s">
        <v>12315</v>
      </c>
      <c r="F15" s="4" t="s">
        <v>12316</v>
      </c>
      <c r="G15" s="4" t="s">
        <v>403</v>
      </c>
      <c r="H15" s="3" t="str">
        <f>VLOOKUP(gia_khuyen_mai[[#This Row],[Barcode]],'Giá gốc'!$A:$B,2,0)</f>
        <v>2145762</v>
      </c>
      <c r="I15" s="3" t="str">
        <f>VLOOKUP(gia_khuyen_mai[[#This Row],[Mã sản phẩm]],'Giá gốc'!$B:$C,2,0)</f>
        <v>Xúc xích Cocktail 200g</v>
      </c>
      <c r="J15" s="5">
        <f>VLOOKUP(gia_khuyen_mai[[#This Row],[Mã sản phẩm]],'Giá gốc'!B:D,3,0)</f>
        <v>21100</v>
      </c>
      <c r="K15" s="57">
        <v>0.2</v>
      </c>
      <c r="L15" s="6">
        <f>ROUND((1-gia_khuyen_mai[[#This Row],[% Giảm giá]]) * gia_khuyen_mai[[#This Row],[Giá gốc]], 0)</f>
        <v>16880</v>
      </c>
      <c r="M15" s="6"/>
      <c r="O15" s="3" t="str">
        <f>IFERROR(VLOOKUP(gia_khuyen_mai[[#This Row],[Mã hàng tặng]],'Giá gốc'!B:C,2,0),"")</f>
        <v/>
      </c>
      <c r="Q15" s="3" t="str">
        <f>VLOOKUP(gia_khuyen_mai[[#This Row],[Mã sản phẩm]],product[[Mã sản phẩm]:[DS - ĐV]],3,0)</f>
        <v>Food Đức Việt</v>
      </c>
    </row>
    <row r="16" spans="1:17" ht="21.75" customHeight="1">
      <c r="A16" s="29">
        <f t="shared" si="0"/>
        <v>15</v>
      </c>
      <c r="B16" s="4" t="s">
        <v>12317</v>
      </c>
      <c r="C16" s="4" t="s">
        <v>500</v>
      </c>
      <c r="D16" s="4" t="s">
        <v>496</v>
      </c>
      <c r="E16" s="4" t="s">
        <v>12315</v>
      </c>
      <c r="F16" s="4" t="s">
        <v>12440</v>
      </c>
      <c r="G16" s="4" t="s">
        <v>479</v>
      </c>
      <c r="H16" s="3" t="str">
        <f>VLOOKUP(gia_khuyen_mai[[#This Row],[Barcode]],'Giá gốc'!$A:$B,2,0)</f>
        <v>2150338</v>
      </c>
      <c r="I16" s="3" t="str">
        <f>VLOOKUP(gia_khuyen_mai[[#This Row],[Mã sản phẩm]],'Giá gốc'!$B:$C,2,0)</f>
        <v>O'food Chả giò da xốp hải sản 300g</v>
      </c>
      <c r="J16" s="5">
        <f>VLOOKUP(gia_khuyen_mai[[#This Row],[Mã sản phẩm]],'Giá gốc'!B:D,3,0)</f>
        <v>31524</v>
      </c>
      <c r="K16" s="57">
        <v>0.3</v>
      </c>
      <c r="L16" s="6">
        <f>ROUND((1-gia_khuyen_mai[[#This Row],[% Giảm giá]]) * gia_khuyen_mai[[#This Row],[Giá gốc]], 0)</f>
        <v>22067</v>
      </c>
      <c r="M16" s="6"/>
      <c r="O16" s="3" t="str">
        <f>IFERROR(VLOOKUP(gia_khuyen_mai[[#This Row],[Mã hàng tặng]],'Giá gốc'!B:C,2,0),"")</f>
        <v/>
      </c>
      <c r="Q16" s="3" t="str">
        <f>VLOOKUP(gia_khuyen_mai[[#This Row],[Mã sản phẩm]],product[[Mã sản phẩm]:[DS - ĐV]],3,0)</f>
        <v>Food Đức Việt</v>
      </c>
    </row>
    <row r="17" spans="1:17" ht="21.75" customHeight="1">
      <c r="A17" s="29">
        <f t="shared" si="0"/>
        <v>16</v>
      </c>
      <c r="B17" s="4" t="s">
        <v>12317</v>
      </c>
      <c r="C17" s="4" t="s">
        <v>500</v>
      </c>
      <c r="D17" s="4" t="s">
        <v>496</v>
      </c>
      <c r="E17" s="4" t="s">
        <v>12315</v>
      </c>
      <c r="F17" s="4" t="s">
        <v>12316</v>
      </c>
      <c r="G17" s="4" t="s">
        <v>382</v>
      </c>
      <c r="H17" s="3" t="str">
        <f>VLOOKUP(gia_khuyen_mai[[#This Row],[Barcode]],'Giá gốc'!$A:$B,2,0)</f>
        <v>2145691</v>
      </c>
      <c r="I17" s="3" t="str">
        <f>VLOOKUP(gia_khuyen_mai[[#This Row],[Mã sản phẩm]],'Giá gốc'!$B:$C,2,0)</f>
        <v>Xúc xích viên hong khói 450g * 1EA</v>
      </c>
      <c r="J17" s="5">
        <f>VLOOKUP(gia_khuyen_mai[[#This Row],[Mã sản phẩm]],'Giá gốc'!B:D,3,0)</f>
        <v>84200</v>
      </c>
      <c r="K17" s="57"/>
      <c r="L17" s="6">
        <f>ROUND((1-gia_khuyen_mai[[#This Row],[% Giảm giá]]) * gia_khuyen_mai[[#This Row],[Giá gốc]], 0)</f>
        <v>84200</v>
      </c>
      <c r="M17" s="6" t="s">
        <v>503</v>
      </c>
      <c r="N17" s="3" t="s">
        <v>410</v>
      </c>
      <c r="O17" s="3" t="str">
        <f>IFERROR(VLOOKUP(gia_khuyen_mai[[#This Row],[Mã hàng tặng]],'Giá gốc'!B:C,2,0),"")</f>
        <v>Xúc xích Hotdog 200g</v>
      </c>
      <c r="Q17" s="3" t="str">
        <f>VLOOKUP(gia_khuyen_mai[[#This Row],[Mã sản phẩm]],product[[Mã sản phẩm]:[DS - ĐV]],3,0)</f>
        <v>Food Đức Việt</v>
      </c>
    </row>
    <row r="18" spans="1:17" ht="21.75" customHeight="1">
      <c r="A18" s="29">
        <f t="shared" si="0"/>
        <v>17</v>
      </c>
      <c r="B18" s="4" t="s">
        <v>12342</v>
      </c>
      <c r="C18" s="4" t="s">
        <v>500</v>
      </c>
      <c r="D18" s="4" t="s">
        <v>496</v>
      </c>
      <c r="E18" s="4" t="s">
        <v>11233</v>
      </c>
      <c r="F18" s="4" t="s">
        <v>12343</v>
      </c>
      <c r="G18" s="4" t="s">
        <v>379</v>
      </c>
      <c r="H18" s="3" t="str">
        <f>VLOOKUP(gia_khuyen_mai[[#This Row],[Barcode]],'Giá gốc'!$A:$B,2,0)</f>
        <v>2145689</v>
      </c>
      <c r="I18" s="3" t="str">
        <f>VLOOKUP(gia_khuyen_mai[[#This Row],[Mã sản phẩm]],'Giá gốc'!$B:$C,2,0)</f>
        <v>Xúc xích vườn bia 450g * 1EA</v>
      </c>
      <c r="J18" s="5">
        <f>VLOOKUP(gia_khuyen_mai[[#This Row],[Mã sản phẩm]],'Giá gốc'!B:D,3,0)</f>
        <v>84200</v>
      </c>
      <c r="K18" s="57"/>
      <c r="L18" s="6">
        <f>ROUND((1-gia_khuyen_mai[[#This Row],[% Giảm giá]]) * gia_khuyen_mai[[#This Row],[Giá gốc]], 0)</f>
        <v>84200</v>
      </c>
      <c r="M18" s="6" t="s">
        <v>503</v>
      </c>
      <c r="N18" s="3" t="s">
        <v>410</v>
      </c>
      <c r="O18" s="3" t="str">
        <f>IFERROR(VLOOKUP(gia_khuyen_mai[[#This Row],[Mã hàng tặng]],'Giá gốc'!B:C,2,0),"")</f>
        <v>Xúc xích Hotdog 200g</v>
      </c>
      <c r="Q18" s="3" t="str">
        <f>VLOOKUP(gia_khuyen_mai[[#This Row],[Mã sản phẩm]],product[[Mã sản phẩm]:[DS - ĐV]],3,0)</f>
        <v>Food Đức Việt</v>
      </c>
    </row>
    <row r="19" spans="1:17" ht="21.75" customHeight="1">
      <c r="A19" s="29">
        <f t="shared" si="0"/>
        <v>18</v>
      </c>
      <c r="B19" s="4" t="s">
        <v>12342</v>
      </c>
      <c r="C19" s="4" t="s">
        <v>500</v>
      </c>
      <c r="D19" s="4" t="s">
        <v>496</v>
      </c>
      <c r="E19" s="4" t="s">
        <v>11233</v>
      </c>
      <c r="F19" s="4" t="s">
        <v>12343</v>
      </c>
      <c r="G19" s="4" t="s">
        <v>427</v>
      </c>
      <c r="H19" s="3" t="str">
        <f>VLOOKUP(gia_khuyen_mai[[#This Row],[Barcode]],'Giá gốc'!$A:$B,2,0)</f>
        <v>2145743</v>
      </c>
      <c r="I19" s="3" t="str">
        <f>VLOOKUP(gia_khuyen_mai[[#This Row],[Mã sản phẩm]],'Giá gốc'!$B:$C,2,0)</f>
        <v>Xúc xích sụn nướng Bulgogi 450g</v>
      </c>
      <c r="J19" s="5">
        <f>VLOOKUP(gia_khuyen_mai[[#This Row],[Mã sản phẩm]],'Giá gốc'!B:D,3,0)</f>
        <v>74500</v>
      </c>
      <c r="K19" s="57">
        <v>0.3</v>
      </c>
      <c r="L19" s="6">
        <f>ROUND((1-gia_khuyen_mai[[#This Row],[% Giảm giá]]) * gia_khuyen_mai[[#This Row],[Giá gốc]], 0)</f>
        <v>52150</v>
      </c>
      <c r="M19" s="6"/>
      <c r="O19" s="3" t="str">
        <f>IFERROR(VLOOKUP(gia_khuyen_mai[[#This Row],[Mã hàng tặng]],'Giá gốc'!B:C,2,0),"")</f>
        <v/>
      </c>
      <c r="Q19" s="3" t="str">
        <f>VLOOKUP(gia_khuyen_mai[[#This Row],[Mã sản phẩm]],product[[Mã sản phẩm]:[DS - ĐV]],3,0)</f>
        <v>Food Đức Việt</v>
      </c>
    </row>
    <row r="20" spans="1:17" ht="21.75" customHeight="1">
      <c r="A20" s="29">
        <f t="shared" si="0"/>
        <v>19</v>
      </c>
      <c r="B20" s="4" t="s">
        <v>12342</v>
      </c>
      <c r="C20" s="4" t="s">
        <v>500</v>
      </c>
      <c r="D20" s="4" t="s">
        <v>496</v>
      </c>
      <c r="E20" s="4" t="s">
        <v>11233</v>
      </c>
      <c r="F20" s="4" t="s">
        <v>12343</v>
      </c>
      <c r="G20" s="3" t="s">
        <v>370</v>
      </c>
      <c r="H20" s="3" t="str">
        <f>VLOOKUP(gia_khuyen_mai[[#This Row],[Barcode]],'Giá gốc'!$A:$B,2,0)</f>
        <v>2145688</v>
      </c>
      <c r="I20" s="3" t="str">
        <f>VLOOKUP(gia_khuyen_mai[[#This Row],[Mã sản phẩm]],'Giá gốc'!$B:$C,2,0)</f>
        <v>Xúc xích hong khói 200g * 1EA</v>
      </c>
      <c r="J20" s="5">
        <f>VLOOKUP(gia_khuyen_mai[[#This Row],[Mã sản phẩm]],'Giá gốc'!B:D,3,0)</f>
        <v>35200</v>
      </c>
      <c r="K20" s="57">
        <v>0.2</v>
      </c>
      <c r="L20" s="6">
        <f>ROUND((1-gia_khuyen_mai[[#This Row],[% Giảm giá]]) * gia_khuyen_mai[[#This Row],[Giá gốc]], 0)</f>
        <v>28160</v>
      </c>
      <c r="M20" s="6"/>
      <c r="O20" s="3" t="str">
        <f>IFERROR(VLOOKUP(gia_khuyen_mai[[#This Row],[Mã hàng tặng]],'Giá gốc'!B:C,2,0),"")</f>
        <v/>
      </c>
      <c r="Q20" s="3" t="str">
        <f>VLOOKUP(gia_khuyen_mai[[#This Row],[Mã sản phẩm]],product[[Mã sản phẩm]:[DS - ĐV]],3,0)</f>
        <v>Food Đức Việt</v>
      </c>
    </row>
    <row r="21" spans="1:17" ht="21.75" customHeight="1">
      <c r="A21" s="29">
        <f t="shared" si="0"/>
        <v>20</v>
      </c>
      <c r="B21" s="4" t="s">
        <v>12342</v>
      </c>
      <c r="C21" s="4" t="s">
        <v>500</v>
      </c>
      <c r="D21" s="4" t="s">
        <v>496</v>
      </c>
      <c r="E21" s="4" t="s">
        <v>11233</v>
      </c>
      <c r="F21" s="4" t="s">
        <v>12343</v>
      </c>
      <c r="G21" s="3" t="s">
        <v>452</v>
      </c>
      <c r="H21" s="3" t="str">
        <f>VLOOKUP(gia_khuyen_mai[[#This Row],[Barcode]],'Giá gốc'!$A:$B,2,0)</f>
        <v>2145648</v>
      </c>
      <c r="I21" s="3" t="str">
        <f>VLOOKUP(gia_khuyen_mai[[#This Row],[Mã sản phẩm]],'Giá gốc'!$B:$C,2,0)</f>
        <v>Đức Việt Handy - xúc xích ăn liền vị heo 105g * 20EA</v>
      </c>
      <c r="J21" s="5">
        <f>VLOOKUP(gia_khuyen_mai[[#This Row],[Mã sản phẩm]],'Giá gốc'!B:D,3,0)</f>
        <v>9300</v>
      </c>
      <c r="K21" s="57">
        <v>0.22</v>
      </c>
      <c r="L21" s="6">
        <f>ROUND((1-gia_khuyen_mai[[#This Row],[% Giảm giá]]) * gia_khuyen_mai[[#This Row],[Giá gốc]], 0)</f>
        <v>7254</v>
      </c>
      <c r="M21" s="6"/>
      <c r="O21" s="3" t="str">
        <f>IFERROR(VLOOKUP(gia_khuyen_mai[[#This Row],[Mã hàng tặng]],'Giá gốc'!B:C,2,0),"")</f>
        <v/>
      </c>
      <c r="Q21" s="3" t="str">
        <f>VLOOKUP(gia_khuyen_mai[[#This Row],[Mã sản phẩm]],product[[Mã sản phẩm]:[DS - ĐV]],3,0)</f>
        <v>Food Đức Việt</v>
      </c>
    </row>
    <row r="22" spans="1:17" ht="21.75" customHeight="1">
      <c r="A22" s="29">
        <f t="shared" si="0"/>
        <v>21</v>
      </c>
      <c r="B22" s="4" t="s">
        <v>12342</v>
      </c>
      <c r="C22" s="4" t="s">
        <v>500</v>
      </c>
      <c r="D22" s="4" t="s">
        <v>496</v>
      </c>
      <c r="E22" s="4" t="s">
        <v>11233</v>
      </c>
      <c r="F22" s="4" t="s">
        <v>12343</v>
      </c>
      <c r="G22" s="3" t="s">
        <v>455</v>
      </c>
      <c r="H22" s="3" t="str">
        <f>VLOOKUP(gia_khuyen_mai[[#This Row],[Barcode]],'Giá gốc'!$A:$B,2,0)</f>
        <v>2145657</v>
      </c>
      <c r="I22" s="3" t="str">
        <f>VLOOKUP(gia_khuyen_mai[[#This Row],[Mã sản phẩm]],'Giá gốc'!$B:$C,2,0)</f>
        <v>Đức Việt Handy - xúc xích ăn liền vị bò 105g * 20EA</v>
      </c>
      <c r="J22" s="5">
        <f>VLOOKUP(gia_khuyen_mai[[#This Row],[Mã sản phẩm]],'Giá gốc'!B:D,3,0)</f>
        <v>9300</v>
      </c>
      <c r="K22" s="57">
        <v>0.22</v>
      </c>
      <c r="L22" s="6">
        <f>ROUND((1-gia_khuyen_mai[[#This Row],[% Giảm giá]]) * gia_khuyen_mai[[#This Row],[Giá gốc]], 0)</f>
        <v>7254</v>
      </c>
      <c r="M22" s="6"/>
      <c r="O22" s="3" t="str">
        <f>IFERROR(VLOOKUP(gia_khuyen_mai[[#This Row],[Mã hàng tặng]],'Giá gốc'!B:C,2,0),"")</f>
        <v/>
      </c>
      <c r="Q22" s="3" t="str">
        <f>VLOOKUP(gia_khuyen_mai[[#This Row],[Mã sản phẩm]],product[[Mã sản phẩm]:[DS - ĐV]],3,0)</f>
        <v>Food Đức Việt</v>
      </c>
    </row>
    <row r="23" spans="1:17" ht="21.75" customHeight="1">
      <c r="A23" s="29">
        <f t="shared" si="0"/>
        <v>22</v>
      </c>
      <c r="B23" s="4" t="s">
        <v>12342</v>
      </c>
      <c r="C23" s="4" t="s">
        <v>500</v>
      </c>
      <c r="D23" s="4" t="s">
        <v>496</v>
      </c>
      <c r="E23" s="4" t="s">
        <v>11233</v>
      </c>
      <c r="F23" s="4" t="s">
        <v>12343</v>
      </c>
      <c r="G23" s="3" t="s">
        <v>442</v>
      </c>
      <c r="H23" s="3" t="str">
        <f>VLOOKUP(gia_khuyen_mai[[#This Row],[Barcode]],'Giá gốc'!$A:$B,2,0)</f>
        <v>2145735</v>
      </c>
      <c r="I23" s="3" t="str">
        <f>VLOOKUP(gia_khuyen_mai[[#This Row],[Mã sản phẩm]],'Giá gốc'!$B:$C,2,0)</f>
        <v>Xúc xích tỏi 200g</v>
      </c>
      <c r="J23" s="5">
        <f>VLOOKUP(gia_khuyen_mai[[#This Row],[Mã sản phẩm]],'Giá gốc'!B:D,3,0)</f>
        <v>37000</v>
      </c>
      <c r="K23" s="57">
        <v>0.15</v>
      </c>
      <c r="L23" s="6">
        <f>ROUND((1-gia_khuyen_mai[[#This Row],[% Giảm giá]]) * gia_khuyen_mai[[#This Row],[Giá gốc]], 0)</f>
        <v>31450</v>
      </c>
      <c r="M23" s="6"/>
      <c r="O23" s="3" t="str">
        <f>IFERROR(VLOOKUP(gia_khuyen_mai[[#This Row],[Mã hàng tặng]],'Giá gốc'!B:C,2,0),"")</f>
        <v/>
      </c>
      <c r="Q23" s="3" t="str">
        <f>VLOOKUP(gia_khuyen_mai[[#This Row],[Mã sản phẩm]],product[[Mã sản phẩm]:[DS - ĐV]],3,0)</f>
        <v>Food Đức Việt</v>
      </c>
    </row>
    <row r="24" spans="1:17" ht="21.75" customHeight="1">
      <c r="A24" s="29">
        <f t="shared" si="0"/>
        <v>23</v>
      </c>
      <c r="B24" s="4" t="s">
        <v>12342</v>
      </c>
      <c r="C24" s="4" t="s">
        <v>500</v>
      </c>
      <c r="D24" s="4" t="s">
        <v>496</v>
      </c>
      <c r="E24" s="4" t="s">
        <v>11233</v>
      </c>
      <c r="F24" s="4" t="s">
        <v>12343</v>
      </c>
      <c r="G24" s="3" t="s">
        <v>448</v>
      </c>
      <c r="H24" s="3" t="str">
        <f>VLOOKUP(gia_khuyen_mai[[#This Row],[Barcode]],'Giá gốc'!$A:$B,2,0)</f>
        <v>2145695</v>
      </c>
      <c r="I24" s="3" t="str">
        <f>VLOOKUP(gia_khuyen_mai[[#This Row],[Mã sản phẩm]],'Giá gốc'!$B:$C,2,0)</f>
        <v>Seoul's Hotdog 350g</v>
      </c>
      <c r="J24" s="5">
        <f>VLOOKUP(gia_khuyen_mai[[#This Row],[Mã sản phẩm]],'Giá gốc'!B:D,3,0)</f>
        <v>48384</v>
      </c>
      <c r="K24" s="57">
        <v>0.25</v>
      </c>
      <c r="L24" s="6">
        <f>ROUND((1-gia_khuyen_mai[[#This Row],[% Giảm giá]]) * gia_khuyen_mai[[#This Row],[Giá gốc]], 0)</f>
        <v>36288</v>
      </c>
      <c r="M24" s="6"/>
      <c r="O24" s="3" t="str">
        <f>IFERROR(VLOOKUP(gia_khuyen_mai[[#This Row],[Mã hàng tặng]],'Giá gốc'!B:C,2,0),"")</f>
        <v/>
      </c>
      <c r="Q24" s="3" t="str">
        <f>VLOOKUP(gia_khuyen_mai[[#This Row],[Mã sản phẩm]],product[[Mã sản phẩm]:[DS - ĐV]],3,0)</f>
        <v>Food Đức Việt</v>
      </c>
    </row>
    <row r="25" spans="1:17" ht="21.75" customHeight="1">
      <c r="A25" s="29">
        <f t="shared" si="0"/>
        <v>24</v>
      </c>
      <c r="B25" s="4" t="s">
        <v>12342</v>
      </c>
      <c r="C25" s="4" t="s">
        <v>500</v>
      </c>
      <c r="D25" s="4" t="s">
        <v>496</v>
      </c>
      <c r="E25" s="4" t="s">
        <v>11233</v>
      </c>
      <c r="F25" s="4" t="s">
        <v>12343</v>
      </c>
      <c r="G25" s="3" t="s">
        <v>451</v>
      </c>
      <c r="H25" s="3" t="str">
        <f>VLOOKUP(gia_khuyen_mai[[#This Row],[Barcode]],'Giá gốc'!$A:$B,2,0)</f>
        <v>2145697</v>
      </c>
      <c r="I25" s="3" t="str">
        <f>VLOOKUP(gia_khuyen_mai[[#This Row],[Mã sản phẩm]],'Giá gốc'!$B:$C,2,0)</f>
        <v>Seoul nhân phô mai 250g</v>
      </c>
      <c r="J25" s="5">
        <f>VLOOKUP(gia_khuyen_mai[[#This Row],[Mã sản phẩm]],'Giá gốc'!B:D,3,0)</f>
        <v>42000</v>
      </c>
      <c r="K25" s="57">
        <v>0.25</v>
      </c>
      <c r="L25" s="6">
        <f>ROUND((1-gia_khuyen_mai[[#This Row],[% Giảm giá]]) * gia_khuyen_mai[[#This Row],[Giá gốc]], 0)</f>
        <v>31500</v>
      </c>
      <c r="M25" s="6"/>
      <c r="O25" s="3" t="str">
        <f>IFERROR(VLOOKUP(gia_khuyen_mai[[#This Row],[Mã hàng tặng]],'Giá gốc'!B:C,2,0),"")</f>
        <v/>
      </c>
      <c r="Q25" s="3" t="str">
        <f>VLOOKUP(gia_khuyen_mai[[#This Row],[Mã sản phẩm]],product[[Mã sản phẩm]:[DS - ĐV]],3,0)</f>
        <v>Food Đức Việt</v>
      </c>
    </row>
    <row r="26" spans="1:17" ht="21.75" customHeight="1">
      <c r="A26" s="29">
        <f t="shared" si="0"/>
        <v>25</v>
      </c>
      <c r="B26" s="4" t="s">
        <v>12342</v>
      </c>
      <c r="C26" s="4" t="s">
        <v>500</v>
      </c>
      <c r="D26" s="4" t="s">
        <v>496</v>
      </c>
      <c r="E26" s="4" t="s">
        <v>11233</v>
      </c>
      <c r="F26" s="4" t="s">
        <v>12343</v>
      </c>
      <c r="G26" s="3" t="s">
        <v>400</v>
      </c>
      <c r="H26" s="3" t="str">
        <f>VLOOKUP(gia_khuyen_mai[[#This Row],[Barcode]],'Giá gốc'!$A:$B,2,0)</f>
        <v>2145740</v>
      </c>
      <c r="I26" s="3" t="str">
        <f>VLOOKUP(gia_khuyen_mai[[#This Row],[Mã sản phẩm]],'Giá gốc'!$B:$C,2,0)</f>
        <v>Xúc xích phô mai Cheesy 70g * 30EA</v>
      </c>
      <c r="J26" s="5">
        <f>VLOOKUP(gia_khuyen_mai[[#This Row],[Mã sản phẩm]],'Giá gốc'!B:D,3,0)</f>
        <v>17100</v>
      </c>
      <c r="K26" s="57">
        <v>0.2</v>
      </c>
      <c r="L26" s="6">
        <f>ROUND((1-gia_khuyen_mai[[#This Row],[% Giảm giá]]) * gia_khuyen_mai[[#This Row],[Giá gốc]], 0)</f>
        <v>13680</v>
      </c>
      <c r="M26" s="6"/>
      <c r="O26" s="3" t="str">
        <f>IFERROR(VLOOKUP(gia_khuyen_mai[[#This Row],[Mã hàng tặng]],'Giá gốc'!B:C,2,0),"")</f>
        <v/>
      </c>
      <c r="Q26" s="3" t="str">
        <f>VLOOKUP(gia_khuyen_mai[[#This Row],[Mã sản phẩm]],product[[Mã sản phẩm]:[DS - ĐV]],3,0)</f>
        <v>Food Đức Việt</v>
      </c>
    </row>
    <row r="27" spans="1:17" ht="21.75" customHeight="1">
      <c r="A27" s="29">
        <f t="shared" si="0"/>
        <v>26</v>
      </c>
      <c r="B27" s="4" t="s">
        <v>12342</v>
      </c>
      <c r="C27" s="4" t="s">
        <v>500</v>
      </c>
      <c r="D27" s="4" t="s">
        <v>496</v>
      </c>
      <c r="E27" s="4" t="s">
        <v>11233</v>
      </c>
      <c r="F27" s="4" t="s">
        <v>12343</v>
      </c>
      <c r="G27" s="3" t="s">
        <v>421</v>
      </c>
      <c r="H27" s="3" t="str">
        <f>VLOOKUP(gia_khuyen_mai[[#This Row],[Barcode]],'Giá gốc'!$A:$B,2,0)</f>
        <v>2145791</v>
      </c>
      <c r="I27" s="3" t="str">
        <f>VLOOKUP(gia_khuyen_mai[[#This Row],[Mã sản phẩm]],'Giá gốc'!$B:$C,2,0)</f>
        <v>Xúc xích Romas 70g * 30EA</v>
      </c>
      <c r="J27" s="5">
        <f>VLOOKUP(gia_khuyen_mai[[#This Row],[Mã sản phẩm]],'Giá gốc'!B:D,3,0)</f>
        <v>13100</v>
      </c>
      <c r="K27" s="57">
        <v>0.2</v>
      </c>
      <c r="L27" s="6">
        <f>ROUND((1-gia_khuyen_mai[[#This Row],[% Giảm giá]]) * gia_khuyen_mai[[#This Row],[Giá gốc]], 0)</f>
        <v>10480</v>
      </c>
      <c r="M27" s="6"/>
      <c r="O27" s="3" t="str">
        <f>IFERROR(VLOOKUP(gia_khuyen_mai[[#This Row],[Mã hàng tặng]],'Giá gốc'!B:C,2,0),"")</f>
        <v/>
      </c>
      <c r="Q27" s="3" t="str">
        <f>VLOOKUP(gia_khuyen_mai[[#This Row],[Mã sản phẩm]],product[[Mã sản phẩm]:[DS - ĐV]],3,0)</f>
        <v>Food Đức Việt</v>
      </c>
    </row>
    <row r="28" spans="1:17" ht="21.75" customHeight="1">
      <c r="A28" s="29">
        <f t="shared" si="0"/>
        <v>27</v>
      </c>
      <c r="B28" s="4" t="s">
        <v>12342</v>
      </c>
      <c r="C28" s="4" t="s">
        <v>500</v>
      </c>
      <c r="D28" s="4" t="s">
        <v>496</v>
      </c>
      <c r="E28" s="4" t="s">
        <v>11233</v>
      </c>
      <c r="F28" s="4" t="s">
        <v>12343</v>
      </c>
      <c r="G28" s="3" t="s">
        <v>415</v>
      </c>
      <c r="H28" s="3" t="str">
        <f>VLOOKUP(gia_khuyen_mai[[#This Row],[Barcode]],'Giá gốc'!$A:$B,2,0)</f>
        <v>2145767</v>
      </c>
      <c r="I28" s="3" t="str">
        <f>VLOOKUP(gia_khuyen_mai[[#This Row],[Mã sản phẩm]],'Giá gốc'!$B:$C,2,0)</f>
        <v>Xúc xích Mỹ 500g</v>
      </c>
      <c r="J28" s="5">
        <f>VLOOKUP(gia_khuyen_mai[[#This Row],[Mã sản phẩm]],'Giá gốc'!B:D,3,0)</f>
        <v>55600</v>
      </c>
      <c r="K28" s="57">
        <v>0.22</v>
      </c>
      <c r="L28" s="6">
        <f>ROUND((1-gia_khuyen_mai[[#This Row],[% Giảm giá]]) * gia_khuyen_mai[[#This Row],[Giá gốc]], 0)</f>
        <v>43368</v>
      </c>
      <c r="M28" s="6"/>
      <c r="O28" s="3" t="str">
        <f>IFERROR(VLOOKUP(gia_khuyen_mai[[#This Row],[Mã hàng tặng]],'Giá gốc'!B:C,2,0),"")</f>
        <v/>
      </c>
      <c r="Q28" s="3" t="str">
        <f>VLOOKUP(gia_khuyen_mai[[#This Row],[Mã sản phẩm]],product[[Mã sản phẩm]:[DS - ĐV]],3,0)</f>
        <v>Food Đức Việt</v>
      </c>
    </row>
    <row r="29" spans="1:17" ht="21.75" customHeight="1">
      <c r="A29" s="29">
        <f t="shared" si="0"/>
        <v>28</v>
      </c>
      <c r="B29" s="4" t="s">
        <v>12438</v>
      </c>
      <c r="C29" s="4" t="s">
        <v>500</v>
      </c>
      <c r="D29" s="4" t="s">
        <v>496</v>
      </c>
      <c r="E29" s="4" t="s">
        <v>12316</v>
      </c>
      <c r="F29" s="4" t="s">
        <v>12439</v>
      </c>
      <c r="G29" s="7" t="s">
        <v>433</v>
      </c>
      <c r="H29" s="3" t="str">
        <f>VLOOKUP(gia_khuyen_mai[[#This Row],[Barcode]],'Giá gốc'!$A:$B,2,0)</f>
        <v>2146417</v>
      </c>
      <c r="I29" s="3" t="str">
        <f>VLOOKUP(gia_khuyen_mai[[#This Row],[Mã sản phẩm]],'Giá gốc'!$B:$C,2,0)</f>
        <v>Chân giò hong khói rút xương 300g</v>
      </c>
      <c r="J29" s="5">
        <f>VLOOKUP(gia_khuyen_mai[[#This Row],[Mã sản phẩm]],'Giá gốc'!B:D,3,0)</f>
        <v>67700</v>
      </c>
      <c r="K29" s="57">
        <v>0.2</v>
      </c>
      <c r="L29" s="6">
        <f>ROUND((1-gia_khuyen_mai[[#This Row],[% Giảm giá]]) * gia_khuyen_mai[[#This Row],[Giá gốc]], 0)</f>
        <v>54160</v>
      </c>
      <c r="M29" s="6"/>
      <c r="O29" s="3" t="str">
        <f>IFERROR(VLOOKUP(gia_khuyen_mai[[#This Row],[Mã hàng tặng]],'Giá gốc'!B:C,2,0),"")</f>
        <v/>
      </c>
      <c r="Q29" s="3" t="str">
        <f>VLOOKUP(gia_khuyen_mai[[#This Row],[Mã sản phẩm]],product[[Mã sản phẩm]:[DS - ĐV]],3,0)</f>
        <v>Food Đức Việt</v>
      </c>
    </row>
    <row r="30" spans="1:17" ht="21.75" customHeight="1">
      <c r="A30" s="29">
        <f t="shared" si="0"/>
        <v>29</v>
      </c>
      <c r="B30" s="4" t="s">
        <v>12438</v>
      </c>
      <c r="C30" s="4" t="s">
        <v>500</v>
      </c>
      <c r="D30" s="4" t="s">
        <v>496</v>
      </c>
      <c r="E30" s="4" t="s">
        <v>12316</v>
      </c>
      <c r="F30" s="4" t="s">
        <v>12439</v>
      </c>
      <c r="G30" s="3" t="s">
        <v>445</v>
      </c>
      <c r="H30" s="3" t="str">
        <f>VLOOKUP(gia_khuyen_mai[[#This Row],[Barcode]],'Giá gốc'!$A:$B,2,0)</f>
        <v>2145745</v>
      </c>
      <c r="I30" s="3" t="str">
        <f>VLOOKUP(gia_khuyen_mai[[#This Row],[Mã sản phẩm]],'Giá gốc'!$B:$C,2,0)</f>
        <v>Jăm bông hấp 200g</v>
      </c>
      <c r="J30" s="5">
        <f>VLOOKUP(gia_khuyen_mai[[#This Row],[Mã sản phẩm]],'Giá gốc'!B:D,3,0)</f>
        <v>37000</v>
      </c>
      <c r="K30" s="57">
        <v>0.15</v>
      </c>
      <c r="L30" s="6">
        <f>ROUND((1-gia_khuyen_mai[[#This Row],[% Giảm giá]]) * gia_khuyen_mai[[#This Row],[Giá gốc]], 0)</f>
        <v>31450</v>
      </c>
      <c r="M30" s="6"/>
      <c r="O30" s="3" t="str">
        <f>IFERROR(VLOOKUP(gia_khuyen_mai[[#This Row],[Mã hàng tặng]],'Giá gốc'!B:C,2,0),"")</f>
        <v/>
      </c>
      <c r="Q30" s="3" t="str">
        <f>VLOOKUP(gia_khuyen_mai[[#This Row],[Mã sản phẩm]],product[[Mã sản phẩm]:[DS - ĐV]],3,0)</f>
        <v>Food Đức Việt</v>
      </c>
    </row>
    <row r="31" spans="1:17" ht="21.75" customHeight="1">
      <c r="A31" s="29">
        <f t="shared" si="0"/>
        <v>30</v>
      </c>
      <c r="B31" s="4" t="s">
        <v>12438</v>
      </c>
      <c r="C31" s="4" t="s">
        <v>500</v>
      </c>
      <c r="D31" s="4" t="s">
        <v>496</v>
      </c>
      <c r="E31" s="4" t="s">
        <v>12316</v>
      </c>
      <c r="F31" s="4" t="s">
        <v>12439</v>
      </c>
      <c r="G31" s="7" t="s">
        <v>373</v>
      </c>
      <c r="H31" s="3" t="str">
        <f>VLOOKUP(gia_khuyen_mai[[#This Row],[Barcode]],'Giá gốc'!$A:$B,2,0)</f>
        <v>2145686</v>
      </c>
      <c r="I31" s="3" t="str">
        <f>VLOOKUP(gia_khuyen_mai[[#This Row],[Mã sản phẩm]],'Giá gốc'!$B:$C,2,0)</f>
        <v>Xúc xích hong khói 450g</v>
      </c>
      <c r="J31" s="5">
        <f>VLOOKUP(gia_khuyen_mai[[#This Row],[Mã sản phẩm]],'Giá gốc'!B:D,3,0)</f>
        <v>79100</v>
      </c>
      <c r="K31" s="57">
        <v>0.25</v>
      </c>
      <c r="L31" s="6">
        <f>ROUND((1-gia_khuyen_mai[[#This Row],[% Giảm giá]]) * gia_khuyen_mai[[#This Row],[Giá gốc]], 0)</f>
        <v>59325</v>
      </c>
      <c r="M31" s="6"/>
      <c r="O31" s="3" t="str">
        <f>IFERROR(VLOOKUP(gia_khuyen_mai[[#This Row],[Mã hàng tặng]],'Giá gốc'!B:C,2,0),"")</f>
        <v/>
      </c>
      <c r="Q31" s="3" t="str">
        <f>VLOOKUP(gia_khuyen_mai[[#This Row],[Mã sản phẩm]],product[[Mã sản phẩm]:[DS - ĐV]],3,0)</f>
        <v>Food Đức Việt</v>
      </c>
    </row>
    <row r="32" spans="1:17" ht="21.75" customHeight="1">
      <c r="A32" s="29">
        <f t="shared" si="0"/>
        <v>31</v>
      </c>
      <c r="B32" s="4" t="s">
        <v>12438</v>
      </c>
      <c r="C32" s="4" t="s">
        <v>500</v>
      </c>
      <c r="D32" s="4" t="s">
        <v>496</v>
      </c>
      <c r="E32" s="4" t="s">
        <v>12316</v>
      </c>
      <c r="F32" s="4" t="s">
        <v>12439</v>
      </c>
      <c r="G32" s="7" t="s">
        <v>397</v>
      </c>
      <c r="H32" s="3" t="str">
        <f>VLOOKUP(gia_khuyen_mai[[#This Row],[Barcode]],'Giá gốc'!$A:$B,2,0)</f>
        <v>2145726</v>
      </c>
      <c r="I32" s="3" t="str">
        <f>VLOOKUP(gia_khuyen_mai[[#This Row],[Mã sản phẩm]],'Giá gốc'!$B:$C,2,0)</f>
        <v>Xúc xích phô mai Cheesy 250g</v>
      </c>
      <c r="J32" s="5">
        <f>VLOOKUP(gia_khuyen_mai[[#This Row],[Mã sản phẩm]],'Giá gốc'!B:D,3,0)</f>
        <v>49400</v>
      </c>
      <c r="K32" s="57">
        <v>0.3</v>
      </c>
      <c r="L32" s="6">
        <f>ROUND((1-gia_khuyen_mai[[#This Row],[% Giảm giá]]) * gia_khuyen_mai[[#This Row],[Giá gốc]], 0)</f>
        <v>34580</v>
      </c>
      <c r="M32" s="6"/>
      <c r="O32" s="3" t="str">
        <f>IFERROR(VLOOKUP(gia_khuyen_mai[[#This Row],[Mã hàng tặng]],'Giá gốc'!B:C,2,0),"")</f>
        <v/>
      </c>
      <c r="Q32" s="3" t="str">
        <f>VLOOKUP(gia_khuyen_mai[[#This Row],[Mã sản phẩm]],product[[Mã sản phẩm]:[DS - ĐV]],3,0)</f>
        <v>Food Đức Việt</v>
      </c>
    </row>
    <row r="33" spans="1:17" ht="21.75" customHeight="1">
      <c r="A33" s="29">
        <f t="shared" si="0"/>
        <v>32</v>
      </c>
      <c r="B33" s="4" t="s">
        <v>12438</v>
      </c>
      <c r="C33" s="4" t="s">
        <v>500</v>
      </c>
      <c r="D33" s="4" t="s">
        <v>496</v>
      </c>
      <c r="E33" s="4" t="s">
        <v>12316</v>
      </c>
      <c r="F33" s="4" t="s">
        <v>12439</v>
      </c>
      <c r="G33" s="3" t="s">
        <v>418</v>
      </c>
      <c r="H33" s="3" t="str">
        <f>VLOOKUP(gia_khuyen_mai[[#This Row],[Barcode]],'Giá gốc'!$A:$B,2,0)</f>
        <v>2145783</v>
      </c>
      <c r="I33" s="3" t="str">
        <f>VLOOKUP(gia_khuyen_mai[[#This Row],[Mã sản phẩm]],'Giá gốc'!$B:$C,2,0)</f>
        <v>Xúc xích Romas ( 50g) 500g</v>
      </c>
      <c r="J33" s="5">
        <f>VLOOKUP(gia_khuyen_mai[[#This Row],[Mã sản phẩm]],'Giá gốc'!B:D,3,0)</f>
        <v>53900</v>
      </c>
      <c r="K33" s="57">
        <v>0.25</v>
      </c>
      <c r="L33" s="6">
        <f>ROUND((1-gia_khuyen_mai[[#This Row],[% Giảm giá]]) * gia_khuyen_mai[[#This Row],[Giá gốc]], 0)</f>
        <v>40425</v>
      </c>
      <c r="M33" s="6"/>
      <c r="O33" s="3" t="str">
        <f>IFERROR(VLOOKUP(gia_khuyen_mai[[#This Row],[Mã hàng tặng]],'Giá gốc'!B:C,2,0),"")</f>
        <v/>
      </c>
      <c r="Q33" s="3" t="str">
        <f>VLOOKUP(gia_khuyen_mai[[#This Row],[Mã sản phẩm]],product[[Mã sản phẩm]:[DS - ĐV]],3,0)</f>
        <v>Food Đức Việt</v>
      </c>
    </row>
    <row r="34" spans="1:17" ht="21.75" customHeight="1">
      <c r="A34" s="29">
        <f t="shared" si="0"/>
        <v>33</v>
      </c>
      <c r="B34" s="4" t="s">
        <v>12438</v>
      </c>
      <c r="C34" s="4" t="s">
        <v>500</v>
      </c>
      <c r="D34" s="4" t="s">
        <v>496</v>
      </c>
      <c r="E34" s="4" t="s">
        <v>12316</v>
      </c>
      <c r="F34" s="4" t="s">
        <v>12439</v>
      </c>
      <c r="G34" s="3" t="s">
        <v>394</v>
      </c>
      <c r="H34" s="3" t="str">
        <f>VLOOKUP(gia_khuyen_mai[[#This Row],[Barcode]],'Giá gốc'!$A:$B,2,0)</f>
        <v>2145744</v>
      </c>
      <c r="I34" s="3" t="str">
        <f>VLOOKUP(gia_khuyen_mai[[#This Row],[Mã sản phẩm]],'Giá gốc'!$B:$C,2,0)</f>
        <v>Xúc xích bắp phô mai 250g</v>
      </c>
      <c r="J34" s="5">
        <f>VLOOKUP(gia_khuyen_mai[[#This Row],[Mã sản phẩm]],'Giá gốc'!B:D,3,0)</f>
        <v>49400</v>
      </c>
      <c r="K34" s="57">
        <v>0.3</v>
      </c>
      <c r="L34" s="6">
        <f>ROUND((1-gia_khuyen_mai[[#This Row],[% Giảm giá]]) * gia_khuyen_mai[[#This Row],[Giá gốc]], 0)</f>
        <v>34580</v>
      </c>
      <c r="M34" s="6"/>
      <c r="O34" s="3" t="str">
        <f>IFERROR(VLOOKUP(gia_khuyen_mai[[#This Row],[Mã hàng tặng]],'Giá gốc'!B:C,2,0),"")</f>
        <v/>
      </c>
      <c r="Q34" s="3" t="str">
        <f>VLOOKUP(gia_khuyen_mai[[#This Row],[Mã sản phẩm]],product[[Mã sản phẩm]:[DS - ĐV]],3,0)</f>
        <v>Food Đức Việt</v>
      </c>
    </row>
    <row r="35" spans="1:17" ht="21.75" customHeight="1">
      <c r="A35" s="29">
        <f t="shared" si="0"/>
        <v>34</v>
      </c>
      <c r="B35" s="4" t="s">
        <v>12438</v>
      </c>
      <c r="C35" s="4" t="s">
        <v>500</v>
      </c>
      <c r="D35" s="4" t="s">
        <v>496</v>
      </c>
      <c r="E35" s="4" t="s">
        <v>12316</v>
      </c>
      <c r="F35" s="4" t="s">
        <v>12439</v>
      </c>
      <c r="G35" s="3" t="s">
        <v>476</v>
      </c>
      <c r="H35" s="3" t="str">
        <f>VLOOKUP(gia_khuyen_mai[[#This Row],[Barcode]],'Giá gốc'!$A:$B,2,0)</f>
        <v>2150337</v>
      </c>
      <c r="I35" s="3" t="str">
        <f>VLOOKUP(gia_khuyen_mai[[#This Row],[Mã sản phẩm]],'Giá gốc'!$B:$C,2,0)</f>
        <v>O'food Chả giò da xốp nhân thịt 300g</v>
      </c>
      <c r="J35" s="5">
        <f>VLOOKUP(gia_khuyen_mai[[#This Row],[Mã sản phẩm]],'Giá gốc'!B:D,3,0)</f>
        <v>31524</v>
      </c>
      <c r="K35" s="57">
        <v>0.35</v>
      </c>
      <c r="L35" s="6">
        <f>ROUND((1-gia_khuyen_mai[[#This Row],[% Giảm giá]]) * gia_khuyen_mai[[#This Row],[Giá gốc]], 0)</f>
        <v>20491</v>
      </c>
      <c r="M35" s="6"/>
      <c r="O35" s="3" t="str">
        <f>IFERROR(VLOOKUP(gia_khuyen_mai[[#This Row],[Mã hàng tặng]],'Giá gốc'!B:C,2,0),"")</f>
        <v/>
      </c>
      <c r="Q35" s="3" t="str">
        <f>VLOOKUP(gia_khuyen_mai[[#This Row],[Mã sản phẩm]],product[[Mã sản phẩm]:[DS - ĐV]],3,0)</f>
        <v>Food Đức Việt</v>
      </c>
    </row>
    <row r="36" spans="1:17" ht="21.75" customHeight="1">
      <c r="A36" s="29">
        <f t="shared" si="0"/>
        <v>35</v>
      </c>
      <c r="B36" s="4" t="s">
        <v>12438</v>
      </c>
      <c r="C36" s="4" t="s">
        <v>500</v>
      </c>
      <c r="D36" s="4" t="s">
        <v>496</v>
      </c>
      <c r="E36" s="4" t="s">
        <v>12316</v>
      </c>
      <c r="F36" s="4" t="s">
        <v>12439</v>
      </c>
      <c r="G36" s="3" t="s">
        <v>479</v>
      </c>
      <c r="H36" s="3" t="str">
        <f>VLOOKUP(gia_khuyen_mai[[#This Row],[Barcode]],'Giá gốc'!$A:$B,2,0)</f>
        <v>2150338</v>
      </c>
      <c r="I36" s="3" t="str">
        <f>VLOOKUP(gia_khuyen_mai[[#This Row],[Mã sản phẩm]],'Giá gốc'!$B:$C,2,0)</f>
        <v>O'food Chả giò da xốp hải sản 300g</v>
      </c>
      <c r="J36" s="5">
        <f>VLOOKUP(gia_khuyen_mai[[#This Row],[Mã sản phẩm]],'Giá gốc'!B:D,3,0)</f>
        <v>31524</v>
      </c>
      <c r="K36" s="57">
        <v>0.35</v>
      </c>
      <c r="L36" s="6">
        <f>ROUND((1-gia_khuyen_mai[[#This Row],[% Giảm giá]]) * gia_khuyen_mai[[#This Row],[Giá gốc]], 0)</f>
        <v>20491</v>
      </c>
      <c r="M36" s="6"/>
      <c r="O36" s="3" t="str">
        <f>IFERROR(VLOOKUP(gia_khuyen_mai[[#This Row],[Mã hàng tặng]],'Giá gốc'!B:C,2,0),"")</f>
        <v/>
      </c>
      <c r="Q36" s="3" t="str">
        <f>VLOOKUP(gia_khuyen_mai[[#This Row],[Mã sản phẩm]],product[[Mã sản phẩm]:[DS - ĐV]],3,0)</f>
        <v>Food Đức Việt</v>
      </c>
    </row>
    <row r="37" spans="1:17" ht="21.75" customHeight="1">
      <c r="A37" s="29">
        <f t="shared" si="0"/>
        <v>36</v>
      </c>
      <c r="B37" s="4" t="s">
        <v>12438</v>
      </c>
      <c r="C37" s="4" t="s">
        <v>500</v>
      </c>
      <c r="D37" s="4" t="s">
        <v>496</v>
      </c>
      <c r="E37" s="4" t="s">
        <v>12316</v>
      </c>
      <c r="F37" s="4" t="s">
        <v>12439</v>
      </c>
      <c r="G37" s="3" t="s">
        <v>458</v>
      </c>
      <c r="H37" s="3" t="str">
        <f>VLOOKUP(gia_khuyen_mai[[#This Row],[Barcode]],'Giá gốc'!$A:$B,2,0)</f>
        <v>2145680</v>
      </c>
      <c r="I37" s="3" t="str">
        <f>VLOOKUP(gia_khuyen_mai[[#This Row],[Mã sản phẩm]],'Giá gốc'!$B:$C,2,0)</f>
        <v>O'food Xúc xích Lắc Phô mai vị truyền thống 56g * 24EA</v>
      </c>
      <c r="J37" s="5">
        <f>VLOOKUP(gia_khuyen_mai[[#This Row],[Mã sản phẩm]],'Giá gốc'!B:D,3,0)</f>
        <v>9300</v>
      </c>
      <c r="K37" s="57">
        <v>0.2</v>
      </c>
      <c r="L37" s="6">
        <f>ROUND((1-gia_khuyen_mai[[#This Row],[% Giảm giá]]) * gia_khuyen_mai[[#This Row],[Giá gốc]], 0)</f>
        <v>7440</v>
      </c>
      <c r="M37" s="6"/>
      <c r="O37" s="3" t="str">
        <f>IFERROR(VLOOKUP(gia_khuyen_mai[[#This Row],[Mã hàng tặng]],'Giá gốc'!B:C,2,0),"")</f>
        <v/>
      </c>
      <c r="Q37" s="3" t="str">
        <f>VLOOKUP(gia_khuyen_mai[[#This Row],[Mã sản phẩm]],product[[Mã sản phẩm]:[DS - ĐV]],3,0)</f>
        <v>Food Đức Việt</v>
      </c>
    </row>
    <row r="38" spans="1:17" ht="21.75" customHeight="1">
      <c r="A38" s="29">
        <f t="shared" si="0"/>
        <v>37</v>
      </c>
      <c r="B38" s="4" t="s">
        <v>12438</v>
      </c>
      <c r="C38" s="4" t="s">
        <v>500</v>
      </c>
      <c r="D38" s="4" t="s">
        <v>496</v>
      </c>
      <c r="E38" s="4" t="s">
        <v>12316</v>
      </c>
      <c r="F38" s="4" t="s">
        <v>12439</v>
      </c>
      <c r="G38" s="3" t="s">
        <v>461</v>
      </c>
      <c r="H38" s="3" t="str">
        <f>VLOOKUP(gia_khuyen_mai[[#This Row],[Barcode]],'Giá gốc'!$A:$B,2,0)</f>
        <v>2145681</v>
      </c>
      <c r="I38" s="3" t="str">
        <f>VLOOKUP(gia_khuyen_mai[[#This Row],[Mã sản phẩm]],'Giá gốc'!$B:$C,2,0)</f>
        <v>O'food Xúc xích Lắc Phô mai vị dâu tây 56g * 24EA</v>
      </c>
      <c r="J38" s="5">
        <f>VLOOKUP(gia_khuyen_mai[[#This Row],[Mã sản phẩm]],'Giá gốc'!B:D,3,0)</f>
        <v>9300</v>
      </c>
      <c r="K38" s="57">
        <v>0.2</v>
      </c>
      <c r="L38" s="6">
        <f>ROUND((1-gia_khuyen_mai[[#This Row],[% Giảm giá]]) * gia_khuyen_mai[[#This Row],[Giá gốc]], 0)</f>
        <v>7440</v>
      </c>
      <c r="M38" s="6"/>
      <c r="O38" s="3" t="str">
        <f>IFERROR(VLOOKUP(gia_khuyen_mai[[#This Row],[Mã hàng tặng]],'Giá gốc'!B:C,2,0),"")</f>
        <v/>
      </c>
      <c r="Q38" s="3" t="str">
        <f>VLOOKUP(gia_khuyen_mai[[#This Row],[Mã sản phẩm]],product[[Mã sản phẩm]:[DS - ĐV]],3,0)</f>
        <v>Food Đức Việt</v>
      </c>
    </row>
    <row r="39" spans="1:17" ht="21.75" customHeight="1">
      <c r="A39" s="29">
        <f t="shared" si="0"/>
        <v>38</v>
      </c>
      <c r="B39" s="4" t="s">
        <v>12455</v>
      </c>
      <c r="C39" s="4" t="s">
        <v>500</v>
      </c>
      <c r="D39" s="4" t="s">
        <v>496</v>
      </c>
      <c r="E39" s="4" t="s">
        <v>12456</v>
      </c>
      <c r="F39" s="4" t="s">
        <v>12457</v>
      </c>
      <c r="G39" s="3" t="s">
        <v>382</v>
      </c>
      <c r="H39" s="3" t="str">
        <f>VLOOKUP(gia_khuyen_mai[[#This Row],[Barcode]],'Giá gốc'!$A:$B,2,0)</f>
        <v>2145691</v>
      </c>
      <c r="I39" s="3" t="str">
        <f>VLOOKUP(gia_khuyen_mai[[#This Row],[Mã sản phẩm]],'Giá gốc'!$B:$C,2,0)</f>
        <v>Xúc xích viên hong khói 450g * 1EA</v>
      </c>
      <c r="J39" s="5">
        <f>VLOOKUP(gia_khuyen_mai[[#This Row],[Mã sản phẩm]],'Giá gốc'!B:D,3,0)</f>
        <v>84200</v>
      </c>
      <c r="K39" s="57">
        <v>0.25</v>
      </c>
      <c r="L39" s="6">
        <f>ROUND((1-gia_khuyen_mai[[#This Row],[% Giảm giá]]) * gia_khuyen_mai[[#This Row],[Giá gốc]], 0)</f>
        <v>63150</v>
      </c>
      <c r="M39" s="6"/>
      <c r="O39" s="3" t="str">
        <f>IFERROR(VLOOKUP(gia_khuyen_mai[[#This Row],[Mã hàng tặng]],'Giá gốc'!B:C,2,0),"")</f>
        <v/>
      </c>
      <c r="Q39" s="3" t="str">
        <f>VLOOKUP(gia_khuyen_mai[[#This Row],[Mã sản phẩm]],product[[Mã sản phẩm]:[DS - ĐV]],3,0)</f>
        <v>Food Đức Việt</v>
      </c>
    </row>
    <row r="40" spans="1:17" ht="21.75" customHeight="1">
      <c r="A40" s="29">
        <f t="shared" si="0"/>
        <v>39</v>
      </c>
      <c r="B40" s="4" t="s">
        <v>12455</v>
      </c>
      <c r="C40" s="4" t="s">
        <v>500</v>
      </c>
      <c r="D40" s="4" t="s">
        <v>496</v>
      </c>
      <c r="E40" s="4" t="s">
        <v>12456</v>
      </c>
      <c r="F40" s="4" t="s">
        <v>12457</v>
      </c>
      <c r="G40" s="3" t="s">
        <v>473</v>
      </c>
      <c r="H40" s="3" t="str">
        <f>VLOOKUP(gia_khuyen_mai[[#This Row],[Barcode]],'Giá gốc'!$A:$B,2,0)</f>
        <v>2145679</v>
      </c>
      <c r="I40" s="3" t="str">
        <f>VLOOKUP(gia_khuyen_mai[[#This Row],[Mã sản phẩm]],'Giá gốc'!$B:$C,2,0)</f>
        <v>Đức Việt Handy- Xúc xích thịt heo muối hồng Himalaya 175g * 20EA</v>
      </c>
      <c r="J40" s="5">
        <f>VLOOKUP(gia_khuyen_mai[[#This Row],[Mã sản phẩm]],'Giá gốc'!B:D,3,0)</f>
        <v>18300</v>
      </c>
      <c r="K40" s="57">
        <v>0.25</v>
      </c>
      <c r="L40" s="6">
        <f>ROUND((1-gia_khuyen_mai[[#This Row],[% Giảm giá]]) * gia_khuyen_mai[[#This Row],[Giá gốc]], 0)</f>
        <v>13725</v>
      </c>
      <c r="M40" s="6"/>
      <c r="O40" s="3" t="str">
        <f>IFERROR(VLOOKUP(gia_khuyen_mai[[#This Row],[Mã hàng tặng]],'Giá gốc'!B:C,2,0),"")</f>
        <v/>
      </c>
      <c r="Q40" s="3" t="str">
        <f>VLOOKUP(gia_khuyen_mai[[#This Row],[Mã sản phẩm]],product[[Mã sản phẩm]:[DS - ĐV]],3,0)</f>
        <v>Food Đức Việt</v>
      </c>
    </row>
    <row r="41" spans="1:17" ht="21.75" customHeight="1">
      <c r="A41" s="29">
        <f t="shared" si="0"/>
        <v>40</v>
      </c>
      <c r="B41" s="4" t="s">
        <v>12455</v>
      </c>
      <c r="C41" s="4" t="s">
        <v>500</v>
      </c>
      <c r="D41" s="4" t="s">
        <v>496</v>
      </c>
      <c r="E41" s="4" t="s">
        <v>12456</v>
      </c>
      <c r="F41" s="4" t="s">
        <v>12457</v>
      </c>
      <c r="G41" s="3" t="s">
        <v>376</v>
      </c>
      <c r="H41" s="3" t="str">
        <f>VLOOKUP(gia_khuyen_mai[[#This Row],[Barcode]],'Giá gốc'!$A:$B,2,0)</f>
        <v>2145690</v>
      </c>
      <c r="I41" s="3" t="str">
        <f>VLOOKUP(gia_khuyen_mai[[#This Row],[Mã sản phẩm]],'Giá gốc'!$B:$C,2,0)</f>
        <v>Xúc xích vườn bia 200g * 1EA</v>
      </c>
      <c r="J41" s="5">
        <f>VLOOKUP(gia_khuyen_mai[[#This Row],[Mã sản phẩm]],'Giá gốc'!B:D,3,0)</f>
        <v>38400</v>
      </c>
      <c r="K41" s="57">
        <v>0.2</v>
      </c>
      <c r="L41" s="6">
        <f>ROUND((1-gia_khuyen_mai[[#This Row],[% Giảm giá]]) * gia_khuyen_mai[[#This Row],[Giá gốc]], 0)</f>
        <v>30720</v>
      </c>
      <c r="M41" s="6"/>
      <c r="O41" s="3" t="str">
        <f>IFERROR(VLOOKUP(gia_khuyen_mai[[#This Row],[Mã hàng tặng]],'Giá gốc'!B:C,2,0),"")</f>
        <v/>
      </c>
      <c r="Q41" s="3" t="str">
        <f>VLOOKUP(gia_khuyen_mai[[#This Row],[Mã sản phẩm]],product[[Mã sản phẩm]:[DS - ĐV]],3,0)</f>
        <v>Food Đức Việt</v>
      </c>
    </row>
    <row r="42" spans="1:17" ht="21.75" customHeight="1">
      <c r="A42" s="29">
        <f t="shared" si="0"/>
        <v>41</v>
      </c>
      <c r="B42" s="4" t="s">
        <v>12455</v>
      </c>
      <c r="C42" s="4" t="s">
        <v>500</v>
      </c>
      <c r="D42" s="4" t="s">
        <v>496</v>
      </c>
      <c r="E42" s="4" t="s">
        <v>12456</v>
      </c>
      <c r="F42" s="4" t="s">
        <v>12457</v>
      </c>
      <c r="G42" s="3" t="s">
        <v>436</v>
      </c>
      <c r="H42" s="3" t="str">
        <f>VLOOKUP(gia_khuyen_mai[[#This Row],[Barcode]],'Giá gốc'!$A:$B,2,0)</f>
        <v>2145737</v>
      </c>
      <c r="I42" s="3" t="str">
        <f>VLOOKUP(gia_khuyen_mai[[#This Row],[Mã sản phẩm]],'Giá gốc'!$B:$C,2,0)</f>
        <v>Thăn heo hong khói 200g</v>
      </c>
      <c r="J42" s="5">
        <f>VLOOKUP(gia_khuyen_mai[[#This Row],[Mã sản phẩm]],'Giá gốc'!B:D,3,0)</f>
        <v>41200</v>
      </c>
      <c r="K42" s="57">
        <v>0.15</v>
      </c>
      <c r="L42" s="6">
        <f>ROUND((1-gia_khuyen_mai[[#This Row],[% Giảm giá]]) * gia_khuyen_mai[[#This Row],[Giá gốc]], 0)</f>
        <v>35020</v>
      </c>
      <c r="M42" s="6"/>
      <c r="O42" s="3" t="str">
        <f>IFERROR(VLOOKUP(gia_khuyen_mai[[#This Row],[Mã hàng tặng]],'Giá gốc'!B:C,2,0),"")</f>
        <v/>
      </c>
      <c r="Q42" s="3" t="str">
        <f>VLOOKUP(gia_khuyen_mai[[#This Row],[Mã sản phẩm]],product[[Mã sản phẩm]:[DS - ĐV]],3,0)</f>
        <v>Food Đức Việt</v>
      </c>
    </row>
    <row r="43" spans="1:17" ht="21.75" customHeight="1">
      <c r="A43" s="29">
        <f t="shared" si="0"/>
        <v>42</v>
      </c>
      <c r="B43" s="4" t="s">
        <v>12455</v>
      </c>
      <c r="C43" s="4" t="s">
        <v>500</v>
      </c>
      <c r="D43" s="4" t="s">
        <v>496</v>
      </c>
      <c r="E43" s="4" t="s">
        <v>12456</v>
      </c>
      <c r="F43" s="4" t="s">
        <v>12457</v>
      </c>
      <c r="G43" s="3" t="s">
        <v>470</v>
      </c>
      <c r="H43" s="3" t="str">
        <f>VLOOKUP(gia_khuyen_mai[[#This Row],[Barcode]],'Giá gốc'!$A:$B,2,0)</f>
        <v>2145699</v>
      </c>
      <c r="I43" s="3" t="str">
        <f>VLOOKUP(gia_khuyen_mai[[#This Row],[Mã sản phẩm]],'Giá gốc'!$B:$C,2,0)</f>
        <v>Seoul's Hotdog Chiên xù 250g (Đ)</v>
      </c>
      <c r="J43" s="5">
        <f>VLOOKUP(gia_khuyen_mai[[#This Row],[Mã sản phẩm]],'Giá gốc'!B:D,3,0)</f>
        <v>39150</v>
      </c>
      <c r="K43" s="57">
        <v>0.25</v>
      </c>
      <c r="L43" s="6">
        <f>ROUND((1-gia_khuyen_mai[[#This Row],[% Giảm giá]]) * gia_khuyen_mai[[#This Row],[Giá gốc]], 0)</f>
        <v>29363</v>
      </c>
      <c r="M43" s="6"/>
      <c r="O43" s="3" t="str">
        <f>IFERROR(VLOOKUP(gia_khuyen_mai[[#This Row],[Mã hàng tặng]],'Giá gốc'!B:C,2,0),"")</f>
        <v/>
      </c>
      <c r="Q43" s="3" t="str">
        <f>VLOOKUP(gia_khuyen_mai[[#This Row],[Mã sản phẩm]],product[[Mã sản phẩm]:[DS - ĐV]],3,0)</f>
        <v>Food Đức Việt</v>
      </c>
    </row>
    <row r="44" spans="1:17" ht="21.75" customHeight="1">
      <c r="A44" s="29">
        <f t="shared" si="0"/>
        <v>43</v>
      </c>
      <c r="B44" s="4" t="s">
        <v>12455</v>
      </c>
      <c r="C44" s="4" t="s">
        <v>500</v>
      </c>
      <c r="D44" s="4" t="s">
        <v>496</v>
      </c>
      <c r="E44" s="4" t="s">
        <v>12456</v>
      </c>
      <c r="F44" s="4" t="s">
        <v>12457</v>
      </c>
      <c r="G44" s="3" t="s">
        <v>424</v>
      </c>
      <c r="H44" s="3" t="str">
        <f>VLOOKUP(gia_khuyen_mai[[#This Row],[Barcode]],'Giá gốc'!$A:$B,2,0)</f>
        <v>2145774</v>
      </c>
      <c r="I44" s="3" t="str">
        <f>VLOOKUP(gia_khuyen_mai[[#This Row],[Mã sản phẩm]],'Giá gốc'!$B:$C,2,0)</f>
        <v>Xúc xích Pari (50g) 500g</v>
      </c>
      <c r="J44" s="5">
        <f>VLOOKUP(gia_khuyen_mai[[#This Row],[Mã sản phẩm]],'Giá gốc'!B:D,3,0)</f>
        <v>55600</v>
      </c>
      <c r="K44" s="57">
        <v>0.22</v>
      </c>
      <c r="L44" s="6">
        <f>ROUND((1-gia_khuyen_mai[[#This Row],[% Giảm giá]]) * gia_khuyen_mai[[#This Row],[Giá gốc]], 0)</f>
        <v>43368</v>
      </c>
      <c r="M44" s="6"/>
      <c r="O44" s="3" t="str">
        <f>IFERROR(VLOOKUP(gia_khuyen_mai[[#This Row],[Mã hàng tặng]],'Giá gốc'!B:C,2,0),"")</f>
        <v/>
      </c>
      <c r="Q44" s="3" t="str">
        <f>VLOOKUP(gia_khuyen_mai[[#This Row],[Mã sản phẩm]],product[[Mã sản phẩm]:[DS - ĐV]],3,0)</f>
        <v>Food Đức Việt</v>
      </c>
    </row>
    <row r="45" spans="1:17" ht="21.75" customHeight="1">
      <c r="A45" s="29">
        <f t="shared" si="0"/>
        <v>44</v>
      </c>
      <c r="B45" s="4" t="s">
        <v>12455</v>
      </c>
      <c r="C45" s="4" t="s">
        <v>500</v>
      </c>
      <c r="D45" s="4" t="s">
        <v>496</v>
      </c>
      <c r="E45" s="4" t="s">
        <v>12456</v>
      </c>
      <c r="F45" s="4" t="s">
        <v>12457</v>
      </c>
      <c r="G45" s="3" t="s">
        <v>464</v>
      </c>
      <c r="H45" s="3" t="str">
        <f>VLOOKUP(gia_khuyen_mai[[#This Row],[Barcode]],'Giá gốc'!$A:$B,2,0)</f>
        <v>2145622</v>
      </c>
      <c r="I45" s="3" t="str">
        <f>VLOOKUP(gia_khuyen_mai[[#This Row],[Mã sản phẩm]],'Giá gốc'!$B:$C,2,0)</f>
        <v>Kim chi 450</v>
      </c>
      <c r="J45" s="5">
        <f>VLOOKUP(gia_khuyen_mai[[#This Row],[Mã sản phẩm]],'Giá gốc'!B:D,3,0)</f>
        <v>35500</v>
      </c>
      <c r="K45" s="57">
        <v>0.35</v>
      </c>
      <c r="L45" s="6">
        <f>ROUND((1-gia_khuyen_mai[[#This Row],[% Giảm giá]]) * gia_khuyen_mai[[#This Row],[Giá gốc]], 0)</f>
        <v>23075</v>
      </c>
      <c r="M45" s="6"/>
      <c r="O45" s="3" t="str">
        <f>IFERROR(VLOOKUP(gia_khuyen_mai[[#This Row],[Mã hàng tặng]],'Giá gốc'!B:C,2,0),"")</f>
        <v/>
      </c>
      <c r="Q45" s="3" t="str">
        <f>VLOOKUP(gia_khuyen_mai[[#This Row],[Mã sản phẩm]],product[[Mã sản phẩm]:[DS - ĐV]],3,0)</f>
        <v>Food Đức Việt</v>
      </c>
    </row>
    <row r="46" spans="1:17" ht="21.75" customHeight="1">
      <c r="A46" s="29">
        <f t="shared" si="0"/>
        <v>45</v>
      </c>
      <c r="B46" s="4" t="s">
        <v>12455</v>
      </c>
      <c r="C46" s="4" t="s">
        <v>500</v>
      </c>
      <c r="D46" s="4" t="s">
        <v>496</v>
      </c>
      <c r="E46" s="4" t="s">
        <v>12458</v>
      </c>
      <c r="F46" s="4" t="s">
        <v>12457</v>
      </c>
      <c r="G46" s="4" t="s">
        <v>427</v>
      </c>
      <c r="H46" s="3" t="str">
        <f>VLOOKUP(gia_khuyen_mai[[#This Row],[Barcode]],'Giá gốc'!$A:$B,2,0)</f>
        <v>2145743</v>
      </c>
      <c r="I46" s="3" t="str">
        <f>VLOOKUP(gia_khuyen_mai[[#This Row],[Mã sản phẩm]],'Giá gốc'!$B:$C,2,0)</f>
        <v>Xúc xích sụn nướng Bulgogi 450g</v>
      </c>
      <c r="J46" s="5">
        <f>VLOOKUP(gia_khuyen_mai[[#This Row],[Mã sản phẩm]],'Giá gốc'!B:D,3,0)</f>
        <v>74500</v>
      </c>
      <c r="K46" s="57">
        <v>0.3</v>
      </c>
      <c r="L46" s="6">
        <f>ROUND((1-gia_khuyen_mai[[#This Row],[% Giảm giá]]) * gia_khuyen_mai[[#This Row],[Giá gốc]], 0)</f>
        <v>52150</v>
      </c>
      <c r="M46" s="6"/>
      <c r="O46" s="3" t="str">
        <f>IFERROR(VLOOKUP(gia_khuyen_mai[[#This Row],[Mã hàng tặng]],'Giá gốc'!B:C,2,0),"")</f>
        <v/>
      </c>
      <c r="Q46" s="3" t="str">
        <f>VLOOKUP(gia_khuyen_mai[[#This Row],[Mã sản phẩm]],product[[Mã sản phẩm]:[DS - ĐV]],3,0)</f>
        <v>Food Đức Việt</v>
      </c>
    </row>
    <row r="47" spans="1:17" ht="21.75" customHeight="1">
      <c r="A47" s="29">
        <f t="shared" si="0"/>
        <v>46</v>
      </c>
      <c r="B47" s="4" t="s">
        <v>12455</v>
      </c>
      <c r="C47" s="4" t="s">
        <v>500</v>
      </c>
      <c r="D47" s="4" t="s">
        <v>496</v>
      </c>
      <c r="E47" s="4" t="s">
        <v>12458</v>
      </c>
      <c r="F47" s="4" t="s">
        <v>12457</v>
      </c>
      <c r="G47" s="7" t="s">
        <v>448</v>
      </c>
      <c r="H47" s="3" t="str">
        <f>VLOOKUP(gia_khuyen_mai[[#This Row],[Barcode]],'Giá gốc'!$A:$B,2,0)</f>
        <v>2145695</v>
      </c>
      <c r="I47" s="3" t="str">
        <f>VLOOKUP(gia_khuyen_mai[[#This Row],[Mã sản phẩm]],'Giá gốc'!$B:$C,2,0)</f>
        <v>Seoul's Hotdog 350g</v>
      </c>
      <c r="J47" s="5">
        <f>VLOOKUP(gia_khuyen_mai[[#This Row],[Mã sản phẩm]],'Giá gốc'!B:D,3,0)</f>
        <v>48384</v>
      </c>
      <c r="K47" s="57">
        <v>0.25</v>
      </c>
      <c r="L47" s="6">
        <f>ROUND((1-gia_khuyen_mai[[#This Row],[% Giảm giá]]) * gia_khuyen_mai[[#This Row],[Giá gốc]], 0)</f>
        <v>36288</v>
      </c>
      <c r="M47" s="6"/>
      <c r="O47" s="3" t="str">
        <f>IFERROR(VLOOKUP(gia_khuyen_mai[[#This Row],[Mã hàng tặng]],'Giá gốc'!B:C,2,0),"")</f>
        <v/>
      </c>
      <c r="Q47" s="3" t="str">
        <f>VLOOKUP(gia_khuyen_mai[[#This Row],[Mã sản phẩm]],product[[Mã sản phẩm]:[DS - ĐV]],3,0)</f>
        <v>Food Đức Việt</v>
      </c>
    </row>
    <row r="48" spans="1:17" ht="21.75" customHeight="1">
      <c r="A48" s="29">
        <f t="shared" si="0"/>
        <v>47</v>
      </c>
      <c r="B48" s="4" t="s">
        <v>12473</v>
      </c>
      <c r="C48" s="4" t="s">
        <v>183</v>
      </c>
      <c r="D48" s="4" t="s">
        <v>496</v>
      </c>
      <c r="E48" s="4" t="s">
        <v>12474</v>
      </c>
      <c r="F48" s="4" t="s">
        <v>12457</v>
      </c>
      <c r="G48" s="20" t="s">
        <v>11078</v>
      </c>
      <c r="H48" s="3" t="str">
        <f>VLOOKUP(gia_khuyen_mai[[#This Row],[Barcode]],'Giá gốc'!$A:$B,2,0)</f>
        <v>2145625</v>
      </c>
      <c r="I48" s="3" t="str">
        <f>VLOOKUP(gia_khuyen_mai[[#This Row],[Mã sản phẩm]],'Giá gốc'!$B:$C,2,0)</f>
        <v>Jongga Kim chi cải thảo cắt lát 1kg</v>
      </c>
      <c r="J48" s="5">
        <f>VLOOKUP(gia_khuyen_mai[[#This Row],[Mã sản phẩm]],'Giá gốc'!B:D,3,0)</f>
        <v>70000</v>
      </c>
      <c r="K48" s="57">
        <v>0.33</v>
      </c>
      <c r="L48" s="6">
        <f>ROUND((1-gia_khuyen_mai[[#This Row],[% Giảm giá]]) * gia_khuyen_mai[[#This Row],[Giá gốc]], 0)</f>
        <v>46900</v>
      </c>
      <c r="M48" s="6"/>
      <c r="O48" s="3" t="str">
        <f>IFERROR(VLOOKUP(gia_khuyen_mai[[#This Row],[Mã hàng tặng]],'Giá gốc'!B:C,2,0),"")</f>
        <v/>
      </c>
      <c r="Q48" s="3" t="str">
        <f>VLOOKUP(gia_khuyen_mai[[#This Row],[Mã sản phẩm]],product[[Mã sản phẩm]:[DS - ĐV]],3,0)</f>
        <v>Food Đức Việt</v>
      </c>
    </row>
    <row r="49" spans="1:17" ht="21.75" customHeight="1">
      <c r="A49" s="29">
        <f t="shared" si="0"/>
        <v>48</v>
      </c>
      <c r="B49" s="4" t="s">
        <v>12473</v>
      </c>
      <c r="C49" s="4" t="s">
        <v>183</v>
      </c>
      <c r="D49" s="4" t="s">
        <v>496</v>
      </c>
      <c r="E49" s="4" t="s">
        <v>12474</v>
      </c>
      <c r="F49" s="4" t="s">
        <v>12457</v>
      </c>
      <c r="G49" s="3" t="s">
        <v>12459</v>
      </c>
      <c r="H49" s="3" t="str">
        <f>VLOOKUP(gia_khuyen_mai[[#This Row],[Barcode]],'Giá gốc'!$A:$B,2,0)</f>
        <v>2151032</v>
      </c>
      <c r="I49" s="3" t="str">
        <f>VLOOKUP(gia_khuyen_mai[[#This Row],[Mã sản phẩm]],'Giá gốc'!$B:$C,2,0)</f>
        <v>Jongga Kim chi Củ cải 450g</v>
      </c>
      <c r="J49" s="5">
        <f>VLOOKUP(gia_khuyen_mai[[#This Row],[Mã sản phẩm]],'Giá gốc'!B:D,3,0)</f>
        <v>42000</v>
      </c>
      <c r="K49" s="57"/>
      <c r="L49" s="6">
        <f>ROUND((1-gia_khuyen_mai[[#This Row],[% Giảm giá]]) * gia_khuyen_mai[[#This Row],[Giá gốc]], 0)</f>
        <v>42000</v>
      </c>
      <c r="M49" s="6" t="s">
        <v>503</v>
      </c>
      <c r="N49" s="3" t="str">
        <f>VLOOKUP(gia_khuyen_mai[[#This Row],[Barcode]],'Giá gốc'!$A:$B,2,0)</f>
        <v>2151032</v>
      </c>
      <c r="O49" s="3" t="str">
        <f>IFERROR(VLOOKUP(gia_khuyen_mai[[#This Row],[Mã hàng tặng]],'Giá gốc'!B:C,2,0),"")</f>
        <v>Jongga Kim chi Củ cải 450g</v>
      </c>
      <c r="Q49" s="3" t="str">
        <f>VLOOKUP(gia_khuyen_mai[[#This Row],[Mã sản phẩm]],product[[Mã sản phẩm]:[DS - ĐV]],3,0)</f>
        <v>Food Đức Việt</v>
      </c>
    </row>
    <row r="50" spans="1:17" ht="21.75" customHeight="1">
      <c r="A50" s="29">
        <f t="shared" si="0"/>
        <v>49</v>
      </c>
      <c r="B50" s="4" t="s">
        <v>12473</v>
      </c>
      <c r="C50" s="4" t="s">
        <v>183</v>
      </c>
      <c r="D50" s="4" t="s">
        <v>496</v>
      </c>
      <c r="E50" s="4" t="s">
        <v>12474</v>
      </c>
      <c r="F50" s="4" t="s">
        <v>12457</v>
      </c>
      <c r="G50" s="3" t="s">
        <v>12460</v>
      </c>
      <c r="H50" s="3" t="str">
        <f>VLOOKUP(gia_khuyen_mai[[#This Row],[Barcode]],'Giá gốc'!$A:$B,2,0)</f>
        <v>2151140</v>
      </c>
      <c r="I50" s="3" t="str">
        <f>VLOOKUP(gia_khuyen_mai[[#This Row],[Mã sản phẩm]],'Giá gốc'!$B:$C,2,0)</f>
        <v>Jongga Kim chi Củ cải 150g</v>
      </c>
      <c r="J50" s="5">
        <f>VLOOKUP(gia_khuyen_mai[[#This Row],[Mã sản phẩm]],'Giá gốc'!B:D,3,0)</f>
        <v>16500</v>
      </c>
      <c r="K50" s="57">
        <v>0.33</v>
      </c>
      <c r="L50" s="6">
        <f>ROUND((1-gia_khuyen_mai[[#This Row],[% Giảm giá]]) * gia_khuyen_mai[[#This Row],[Giá gốc]], 0)</f>
        <v>11055</v>
      </c>
      <c r="M50" s="6"/>
      <c r="O50" s="3" t="str">
        <f>IFERROR(VLOOKUP(gia_khuyen_mai[[#This Row],[Mã hàng tặng]],'Giá gốc'!B:C,2,0),"")</f>
        <v/>
      </c>
      <c r="Q50" s="3" t="str">
        <f>VLOOKUP(gia_khuyen_mai[[#This Row],[Mã sản phẩm]],product[[Mã sản phẩm]:[DS - ĐV]],3,0)</f>
        <v>Food Đức Việt</v>
      </c>
    </row>
    <row r="51" spans="1:17" ht="21.75" customHeight="1">
      <c r="A51" s="29">
        <f t="shared" si="0"/>
        <v>50</v>
      </c>
      <c r="B51" s="4" t="s">
        <v>12473</v>
      </c>
      <c r="C51" s="4" t="s">
        <v>183</v>
      </c>
      <c r="D51" s="4" t="s">
        <v>496</v>
      </c>
      <c r="E51" s="4" t="s">
        <v>12474</v>
      </c>
      <c r="F51" s="4" t="s">
        <v>12457</v>
      </c>
      <c r="G51" s="3" t="s">
        <v>12461</v>
      </c>
      <c r="H51" s="3" t="str">
        <f>VLOOKUP(gia_khuyen_mai[[#This Row],[Barcode]],'Giá gốc'!$A:$B,2,0)</f>
        <v>2151765</v>
      </c>
      <c r="I51" s="3" t="str">
        <f>VLOOKUP(gia_khuyen_mai[[#This Row],[Mã sản phẩm]],'Giá gốc'!$B:$C,2,0)</f>
        <v>Ức gà hong khói 100g</v>
      </c>
      <c r="J51" s="5">
        <f>VLOOKUP(gia_khuyen_mai[[#This Row],[Mã sản phẩm]],'Giá gốc'!B:D,3,0)</f>
        <v>26000</v>
      </c>
      <c r="K51" s="57">
        <v>0.25</v>
      </c>
      <c r="L51" s="6">
        <f>ROUND((1-gia_khuyen_mai[[#This Row],[% Giảm giá]]) * gia_khuyen_mai[[#This Row],[Giá gốc]], 0)</f>
        <v>19500</v>
      </c>
      <c r="M51" s="6"/>
      <c r="O51" s="3" t="str">
        <f>IFERROR(VLOOKUP(gia_khuyen_mai[[#This Row],[Mã hàng tặng]],'Giá gốc'!B:C,2,0),"")</f>
        <v/>
      </c>
      <c r="Q51" s="3" t="str">
        <f>VLOOKUP(gia_khuyen_mai[[#This Row],[Mã sản phẩm]],product[[Mã sản phẩm]:[DS - ĐV]],3,0)</f>
        <v>Food Đức Việt</v>
      </c>
    </row>
    <row r="52" spans="1:17" ht="21.75" customHeight="1">
      <c r="A52" s="29">
        <f t="shared" si="0"/>
        <v>51</v>
      </c>
      <c r="B52" s="4" t="s">
        <v>12473</v>
      </c>
      <c r="C52" s="4" t="s">
        <v>183</v>
      </c>
      <c r="D52" s="4" t="s">
        <v>496</v>
      </c>
      <c r="E52" s="4" t="s">
        <v>12474</v>
      </c>
      <c r="F52" s="4" t="s">
        <v>12457</v>
      </c>
      <c r="G52" s="4" t="s">
        <v>12462</v>
      </c>
      <c r="H52" s="3" t="str">
        <f>VLOOKUP(gia_khuyen_mai[[#This Row],[Barcode]],'Giá gốc'!$A:$B,2,0)</f>
        <v>2145747</v>
      </c>
      <c r="I52" s="3" t="str">
        <f>VLOOKUP(gia_khuyen_mai[[#This Row],[Mã sản phẩm]],'Giá gốc'!$B:$C,2,0)</f>
        <v>Xúc xích thịt heo Bragenwurst 400g</v>
      </c>
      <c r="J52" s="5">
        <f>VLOOKUP(gia_khuyen_mai[[#This Row],[Mã sản phẩm]],'Giá gốc'!B:D,3,0)</f>
        <v>82080</v>
      </c>
      <c r="K52" s="57">
        <v>0.3</v>
      </c>
      <c r="L52" s="6">
        <f>ROUND((1-gia_khuyen_mai[[#This Row],[% Giảm giá]]) * gia_khuyen_mai[[#This Row],[Giá gốc]], 0)</f>
        <v>57456</v>
      </c>
      <c r="M52" s="6"/>
      <c r="O52" s="3" t="str">
        <f>IFERROR(VLOOKUP(gia_khuyen_mai[[#This Row],[Mã hàng tặng]],'Giá gốc'!B:C,2,0),"")</f>
        <v/>
      </c>
      <c r="Q52" s="3" t="str">
        <f>VLOOKUP(gia_khuyen_mai[[#This Row],[Mã sản phẩm]],product[[Mã sản phẩm]:[DS - ĐV]],3,0)</f>
        <v>Food Đức Việt</v>
      </c>
    </row>
    <row r="53" spans="1:17" ht="21.75" customHeight="1">
      <c r="A53" s="29">
        <f t="shared" si="0"/>
        <v>52</v>
      </c>
      <c r="B53" s="4" t="s">
        <v>12473</v>
      </c>
      <c r="C53" s="4" t="s">
        <v>183</v>
      </c>
      <c r="D53" s="4" t="s">
        <v>496</v>
      </c>
      <c r="E53" s="4" t="s">
        <v>12474</v>
      </c>
      <c r="F53" s="4" t="s">
        <v>12457</v>
      </c>
      <c r="G53" s="3" t="s">
        <v>12463</v>
      </c>
      <c r="H53" s="3" t="str">
        <f>VLOOKUP(gia_khuyen_mai[[#This Row],[Barcode]],'Giá gốc'!$A:$B,2,0)</f>
        <v>2145682</v>
      </c>
      <c r="I53" s="3" t="str">
        <f>VLOOKUP(gia_khuyen_mai[[#This Row],[Mã sản phẩm]],'Giá gốc'!$B:$C,2,0)</f>
        <v>O'Food - Xúc xích xốt Spaghetti 64g</v>
      </c>
      <c r="J53" s="5">
        <f>VLOOKUP(gia_khuyen_mai[[#This Row],[Mã sản phẩm]],'Giá gốc'!B:D,3,0)</f>
        <v>8837</v>
      </c>
      <c r="K53" s="57"/>
      <c r="L53" s="6">
        <f>ROUND((1-gia_khuyen_mai[[#This Row],[% Giảm giá]]) * gia_khuyen_mai[[#This Row],[Giá gốc]], 0)</f>
        <v>8837</v>
      </c>
      <c r="M53" s="6" t="s">
        <v>503</v>
      </c>
      <c r="N53" s="3" t="str">
        <f>VLOOKUP(gia_khuyen_mai[[#This Row],[Barcode]],'Giá gốc'!$A:$B,2,0)</f>
        <v>2145682</v>
      </c>
      <c r="O53" s="3" t="str">
        <f>IFERROR(VLOOKUP(gia_khuyen_mai[[#This Row],[Mã hàng tặng]],'Giá gốc'!B:C,2,0),"")</f>
        <v>O'Food - Xúc xích xốt Spaghetti 64g</v>
      </c>
      <c r="Q53" s="3" t="str">
        <f>VLOOKUP(gia_khuyen_mai[[#This Row],[Mã sản phẩm]],product[[Mã sản phẩm]:[DS - ĐV]],3,0)</f>
        <v>Food Đức Việt</v>
      </c>
    </row>
    <row r="54" spans="1:17" ht="21.75" customHeight="1">
      <c r="A54" s="29">
        <f t="shared" si="0"/>
        <v>53</v>
      </c>
      <c r="B54" s="4" t="s">
        <v>12473</v>
      </c>
      <c r="C54" s="4" t="s">
        <v>183</v>
      </c>
      <c r="D54" s="4" t="s">
        <v>496</v>
      </c>
      <c r="E54" s="4" t="s">
        <v>12474</v>
      </c>
      <c r="F54" s="4" t="s">
        <v>12457</v>
      </c>
      <c r="G54" s="3" t="s">
        <v>12464</v>
      </c>
      <c r="H54" s="3" t="str">
        <f>VLOOKUP(gia_khuyen_mai[[#This Row],[Barcode]],'Giá gốc'!$A:$B,2,0)</f>
        <v>2145684</v>
      </c>
      <c r="I54" s="3" t="str">
        <f>VLOOKUP(gia_khuyen_mai[[#This Row],[Mã sản phẩm]],'Giá gốc'!$B:$C,2,0)</f>
        <v>O'Food - Xúc xích xốt Tokpokki vị phô mai Hàn Quốc 64g</v>
      </c>
      <c r="J54" s="5">
        <f>VLOOKUP(gia_khuyen_mai[[#This Row],[Mã sản phẩm]],'Giá gốc'!B:D,3,0)</f>
        <v>8837</v>
      </c>
      <c r="K54" s="57"/>
      <c r="L54" s="6">
        <f>ROUND((1-gia_khuyen_mai[[#This Row],[% Giảm giá]]) * gia_khuyen_mai[[#This Row],[Giá gốc]], 0)</f>
        <v>8837</v>
      </c>
      <c r="M54" s="6" t="s">
        <v>503</v>
      </c>
      <c r="N54" s="3" t="str">
        <f>VLOOKUP(gia_khuyen_mai[[#This Row],[Barcode]],'Giá gốc'!$A:$B,2,0)</f>
        <v>2145684</v>
      </c>
      <c r="O54" s="3" t="str">
        <f>IFERROR(VLOOKUP(gia_khuyen_mai[[#This Row],[Mã hàng tặng]],'Giá gốc'!B:C,2,0),"")</f>
        <v>O'Food - Xúc xích xốt Tokpokki vị phô mai Hàn Quốc 64g</v>
      </c>
      <c r="Q54" s="3" t="str">
        <f>VLOOKUP(gia_khuyen_mai[[#This Row],[Mã sản phẩm]],product[[Mã sản phẩm]:[DS - ĐV]],3,0)</f>
        <v>Food Đức Việt</v>
      </c>
    </row>
    <row r="55" spans="1:17" ht="21.75" customHeight="1">
      <c r="A55" s="29">
        <f t="shared" si="0"/>
        <v>54</v>
      </c>
      <c r="B55" s="4" t="s">
        <v>12473</v>
      </c>
      <c r="C55" s="4" t="s">
        <v>183</v>
      </c>
      <c r="D55" s="4" t="s">
        <v>496</v>
      </c>
      <c r="E55" s="4" t="s">
        <v>12474</v>
      </c>
      <c r="F55" s="4" t="s">
        <v>12457</v>
      </c>
      <c r="G55" s="4" t="s">
        <v>12475</v>
      </c>
      <c r="H55" s="3" t="str">
        <f>VLOOKUP(gia_khuyen_mai[[#This Row],[Barcode]],'Giá gốc'!$A:$B,2,0)</f>
        <v>2149794</v>
      </c>
      <c r="I55" s="3" t="str">
        <f>VLOOKUP(gia_khuyen_mai[[#This Row],[Mã sản phẩm]],'Giá gốc'!$B:$C,2,0)</f>
        <v>Xúc xích Romas Light 500g</v>
      </c>
      <c r="J55" s="5">
        <f>VLOOKUP(gia_khuyen_mai[[#This Row],[Mã sản phẩm]],'Giá gốc'!B:D,3,0)</f>
        <v>44000</v>
      </c>
      <c r="K55" s="57"/>
      <c r="L55" s="6">
        <f>ROUND((1-gia_khuyen_mai[[#This Row],[% Giảm giá]]) * gia_khuyen_mai[[#This Row],[Giá gốc]], 0)</f>
        <v>44000</v>
      </c>
      <c r="M55" s="6" t="s">
        <v>503</v>
      </c>
      <c r="N55" s="4" t="s">
        <v>401</v>
      </c>
      <c r="O55" s="3" t="str">
        <f>IFERROR(VLOOKUP(gia_khuyen_mai[[#This Row],[Mã hàng tặng]],'Giá gốc'!B:C,2,0),"")</f>
        <v>Xúc xích phô mai Cheesy 70g * 30EA</v>
      </c>
      <c r="Q55" s="3" t="str">
        <f>VLOOKUP(gia_khuyen_mai[[#This Row],[Mã sản phẩm]],product[[Mã sản phẩm]:[DS - ĐV]],3,0)</f>
        <v>Food Đức Việt</v>
      </c>
    </row>
    <row r="56" spans="1:17" ht="21.75" customHeight="1">
      <c r="A56" s="29">
        <f t="shared" si="0"/>
        <v>55</v>
      </c>
      <c r="B56" s="4" t="s">
        <v>12473</v>
      </c>
      <c r="C56" s="4" t="s">
        <v>5</v>
      </c>
      <c r="D56" s="4" t="s">
        <v>496</v>
      </c>
      <c r="E56" s="4" t="s">
        <v>12721</v>
      </c>
      <c r="F56" s="4" t="s">
        <v>12842</v>
      </c>
      <c r="G56" s="3" t="s">
        <v>12459</v>
      </c>
      <c r="H56" s="3" t="str">
        <f>VLOOKUP(gia_khuyen_mai[[#This Row],[Barcode]],'Giá gốc'!$A:$B,2,0)</f>
        <v>2151032</v>
      </c>
      <c r="I56" s="3" t="str">
        <f>VLOOKUP(gia_khuyen_mai[[#This Row],[Mã sản phẩm]],'Giá gốc'!$B:$C,2,0)</f>
        <v>Jongga Kim chi Củ cải 450g</v>
      </c>
      <c r="J56" s="5">
        <f>VLOOKUP(gia_khuyen_mai[[#This Row],[Mã sản phẩm]],'Giá gốc'!B:D,3,0)</f>
        <v>42000</v>
      </c>
      <c r="K56" s="57"/>
      <c r="L56" s="6">
        <f>ROUND((1-gia_khuyen_mai[[#This Row],[% Giảm giá]]) * gia_khuyen_mai[[#This Row],[Giá gốc]], 0)</f>
        <v>42000</v>
      </c>
      <c r="M56" s="6" t="s">
        <v>503</v>
      </c>
      <c r="N56" s="3" t="str">
        <f>VLOOKUP(gia_khuyen_mai[[#This Row],[Barcode]],'Giá gốc'!$A:$B,2,0)</f>
        <v>2151032</v>
      </c>
      <c r="O56" s="3" t="str">
        <f>IFERROR(VLOOKUP(gia_khuyen_mai[[#This Row],[Mã hàng tặng]],'Giá gốc'!B:C,2,0),"")</f>
        <v>Jongga Kim chi Củ cải 450g</v>
      </c>
      <c r="Q56" s="3" t="str">
        <f>VLOOKUP(gia_khuyen_mai[[#This Row],[Mã sản phẩm]],product[[Mã sản phẩm]:[DS - ĐV]],3,0)</f>
        <v>Food Đức Việt</v>
      </c>
    </row>
    <row r="57" spans="1:17" ht="21.75" customHeight="1">
      <c r="A57" s="29">
        <f t="shared" si="0"/>
        <v>56</v>
      </c>
      <c r="B57" s="4" t="s">
        <v>12473</v>
      </c>
      <c r="C57" s="4" t="s">
        <v>5</v>
      </c>
      <c r="D57" s="4" t="s">
        <v>496</v>
      </c>
      <c r="E57" s="4" t="s">
        <v>12628</v>
      </c>
      <c r="F57" s="4" t="s">
        <v>12633</v>
      </c>
      <c r="G57" s="3" t="s">
        <v>12460</v>
      </c>
      <c r="H57" s="3" t="str">
        <f>VLOOKUP(gia_khuyen_mai[[#This Row],[Barcode]],'Giá gốc'!$A:$B,2,0)</f>
        <v>2151140</v>
      </c>
      <c r="I57" s="3" t="str">
        <f>VLOOKUP(gia_khuyen_mai[[#This Row],[Mã sản phẩm]],'Giá gốc'!$B:$C,2,0)</f>
        <v>Jongga Kim chi Củ cải 150g</v>
      </c>
      <c r="J57" s="5">
        <f>VLOOKUP(gia_khuyen_mai[[#This Row],[Mã sản phẩm]],'Giá gốc'!B:D,3,0)</f>
        <v>16500</v>
      </c>
      <c r="K57" s="57">
        <v>0.33</v>
      </c>
      <c r="L57" s="6">
        <f>ROUND((1-gia_khuyen_mai[[#This Row],[% Giảm giá]]) * gia_khuyen_mai[[#This Row],[Giá gốc]], 0)</f>
        <v>11055</v>
      </c>
      <c r="M57" s="6"/>
      <c r="O57" s="3" t="str">
        <f>IFERROR(VLOOKUP(gia_khuyen_mai[[#This Row],[Mã hàng tặng]],'Giá gốc'!B:C,2,0),"")</f>
        <v/>
      </c>
      <c r="Q57" s="3" t="str">
        <f>VLOOKUP(gia_khuyen_mai[[#This Row],[Mã sản phẩm]],product[[Mã sản phẩm]:[DS - ĐV]],3,0)</f>
        <v>Food Đức Việt</v>
      </c>
    </row>
    <row r="58" spans="1:17" ht="21.75" customHeight="1">
      <c r="A58" s="40">
        <f t="shared" si="0"/>
        <v>57</v>
      </c>
      <c r="B58" s="41" t="s">
        <v>12473</v>
      </c>
      <c r="C58" s="41" t="s">
        <v>5</v>
      </c>
      <c r="D58" s="41" t="s">
        <v>496</v>
      </c>
      <c r="E58" s="41" t="s">
        <v>12718</v>
      </c>
      <c r="F58" s="41" t="s">
        <v>12842</v>
      </c>
      <c r="G58" s="42" t="s">
        <v>12461</v>
      </c>
      <c r="H58" s="42" t="str">
        <f>VLOOKUP(gia_khuyen_mai[[#This Row],[Barcode]],'Giá gốc'!$A:$B,2,0)</f>
        <v>2151765</v>
      </c>
      <c r="I58" s="42" t="str">
        <f>VLOOKUP(gia_khuyen_mai[[#This Row],[Mã sản phẩm]],'Giá gốc'!$B:$C,2,0)</f>
        <v>Ức gà hong khói 100g</v>
      </c>
      <c r="J58" s="43">
        <f>VLOOKUP(gia_khuyen_mai[[#This Row],[Mã sản phẩm]],'Giá gốc'!B:D,3,0)</f>
        <v>26000</v>
      </c>
      <c r="K58" s="58">
        <v>0.25</v>
      </c>
      <c r="L58" s="44">
        <f>ROUND((1-gia_khuyen_mai[[#This Row],[% Giảm giá]]) * gia_khuyen_mai[[#This Row],[Giá gốc]], 0)</f>
        <v>19500</v>
      </c>
      <c r="M58" s="6"/>
      <c r="O58" s="3" t="str">
        <f>IFERROR(VLOOKUP(gia_khuyen_mai[[#This Row],[Mã hàng tặng]],'Giá gốc'!B:C,2,0),"")</f>
        <v/>
      </c>
      <c r="Q58" s="3" t="str">
        <f>VLOOKUP(gia_khuyen_mai[[#This Row],[Mã sản phẩm]],product[[Mã sản phẩm]:[DS - ĐV]],3,0)</f>
        <v>Food Đức Việt</v>
      </c>
    </row>
    <row r="59" spans="1:17" ht="21.75" customHeight="1">
      <c r="A59" s="29">
        <f t="shared" si="0"/>
        <v>58</v>
      </c>
      <c r="B59" s="4" t="s">
        <v>12473</v>
      </c>
      <c r="C59" s="4" t="s">
        <v>5</v>
      </c>
      <c r="D59" s="4" t="s">
        <v>496</v>
      </c>
      <c r="E59" s="4" t="s">
        <v>12718</v>
      </c>
      <c r="F59" s="4" t="s">
        <v>12628</v>
      </c>
      <c r="G59" s="4" t="s">
        <v>12462</v>
      </c>
      <c r="H59" s="3" t="str">
        <f>VLOOKUP(gia_khuyen_mai[[#This Row],[Barcode]],'Giá gốc'!$A:$B,2,0)</f>
        <v>2145747</v>
      </c>
      <c r="I59" s="3" t="str">
        <f>VLOOKUP(gia_khuyen_mai[[#This Row],[Mã sản phẩm]],'Giá gốc'!$B:$C,2,0)</f>
        <v>Xúc xích thịt heo Bragenwurst 400g</v>
      </c>
      <c r="J59" s="5">
        <f>VLOOKUP(gia_khuyen_mai[[#This Row],[Mã sản phẩm]],'Giá gốc'!B:D,3,0)</f>
        <v>82080</v>
      </c>
      <c r="K59" s="57">
        <v>0.3</v>
      </c>
      <c r="L59" s="6">
        <f>ROUND((1-gia_khuyen_mai[[#This Row],[% Giảm giá]]) * gia_khuyen_mai[[#This Row],[Giá gốc]], 0)</f>
        <v>57456</v>
      </c>
      <c r="M59" s="6"/>
      <c r="O59" s="3" t="str">
        <f>IFERROR(VLOOKUP(gia_khuyen_mai[[#This Row],[Mã hàng tặng]],'Giá gốc'!B:C,2,0),"")</f>
        <v/>
      </c>
      <c r="Q59" s="3" t="str">
        <f>VLOOKUP(gia_khuyen_mai[[#This Row],[Mã sản phẩm]],product[[Mã sản phẩm]:[DS - ĐV]],3,0)</f>
        <v>Food Đức Việt</v>
      </c>
    </row>
    <row r="60" spans="1:17" ht="21.75" customHeight="1">
      <c r="A60" s="29">
        <f t="shared" si="0"/>
        <v>59</v>
      </c>
      <c r="B60" s="4" t="s">
        <v>12473</v>
      </c>
      <c r="C60" s="4" t="s">
        <v>5</v>
      </c>
      <c r="D60" s="4" t="s">
        <v>496</v>
      </c>
      <c r="E60" s="4" t="s">
        <v>12629</v>
      </c>
      <c r="F60" s="4" t="s">
        <v>12633</v>
      </c>
      <c r="G60" s="3" t="s">
        <v>12463</v>
      </c>
      <c r="H60" s="3" t="str">
        <f>VLOOKUP(gia_khuyen_mai[[#This Row],[Barcode]],'Giá gốc'!$A:$B,2,0)</f>
        <v>2145682</v>
      </c>
      <c r="I60" s="3" t="str">
        <f>VLOOKUP(gia_khuyen_mai[[#This Row],[Mã sản phẩm]],'Giá gốc'!$B:$C,2,0)</f>
        <v>O'Food - Xúc xích xốt Spaghetti 64g</v>
      </c>
      <c r="J60" s="5">
        <f>VLOOKUP(gia_khuyen_mai[[#This Row],[Mã sản phẩm]],'Giá gốc'!B:D,3,0)</f>
        <v>8837</v>
      </c>
      <c r="K60" s="57"/>
      <c r="L60" s="6">
        <f>ROUND((1-gia_khuyen_mai[[#This Row],[% Giảm giá]]) * gia_khuyen_mai[[#This Row],[Giá gốc]], 0)</f>
        <v>8837</v>
      </c>
      <c r="M60" s="6" t="s">
        <v>503</v>
      </c>
      <c r="N60" s="3" t="str">
        <f>VLOOKUP(gia_khuyen_mai[[#This Row],[Barcode]],'Giá gốc'!$A:$B,2,0)</f>
        <v>2145682</v>
      </c>
      <c r="O60" s="3" t="str">
        <f>IFERROR(VLOOKUP(gia_khuyen_mai[[#This Row],[Mã hàng tặng]],'Giá gốc'!B:C,2,0),"")</f>
        <v>O'Food - Xúc xích xốt Spaghetti 64g</v>
      </c>
      <c r="Q60" s="3" t="str">
        <f>VLOOKUP(gia_khuyen_mai[[#This Row],[Mã sản phẩm]],product[[Mã sản phẩm]:[DS - ĐV]],3,0)</f>
        <v>Food Đức Việt</v>
      </c>
    </row>
    <row r="61" spans="1:17" ht="21.75" customHeight="1">
      <c r="A61" s="29">
        <f t="shared" si="0"/>
        <v>60</v>
      </c>
      <c r="B61" s="4" t="s">
        <v>12473</v>
      </c>
      <c r="C61" s="4" t="s">
        <v>5</v>
      </c>
      <c r="D61" s="4" t="s">
        <v>496</v>
      </c>
      <c r="E61" s="4" t="s">
        <v>12629</v>
      </c>
      <c r="F61" s="4" t="s">
        <v>12633</v>
      </c>
      <c r="G61" s="3" t="s">
        <v>12464</v>
      </c>
      <c r="H61" s="3" t="str">
        <f>VLOOKUP(gia_khuyen_mai[[#This Row],[Barcode]],'Giá gốc'!$A:$B,2,0)</f>
        <v>2145684</v>
      </c>
      <c r="I61" s="3" t="str">
        <f>VLOOKUP(gia_khuyen_mai[[#This Row],[Mã sản phẩm]],'Giá gốc'!$B:$C,2,0)</f>
        <v>O'Food - Xúc xích xốt Tokpokki vị phô mai Hàn Quốc 64g</v>
      </c>
      <c r="J61" s="5">
        <f>VLOOKUP(gia_khuyen_mai[[#This Row],[Mã sản phẩm]],'Giá gốc'!B:D,3,0)</f>
        <v>8837</v>
      </c>
      <c r="K61" s="57"/>
      <c r="L61" s="6">
        <f>ROUND((1-gia_khuyen_mai[[#This Row],[% Giảm giá]]) * gia_khuyen_mai[[#This Row],[Giá gốc]], 0)</f>
        <v>8837</v>
      </c>
      <c r="M61" s="6" t="s">
        <v>503</v>
      </c>
      <c r="N61" s="3" t="str">
        <f>VLOOKUP(gia_khuyen_mai[[#This Row],[Barcode]],'Giá gốc'!$A:$B,2,0)</f>
        <v>2145684</v>
      </c>
      <c r="O61" s="3" t="str">
        <f>IFERROR(VLOOKUP(gia_khuyen_mai[[#This Row],[Mã hàng tặng]],'Giá gốc'!B:C,2,0),"")</f>
        <v>O'Food - Xúc xích xốt Tokpokki vị phô mai Hàn Quốc 64g</v>
      </c>
      <c r="Q61" s="3" t="str">
        <f>VLOOKUP(gia_khuyen_mai[[#This Row],[Mã sản phẩm]],product[[Mã sản phẩm]:[DS - ĐV]],3,0)</f>
        <v>Food Đức Việt</v>
      </c>
    </row>
    <row r="62" spans="1:17" ht="21.75" customHeight="1">
      <c r="A62" s="29">
        <f t="shared" si="0"/>
        <v>61</v>
      </c>
      <c r="B62" s="4" t="s">
        <v>12632</v>
      </c>
      <c r="C62" s="4" t="s">
        <v>500</v>
      </c>
      <c r="D62" s="4" t="s">
        <v>496</v>
      </c>
      <c r="E62" s="4" t="s">
        <v>12631</v>
      </c>
      <c r="F62" s="4" t="s">
        <v>12628</v>
      </c>
      <c r="G62" s="3" t="s">
        <v>379</v>
      </c>
      <c r="H62" s="3" t="str">
        <f>VLOOKUP(gia_khuyen_mai[[#This Row],[Barcode]],'Giá gốc'!$A:$B,2,0)</f>
        <v>2145689</v>
      </c>
      <c r="I62" s="3" t="str">
        <f>VLOOKUP(gia_khuyen_mai[[#This Row],[Mã sản phẩm]],'Giá gốc'!$B:$C,2,0)</f>
        <v>Xúc xích vườn bia 450g * 1EA</v>
      </c>
      <c r="J62" s="5">
        <f>VLOOKUP(gia_khuyen_mai[[#This Row],[Mã sản phẩm]],'Giá gốc'!B:D,3,0)</f>
        <v>84200</v>
      </c>
      <c r="K62" s="57">
        <v>0.22</v>
      </c>
      <c r="L62" s="6">
        <f>ROUND((1-gia_khuyen_mai[[#This Row],[% Giảm giá]]) * gia_khuyen_mai[[#This Row],[Giá gốc]], 0)</f>
        <v>65676</v>
      </c>
      <c r="M62" s="6"/>
      <c r="O62" s="3" t="str">
        <f>IFERROR(VLOOKUP(gia_khuyen_mai[[#This Row],[Mã hàng tặng]],'Giá gốc'!B:C,2,0),"")</f>
        <v/>
      </c>
      <c r="Q62" s="3" t="str">
        <f>VLOOKUP(gia_khuyen_mai[[#This Row],[Mã sản phẩm]],product[[Mã sản phẩm]:[DS - ĐV]],3,0)</f>
        <v>Food Đức Việt</v>
      </c>
    </row>
    <row r="63" spans="1:17" ht="21.75" customHeight="1">
      <c r="A63" s="29">
        <f t="shared" si="0"/>
        <v>62</v>
      </c>
      <c r="B63" s="4" t="s">
        <v>12632</v>
      </c>
      <c r="C63" s="4" t="s">
        <v>500</v>
      </c>
      <c r="D63" s="4" t="s">
        <v>496</v>
      </c>
      <c r="E63" s="4" t="s">
        <v>12631</v>
      </c>
      <c r="F63" s="4" t="s">
        <v>12628</v>
      </c>
      <c r="G63" s="3" t="s">
        <v>385</v>
      </c>
      <c r="H63" s="3" t="str">
        <f>VLOOKUP(gia_khuyen_mai[[#This Row],[Barcode]],'Giá gốc'!$A:$B,2,0)</f>
        <v>2145714</v>
      </c>
      <c r="I63" s="3" t="str">
        <f>VLOOKUP(gia_khuyen_mai[[#This Row],[Mã sản phẩm]],'Giá gốc'!$B:$C,2,0)</f>
        <v>Xúc xích viên hong khói 200g</v>
      </c>
      <c r="J63" s="5">
        <f>VLOOKUP(gia_khuyen_mai[[#This Row],[Mã sản phẩm]],'Giá gốc'!B:D,3,0)</f>
        <v>38400</v>
      </c>
      <c r="K63" s="57">
        <v>0.2</v>
      </c>
      <c r="L63" s="6">
        <f>ROUND((1-gia_khuyen_mai[[#This Row],[% Giảm giá]]) * gia_khuyen_mai[[#This Row],[Giá gốc]], 0)</f>
        <v>30720</v>
      </c>
      <c r="M63" s="6"/>
      <c r="O63" s="3" t="str">
        <f>IFERROR(VLOOKUP(gia_khuyen_mai[[#This Row],[Mã hàng tặng]],'Giá gốc'!B:C,2,0),"")</f>
        <v/>
      </c>
      <c r="Q63" s="3" t="str">
        <f>VLOOKUP(gia_khuyen_mai[[#This Row],[Mã sản phẩm]],product[[Mã sản phẩm]:[DS - ĐV]],3,0)</f>
        <v>Food Đức Việt</v>
      </c>
    </row>
    <row r="64" spans="1:17" ht="21.75" customHeight="1">
      <c r="A64" s="29">
        <f t="shared" si="0"/>
        <v>63</v>
      </c>
      <c r="B64" s="4" t="s">
        <v>12632</v>
      </c>
      <c r="C64" s="4" t="s">
        <v>500</v>
      </c>
      <c r="D64" s="4" t="s">
        <v>496</v>
      </c>
      <c r="E64" s="4" t="s">
        <v>12631</v>
      </c>
      <c r="F64" s="4" t="s">
        <v>12628</v>
      </c>
      <c r="G64" s="3" t="s">
        <v>409</v>
      </c>
      <c r="H64" s="3" t="str">
        <f>VLOOKUP(gia_khuyen_mai[[#This Row],[Barcode]],'Giá gốc'!$A:$B,2,0)</f>
        <v>2145765</v>
      </c>
      <c r="I64" s="3" t="str">
        <f>VLOOKUP(gia_khuyen_mai[[#This Row],[Mã sản phẩm]],'Giá gốc'!$B:$C,2,0)</f>
        <v>Xúc xích Hotdog 200g</v>
      </c>
      <c r="J64" s="5">
        <f>VLOOKUP(gia_khuyen_mai[[#This Row],[Mã sản phẩm]],'Giá gốc'!B:D,3,0)</f>
        <v>20100</v>
      </c>
      <c r="K64" s="57">
        <v>0.2</v>
      </c>
      <c r="L64" s="6">
        <f>ROUND((1-gia_khuyen_mai[[#This Row],[% Giảm giá]]) * gia_khuyen_mai[[#This Row],[Giá gốc]], 0)</f>
        <v>16080</v>
      </c>
      <c r="M64" s="6"/>
      <c r="O64" s="3" t="str">
        <f>IFERROR(VLOOKUP(gia_khuyen_mai[[#This Row],[Mã hàng tặng]],'Giá gốc'!B:C,2,0),"")</f>
        <v/>
      </c>
      <c r="Q64" s="3" t="str">
        <f>VLOOKUP(gia_khuyen_mai[[#This Row],[Mã sản phẩm]],product[[Mã sản phẩm]:[DS - ĐV]],3,0)</f>
        <v>Food Đức Việt</v>
      </c>
    </row>
    <row r="65" spans="1:17" ht="21.75" customHeight="1">
      <c r="A65" s="29">
        <f t="shared" si="0"/>
        <v>64</v>
      </c>
      <c r="B65" s="4" t="s">
        <v>12632</v>
      </c>
      <c r="C65" s="4" t="s">
        <v>500</v>
      </c>
      <c r="D65" s="4" t="s">
        <v>496</v>
      </c>
      <c r="E65" s="4" t="s">
        <v>12631</v>
      </c>
      <c r="F65" s="4" t="s">
        <v>12628</v>
      </c>
      <c r="G65" s="3" t="s">
        <v>403</v>
      </c>
      <c r="H65" s="3" t="str">
        <f>VLOOKUP(gia_khuyen_mai[[#This Row],[Barcode]],'Giá gốc'!$A:$B,2,0)</f>
        <v>2145762</v>
      </c>
      <c r="I65" s="3" t="str">
        <f>VLOOKUP(gia_khuyen_mai[[#This Row],[Mã sản phẩm]],'Giá gốc'!$B:$C,2,0)</f>
        <v>Xúc xích Cocktail 200g</v>
      </c>
      <c r="J65" s="5">
        <f>VLOOKUP(gia_khuyen_mai[[#This Row],[Mã sản phẩm]],'Giá gốc'!B:D,3,0)</f>
        <v>21100</v>
      </c>
      <c r="K65" s="57">
        <v>0.2</v>
      </c>
      <c r="L65" s="6">
        <f>ROUND((1-gia_khuyen_mai[[#This Row],[% Giảm giá]]) * gia_khuyen_mai[[#This Row],[Giá gốc]], 0)</f>
        <v>16880</v>
      </c>
      <c r="M65" s="6"/>
      <c r="O65" s="3" t="str">
        <f>IFERROR(VLOOKUP(gia_khuyen_mai[[#This Row],[Mã hàng tặng]],'Giá gốc'!B:C,2,0),"")</f>
        <v/>
      </c>
      <c r="Q65" s="3" t="str">
        <f>VLOOKUP(gia_khuyen_mai[[#This Row],[Mã sản phẩm]],product[[Mã sản phẩm]:[DS - ĐV]],3,0)</f>
        <v>Food Đức Việt</v>
      </c>
    </row>
    <row r="66" spans="1:17" ht="21.75" customHeight="1">
      <c r="A66" s="29">
        <f t="shared" si="0"/>
        <v>65</v>
      </c>
      <c r="B66" s="4" t="s">
        <v>12632</v>
      </c>
      <c r="C66" s="4" t="s">
        <v>500</v>
      </c>
      <c r="D66" s="4" t="s">
        <v>496</v>
      </c>
      <c r="E66" s="4" t="s">
        <v>12631</v>
      </c>
      <c r="F66" s="4" t="s">
        <v>12628</v>
      </c>
      <c r="G66" s="3" t="s">
        <v>482</v>
      </c>
      <c r="H66" s="3" t="str">
        <f>VLOOKUP(gia_khuyen_mai[[#This Row],[Barcode]],'Giá gốc'!$A:$B,2,0)</f>
        <v>2150771</v>
      </c>
      <c r="I66" s="3" t="str">
        <f>VLOOKUP(gia_khuyen_mai[[#This Row],[Mã sản phẩm]],'Giá gốc'!$B:$C,2,0)</f>
        <v>Lạp xưởng tươi (62g) 500g</v>
      </c>
      <c r="J66" s="5">
        <f>VLOOKUP(gia_khuyen_mai[[#This Row],[Mã sản phẩm]],'Giá gốc'!B:D,3,0)</f>
        <v>105000</v>
      </c>
      <c r="K66" s="57">
        <v>0.2</v>
      </c>
      <c r="L66" s="6">
        <f>ROUND((1-gia_khuyen_mai[[#This Row],[% Giảm giá]]) * gia_khuyen_mai[[#This Row],[Giá gốc]], 0)</f>
        <v>84000</v>
      </c>
      <c r="M66" s="6"/>
      <c r="O66" s="3" t="str">
        <f>IFERROR(VLOOKUP(gia_khuyen_mai[[#This Row],[Mã hàng tặng]],'Giá gốc'!B:C,2,0),"")</f>
        <v/>
      </c>
      <c r="Q66" s="3" t="str">
        <f>VLOOKUP(gia_khuyen_mai[[#This Row],[Mã sản phẩm]],product[[Mã sản phẩm]:[DS - ĐV]],3,0)</f>
        <v>Food Đức Việt</v>
      </c>
    </row>
    <row r="67" spans="1:17" ht="21.75" customHeight="1">
      <c r="A67" s="29">
        <f t="shared" ref="A67:A93" si="1">ROW()-1</f>
        <v>66</v>
      </c>
      <c r="B67" s="4" t="s">
        <v>12632</v>
      </c>
      <c r="C67" s="4" t="s">
        <v>500</v>
      </c>
      <c r="D67" s="4" t="s">
        <v>496</v>
      </c>
      <c r="E67" s="4" t="s">
        <v>12631</v>
      </c>
      <c r="F67" s="4" t="s">
        <v>12628</v>
      </c>
      <c r="G67" s="3" t="s">
        <v>415</v>
      </c>
      <c r="H67" s="3" t="str">
        <f>VLOOKUP(gia_khuyen_mai[[#This Row],[Barcode]],'Giá gốc'!$A:$B,2,0)</f>
        <v>2145767</v>
      </c>
      <c r="I67" s="3" t="str">
        <f>VLOOKUP(gia_khuyen_mai[[#This Row],[Mã sản phẩm]],'Giá gốc'!$B:$C,2,0)</f>
        <v>Xúc xích Mỹ 500g</v>
      </c>
      <c r="J67" s="5">
        <f>VLOOKUP(gia_khuyen_mai[[#This Row],[Mã sản phẩm]],'Giá gốc'!B:D,3,0)</f>
        <v>55600</v>
      </c>
      <c r="K67" s="57">
        <v>0.2</v>
      </c>
      <c r="L67" s="6">
        <f>ROUND((1-gia_khuyen_mai[[#This Row],[% Giảm giá]]) * gia_khuyen_mai[[#This Row],[Giá gốc]], 0)</f>
        <v>44480</v>
      </c>
      <c r="M67" s="6"/>
      <c r="O67" s="3" t="str">
        <f>IFERROR(VLOOKUP(gia_khuyen_mai[[#This Row],[Mã hàng tặng]],'Giá gốc'!B:C,2,0),"")</f>
        <v/>
      </c>
      <c r="Q67" s="3" t="str">
        <f>VLOOKUP(gia_khuyen_mai[[#This Row],[Mã sản phẩm]],product[[Mã sản phẩm]:[DS - ĐV]],3,0)</f>
        <v>Food Đức Việt</v>
      </c>
    </row>
    <row r="68" spans="1:17" ht="21.75" customHeight="1">
      <c r="A68" s="29">
        <f t="shared" si="1"/>
        <v>67</v>
      </c>
      <c r="B68" s="4" t="s">
        <v>12632</v>
      </c>
      <c r="C68" s="4" t="s">
        <v>500</v>
      </c>
      <c r="D68" s="4" t="s">
        <v>496</v>
      </c>
      <c r="E68" s="4" t="s">
        <v>12631</v>
      </c>
      <c r="F68" s="4" t="s">
        <v>12628</v>
      </c>
      <c r="G68" s="3" t="s">
        <v>451</v>
      </c>
      <c r="H68" s="3" t="str">
        <f>VLOOKUP(gia_khuyen_mai[[#This Row],[Barcode]],'Giá gốc'!$A:$B,2,0)</f>
        <v>2145697</v>
      </c>
      <c r="I68" s="3" t="str">
        <f>VLOOKUP(gia_khuyen_mai[[#This Row],[Mã sản phẩm]],'Giá gốc'!$B:$C,2,0)</f>
        <v>Seoul nhân phô mai 250g</v>
      </c>
      <c r="J68" s="5">
        <f>VLOOKUP(gia_khuyen_mai[[#This Row],[Mã sản phẩm]],'Giá gốc'!B:D,3,0)</f>
        <v>42000</v>
      </c>
      <c r="K68" s="57">
        <v>0.22</v>
      </c>
      <c r="L68" s="6">
        <f>ROUND((1-gia_khuyen_mai[[#This Row],[% Giảm giá]]) * gia_khuyen_mai[[#This Row],[Giá gốc]], 0)</f>
        <v>32760</v>
      </c>
      <c r="M68" s="6"/>
      <c r="O68" s="3" t="str">
        <f>IFERROR(VLOOKUP(gia_khuyen_mai[[#This Row],[Mã hàng tặng]],'Giá gốc'!B:C,2,0),"")</f>
        <v/>
      </c>
      <c r="Q68" s="3" t="str">
        <f>VLOOKUP(gia_khuyen_mai[[#This Row],[Mã sản phẩm]],product[[Mã sản phẩm]:[DS - ĐV]],3,0)</f>
        <v>Food Đức Việt</v>
      </c>
    </row>
    <row r="69" spans="1:17" ht="21.75" customHeight="1">
      <c r="A69" s="29">
        <f t="shared" si="1"/>
        <v>68</v>
      </c>
      <c r="B69" s="4" t="s">
        <v>12632</v>
      </c>
      <c r="C69" s="4" t="s">
        <v>500</v>
      </c>
      <c r="D69" s="4" t="s">
        <v>496</v>
      </c>
      <c r="E69" s="4" t="s">
        <v>12631</v>
      </c>
      <c r="F69" s="4" t="s">
        <v>12628</v>
      </c>
      <c r="G69" s="3" t="s">
        <v>452</v>
      </c>
      <c r="H69" s="3" t="str">
        <f>VLOOKUP(gia_khuyen_mai[[#This Row],[Barcode]],'Giá gốc'!$A:$B,2,0)</f>
        <v>2145648</v>
      </c>
      <c r="I69" s="3" t="str">
        <f>VLOOKUP(gia_khuyen_mai[[#This Row],[Mã sản phẩm]],'Giá gốc'!$B:$C,2,0)</f>
        <v>Đức Việt Handy - xúc xích ăn liền vị heo 105g * 20EA</v>
      </c>
      <c r="J69" s="5">
        <f>VLOOKUP(gia_khuyen_mai[[#This Row],[Mã sản phẩm]],'Giá gốc'!B:D,3,0)</f>
        <v>9300</v>
      </c>
      <c r="K69" s="57">
        <v>0.2</v>
      </c>
      <c r="L69" s="6">
        <f>ROUND((1-gia_khuyen_mai[[#This Row],[% Giảm giá]]) * gia_khuyen_mai[[#This Row],[Giá gốc]], 0)</f>
        <v>7440</v>
      </c>
      <c r="M69" s="6"/>
      <c r="O69" s="3" t="str">
        <f>IFERROR(VLOOKUP(gia_khuyen_mai[[#This Row],[Mã hàng tặng]],'Giá gốc'!B:C,2,0),"")</f>
        <v/>
      </c>
      <c r="Q69" s="3" t="str">
        <f>VLOOKUP(gia_khuyen_mai[[#This Row],[Mã sản phẩm]],product[[Mã sản phẩm]:[DS - ĐV]],3,0)</f>
        <v>Food Đức Việt</v>
      </c>
    </row>
    <row r="70" spans="1:17" ht="21.75" customHeight="1">
      <c r="A70" s="29">
        <f t="shared" si="1"/>
        <v>69</v>
      </c>
      <c r="B70" s="4" t="s">
        <v>12632</v>
      </c>
      <c r="C70" s="4" t="s">
        <v>500</v>
      </c>
      <c r="D70" s="4" t="s">
        <v>496</v>
      </c>
      <c r="E70" s="4" t="s">
        <v>12631</v>
      </c>
      <c r="F70" s="4" t="s">
        <v>12628</v>
      </c>
      <c r="G70" s="3" t="s">
        <v>455</v>
      </c>
      <c r="H70" s="3" t="str">
        <f>VLOOKUP(gia_khuyen_mai[[#This Row],[Barcode]],'Giá gốc'!$A:$B,2,0)</f>
        <v>2145657</v>
      </c>
      <c r="I70" s="3" t="str">
        <f>VLOOKUP(gia_khuyen_mai[[#This Row],[Mã sản phẩm]],'Giá gốc'!$B:$C,2,0)</f>
        <v>Đức Việt Handy - xúc xích ăn liền vị bò 105g * 20EA</v>
      </c>
      <c r="J70" s="5">
        <f>VLOOKUP(gia_khuyen_mai[[#This Row],[Mã sản phẩm]],'Giá gốc'!B:D,3,0)</f>
        <v>9300</v>
      </c>
      <c r="K70" s="57">
        <v>0.2</v>
      </c>
      <c r="L70" s="6">
        <f>ROUND((1-gia_khuyen_mai[[#This Row],[% Giảm giá]]) * gia_khuyen_mai[[#This Row],[Giá gốc]], 0)</f>
        <v>7440</v>
      </c>
      <c r="M70" s="6"/>
      <c r="O70" s="3" t="str">
        <f>IFERROR(VLOOKUP(gia_khuyen_mai[[#This Row],[Mã hàng tặng]],'Giá gốc'!B:C,2,0),"")</f>
        <v/>
      </c>
      <c r="Q70" s="3" t="str">
        <f>VLOOKUP(gia_khuyen_mai[[#This Row],[Mã sản phẩm]],product[[Mã sản phẩm]:[DS - ĐV]],3,0)</f>
        <v>Food Đức Việt</v>
      </c>
    </row>
    <row r="71" spans="1:17" ht="21.75" customHeight="1">
      <c r="A71" s="29">
        <f t="shared" si="1"/>
        <v>70</v>
      </c>
      <c r="B71" s="4" t="s">
        <v>12632</v>
      </c>
      <c r="C71" s="4" t="s">
        <v>500</v>
      </c>
      <c r="D71" s="4" t="s">
        <v>496</v>
      </c>
      <c r="E71" s="4" t="s">
        <v>12631</v>
      </c>
      <c r="F71" s="4" t="s">
        <v>12628</v>
      </c>
      <c r="G71" s="3" t="s">
        <v>467</v>
      </c>
      <c r="H71" s="3" t="str">
        <f>VLOOKUP(gia_khuyen_mai[[#This Row],[Barcode]],'Giá gốc'!$A:$B,2,0)</f>
        <v>2148987</v>
      </c>
      <c r="I71" s="3" t="str">
        <f>VLOOKUP(gia_khuyen_mai[[#This Row],[Mã sản phẩm]],'Giá gốc'!$B:$C,2,0)</f>
        <v>Kimchi cải thảo cắt lát 150g * 30EA</v>
      </c>
      <c r="J71" s="5">
        <f>VLOOKUP(gia_khuyen_mai[[#This Row],[Mã sản phẩm]],'Giá gốc'!B:D,3,0)</f>
        <v>14200</v>
      </c>
      <c r="K71" s="57">
        <v>0.2</v>
      </c>
      <c r="L71" s="6">
        <f>ROUND((1-gia_khuyen_mai[[#This Row],[% Giảm giá]]) * gia_khuyen_mai[[#This Row],[Giá gốc]], 0)</f>
        <v>11360</v>
      </c>
      <c r="M71" s="6"/>
      <c r="O71" s="3" t="str">
        <f>IFERROR(VLOOKUP(gia_khuyen_mai[[#This Row],[Mã hàng tặng]],'Giá gốc'!B:C,2,0),"")</f>
        <v/>
      </c>
      <c r="Q71" s="3" t="str">
        <f>VLOOKUP(gia_khuyen_mai[[#This Row],[Mã sản phẩm]],product[[Mã sản phẩm]:[DS - ĐV]],3,0)</f>
        <v>Food Đức Việt</v>
      </c>
    </row>
    <row r="72" spans="1:17" ht="21.75" customHeight="1">
      <c r="A72" s="29">
        <f t="shared" si="1"/>
        <v>71</v>
      </c>
      <c r="B72" s="4" t="s">
        <v>12716</v>
      </c>
      <c r="C72" s="4" t="s">
        <v>500</v>
      </c>
      <c r="D72" s="4" t="s">
        <v>496</v>
      </c>
      <c r="E72" s="4" t="s">
        <v>12629</v>
      </c>
      <c r="F72" s="4" t="s">
        <v>12630</v>
      </c>
      <c r="G72" s="3" t="s">
        <v>373</v>
      </c>
      <c r="H72" s="3" t="str">
        <f>VLOOKUP(gia_khuyen_mai[[#This Row],[Barcode]],'Giá gốc'!$A:$B,2,0)</f>
        <v>2145686</v>
      </c>
      <c r="I72" s="3" t="str">
        <f>VLOOKUP(gia_khuyen_mai[[#This Row],[Mã sản phẩm]],'Giá gốc'!$B:$C,2,0)</f>
        <v>Xúc xích hong khói 450g</v>
      </c>
      <c r="J72" s="5">
        <f>VLOOKUP(gia_khuyen_mai[[#This Row],[Mã sản phẩm]],'Giá gốc'!B:D,3,0)</f>
        <v>79100</v>
      </c>
      <c r="K72" s="57">
        <v>0.22</v>
      </c>
      <c r="L72" s="6">
        <f>ROUND((1-gia_khuyen_mai[[#This Row],[% Giảm giá]]) * gia_khuyen_mai[[#This Row],[Giá gốc]], 0)</f>
        <v>61698</v>
      </c>
      <c r="M72" s="6"/>
      <c r="O72" s="3" t="str">
        <f>IFERROR(VLOOKUP(gia_khuyen_mai[[#This Row],[Mã hàng tặng]],'Giá gốc'!B:C,2,0),"")</f>
        <v/>
      </c>
      <c r="Q72" s="3" t="str">
        <f>VLOOKUP(gia_khuyen_mai[[#This Row],[Mã sản phẩm]],product[[Mã sản phẩm]:[DS - ĐV]],3,0)</f>
        <v>Food Đức Việt</v>
      </c>
    </row>
    <row r="73" spans="1:17" ht="21.75" customHeight="1">
      <c r="A73" s="29">
        <f t="shared" si="1"/>
        <v>72</v>
      </c>
      <c r="B73" s="4" t="s">
        <v>12716</v>
      </c>
      <c r="C73" s="4" t="s">
        <v>500</v>
      </c>
      <c r="D73" s="4" t="s">
        <v>496</v>
      </c>
      <c r="E73" s="4" t="s">
        <v>12629</v>
      </c>
      <c r="F73" s="4" t="s">
        <v>12630</v>
      </c>
      <c r="G73" s="7" t="s">
        <v>397</v>
      </c>
      <c r="H73" s="3" t="str">
        <f>VLOOKUP(gia_khuyen_mai[[#This Row],[Barcode]],'Giá gốc'!$A:$B,2,0)</f>
        <v>2145726</v>
      </c>
      <c r="I73" s="3" t="str">
        <f>VLOOKUP(gia_khuyen_mai[[#This Row],[Mã sản phẩm]],'Giá gốc'!$B:$C,2,0)</f>
        <v>Xúc xích phô mai Cheesy 250g</v>
      </c>
      <c r="J73" s="5">
        <f>VLOOKUP(gia_khuyen_mai[[#This Row],[Mã sản phẩm]],'Giá gốc'!B:D,3,0)</f>
        <v>49400</v>
      </c>
      <c r="K73" s="57">
        <v>0.25</v>
      </c>
      <c r="L73" s="6">
        <f>ROUND((1-gia_khuyen_mai[[#This Row],[% Giảm giá]]) * gia_khuyen_mai[[#This Row],[Giá gốc]], 0)</f>
        <v>37050</v>
      </c>
      <c r="M73" s="6"/>
      <c r="O73" s="3" t="str">
        <f>IFERROR(VLOOKUP(gia_khuyen_mai[[#This Row],[Mã hàng tặng]],'Giá gốc'!B:C,2,0),"")</f>
        <v/>
      </c>
      <c r="Q73" s="3" t="str">
        <f>VLOOKUP(gia_khuyen_mai[[#This Row],[Mã sản phẩm]],product[[Mã sản phẩm]:[DS - ĐV]],3,0)</f>
        <v>Food Đức Việt</v>
      </c>
    </row>
    <row r="74" spans="1:17" ht="21.75" customHeight="1">
      <c r="A74" s="29">
        <f t="shared" si="1"/>
        <v>73</v>
      </c>
      <c r="B74" s="4" t="s">
        <v>12716</v>
      </c>
      <c r="C74" s="4" t="s">
        <v>500</v>
      </c>
      <c r="D74" s="4" t="s">
        <v>496</v>
      </c>
      <c r="E74" s="4" t="s">
        <v>12629</v>
      </c>
      <c r="F74" s="4" t="s">
        <v>12630</v>
      </c>
      <c r="G74" s="7" t="s">
        <v>418</v>
      </c>
      <c r="H74" s="3" t="str">
        <f>VLOOKUP(gia_khuyen_mai[[#This Row],[Barcode]],'Giá gốc'!$A:$B,2,0)</f>
        <v>2145783</v>
      </c>
      <c r="I74" s="3" t="str">
        <f>VLOOKUP(gia_khuyen_mai[[#This Row],[Mã sản phẩm]],'Giá gốc'!$B:$C,2,0)</f>
        <v>Xúc xích Romas ( 50g) 500g</v>
      </c>
      <c r="J74" s="5">
        <f>VLOOKUP(gia_khuyen_mai[[#This Row],[Mã sản phẩm]],'Giá gốc'!B:D,3,0)</f>
        <v>53900</v>
      </c>
      <c r="K74" s="57">
        <v>0.22</v>
      </c>
      <c r="L74" s="6">
        <f>ROUND((1-gia_khuyen_mai[[#This Row],[% Giảm giá]]) * gia_khuyen_mai[[#This Row],[Giá gốc]], 0)</f>
        <v>42042</v>
      </c>
      <c r="M74" s="6"/>
      <c r="O74" s="3" t="str">
        <f>IFERROR(VLOOKUP(gia_khuyen_mai[[#This Row],[Mã hàng tặng]],'Giá gốc'!B:C,2,0),"")</f>
        <v/>
      </c>
      <c r="Q74" s="3" t="str">
        <f>VLOOKUP(gia_khuyen_mai[[#This Row],[Mã sản phẩm]],product[[Mã sản phẩm]:[DS - ĐV]],3,0)</f>
        <v>Food Đức Việt</v>
      </c>
    </row>
    <row r="75" spans="1:17" ht="21.75" customHeight="1">
      <c r="A75" s="29">
        <f t="shared" si="1"/>
        <v>74</v>
      </c>
      <c r="B75" s="4" t="s">
        <v>12716</v>
      </c>
      <c r="C75" s="4" t="s">
        <v>500</v>
      </c>
      <c r="D75" s="4" t="s">
        <v>496</v>
      </c>
      <c r="E75" s="4" t="s">
        <v>12629</v>
      </c>
      <c r="F75" s="4" t="s">
        <v>12630</v>
      </c>
      <c r="G75" s="7" t="s">
        <v>406</v>
      </c>
      <c r="H75" s="3" t="str">
        <f>VLOOKUP(gia_khuyen_mai[[#This Row],[Barcode]],'Giá gốc'!$A:$B,2,0)</f>
        <v>2145764</v>
      </c>
      <c r="I75" s="3" t="str">
        <f>VLOOKUP(gia_khuyen_mai[[#This Row],[Mã sản phẩm]],'Giá gốc'!$B:$C,2,0)</f>
        <v>Xúc xích Cocktail 500g</v>
      </c>
      <c r="J75" s="5">
        <f>VLOOKUP(gia_khuyen_mai[[#This Row],[Mã sản phẩm]],'Giá gốc'!B:D,3,0)</f>
        <v>52800</v>
      </c>
      <c r="K75" s="57">
        <v>0.2</v>
      </c>
      <c r="L75" s="6">
        <f>ROUND((1-gia_khuyen_mai[[#This Row],[% Giảm giá]]) * gia_khuyen_mai[[#This Row],[Giá gốc]], 0)</f>
        <v>42240</v>
      </c>
      <c r="M75" s="6"/>
      <c r="O75" s="3" t="str">
        <f>IFERROR(VLOOKUP(gia_khuyen_mai[[#This Row],[Mã hàng tặng]],'Giá gốc'!B:C,2,0),"")</f>
        <v/>
      </c>
      <c r="Q75" s="3" t="str">
        <f>VLOOKUP(gia_khuyen_mai[[#This Row],[Mã sản phẩm]],product[[Mã sản phẩm]:[DS - ĐV]],3,0)</f>
        <v>Food Đức Việt</v>
      </c>
    </row>
    <row r="76" spans="1:17" ht="21.75" customHeight="1">
      <c r="A76" s="29">
        <f t="shared" si="1"/>
        <v>75</v>
      </c>
      <c r="B76" s="4" t="s">
        <v>12716</v>
      </c>
      <c r="C76" s="4" t="s">
        <v>500</v>
      </c>
      <c r="D76" s="4" t="s">
        <v>496</v>
      </c>
      <c r="E76" s="4" t="s">
        <v>12629</v>
      </c>
      <c r="F76" s="4" t="s">
        <v>12630</v>
      </c>
      <c r="G76" s="7" t="s">
        <v>458</v>
      </c>
      <c r="H76" s="3" t="str">
        <f>VLOOKUP(gia_khuyen_mai[[#This Row],[Barcode]],'Giá gốc'!$A:$B,2,0)</f>
        <v>2145680</v>
      </c>
      <c r="I76" s="3" t="str">
        <f>VLOOKUP(gia_khuyen_mai[[#This Row],[Mã sản phẩm]],'Giá gốc'!$B:$C,2,0)</f>
        <v>O'food Xúc xích Lắc Phô mai vị truyền thống 56g * 24EA</v>
      </c>
      <c r="J76" s="5">
        <f>VLOOKUP(gia_khuyen_mai[[#This Row],[Mã sản phẩm]],'Giá gốc'!B:D,3,0)</f>
        <v>9300</v>
      </c>
      <c r="K76" s="57">
        <v>0.2</v>
      </c>
      <c r="L76" s="6">
        <v>7069</v>
      </c>
      <c r="M76" s="6"/>
      <c r="O76" s="3" t="str">
        <f>IFERROR(VLOOKUP(gia_khuyen_mai[[#This Row],[Mã hàng tặng]],'Giá gốc'!B:C,2,0),"")</f>
        <v/>
      </c>
      <c r="Q76" s="3" t="str">
        <f>VLOOKUP(gia_khuyen_mai[[#This Row],[Mã sản phẩm]],product[[Mã sản phẩm]:[DS - ĐV]],3,0)</f>
        <v>Food Đức Việt</v>
      </c>
    </row>
    <row r="77" spans="1:17" ht="21.75" customHeight="1">
      <c r="A77" s="29">
        <f t="shared" si="1"/>
        <v>76</v>
      </c>
      <c r="B77" s="4" t="s">
        <v>12716</v>
      </c>
      <c r="C77" s="4" t="s">
        <v>500</v>
      </c>
      <c r="D77" s="4" t="s">
        <v>496</v>
      </c>
      <c r="E77" s="4" t="s">
        <v>12629</v>
      </c>
      <c r="F77" s="4" t="s">
        <v>12630</v>
      </c>
      <c r="G77" s="7" t="s">
        <v>461</v>
      </c>
      <c r="H77" s="3" t="str">
        <f>VLOOKUP(gia_khuyen_mai[[#This Row],[Barcode]],'Giá gốc'!$A:$B,2,0)</f>
        <v>2145681</v>
      </c>
      <c r="I77" s="3" t="str">
        <f>VLOOKUP(gia_khuyen_mai[[#This Row],[Mã sản phẩm]],'Giá gốc'!$B:$C,2,0)</f>
        <v>O'food Xúc xích Lắc Phô mai vị dâu tây 56g * 24EA</v>
      </c>
      <c r="J77" s="5">
        <f>VLOOKUP(gia_khuyen_mai[[#This Row],[Mã sản phẩm]],'Giá gốc'!B:D,3,0)</f>
        <v>9300</v>
      </c>
      <c r="K77" s="57">
        <v>0.2</v>
      </c>
      <c r="L77" s="6">
        <v>7069</v>
      </c>
      <c r="M77" s="6"/>
      <c r="O77" s="3" t="str">
        <f>IFERROR(VLOOKUP(gia_khuyen_mai[[#This Row],[Mã hàng tặng]],'Giá gốc'!B:C,2,0),"")</f>
        <v/>
      </c>
      <c r="Q77" s="3" t="str">
        <f>VLOOKUP(gia_khuyen_mai[[#This Row],[Mã sản phẩm]],product[[Mã sản phẩm]:[DS - ĐV]],3,0)</f>
        <v>Food Đức Việt</v>
      </c>
    </row>
    <row r="78" spans="1:17" ht="21.75" customHeight="1">
      <c r="A78" s="29">
        <f t="shared" si="1"/>
        <v>77</v>
      </c>
      <c r="B78" s="4" t="s">
        <v>12716</v>
      </c>
      <c r="C78" s="4" t="s">
        <v>5</v>
      </c>
      <c r="D78" s="4" t="s">
        <v>496</v>
      </c>
      <c r="E78" s="4" t="s">
        <v>12629</v>
      </c>
      <c r="F78" s="4" t="s">
        <v>12630</v>
      </c>
      <c r="G78" s="7" t="s">
        <v>479</v>
      </c>
      <c r="H78" s="3" t="str">
        <f>VLOOKUP(gia_khuyen_mai[[#This Row],[Barcode]],'Giá gốc'!$A:$B,2,0)</f>
        <v>2150338</v>
      </c>
      <c r="I78" s="3" t="str">
        <f>VLOOKUP(gia_khuyen_mai[[#This Row],[Mã sản phẩm]],'Giá gốc'!$B:$C,2,0)</f>
        <v>O'food Chả giò da xốp hải sản 300g</v>
      </c>
      <c r="J78" s="5">
        <f>VLOOKUP(gia_khuyen_mai[[#This Row],[Mã sản phẩm]],'Giá gốc'!B:D,3,0)</f>
        <v>31524</v>
      </c>
      <c r="K78" s="57">
        <v>0.3</v>
      </c>
      <c r="L78" s="6">
        <f>ROUND((1-gia_khuyen_mai[[#This Row],[% Giảm giá]]) * gia_khuyen_mai[[#This Row],[Giá gốc]], 0)</f>
        <v>22067</v>
      </c>
      <c r="M78" s="6"/>
      <c r="O78" s="3" t="str">
        <f>IFERROR(VLOOKUP(gia_khuyen_mai[[#This Row],[Mã hàng tặng]],'Giá gốc'!B:C,2,0),"")</f>
        <v/>
      </c>
      <c r="Q78" s="3" t="str">
        <f>VLOOKUP(gia_khuyen_mai[[#This Row],[Mã sản phẩm]],product[[Mã sản phẩm]:[DS - ĐV]],3,0)</f>
        <v>Food Đức Việt</v>
      </c>
    </row>
    <row r="79" spans="1:17" ht="21.75" customHeight="1">
      <c r="A79" s="29">
        <f t="shared" si="1"/>
        <v>78</v>
      </c>
      <c r="B79" s="4" t="s">
        <v>12716</v>
      </c>
      <c r="C79" s="4" t="s">
        <v>500</v>
      </c>
      <c r="D79" s="4" t="s">
        <v>496</v>
      </c>
      <c r="E79" s="4" t="s">
        <v>12629</v>
      </c>
      <c r="F79" s="4" t="s">
        <v>12630</v>
      </c>
      <c r="G79" s="7" t="s">
        <v>464</v>
      </c>
      <c r="H79" s="3" t="str">
        <f>VLOOKUP(gia_khuyen_mai[[#This Row],[Barcode]],'Giá gốc'!$A:$B,2,0)</f>
        <v>2145622</v>
      </c>
      <c r="I79" s="3" t="str">
        <f>VLOOKUP(gia_khuyen_mai[[#This Row],[Mã sản phẩm]],'Giá gốc'!$B:$C,2,0)</f>
        <v>Kim chi 450</v>
      </c>
      <c r="J79" s="5">
        <f>VLOOKUP(gia_khuyen_mai[[#This Row],[Mã sản phẩm]],'Giá gốc'!B:D,3,0)</f>
        <v>35500</v>
      </c>
      <c r="K79" s="57">
        <v>0.3</v>
      </c>
      <c r="L79" s="6">
        <f>ROUND((1-gia_khuyen_mai[[#This Row],[% Giảm giá]]) * gia_khuyen_mai[[#This Row],[Giá gốc]], 0)</f>
        <v>24850</v>
      </c>
      <c r="M79" s="6"/>
      <c r="O79" s="3" t="str">
        <f>IFERROR(VLOOKUP(gia_khuyen_mai[[#This Row],[Mã hàng tặng]],'Giá gốc'!B:C,2,0),"")</f>
        <v/>
      </c>
      <c r="Q79" s="3" t="str">
        <f>VLOOKUP(gia_khuyen_mai[[#This Row],[Mã sản phẩm]],product[[Mã sản phẩm]:[DS - ĐV]],3,0)</f>
        <v>Food Đức Việt</v>
      </c>
    </row>
    <row r="80" spans="1:17" ht="21.75" customHeight="1">
      <c r="A80" s="29">
        <f t="shared" si="1"/>
        <v>79</v>
      </c>
      <c r="B80" s="4" t="s">
        <v>12719</v>
      </c>
      <c r="C80" s="4" t="s">
        <v>5</v>
      </c>
      <c r="D80" s="4" t="s">
        <v>496</v>
      </c>
      <c r="E80" s="4" t="s">
        <v>12720</v>
      </c>
      <c r="F80" s="4" t="s">
        <v>12630</v>
      </c>
      <c r="G80" s="7" t="s">
        <v>476</v>
      </c>
      <c r="H80" s="3" t="str">
        <f>VLOOKUP(gia_khuyen_mai[[#This Row],[Barcode]],'Giá gốc'!$A:$B,2,0)</f>
        <v>2150337</v>
      </c>
      <c r="I80" s="3" t="str">
        <f>VLOOKUP(gia_khuyen_mai[[#This Row],[Mã sản phẩm]],'Giá gốc'!$B:$C,2,0)</f>
        <v>O'food Chả giò da xốp nhân thịt 300g</v>
      </c>
      <c r="J80" s="5">
        <f>VLOOKUP(gia_khuyen_mai[[#This Row],[Mã sản phẩm]],'Giá gốc'!B:D,3,0)</f>
        <v>31524</v>
      </c>
      <c r="K80" s="57"/>
      <c r="L80" s="6">
        <f>ROUND((1-gia_khuyen_mai[[#This Row],[% Giảm giá]]) * gia_khuyen_mai[[#This Row],[Giá gốc]], 0)</f>
        <v>31524</v>
      </c>
      <c r="M80" s="6" t="s">
        <v>503</v>
      </c>
      <c r="N80" s="3" t="str">
        <f>VLOOKUP(gia_khuyen_mai[[#This Row],[Barcode]],'Giá gốc'!$A:$B,2,0)</f>
        <v>2150337</v>
      </c>
      <c r="O80" s="3" t="str">
        <f>IFERROR(VLOOKUP(gia_khuyen_mai[[#This Row],[Mã hàng tặng]],'Giá gốc'!B:C,2,0),"")</f>
        <v>O'food Chả giò da xốp nhân thịt 300g</v>
      </c>
      <c r="Q80" s="3" t="str">
        <f>VLOOKUP(gia_khuyen_mai[[#This Row],[Mã sản phẩm]],product[[Mã sản phẩm]:[DS - ĐV]],3,0)</f>
        <v>Food Đức Việt</v>
      </c>
    </row>
    <row r="81" spans="1:17" ht="21.75" customHeight="1">
      <c r="A81" s="29">
        <f t="shared" si="1"/>
        <v>80</v>
      </c>
      <c r="B81" s="4" t="s">
        <v>12719</v>
      </c>
      <c r="C81" s="4" t="s">
        <v>183</v>
      </c>
      <c r="D81" s="4" t="s">
        <v>496</v>
      </c>
      <c r="E81" s="4" t="s">
        <v>12722</v>
      </c>
      <c r="F81" s="4" t="s">
        <v>12630</v>
      </c>
      <c r="G81" s="7" t="s">
        <v>476</v>
      </c>
      <c r="H81" s="3" t="str">
        <f>VLOOKUP(gia_khuyen_mai[[#This Row],[Barcode]],'Giá gốc'!$A:$B,2,0)</f>
        <v>2150337</v>
      </c>
      <c r="I81" s="3" t="str">
        <f>VLOOKUP(gia_khuyen_mai[[#This Row],[Mã sản phẩm]],'Giá gốc'!$B:$C,2,0)</f>
        <v>O'food Chả giò da xốp nhân thịt 300g</v>
      </c>
      <c r="J81" s="5">
        <f>VLOOKUP(gia_khuyen_mai[[#This Row],[Mã sản phẩm]],'Giá gốc'!B:D,3,0)</f>
        <v>31524</v>
      </c>
      <c r="K81" s="57"/>
      <c r="L81" s="6">
        <f>ROUND((1-gia_khuyen_mai[[#This Row],[% Giảm giá]]) * gia_khuyen_mai[[#This Row],[Giá gốc]], 0)</f>
        <v>31524</v>
      </c>
      <c r="M81" s="6" t="s">
        <v>503</v>
      </c>
      <c r="N81" s="3" t="str">
        <f>VLOOKUP(gia_khuyen_mai[[#This Row],[Barcode]],'Giá gốc'!$A:$B,2,0)</f>
        <v>2150337</v>
      </c>
      <c r="O81" s="3" t="str">
        <f>IFERROR(VLOOKUP(gia_khuyen_mai[[#This Row],[Mã hàng tặng]],'Giá gốc'!B:C,2,0),"")</f>
        <v>O'food Chả giò da xốp nhân thịt 300g</v>
      </c>
      <c r="Q81" s="3" t="str">
        <f>VLOOKUP(gia_khuyen_mai[[#This Row],[Mã sản phẩm]],product[[Mã sản phẩm]:[DS - ĐV]],3,0)</f>
        <v>Food Đức Việt</v>
      </c>
    </row>
    <row r="82" spans="1:17" ht="21.75" customHeight="1">
      <c r="A82" s="29">
        <f t="shared" si="1"/>
        <v>81</v>
      </c>
      <c r="B82" s="4" t="s">
        <v>12719</v>
      </c>
      <c r="C82" s="4" t="s">
        <v>183</v>
      </c>
      <c r="D82" s="4" t="s">
        <v>496</v>
      </c>
      <c r="E82" s="4" t="s">
        <v>12722</v>
      </c>
      <c r="F82" s="4" t="s">
        <v>12630</v>
      </c>
      <c r="G82" s="7" t="s">
        <v>479</v>
      </c>
      <c r="H82" s="3" t="str">
        <f>VLOOKUP(gia_khuyen_mai[[#This Row],[Barcode]],'Giá gốc'!$A:$B,2,0)</f>
        <v>2150338</v>
      </c>
      <c r="I82" s="3" t="str">
        <f>VLOOKUP(gia_khuyen_mai[[#This Row],[Mã sản phẩm]],'Giá gốc'!$B:$C,2,0)</f>
        <v>O'food Chả giò da xốp hải sản 300g</v>
      </c>
      <c r="J82" s="5">
        <f>VLOOKUP(gia_khuyen_mai[[#This Row],[Mã sản phẩm]],'Giá gốc'!B:D,3,0)</f>
        <v>31524</v>
      </c>
      <c r="K82" s="57"/>
      <c r="L82" s="6">
        <f>ROUND((1-gia_khuyen_mai[[#This Row],[% Giảm giá]]) * gia_khuyen_mai[[#This Row],[Giá gốc]], 0)</f>
        <v>31524</v>
      </c>
      <c r="M82" s="6" t="s">
        <v>503</v>
      </c>
      <c r="N82" s="3" t="str">
        <f>VLOOKUP(gia_khuyen_mai[[#This Row],[Barcode]],'Giá gốc'!$A:$B,2,0)</f>
        <v>2150338</v>
      </c>
      <c r="O82" s="3" t="str">
        <f>IFERROR(VLOOKUP(gia_khuyen_mai[[#This Row],[Mã hàng tặng]],'Giá gốc'!B:C,2,0),"")</f>
        <v>O'food Chả giò da xốp hải sản 300g</v>
      </c>
      <c r="Q82" s="3" t="str">
        <f>VLOOKUP(gia_khuyen_mai[[#This Row],[Mã sản phẩm]],product[[Mã sản phẩm]:[DS - ĐV]],3,0)</f>
        <v>Food Đức Việt</v>
      </c>
    </row>
    <row r="83" spans="1:17" ht="21.75" customHeight="1">
      <c r="A83" s="29">
        <f t="shared" si="1"/>
        <v>82</v>
      </c>
      <c r="B83" s="4" t="s">
        <v>12822</v>
      </c>
      <c r="C83" s="4" t="s">
        <v>500</v>
      </c>
      <c r="D83" s="4" t="s">
        <v>496</v>
      </c>
      <c r="E83" s="4" t="s">
        <v>12628</v>
      </c>
      <c r="F83" s="4" t="s">
        <v>12633</v>
      </c>
      <c r="G83" s="7" t="s">
        <v>382</v>
      </c>
      <c r="H83" s="3" t="str">
        <f>VLOOKUP(gia_khuyen_mai[[#This Row],[Barcode]],'Giá gốc'!$A:$B,2,0)</f>
        <v>2145691</v>
      </c>
      <c r="I83" s="3" t="str">
        <f>VLOOKUP(gia_khuyen_mai[[#This Row],[Mã sản phẩm]],'Giá gốc'!$B:$C,2,0)</f>
        <v>Xúc xích viên hong khói 450g * 1EA</v>
      </c>
      <c r="J83" s="5">
        <f>VLOOKUP(gia_khuyen_mai[[#This Row],[Mã sản phẩm]],'Giá gốc'!B:D,3,0)</f>
        <v>84200</v>
      </c>
      <c r="K83" s="57"/>
      <c r="L83" s="6">
        <f>ROUND((1-gia_khuyen_mai[[#This Row],[% Giảm giá]]) * gia_khuyen_mai[[#This Row],[Giá gốc]], 0)</f>
        <v>84200</v>
      </c>
      <c r="M83" s="6" t="s">
        <v>503</v>
      </c>
      <c r="N83" s="20" t="s">
        <v>410</v>
      </c>
      <c r="O83" s="3" t="str">
        <f>IFERROR(VLOOKUP(gia_khuyen_mai[[#This Row],[Mã hàng tặng]],'Giá gốc'!B:C,2,0),"")</f>
        <v>Xúc xích Hotdog 200g</v>
      </c>
      <c r="Q83" s="3" t="str">
        <f>VLOOKUP(gia_khuyen_mai[[#This Row],[Mã sản phẩm]],product[[Mã sản phẩm]:[DS - ĐV]],3,0)</f>
        <v>Food Đức Việt</v>
      </c>
    </row>
    <row r="84" spans="1:17" ht="21.75" customHeight="1">
      <c r="A84" s="29">
        <f t="shared" si="1"/>
        <v>83</v>
      </c>
      <c r="B84" s="4" t="s">
        <v>12822</v>
      </c>
      <c r="C84" s="4" t="s">
        <v>500</v>
      </c>
      <c r="D84" s="4" t="s">
        <v>496</v>
      </c>
      <c r="E84" s="4" t="s">
        <v>12628</v>
      </c>
      <c r="F84" s="4" t="s">
        <v>12633</v>
      </c>
      <c r="G84" s="3" t="s">
        <v>376</v>
      </c>
      <c r="H84" s="3" t="str">
        <f>VLOOKUP(gia_khuyen_mai[[#This Row],[Barcode]],'Giá gốc'!$A:$B,2,0)</f>
        <v>2145690</v>
      </c>
      <c r="I84" s="3" t="str">
        <f>VLOOKUP(gia_khuyen_mai[[#This Row],[Mã sản phẩm]],'Giá gốc'!$B:$C,2,0)</f>
        <v>Xúc xích vườn bia 200g * 1EA</v>
      </c>
      <c r="J84" s="5">
        <f>VLOOKUP(gia_khuyen_mai[[#This Row],[Mã sản phẩm]],'Giá gốc'!B:D,3,0)</f>
        <v>38400</v>
      </c>
      <c r="K84" s="57">
        <v>0.2</v>
      </c>
      <c r="L84" s="6">
        <f>ROUND((1-gia_khuyen_mai[[#This Row],[% Giảm giá]]) * gia_khuyen_mai[[#This Row],[Giá gốc]], 0)</f>
        <v>30720</v>
      </c>
      <c r="M84" s="6"/>
      <c r="O84" s="3" t="str">
        <f>IFERROR(VLOOKUP(gia_khuyen_mai[[#This Row],[Mã hàng tặng]],'Giá gốc'!B:C,2,0),"")</f>
        <v/>
      </c>
      <c r="Q84" s="3" t="str">
        <f>VLOOKUP(gia_khuyen_mai[[#This Row],[Mã sản phẩm]],product[[Mã sản phẩm]:[DS - ĐV]],3,0)</f>
        <v>Food Đức Việt</v>
      </c>
    </row>
    <row r="85" spans="1:17" ht="21.75" customHeight="1">
      <c r="A85" s="29">
        <f t="shared" si="1"/>
        <v>84</v>
      </c>
      <c r="B85" s="4" t="s">
        <v>12822</v>
      </c>
      <c r="C85" s="4" t="s">
        <v>500</v>
      </c>
      <c r="D85" s="4" t="s">
        <v>496</v>
      </c>
      <c r="E85" s="4" t="s">
        <v>12628</v>
      </c>
      <c r="F85" s="4" t="s">
        <v>12633</v>
      </c>
      <c r="G85" s="3" t="s">
        <v>473</v>
      </c>
      <c r="H85" s="3" t="str">
        <f>VLOOKUP(gia_khuyen_mai[[#This Row],[Barcode]],'Giá gốc'!$A:$B,2,0)</f>
        <v>2145679</v>
      </c>
      <c r="I85" s="3" t="str">
        <f>VLOOKUP(gia_khuyen_mai[[#This Row],[Mã sản phẩm]],'Giá gốc'!$B:$C,2,0)</f>
        <v>Đức Việt Handy- Xúc xích thịt heo muối hồng Himalaya 175g * 20EA</v>
      </c>
      <c r="J85" s="5">
        <f>VLOOKUP(gia_khuyen_mai[[#This Row],[Mã sản phẩm]],'Giá gốc'!B:D,3,0)</f>
        <v>18300</v>
      </c>
      <c r="K85" s="57">
        <v>0.25</v>
      </c>
      <c r="L85" s="6">
        <f>ROUND((1-gia_khuyen_mai[[#This Row],[% Giảm giá]]) * gia_khuyen_mai[[#This Row],[Giá gốc]], 0)</f>
        <v>13725</v>
      </c>
      <c r="M85" s="6"/>
      <c r="O85" s="3" t="str">
        <f>IFERROR(VLOOKUP(gia_khuyen_mai[[#This Row],[Mã hàng tặng]],'Giá gốc'!B:C,2,0),"")</f>
        <v/>
      </c>
      <c r="Q85" s="3" t="str">
        <f>VLOOKUP(gia_khuyen_mai[[#This Row],[Mã sản phẩm]],product[[Mã sản phẩm]:[DS - ĐV]],3,0)</f>
        <v>Food Đức Việt</v>
      </c>
    </row>
    <row r="86" spans="1:17" ht="21.75" customHeight="1">
      <c r="A86" s="29">
        <f t="shared" si="1"/>
        <v>85</v>
      </c>
      <c r="B86" s="4" t="s">
        <v>12822</v>
      </c>
      <c r="C86" s="4" t="s">
        <v>500</v>
      </c>
      <c r="D86" s="4" t="s">
        <v>496</v>
      </c>
      <c r="E86" s="4" t="s">
        <v>12628</v>
      </c>
      <c r="F86" s="4" t="s">
        <v>12633</v>
      </c>
      <c r="G86" s="3" t="s">
        <v>448</v>
      </c>
      <c r="H86" s="3" t="str">
        <f>VLOOKUP(gia_khuyen_mai[[#This Row],[Barcode]],'Giá gốc'!$A:$B,2,0)</f>
        <v>2145695</v>
      </c>
      <c r="I86" s="3" t="str">
        <f>VLOOKUP(gia_khuyen_mai[[#This Row],[Mã sản phẩm]],'Giá gốc'!$B:$C,2,0)</f>
        <v>Seoul's Hotdog 350g</v>
      </c>
      <c r="J86" s="5">
        <f>VLOOKUP(gia_khuyen_mai[[#This Row],[Mã sản phẩm]],'Giá gốc'!B:D,3,0)</f>
        <v>48384</v>
      </c>
      <c r="K86" s="57">
        <v>0.25</v>
      </c>
      <c r="L86" s="6">
        <f>ROUND((1-gia_khuyen_mai[[#This Row],[% Giảm giá]]) * gia_khuyen_mai[[#This Row],[Giá gốc]], 0)</f>
        <v>36288</v>
      </c>
      <c r="M86" s="6"/>
      <c r="O86" s="3" t="str">
        <f>IFERROR(VLOOKUP(gia_khuyen_mai[[#This Row],[Mã hàng tặng]],'Giá gốc'!B:C,2,0),"")</f>
        <v/>
      </c>
      <c r="Q86" s="3" t="str">
        <f>VLOOKUP(gia_khuyen_mai[[#This Row],[Mã sản phẩm]],product[[Mã sản phẩm]:[DS - ĐV]],3,0)</f>
        <v>Food Đức Việt</v>
      </c>
    </row>
    <row r="87" spans="1:17" ht="21.75" customHeight="1">
      <c r="A87" s="29">
        <f t="shared" si="1"/>
        <v>86</v>
      </c>
      <c r="B87" s="4" t="s">
        <v>12822</v>
      </c>
      <c r="C87" s="4" t="s">
        <v>500</v>
      </c>
      <c r="D87" s="4" t="s">
        <v>496</v>
      </c>
      <c r="E87" s="4" t="s">
        <v>12628</v>
      </c>
      <c r="F87" s="4" t="s">
        <v>12633</v>
      </c>
      <c r="G87" s="3" t="s">
        <v>424</v>
      </c>
      <c r="H87" s="3" t="str">
        <f>VLOOKUP(gia_khuyen_mai[[#This Row],[Barcode]],'Giá gốc'!$A:$B,2,0)</f>
        <v>2145774</v>
      </c>
      <c r="I87" s="3" t="str">
        <f>VLOOKUP(gia_khuyen_mai[[#This Row],[Mã sản phẩm]],'Giá gốc'!$B:$C,2,0)</f>
        <v>Xúc xích Pari (50g) 500g</v>
      </c>
      <c r="J87" s="5">
        <f>VLOOKUP(gia_khuyen_mai[[#This Row],[Mã sản phẩm]],'Giá gốc'!B:D,3,0)</f>
        <v>55600</v>
      </c>
      <c r="K87" s="57">
        <v>0.22</v>
      </c>
      <c r="L87" s="6">
        <f>ROUND((1-gia_khuyen_mai[[#This Row],[% Giảm giá]]) * gia_khuyen_mai[[#This Row],[Giá gốc]], 0)</f>
        <v>43368</v>
      </c>
      <c r="M87" s="6"/>
      <c r="O87" s="3" t="str">
        <f>IFERROR(VLOOKUP(gia_khuyen_mai[[#This Row],[Mã hàng tặng]],'Giá gốc'!B:C,2,0),"")</f>
        <v/>
      </c>
      <c r="Q87" s="3" t="str">
        <f>VLOOKUP(gia_khuyen_mai[[#This Row],[Mã sản phẩm]],product[[Mã sản phẩm]:[DS - ĐV]],3,0)</f>
        <v>Food Đức Việt</v>
      </c>
    </row>
    <row r="88" spans="1:17" ht="21.75" customHeight="1">
      <c r="A88" s="29">
        <f t="shared" si="1"/>
        <v>87</v>
      </c>
      <c r="B88" s="4" t="s">
        <v>12822</v>
      </c>
      <c r="C88" s="4" t="s">
        <v>500</v>
      </c>
      <c r="D88" s="4" t="s">
        <v>496</v>
      </c>
      <c r="E88" s="4" t="s">
        <v>12628</v>
      </c>
      <c r="F88" s="4" t="s">
        <v>12633</v>
      </c>
      <c r="G88" s="3" t="s">
        <v>394</v>
      </c>
      <c r="H88" s="3" t="str">
        <f>VLOOKUP(gia_khuyen_mai[[#This Row],[Barcode]],'Giá gốc'!$A:$B,2,0)</f>
        <v>2145744</v>
      </c>
      <c r="I88" s="3" t="str">
        <f>VLOOKUP(gia_khuyen_mai[[#This Row],[Mã sản phẩm]],'Giá gốc'!$B:$C,2,0)</f>
        <v>Xúc xích bắp phô mai 250g</v>
      </c>
      <c r="J88" s="5">
        <f>VLOOKUP(gia_khuyen_mai[[#This Row],[Mã sản phẩm]],'Giá gốc'!B:D,3,0)</f>
        <v>49400</v>
      </c>
      <c r="K88" s="57">
        <v>0.25</v>
      </c>
      <c r="L88" s="6">
        <f>ROUND((1-gia_khuyen_mai[[#This Row],[% Giảm giá]]) * gia_khuyen_mai[[#This Row],[Giá gốc]], 0)</f>
        <v>37050</v>
      </c>
      <c r="M88" s="6"/>
      <c r="O88" s="3" t="str">
        <f>IFERROR(VLOOKUP(gia_khuyen_mai[[#This Row],[Mã hàng tặng]],'Giá gốc'!B:C,2,0),"")</f>
        <v/>
      </c>
      <c r="Q88" s="3" t="str">
        <f>VLOOKUP(gia_khuyen_mai[[#This Row],[Mã sản phẩm]],product[[Mã sản phẩm]:[DS - ĐV]],3,0)</f>
        <v>Food Đức Việt</v>
      </c>
    </row>
    <row r="89" spans="1:17" ht="21.75" customHeight="1">
      <c r="A89" s="29">
        <f t="shared" si="1"/>
        <v>88</v>
      </c>
      <c r="B89" s="4" t="s">
        <v>12822</v>
      </c>
      <c r="C89" s="4" t="s">
        <v>500</v>
      </c>
      <c r="D89" s="4" t="s">
        <v>496</v>
      </c>
      <c r="E89" s="4" t="s">
        <v>12628</v>
      </c>
      <c r="F89" s="4" t="s">
        <v>12633</v>
      </c>
      <c r="G89" s="3" t="s">
        <v>427</v>
      </c>
      <c r="H89" s="3" t="str">
        <f>VLOOKUP(gia_khuyen_mai[[#This Row],[Barcode]],'Giá gốc'!$A:$B,2,0)</f>
        <v>2145743</v>
      </c>
      <c r="I89" s="3" t="str">
        <f>VLOOKUP(gia_khuyen_mai[[#This Row],[Mã sản phẩm]],'Giá gốc'!$B:$C,2,0)</f>
        <v>Xúc xích sụn nướng Bulgogi 450g</v>
      </c>
      <c r="J89" s="5">
        <f>VLOOKUP(gia_khuyen_mai[[#This Row],[Mã sản phẩm]],'Giá gốc'!B:D,3,0)</f>
        <v>74500</v>
      </c>
      <c r="K89" s="57">
        <v>0.3</v>
      </c>
      <c r="L89" s="6">
        <f>ROUND((1-gia_khuyen_mai[[#This Row],[% Giảm giá]]) * gia_khuyen_mai[[#This Row],[Giá gốc]], 0)</f>
        <v>52150</v>
      </c>
      <c r="M89" s="6"/>
      <c r="O89" s="3" t="str">
        <f>IFERROR(VLOOKUP(gia_khuyen_mai[[#This Row],[Mã hàng tặng]],'Giá gốc'!B:C,2,0),"")</f>
        <v/>
      </c>
      <c r="Q89" s="3" t="str">
        <f>VLOOKUP(gia_khuyen_mai[[#This Row],[Mã sản phẩm]],product[[Mã sản phẩm]:[DS - ĐV]],3,0)</f>
        <v>Food Đức Việt</v>
      </c>
    </row>
    <row r="90" spans="1:17" ht="21.75" customHeight="1">
      <c r="A90" s="29">
        <f t="shared" si="1"/>
        <v>89</v>
      </c>
      <c r="B90" s="4" t="s">
        <v>12822</v>
      </c>
      <c r="C90" s="4" t="s">
        <v>500</v>
      </c>
      <c r="D90" s="4" t="s">
        <v>496</v>
      </c>
      <c r="E90" s="4" t="s">
        <v>12628</v>
      </c>
      <c r="F90" s="4" t="s">
        <v>12633</v>
      </c>
      <c r="G90" s="3" t="s">
        <v>412</v>
      </c>
      <c r="H90" s="3" t="str">
        <f>VLOOKUP(gia_khuyen_mai[[#This Row],[Barcode]],'Giá gốc'!$A:$B,2,0)</f>
        <v>2145768</v>
      </c>
      <c r="I90" s="3" t="str">
        <f>VLOOKUP(gia_khuyen_mai[[#This Row],[Mã sản phẩm]],'Giá gốc'!$B:$C,2,0)</f>
        <v>Xúc xích Hotdog 500g</v>
      </c>
      <c r="J90" s="5">
        <f>VLOOKUP(gia_khuyen_mai[[#This Row],[Mã sản phẩm]],'Giá gốc'!B:D,3,0)</f>
        <v>50200</v>
      </c>
      <c r="K90" s="57">
        <v>0.2</v>
      </c>
      <c r="L90" s="6">
        <f>ROUND((1-gia_khuyen_mai[[#This Row],[% Giảm giá]]) * gia_khuyen_mai[[#This Row],[Giá gốc]], 0)</f>
        <v>40160</v>
      </c>
      <c r="M90" s="6"/>
      <c r="O90" s="3" t="str">
        <f>IFERROR(VLOOKUP(gia_khuyen_mai[[#This Row],[Mã hàng tặng]],'Giá gốc'!B:C,2,0),"")</f>
        <v/>
      </c>
      <c r="Q90" s="3" t="str">
        <f>VLOOKUP(gia_khuyen_mai[[#This Row],[Mã sản phẩm]],product[[Mã sản phẩm]:[DS - ĐV]],3,0)</f>
        <v>Food Đức Việt</v>
      </c>
    </row>
    <row r="91" spans="1:17" ht="21.75" customHeight="1">
      <c r="A91" s="29">
        <f t="shared" si="1"/>
        <v>90</v>
      </c>
      <c r="B91" s="4" t="s">
        <v>12822</v>
      </c>
      <c r="C91" s="4" t="s">
        <v>500</v>
      </c>
      <c r="D91" s="4" t="s">
        <v>496</v>
      </c>
      <c r="E91" s="4" t="s">
        <v>12823</v>
      </c>
      <c r="F91" s="4" t="s">
        <v>12633</v>
      </c>
      <c r="G91" s="3" t="s">
        <v>476</v>
      </c>
      <c r="H91" s="3" t="str">
        <f>VLOOKUP(gia_khuyen_mai[[#This Row],[Barcode]],'Giá gốc'!$A:$B,2,0)</f>
        <v>2150337</v>
      </c>
      <c r="I91" s="3" t="str">
        <f>VLOOKUP(gia_khuyen_mai[[#This Row],[Mã sản phẩm]],'Giá gốc'!$B:$C,2,0)</f>
        <v>O'food Chả giò da xốp nhân thịt 300g</v>
      </c>
      <c r="J91" s="5">
        <f>VLOOKUP(gia_khuyen_mai[[#This Row],[Mã sản phẩm]],'Giá gốc'!B:D,3,0)</f>
        <v>31524</v>
      </c>
      <c r="K91" s="57">
        <v>0.3</v>
      </c>
      <c r="L91" s="6">
        <f>ROUND((1-gia_khuyen_mai[[#This Row],[% Giảm giá]]) * gia_khuyen_mai[[#This Row],[Giá gốc]], 0)</f>
        <v>22067</v>
      </c>
      <c r="M91" s="6"/>
      <c r="O91" s="3" t="str">
        <f>IFERROR(VLOOKUP(gia_khuyen_mai[[#This Row],[Mã hàng tặng]],'Giá gốc'!B:C,2,0),"")</f>
        <v/>
      </c>
      <c r="Q91" s="3" t="str">
        <f>VLOOKUP(gia_khuyen_mai[[#This Row],[Mã sản phẩm]],product[[Mã sản phẩm]:[DS - ĐV]],3,0)</f>
        <v>Food Đức Việt</v>
      </c>
    </row>
    <row r="92" spans="1:17" ht="21.75" customHeight="1">
      <c r="A92" s="29">
        <f t="shared" si="1"/>
        <v>91</v>
      </c>
      <c r="B92" s="4" t="s">
        <v>12822</v>
      </c>
      <c r="C92" s="4" t="s">
        <v>500</v>
      </c>
      <c r="D92" s="4" t="s">
        <v>496</v>
      </c>
      <c r="E92" s="4" t="s">
        <v>12628</v>
      </c>
      <c r="F92" s="4" t="s">
        <v>12935</v>
      </c>
      <c r="G92" s="3" t="s">
        <v>470</v>
      </c>
      <c r="H92" s="3" t="str">
        <f>VLOOKUP(gia_khuyen_mai[[#This Row],[Barcode]],'Giá gốc'!$A:$B,2,0)</f>
        <v>2145699</v>
      </c>
      <c r="I92" s="3" t="str">
        <f>VLOOKUP(gia_khuyen_mai[[#This Row],[Mã sản phẩm]],'Giá gốc'!$B:$C,2,0)</f>
        <v>Seoul's Hotdog Chiên xù 250g (Đ)</v>
      </c>
      <c r="J92" s="5">
        <f>VLOOKUP(gia_khuyen_mai[[#This Row],[Mã sản phẩm]],'Giá gốc'!B:D,3,0)</f>
        <v>39150</v>
      </c>
      <c r="K92" s="57">
        <v>0.22</v>
      </c>
      <c r="L92" s="6">
        <f>ROUND((1-gia_khuyen_mai[[#This Row],[% Giảm giá]]) * gia_khuyen_mai[[#This Row],[Giá gốc]], 0)</f>
        <v>30537</v>
      </c>
      <c r="M92" s="6"/>
      <c r="O92" s="3" t="str">
        <f>IFERROR(VLOOKUP(gia_khuyen_mai[[#This Row],[Mã hàng tặng]],'Giá gốc'!B:C,2,0),"")</f>
        <v/>
      </c>
      <c r="Q92" s="3" t="str">
        <f>VLOOKUP(gia_khuyen_mai[[#This Row],[Mã sản phẩm]],product[[Mã sản phẩm]:[DS - ĐV]],3,0)</f>
        <v>Food Đức Việt</v>
      </c>
    </row>
    <row r="93" spans="1:17" ht="21.75" customHeight="1">
      <c r="A93" s="29">
        <f t="shared" si="1"/>
        <v>92</v>
      </c>
      <c r="B93" s="4" t="s">
        <v>12822</v>
      </c>
      <c r="C93" s="4" t="s">
        <v>500</v>
      </c>
      <c r="D93" s="4" t="s">
        <v>496</v>
      </c>
      <c r="E93" s="4" t="s">
        <v>12628</v>
      </c>
      <c r="F93" s="4" t="s">
        <v>12633</v>
      </c>
      <c r="G93" s="3" t="s">
        <v>433</v>
      </c>
      <c r="H93" s="3" t="str">
        <f>VLOOKUP(gia_khuyen_mai[[#This Row],[Barcode]],'Giá gốc'!$A:$B,2,0)</f>
        <v>2146417</v>
      </c>
      <c r="I93" s="3" t="str">
        <f>VLOOKUP(gia_khuyen_mai[[#This Row],[Mã sản phẩm]],'Giá gốc'!$B:$C,2,0)</f>
        <v>Chân giò hong khói rút xương 300g</v>
      </c>
      <c r="J93" s="5">
        <f>VLOOKUP(gia_khuyen_mai[[#This Row],[Mã sản phẩm]],'Giá gốc'!B:D,3,0)</f>
        <v>67700</v>
      </c>
      <c r="K93" s="57">
        <v>0.2</v>
      </c>
      <c r="L93" s="6">
        <f>ROUND((1-gia_khuyen_mai[[#This Row],[% Giảm giá]]) * gia_khuyen_mai[[#This Row],[Giá gốc]], 0)</f>
        <v>54160</v>
      </c>
      <c r="M93" s="6"/>
      <c r="O93" s="3" t="str">
        <f>IFERROR(VLOOKUP(gia_khuyen_mai[[#This Row],[Mã hàng tặng]],'Giá gốc'!B:C,2,0),"")</f>
        <v/>
      </c>
      <c r="Q93" s="3" t="str">
        <f>VLOOKUP(gia_khuyen_mai[[#This Row],[Mã sản phẩm]],product[[Mã sản phẩm]:[DS - ĐV]],3,0)</f>
        <v>Food Đức Việt</v>
      </c>
    </row>
    <row r="94" spans="1:17" ht="21.75" customHeight="1">
      <c r="A94" s="38">
        <v>93</v>
      </c>
      <c r="B94" s="4" t="s">
        <v>12839</v>
      </c>
      <c r="C94" s="4" t="s">
        <v>183</v>
      </c>
      <c r="D94" s="4" t="s">
        <v>496</v>
      </c>
      <c r="E94" s="4" t="s">
        <v>12628</v>
      </c>
      <c r="F94" s="4" t="s">
        <v>12630</v>
      </c>
      <c r="G94" s="3" t="s">
        <v>12824</v>
      </c>
      <c r="H94" s="3" t="str">
        <f>VLOOKUP(gia_khuyen_mai[[#This Row],[Barcode]],'Giá gốc'!$A:$B,2,0)</f>
        <v>2151323</v>
      </c>
      <c r="I94" s="3" t="str">
        <f>VLOOKUP(gia_khuyen_mai[[#This Row],[Mã sản phẩm]],'Giá gốc'!$B:$C,2,0)</f>
        <v>OFOOD Tteokgalbi chả nướng HQ 200g</v>
      </c>
      <c r="J94" s="5">
        <f>VLOOKUP(gia_khuyen_mai[[#This Row],[Mã sản phẩm]],'Giá gốc'!B:D,3,0)</f>
        <v>36000</v>
      </c>
      <c r="K94" s="57"/>
      <c r="L94" s="6">
        <f>ROUND((1-gia_khuyen_mai[[#This Row],[% Giảm giá]]) * gia_khuyen_mai[[#This Row],[Giá gốc]], 0)</f>
        <v>36000</v>
      </c>
      <c r="M94" s="6" t="s">
        <v>503</v>
      </c>
      <c r="N94" s="3" t="str">
        <f>VLOOKUP(gia_khuyen_mai[[#This Row],[Barcode]],'Giá gốc'!$A:$B,2,0)</f>
        <v>2151323</v>
      </c>
      <c r="O94" s="3" t="str">
        <f>IFERROR(VLOOKUP(gia_khuyen_mai[[#This Row],[Mã hàng tặng]],'Giá gốc'!B:C,2,0),"")</f>
        <v>OFOOD Tteokgalbi chả nướng HQ 200g</v>
      </c>
      <c r="Q94" s="3" t="str">
        <f>VLOOKUP(gia_khuyen_mai[[#This Row],[Mã sản phẩm]],product[[Mã sản phẩm]:[DS - ĐV]],3,0)</f>
        <v>Food Đức Việt</v>
      </c>
    </row>
    <row r="95" spans="1:17" ht="21.75" customHeight="1">
      <c r="A95" s="38">
        <f>ROW()-1</f>
        <v>94</v>
      </c>
      <c r="B95" s="4" t="s">
        <v>12840</v>
      </c>
      <c r="C95" s="4" t="s">
        <v>500</v>
      </c>
      <c r="D95" s="4" t="s">
        <v>496</v>
      </c>
      <c r="E95" s="4" t="s">
        <v>12630</v>
      </c>
      <c r="F95" s="4" t="s">
        <v>12841</v>
      </c>
      <c r="G95" s="39" t="s">
        <v>379</v>
      </c>
      <c r="H95" s="3" t="str">
        <f>VLOOKUP(gia_khuyen_mai[[#This Row],[Barcode]],'Giá gốc'!$A:$B,2,0)</f>
        <v>2145689</v>
      </c>
      <c r="I95" s="3" t="str">
        <f>VLOOKUP(gia_khuyen_mai[[#This Row],[Mã sản phẩm]],'Giá gốc'!$B:$C,2,0)</f>
        <v>Xúc xích vườn bia 450g * 1EA</v>
      </c>
      <c r="J95" s="5">
        <f>VLOOKUP(gia_khuyen_mai[[#This Row],[Mã sản phẩm]],'Giá gốc'!B:D,3,0)</f>
        <v>84200</v>
      </c>
      <c r="K95" s="57">
        <v>0.05</v>
      </c>
      <c r="L95" s="6">
        <f>ROUND((1-gia_khuyen_mai[[#This Row],[% Giảm giá]]) * gia_khuyen_mai[[#This Row],[Giá gốc]], 0)</f>
        <v>79990</v>
      </c>
      <c r="M95" s="6" t="s">
        <v>503</v>
      </c>
      <c r="N95" s="20" t="s">
        <v>410</v>
      </c>
      <c r="O95" s="3" t="str">
        <f>IFERROR(VLOOKUP(gia_khuyen_mai[[#This Row],[Mã hàng tặng]],'Giá gốc'!B:C,2,0),"")</f>
        <v>Xúc xích Hotdog 200g</v>
      </c>
      <c r="Q95" s="3" t="str">
        <f>VLOOKUP(gia_khuyen_mai[[#This Row],[Mã sản phẩm]],product[[Mã sản phẩm]:[DS - ĐV]],3,0)</f>
        <v>Food Đức Việt</v>
      </c>
    </row>
    <row r="96" spans="1:17" ht="21.75" customHeight="1">
      <c r="A96" s="38">
        <f t="shared" ref="A96:A107" si="2">ROW()-1</f>
        <v>95</v>
      </c>
      <c r="B96" s="4" t="s">
        <v>12840</v>
      </c>
      <c r="C96" s="4" t="s">
        <v>500</v>
      </c>
      <c r="D96" s="4" t="s">
        <v>496</v>
      </c>
      <c r="E96" s="4" t="s">
        <v>12630</v>
      </c>
      <c r="F96" s="4" t="s">
        <v>12841</v>
      </c>
      <c r="G96" s="39" t="s">
        <v>385</v>
      </c>
      <c r="H96" s="3" t="str">
        <f>VLOOKUP(gia_khuyen_mai[[#This Row],[Barcode]],'Giá gốc'!$A:$B,2,0)</f>
        <v>2145714</v>
      </c>
      <c r="I96" s="3" t="str">
        <f>VLOOKUP(gia_khuyen_mai[[#This Row],[Mã sản phẩm]],'Giá gốc'!$B:$C,2,0)</f>
        <v>Xúc xích viên hong khói 200g</v>
      </c>
      <c r="J96" s="5">
        <f>VLOOKUP(gia_khuyen_mai[[#This Row],[Mã sản phẩm]],'Giá gốc'!B:D,3,0)</f>
        <v>38400</v>
      </c>
      <c r="K96" s="57">
        <v>0.2</v>
      </c>
      <c r="L96" s="6">
        <f>ROUND((1-gia_khuyen_mai[[#This Row],[% Giảm giá]]) * gia_khuyen_mai[[#This Row],[Giá gốc]], 0)</f>
        <v>30720</v>
      </c>
      <c r="M96" s="6"/>
      <c r="O96" s="3" t="str">
        <f>IFERROR(VLOOKUP(gia_khuyen_mai[[#This Row],[Mã hàng tặng]],'Giá gốc'!B:C,2,0),"")</f>
        <v/>
      </c>
      <c r="Q96" s="3" t="str">
        <f>VLOOKUP(gia_khuyen_mai[[#This Row],[Mã sản phẩm]],product[[Mã sản phẩm]:[DS - ĐV]],3,0)</f>
        <v>Food Đức Việt</v>
      </c>
    </row>
    <row r="97" spans="1:17" ht="21.75" customHeight="1">
      <c r="A97" s="38">
        <f t="shared" si="2"/>
        <v>96</v>
      </c>
      <c r="B97" s="4" t="s">
        <v>12840</v>
      </c>
      <c r="C97" s="4" t="s">
        <v>500</v>
      </c>
      <c r="D97" s="4" t="s">
        <v>496</v>
      </c>
      <c r="E97" s="4" t="s">
        <v>12630</v>
      </c>
      <c r="F97" s="4" t="s">
        <v>12841</v>
      </c>
      <c r="G97" s="39" t="s">
        <v>415</v>
      </c>
      <c r="H97" s="3" t="str">
        <f>VLOOKUP(gia_khuyen_mai[[#This Row],[Barcode]],'Giá gốc'!$A:$B,2,0)</f>
        <v>2145767</v>
      </c>
      <c r="I97" s="3" t="str">
        <f>VLOOKUP(gia_khuyen_mai[[#This Row],[Mã sản phẩm]],'Giá gốc'!$B:$C,2,0)</f>
        <v>Xúc xích Mỹ 500g</v>
      </c>
      <c r="J97" s="5">
        <f>VLOOKUP(gia_khuyen_mai[[#This Row],[Mã sản phẩm]],'Giá gốc'!B:D,3,0)</f>
        <v>55600</v>
      </c>
      <c r="K97" s="57">
        <v>0.2</v>
      </c>
      <c r="L97" s="6">
        <f>ROUND((1-gia_khuyen_mai[[#This Row],[% Giảm giá]]) * gia_khuyen_mai[[#This Row],[Giá gốc]], 0)</f>
        <v>44480</v>
      </c>
      <c r="M97" s="6"/>
      <c r="O97" s="3" t="str">
        <f>IFERROR(VLOOKUP(gia_khuyen_mai[[#This Row],[Mã hàng tặng]],'Giá gốc'!B:C,2,0),"")</f>
        <v/>
      </c>
      <c r="Q97" s="3" t="str">
        <f>VLOOKUP(gia_khuyen_mai[[#This Row],[Mã sản phẩm]],product[[Mã sản phẩm]:[DS - ĐV]],3,0)</f>
        <v>Food Đức Việt</v>
      </c>
    </row>
    <row r="98" spans="1:17" ht="21.75" customHeight="1">
      <c r="A98" s="38">
        <f t="shared" si="2"/>
        <v>97</v>
      </c>
      <c r="B98" s="4" t="s">
        <v>12840</v>
      </c>
      <c r="C98" s="4" t="s">
        <v>500</v>
      </c>
      <c r="D98" s="4" t="s">
        <v>496</v>
      </c>
      <c r="E98" s="4" t="s">
        <v>12630</v>
      </c>
      <c r="F98" s="4" t="s">
        <v>12841</v>
      </c>
      <c r="G98" s="39" t="s">
        <v>455</v>
      </c>
      <c r="H98" s="3" t="str">
        <f>VLOOKUP(gia_khuyen_mai[[#This Row],[Barcode]],'Giá gốc'!$A:$B,2,0)</f>
        <v>2145657</v>
      </c>
      <c r="I98" s="3" t="str">
        <f>VLOOKUP(gia_khuyen_mai[[#This Row],[Mã sản phẩm]],'Giá gốc'!$B:$C,2,0)</f>
        <v>Đức Việt Handy - xúc xích ăn liền vị bò 105g * 20EA</v>
      </c>
      <c r="J98" s="5">
        <f>VLOOKUP(gia_khuyen_mai[[#This Row],[Mã sản phẩm]],'Giá gốc'!B:D,3,0)</f>
        <v>9300</v>
      </c>
      <c r="K98" s="57">
        <v>0.2</v>
      </c>
      <c r="L98" s="6">
        <f>ROUND((1-gia_khuyen_mai[[#This Row],[% Giảm giá]]) * gia_khuyen_mai[[#This Row],[Giá gốc]], 0)</f>
        <v>7440</v>
      </c>
      <c r="M98" s="6"/>
      <c r="O98" s="3" t="str">
        <f>IFERROR(VLOOKUP(gia_khuyen_mai[[#This Row],[Mã hàng tặng]],'Giá gốc'!B:C,2,0),"")</f>
        <v/>
      </c>
      <c r="Q98" s="3" t="str">
        <f>VLOOKUP(gia_khuyen_mai[[#This Row],[Mã sản phẩm]],product[[Mã sản phẩm]:[DS - ĐV]],3,0)</f>
        <v>Food Đức Việt</v>
      </c>
    </row>
    <row r="99" spans="1:17" ht="21.75" customHeight="1">
      <c r="A99" s="38">
        <f t="shared" si="2"/>
        <v>98</v>
      </c>
      <c r="B99" s="4" t="s">
        <v>12840</v>
      </c>
      <c r="C99" s="4" t="s">
        <v>500</v>
      </c>
      <c r="D99" s="4" t="s">
        <v>496</v>
      </c>
      <c r="E99" s="4" t="s">
        <v>12630</v>
      </c>
      <c r="F99" s="4" t="s">
        <v>12841</v>
      </c>
      <c r="G99" s="39" t="s">
        <v>452</v>
      </c>
      <c r="H99" s="3" t="str">
        <f>VLOOKUP(gia_khuyen_mai[[#This Row],[Barcode]],'Giá gốc'!$A:$B,2,0)</f>
        <v>2145648</v>
      </c>
      <c r="I99" s="3" t="str">
        <f>VLOOKUP(gia_khuyen_mai[[#This Row],[Mã sản phẩm]],'Giá gốc'!$B:$C,2,0)</f>
        <v>Đức Việt Handy - xúc xích ăn liền vị heo 105g * 20EA</v>
      </c>
      <c r="J99" s="5">
        <f>VLOOKUP(gia_khuyen_mai[[#This Row],[Mã sản phẩm]],'Giá gốc'!B:D,3,0)</f>
        <v>9300</v>
      </c>
      <c r="K99" s="57">
        <v>0.2</v>
      </c>
      <c r="L99" s="6">
        <f>ROUND((1-gia_khuyen_mai[[#This Row],[% Giảm giá]]) * gia_khuyen_mai[[#This Row],[Giá gốc]], 0)</f>
        <v>7440</v>
      </c>
      <c r="M99" s="6"/>
      <c r="O99" s="3" t="str">
        <f>IFERROR(VLOOKUP(gia_khuyen_mai[[#This Row],[Mã hàng tặng]],'Giá gốc'!B:C,2,0),"")</f>
        <v/>
      </c>
      <c r="Q99" s="3" t="str">
        <f>VLOOKUP(gia_khuyen_mai[[#This Row],[Mã sản phẩm]],product[[Mã sản phẩm]:[DS - ĐV]],3,0)</f>
        <v>Food Đức Việt</v>
      </c>
    </row>
    <row r="100" spans="1:17" ht="21.75" customHeight="1">
      <c r="A100" s="38">
        <f t="shared" si="2"/>
        <v>99</v>
      </c>
      <c r="B100" s="4" t="s">
        <v>12840</v>
      </c>
      <c r="C100" s="4" t="s">
        <v>500</v>
      </c>
      <c r="D100" s="4" t="s">
        <v>496</v>
      </c>
      <c r="E100" s="4" t="s">
        <v>12630</v>
      </c>
      <c r="F100" s="4" t="s">
        <v>12841</v>
      </c>
      <c r="G100" s="39" t="s">
        <v>451</v>
      </c>
      <c r="H100" s="3" t="str">
        <f>VLOOKUP(gia_khuyen_mai[[#This Row],[Barcode]],'Giá gốc'!$A:$B,2,0)</f>
        <v>2145697</v>
      </c>
      <c r="I100" s="3" t="str">
        <f>VLOOKUP(gia_khuyen_mai[[#This Row],[Mã sản phẩm]],'Giá gốc'!$B:$C,2,0)</f>
        <v>Seoul nhân phô mai 250g</v>
      </c>
      <c r="J100" s="5">
        <f>VLOOKUP(gia_khuyen_mai[[#This Row],[Mã sản phẩm]],'Giá gốc'!B:D,3,0)</f>
        <v>42000</v>
      </c>
      <c r="K100" s="57">
        <v>0.22</v>
      </c>
      <c r="L100" s="6">
        <f>ROUND((1-gia_khuyen_mai[[#This Row],[% Giảm giá]]) * gia_khuyen_mai[[#This Row],[Giá gốc]], 0)</f>
        <v>32760</v>
      </c>
      <c r="M100" s="6"/>
      <c r="O100" s="3" t="str">
        <f>IFERROR(VLOOKUP(gia_khuyen_mai[[#This Row],[Mã hàng tặng]],'Giá gốc'!B:C,2,0),"")</f>
        <v/>
      </c>
      <c r="Q100" s="3" t="str">
        <f>VLOOKUP(gia_khuyen_mai[[#This Row],[Mã sản phẩm]],product[[Mã sản phẩm]:[DS - ĐV]],3,0)</f>
        <v>Food Đức Việt</v>
      </c>
    </row>
    <row r="101" spans="1:17" ht="21.75" customHeight="1">
      <c r="A101" s="38">
        <f t="shared" si="2"/>
        <v>100</v>
      </c>
      <c r="B101" s="4" t="s">
        <v>12840</v>
      </c>
      <c r="C101" s="4" t="s">
        <v>500</v>
      </c>
      <c r="D101" s="4" t="s">
        <v>496</v>
      </c>
      <c r="E101" s="4" t="s">
        <v>12630</v>
      </c>
      <c r="F101" s="4" t="s">
        <v>12841</v>
      </c>
      <c r="G101" s="39" t="s">
        <v>12459</v>
      </c>
      <c r="H101" s="3" t="str">
        <f>VLOOKUP(gia_khuyen_mai[[#This Row],[Barcode]],'Giá gốc'!$A:$B,2,0)</f>
        <v>2151032</v>
      </c>
      <c r="I101" s="3" t="str">
        <f>VLOOKUP(gia_khuyen_mai[[#This Row],[Mã sản phẩm]],'Giá gốc'!$B:$C,2,0)</f>
        <v>Jongga Kim chi Củ cải 450g</v>
      </c>
      <c r="J101" s="5">
        <f>VLOOKUP(gia_khuyen_mai[[#This Row],[Mã sản phẩm]],'Giá gốc'!B:D,3,0)</f>
        <v>42000</v>
      </c>
      <c r="K101" s="57">
        <v>0.3</v>
      </c>
      <c r="L101" s="6">
        <f>ROUND((1-gia_khuyen_mai[[#This Row],[% Giảm giá]]) * gia_khuyen_mai[[#This Row],[Giá gốc]], 0)</f>
        <v>29400</v>
      </c>
      <c r="M101" s="6"/>
      <c r="O101" s="3" t="str">
        <f>IFERROR(VLOOKUP(gia_khuyen_mai[[#This Row],[Mã hàng tặng]],'Giá gốc'!B:C,2,0),"")</f>
        <v/>
      </c>
      <c r="Q101" s="3" t="str">
        <f>VLOOKUP(gia_khuyen_mai[[#This Row],[Mã sản phẩm]],product[[Mã sản phẩm]:[DS - ĐV]],3,0)</f>
        <v>Food Đức Việt</v>
      </c>
    </row>
    <row r="102" spans="1:17" ht="21.75" customHeight="1">
      <c r="A102" s="38">
        <f t="shared" si="2"/>
        <v>101</v>
      </c>
      <c r="B102" s="4" t="s">
        <v>12840</v>
      </c>
      <c r="C102" s="4" t="s">
        <v>500</v>
      </c>
      <c r="D102" s="4" t="s">
        <v>496</v>
      </c>
      <c r="E102" s="4" t="s">
        <v>12630</v>
      </c>
      <c r="F102" s="4" t="s">
        <v>12841</v>
      </c>
      <c r="G102" s="39" t="s">
        <v>12461</v>
      </c>
      <c r="H102" s="3" t="str">
        <f>VLOOKUP(gia_khuyen_mai[[#This Row],[Barcode]],'Giá gốc'!$A:$B,2,0)</f>
        <v>2151765</v>
      </c>
      <c r="I102" s="3" t="str">
        <f>VLOOKUP(gia_khuyen_mai[[#This Row],[Mã sản phẩm]],'Giá gốc'!$B:$C,2,0)</f>
        <v>Ức gà hong khói 100g</v>
      </c>
      <c r="J102" s="5">
        <f>VLOOKUP(gia_khuyen_mai[[#This Row],[Mã sản phẩm]],'Giá gốc'!B:D,3,0)</f>
        <v>26000</v>
      </c>
      <c r="K102" s="57">
        <v>0.22</v>
      </c>
      <c r="L102" s="6">
        <f>ROUND((1-gia_khuyen_mai[[#This Row],[% Giảm giá]]) * gia_khuyen_mai[[#This Row],[Giá gốc]], 0)</f>
        <v>20280</v>
      </c>
      <c r="M102" s="6"/>
      <c r="O102" s="3" t="str">
        <f>IFERROR(VLOOKUP(gia_khuyen_mai[[#This Row],[Mã hàng tặng]],'Giá gốc'!B:C,2,0),"")</f>
        <v/>
      </c>
      <c r="Q102" s="3" t="str">
        <f>VLOOKUP(gia_khuyen_mai[[#This Row],[Mã sản phẩm]],product[[Mã sản phẩm]:[DS - ĐV]],3,0)</f>
        <v>Food Đức Việt</v>
      </c>
    </row>
    <row r="103" spans="1:17" ht="21.75" customHeight="1">
      <c r="A103" s="38">
        <f t="shared" si="2"/>
        <v>102</v>
      </c>
      <c r="B103" s="4" t="s">
        <v>12840</v>
      </c>
      <c r="C103" s="4" t="s">
        <v>500</v>
      </c>
      <c r="D103" s="4" t="s">
        <v>496</v>
      </c>
      <c r="E103" s="4" t="s">
        <v>12630</v>
      </c>
      <c r="F103" s="4" t="s">
        <v>12841</v>
      </c>
      <c r="G103" s="39" t="s">
        <v>482</v>
      </c>
      <c r="H103" s="3" t="str">
        <f>VLOOKUP(gia_khuyen_mai[[#This Row],[Barcode]],'Giá gốc'!$A:$B,2,0)</f>
        <v>2150771</v>
      </c>
      <c r="I103" s="3" t="str">
        <f>VLOOKUP(gia_khuyen_mai[[#This Row],[Mã sản phẩm]],'Giá gốc'!$B:$C,2,0)</f>
        <v>Lạp xưởng tươi (62g) 500g</v>
      </c>
      <c r="J103" s="5">
        <f>VLOOKUP(gia_khuyen_mai[[#This Row],[Mã sản phẩm]],'Giá gốc'!B:D,3,0)</f>
        <v>105000</v>
      </c>
      <c r="K103" s="57">
        <v>0.25</v>
      </c>
      <c r="L103" s="6">
        <f>ROUND((1-gia_khuyen_mai[[#This Row],[% Giảm giá]]) * gia_khuyen_mai[[#This Row],[Giá gốc]], 0)</f>
        <v>78750</v>
      </c>
      <c r="M103" s="6"/>
      <c r="O103" s="3" t="str">
        <f>IFERROR(VLOOKUP(gia_khuyen_mai[[#This Row],[Mã hàng tặng]],'Giá gốc'!B:C,2,0),"")</f>
        <v/>
      </c>
      <c r="Q103" s="3" t="str">
        <f>VLOOKUP(gia_khuyen_mai[[#This Row],[Mã sản phẩm]],product[[Mã sản phẩm]:[DS - ĐV]],3,0)</f>
        <v>Food Đức Việt</v>
      </c>
    </row>
    <row r="104" spans="1:17" ht="21.75" customHeight="1">
      <c r="A104" s="38">
        <f t="shared" si="2"/>
        <v>103</v>
      </c>
      <c r="B104" s="4" t="s">
        <v>12840</v>
      </c>
      <c r="C104" s="4" t="s">
        <v>500</v>
      </c>
      <c r="D104" s="4" t="s">
        <v>496</v>
      </c>
      <c r="E104" s="4" t="s">
        <v>12630</v>
      </c>
      <c r="F104" s="4" t="s">
        <v>12841</v>
      </c>
      <c r="G104" s="39" t="s">
        <v>467</v>
      </c>
      <c r="H104" s="3" t="str">
        <f>VLOOKUP(gia_khuyen_mai[[#This Row],[Barcode]],'Giá gốc'!$A:$B,2,0)</f>
        <v>2148987</v>
      </c>
      <c r="I104" s="3" t="str">
        <f>VLOOKUP(gia_khuyen_mai[[#This Row],[Mã sản phẩm]],'Giá gốc'!$B:$C,2,0)</f>
        <v>Kimchi cải thảo cắt lát 150g * 30EA</v>
      </c>
      <c r="J104" s="5">
        <f>VLOOKUP(gia_khuyen_mai[[#This Row],[Mã sản phẩm]],'Giá gốc'!B:D,3,0)</f>
        <v>14200</v>
      </c>
      <c r="K104" s="57">
        <v>0.25</v>
      </c>
      <c r="L104" s="6">
        <f>ROUND((1-gia_khuyen_mai[[#This Row],[% Giảm giá]]) * gia_khuyen_mai[[#This Row],[Giá gốc]], 0)</f>
        <v>10650</v>
      </c>
      <c r="M104" s="6"/>
      <c r="O104" s="3" t="str">
        <f>IFERROR(VLOOKUP(gia_khuyen_mai[[#This Row],[Mã hàng tặng]],'Giá gốc'!B:C,2,0),"")</f>
        <v/>
      </c>
      <c r="Q104" s="3" t="str">
        <f>VLOOKUP(gia_khuyen_mai[[#This Row],[Mã sản phẩm]],product[[Mã sản phẩm]:[DS - ĐV]],3,0)</f>
        <v>Food Đức Việt</v>
      </c>
    </row>
    <row r="105" spans="1:17" ht="21.75" customHeight="1">
      <c r="A105" s="38">
        <f t="shared" si="2"/>
        <v>104</v>
      </c>
      <c r="B105" s="4" t="s">
        <v>12840</v>
      </c>
      <c r="C105" s="4" t="s">
        <v>500</v>
      </c>
      <c r="D105" s="4" t="s">
        <v>496</v>
      </c>
      <c r="E105" s="4" t="s">
        <v>12630</v>
      </c>
      <c r="F105" s="4" t="s">
        <v>12841</v>
      </c>
      <c r="G105" s="39" t="s">
        <v>12475</v>
      </c>
      <c r="H105" s="3" t="str">
        <f>VLOOKUP(gia_khuyen_mai[[#This Row],[Barcode]],'Giá gốc'!$A:$B,2,0)</f>
        <v>2149794</v>
      </c>
      <c r="I105" s="3" t="str">
        <f>VLOOKUP(gia_khuyen_mai[[#This Row],[Mã sản phẩm]],'Giá gốc'!$B:$C,2,0)</f>
        <v>Xúc xích Romas Light 500g</v>
      </c>
      <c r="J105" s="5">
        <f>VLOOKUP(gia_khuyen_mai[[#This Row],[Mã sản phẩm]],'Giá gốc'!B:D,3,0)</f>
        <v>44000</v>
      </c>
      <c r="K105" s="57">
        <v>0.22</v>
      </c>
      <c r="L105" s="6">
        <f>ROUND((1-gia_khuyen_mai[[#This Row],[% Giảm giá]]) * gia_khuyen_mai[[#This Row],[Giá gốc]], 0)</f>
        <v>34320</v>
      </c>
      <c r="M105" s="6"/>
      <c r="O105" s="3" t="str">
        <f>IFERROR(VLOOKUP(gia_khuyen_mai[[#This Row],[Mã hàng tặng]],'Giá gốc'!B:C,2,0),"")</f>
        <v/>
      </c>
      <c r="Q105" s="3" t="str">
        <f>VLOOKUP(gia_khuyen_mai[[#This Row],[Mã sản phẩm]],product[[Mã sản phẩm]:[DS - ĐV]],3,0)</f>
        <v>Food Đức Việt</v>
      </c>
    </row>
    <row r="106" spans="1:17" ht="21.75" customHeight="1">
      <c r="A106" s="38">
        <f t="shared" si="2"/>
        <v>105</v>
      </c>
      <c r="B106" s="4" t="s">
        <v>12840</v>
      </c>
      <c r="C106" s="4" t="s">
        <v>500</v>
      </c>
      <c r="D106" s="4" t="s">
        <v>496</v>
      </c>
      <c r="E106" s="4" t="s">
        <v>12630</v>
      </c>
      <c r="F106" s="4" t="s">
        <v>12841</v>
      </c>
      <c r="G106" s="39" t="s">
        <v>12826</v>
      </c>
      <c r="H106" s="3" t="str">
        <f>VLOOKUP(gia_khuyen_mai[[#This Row],[Barcode]],'Giá gốc'!$A:$B,2,0)</f>
        <v>2145724</v>
      </c>
      <c r="I106" s="3" t="str">
        <f>VLOOKUP(gia_khuyen_mai[[#This Row],[Mã sản phẩm]],'Giá gốc'!$B:$C,2,0)</f>
        <v>ĐỨC VIỆT Xúc xích Keilbasa 200g</v>
      </c>
      <c r="J106" s="5">
        <f>VLOOKUP(gia_khuyen_mai[[#This Row],[Mã sản phẩm]],'Giá gốc'!B:D,3,0)</f>
        <v>52000</v>
      </c>
      <c r="K106" s="57">
        <v>0.3</v>
      </c>
      <c r="L106" s="6">
        <f>ROUND((1-gia_khuyen_mai[[#This Row],[% Giảm giá]]) * gia_khuyen_mai[[#This Row],[Giá gốc]], 0)</f>
        <v>36400</v>
      </c>
      <c r="M106" s="6"/>
      <c r="O106" s="3" t="str">
        <f>IFERROR(VLOOKUP(gia_khuyen_mai[[#This Row],[Mã hàng tặng]],'Giá gốc'!B:C,2,0),"")</f>
        <v/>
      </c>
      <c r="Q106" s="3" t="str">
        <f>VLOOKUP(gia_khuyen_mai[[#This Row],[Mã sản phẩm]],product[[Mã sản phẩm]:[DS - ĐV]],3,0)</f>
        <v>Food Đức Việt</v>
      </c>
    </row>
    <row r="107" spans="1:17" ht="21.75" customHeight="1">
      <c r="A107" s="38">
        <f t="shared" si="2"/>
        <v>106</v>
      </c>
      <c r="B107" s="4" t="s">
        <v>12840</v>
      </c>
      <c r="C107" s="4" t="s">
        <v>5</v>
      </c>
      <c r="D107" s="4" t="s">
        <v>496</v>
      </c>
      <c r="E107" s="4" t="s">
        <v>12823</v>
      </c>
      <c r="F107" s="4" t="s">
        <v>12841</v>
      </c>
      <c r="G107" s="4" t="s">
        <v>464</v>
      </c>
      <c r="H107" s="3" t="str">
        <f>VLOOKUP(gia_khuyen_mai[[#This Row],[Barcode]],'Giá gốc'!$A:$B,2,0)</f>
        <v>2145622</v>
      </c>
      <c r="I107" s="3" t="str">
        <f>VLOOKUP(gia_khuyen_mai[[#This Row],[Mã sản phẩm]],'Giá gốc'!$B:$C,2,0)</f>
        <v>Kim chi 450</v>
      </c>
      <c r="J107" s="5">
        <f>VLOOKUP(gia_khuyen_mai[[#This Row],[Mã sản phẩm]],'Giá gốc'!B:D,3,0)</f>
        <v>35500</v>
      </c>
      <c r="K107" s="57"/>
      <c r="L107" s="6">
        <f>ROUND((1-gia_khuyen_mai[[#This Row],[% Giảm giá]]) * gia_khuyen_mai[[#This Row],[Giá gốc]], 0)</f>
        <v>35500</v>
      </c>
      <c r="M107" s="6" t="s">
        <v>503</v>
      </c>
      <c r="N107" s="3" t="str">
        <f>VLOOKUP(gia_khuyen_mai[[#This Row],[Barcode]],'Giá gốc'!$A:$B,2,0)</f>
        <v>2145622</v>
      </c>
      <c r="O107" s="3" t="str">
        <f>IFERROR(VLOOKUP(gia_khuyen_mai[[#This Row],[Mã hàng tặng]],'Giá gốc'!B:C,2,0),"")</f>
        <v>Kim chi 450</v>
      </c>
      <c r="Q107" s="3" t="str">
        <f>VLOOKUP(gia_khuyen_mai[[#This Row],[Mã sản phẩm]],product[[Mã sản phẩm]:[DS - ĐV]],3,0)</f>
        <v>Food Đức Việt</v>
      </c>
    </row>
    <row r="108" spans="1:17" ht="21.75" customHeight="1">
      <c r="A108" s="38">
        <f t="shared" ref="A108:A116" si="3">ROW()-1</f>
        <v>107</v>
      </c>
      <c r="B108" s="4" t="s">
        <v>12933</v>
      </c>
      <c r="C108" s="4" t="s">
        <v>5</v>
      </c>
      <c r="D108" s="4" t="s">
        <v>496</v>
      </c>
      <c r="E108" s="4" t="s">
        <v>12633</v>
      </c>
      <c r="F108" s="4" t="s">
        <v>12934</v>
      </c>
      <c r="G108" s="3" t="s">
        <v>373</v>
      </c>
      <c r="H108" s="3" t="str">
        <f>VLOOKUP(gia_khuyen_mai[[#This Row],[Barcode]],'Giá gốc'!$A:$B,2,0)</f>
        <v>2145686</v>
      </c>
      <c r="I108" s="3" t="str">
        <f>VLOOKUP(gia_khuyen_mai[[#This Row],[Mã sản phẩm]],'Giá gốc'!$B:$C,2,0)</f>
        <v>Xúc xích hong khói 450g</v>
      </c>
      <c r="J108" s="5">
        <f>VLOOKUP(gia_khuyen_mai[[#This Row],[Mã sản phẩm]],'Giá gốc'!B:D,3,0)</f>
        <v>79100</v>
      </c>
      <c r="K108" s="57"/>
      <c r="L108" s="6">
        <f>ROUND((1-gia_khuyen_mai[[#This Row],[% Giảm giá]]) * gia_khuyen_mai[[#This Row],[Giá gốc]], 0)</f>
        <v>79100</v>
      </c>
      <c r="M108" s="6" t="s">
        <v>503</v>
      </c>
      <c r="N108" s="3" t="s">
        <v>404</v>
      </c>
      <c r="O108" s="3" t="str">
        <f>IFERROR(VLOOKUP(gia_khuyen_mai[[#This Row],[Mã hàng tặng]],'Giá gốc'!B:C,2,0),"")</f>
        <v>Xúc xích Cocktail 200g</v>
      </c>
      <c r="Q108" s="3" t="str">
        <f>VLOOKUP(gia_khuyen_mai[[#This Row],[Mã sản phẩm]],product[[Mã sản phẩm]:[DS - ĐV]],3,0)</f>
        <v>Food Đức Việt</v>
      </c>
    </row>
    <row r="109" spans="1:17" ht="21.75" customHeight="1">
      <c r="A109" s="38">
        <f t="shared" si="3"/>
        <v>108</v>
      </c>
      <c r="B109" s="4" t="s">
        <v>12933</v>
      </c>
      <c r="C109" s="4" t="s">
        <v>5</v>
      </c>
      <c r="D109" s="4" t="s">
        <v>496</v>
      </c>
      <c r="E109" s="4" t="s">
        <v>12633</v>
      </c>
      <c r="F109" s="4" t="s">
        <v>12934</v>
      </c>
      <c r="G109" s="3" t="s">
        <v>403</v>
      </c>
      <c r="H109" s="3" t="str">
        <f>VLOOKUP(gia_khuyen_mai[[#This Row],[Barcode]],'Giá gốc'!$A:$B,2,0)</f>
        <v>2145762</v>
      </c>
      <c r="I109" s="3" t="str">
        <f>VLOOKUP(gia_khuyen_mai[[#This Row],[Mã sản phẩm]],'Giá gốc'!$B:$C,2,0)</f>
        <v>Xúc xích Cocktail 200g</v>
      </c>
      <c r="J109" s="5">
        <f>VLOOKUP(gia_khuyen_mai[[#This Row],[Mã sản phẩm]],'Giá gốc'!B:D,3,0)</f>
        <v>21100</v>
      </c>
      <c r="K109" s="57">
        <v>0.2</v>
      </c>
      <c r="L109" s="6">
        <f>ROUND((1-gia_khuyen_mai[[#This Row],[% Giảm giá]]) * gia_khuyen_mai[[#This Row],[Giá gốc]], 0)</f>
        <v>16880</v>
      </c>
      <c r="M109" s="6"/>
      <c r="O109" s="3" t="str">
        <f>IFERROR(VLOOKUP(gia_khuyen_mai[[#This Row],[Mã hàng tặng]],'Giá gốc'!B:C,2,0),"")</f>
        <v/>
      </c>
      <c r="Q109" s="3" t="str">
        <f>VLOOKUP(gia_khuyen_mai[[#This Row],[Mã sản phẩm]],product[[Mã sản phẩm]:[DS - ĐV]],3,0)</f>
        <v>Food Đức Việt</v>
      </c>
    </row>
    <row r="110" spans="1:17" ht="21.75" customHeight="1">
      <c r="A110" s="38">
        <f t="shared" si="3"/>
        <v>109</v>
      </c>
      <c r="B110" s="4" t="s">
        <v>12933</v>
      </c>
      <c r="C110" s="4" t="s">
        <v>5</v>
      </c>
      <c r="D110" s="4" t="s">
        <v>496</v>
      </c>
      <c r="E110" s="4" t="s">
        <v>12633</v>
      </c>
      <c r="F110" s="4" t="s">
        <v>12934</v>
      </c>
      <c r="G110" s="3" t="s">
        <v>12462</v>
      </c>
      <c r="H110" s="3" t="str">
        <f>VLOOKUP(gia_khuyen_mai[[#This Row],[Barcode]],'Giá gốc'!$A:$B,2,0)</f>
        <v>2145747</v>
      </c>
      <c r="I110" s="3" t="str">
        <f>VLOOKUP(gia_khuyen_mai[[#This Row],[Mã sản phẩm]],'Giá gốc'!$B:$C,2,0)</f>
        <v>Xúc xích thịt heo Bragenwurst 400g</v>
      </c>
      <c r="J110" s="5">
        <f>VLOOKUP(gia_khuyen_mai[[#This Row],[Mã sản phẩm]],'Giá gốc'!B:D,3,0)</f>
        <v>82080</v>
      </c>
      <c r="K110" s="57">
        <v>0.3</v>
      </c>
      <c r="L110" s="6">
        <f>ROUND((1-gia_khuyen_mai[[#This Row],[% Giảm giá]]) * gia_khuyen_mai[[#This Row],[Giá gốc]], 0)</f>
        <v>57456</v>
      </c>
      <c r="M110" s="6"/>
      <c r="O110" s="3" t="str">
        <f>IFERROR(VLOOKUP(gia_khuyen_mai[[#This Row],[Mã hàng tặng]],'Giá gốc'!B:C,2,0),"")</f>
        <v/>
      </c>
      <c r="Q110" s="3" t="str">
        <f>VLOOKUP(gia_khuyen_mai[[#This Row],[Mã sản phẩm]],product[[Mã sản phẩm]:[DS - ĐV]],3,0)</f>
        <v>Food Đức Việt</v>
      </c>
    </row>
    <row r="111" spans="1:17" ht="21.75" customHeight="1">
      <c r="A111" s="38">
        <f t="shared" si="3"/>
        <v>110</v>
      </c>
      <c r="B111" s="4" t="s">
        <v>12933</v>
      </c>
      <c r="C111" s="4" t="s">
        <v>5</v>
      </c>
      <c r="D111" s="4" t="s">
        <v>496</v>
      </c>
      <c r="E111" s="4" t="s">
        <v>12633</v>
      </c>
      <c r="F111" s="4" t="s">
        <v>12934</v>
      </c>
      <c r="G111" s="3" t="s">
        <v>418</v>
      </c>
      <c r="H111" s="3" t="str">
        <f>VLOOKUP(gia_khuyen_mai[[#This Row],[Barcode]],'Giá gốc'!$A:$B,2,0)</f>
        <v>2145783</v>
      </c>
      <c r="I111" s="3" t="str">
        <f>VLOOKUP(gia_khuyen_mai[[#This Row],[Mã sản phẩm]],'Giá gốc'!$B:$C,2,0)</f>
        <v>Xúc xích Romas ( 50g) 500g</v>
      </c>
      <c r="J111" s="5">
        <f>VLOOKUP(gia_khuyen_mai[[#This Row],[Mã sản phẩm]],'Giá gốc'!B:D,3,0)</f>
        <v>53900</v>
      </c>
      <c r="K111" s="57">
        <v>0.22</v>
      </c>
      <c r="L111" s="6">
        <f>ROUND((1-gia_khuyen_mai[[#This Row],[% Giảm giá]]) * gia_khuyen_mai[[#This Row],[Giá gốc]], 0)</f>
        <v>42042</v>
      </c>
      <c r="M111" s="6"/>
      <c r="O111" s="3" t="str">
        <f>IFERROR(VLOOKUP(gia_khuyen_mai[[#This Row],[Mã hàng tặng]],'Giá gốc'!B:C,2,0),"")</f>
        <v/>
      </c>
      <c r="Q111" s="3" t="str">
        <f>VLOOKUP(gia_khuyen_mai[[#This Row],[Mã sản phẩm]],product[[Mã sản phẩm]:[DS - ĐV]],3,0)</f>
        <v>Food Đức Việt</v>
      </c>
    </row>
    <row r="112" spans="1:17" ht="21.75" customHeight="1">
      <c r="A112" s="38">
        <f t="shared" si="3"/>
        <v>111</v>
      </c>
      <c r="B112" s="4" t="s">
        <v>12933</v>
      </c>
      <c r="C112" s="4" t="s">
        <v>5</v>
      </c>
      <c r="D112" s="4" t="s">
        <v>496</v>
      </c>
      <c r="E112" s="4" t="s">
        <v>12633</v>
      </c>
      <c r="F112" s="4" t="s">
        <v>12934</v>
      </c>
      <c r="G112" s="3" t="s">
        <v>397</v>
      </c>
      <c r="H112" s="3" t="str">
        <f>VLOOKUP(gia_khuyen_mai[[#This Row],[Barcode]],'Giá gốc'!$A:$B,2,0)</f>
        <v>2145726</v>
      </c>
      <c r="I112" s="3" t="str">
        <f>VLOOKUP(gia_khuyen_mai[[#This Row],[Mã sản phẩm]],'Giá gốc'!$B:$C,2,0)</f>
        <v>Xúc xích phô mai Cheesy 250g</v>
      </c>
      <c r="J112" s="5">
        <f>VLOOKUP(gia_khuyen_mai[[#This Row],[Mã sản phẩm]],'Giá gốc'!B:D,3,0)</f>
        <v>49400</v>
      </c>
      <c r="K112" s="57">
        <v>0.25</v>
      </c>
      <c r="L112" s="6">
        <f>ROUND((1-gia_khuyen_mai[[#This Row],[% Giảm giá]]) * gia_khuyen_mai[[#This Row],[Giá gốc]], 0)</f>
        <v>37050</v>
      </c>
      <c r="M112" s="6"/>
      <c r="O112" s="3" t="str">
        <f>IFERROR(VLOOKUP(gia_khuyen_mai[[#This Row],[Mã hàng tặng]],'Giá gốc'!B:C,2,0),"")</f>
        <v/>
      </c>
      <c r="Q112" s="3" t="str">
        <f>VLOOKUP(gia_khuyen_mai[[#This Row],[Mã sản phẩm]],product[[Mã sản phẩm]:[DS - ĐV]],3,0)</f>
        <v>Food Đức Việt</v>
      </c>
    </row>
    <row r="113" spans="1:17" ht="21.75" customHeight="1">
      <c r="A113" s="38">
        <f t="shared" si="3"/>
        <v>112</v>
      </c>
      <c r="B113" s="4" t="s">
        <v>12933</v>
      </c>
      <c r="C113" s="4" t="s">
        <v>5</v>
      </c>
      <c r="D113" s="4" t="s">
        <v>496</v>
      </c>
      <c r="E113" s="4" t="s">
        <v>12633</v>
      </c>
      <c r="F113" s="4" t="s">
        <v>12934</v>
      </c>
      <c r="G113" s="3" t="s">
        <v>470</v>
      </c>
      <c r="H113" s="3" t="str">
        <f>VLOOKUP(gia_khuyen_mai[[#This Row],[Barcode]],'Giá gốc'!$A:$B,2,0)</f>
        <v>2145699</v>
      </c>
      <c r="I113" s="3" t="str">
        <f>VLOOKUP(gia_khuyen_mai[[#This Row],[Mã sản phẩm]],'Giá gốc'!$B:$C,2,0)</f>
        <v>Seoul's Hotdog Chiên xù 250g (Đ)</v>
      </c>
      <c r="J113" s="5">
        <f>VLOOKUP(gia_khuyen_mai[[#This Row],[Mã sản phẩm]],'Giá gốc'!B:D,3,0)</f>
        <v>39150</v>
      </c>
      <c r="K113" s="57">
        <v>0.25</v>
      </c>
      <c r="L113" s="6">
        <f>ROUND((1-gia_khuyen_mai[[#This Row],[% Giảm giá]]) * gia_khuyen_mai[[#This Row],[Giá gốc]], 0)</f>
        <v>29363</v>
      </c>
      <c r="M113" s="6"/>
      <c r="O113" s="3" t="str">
        <f>IFERROR(VLOOKUP(gia_khuyen_mai[[#This Row],[Mã hàng tặng]],'Giá gốc'!B:C,2,0),"")</f>
        <v/>
      </c>
      <c r="Q113" s="3" t="str">
        <f>VLOOKUP(gia_khuyen_mai[[#This Row],[Mã sản phẩm]],product[[Mã sản phẩm]:[DS - ĐV]],3,0)</f>
        <v>Food Đức Việt</v>
      </c>
    </row>
    <row r="114" spans="1:17" ht="21.75" customHeight="1">
      <c r="A114" s="38">
        <f t="shared" si="3"/>
        <v>113</v>
      </c>
      <c r="B114" s="4" t="s">
        <v>12933</v>
      </c>
      <c r="C114" s="4" t="s">
        <v>5</v>
      </c>
      <c r="D114" s="4" t="s">
        <v>496</v>
      </c>
      <c r="E114" s="4" t="s">
        <v>12936</v>
      </c>
      <c r="F114" s="4" t="s">
        <v>12934</v>
      </c>
      <c r="G114" s="4" t="s">
        <v>464</v>
      </c>
      <c r="H114" s="3" t="str">
        <f>VLOOKUP(gia_khuyen_mai[[#This Row],[Barcode]],'Giá gốc'!$A:$B,2,0)</f>
        <v>2145622</v>
      </c>
      <c r="I114" s="3" t="str">
        <f>VLOOKUP(gia_khuyen_mai[[#This Row],[Mã sản phẩm]],'Giá gốc'!$B:$C,2,0)</f>
        <v>Kim chi 450</v>
      </c>
      <c r="J114" s="5">
        <f>VLOOKUP(gia_khuyen_mai[[#This Row],[Mã sản phẩm]],'Giá gốc'!B:D,3,0)</f>
        <v>35500</v>
      </c>
      <c r="K114" s="57"/>
      <c r="L114" s="6">
        <f>ROUND((1-gia_khuyen_mai[[#This Row],[% Giảm giá]]) * gia_khuyen_mai[[#This Row],[Giá gốc]], 0)</f>
        <v>35500</v>
      </c>
      <c r="M114" s="6" t="s">
        <v>503</v>
      </c>
      <c r="N114" s="20" t="s">
        <v>12471</v>
      </c>
      <c r="O114" s="3" t="str">
        <f>IFERROR(VLOOKUP(gia_khuyen_mai[[#This Row],[Mã hàng tặng]],'Giá gốc'!B:C,2,0),"")</f>
        <v>Jongga Kim chi Củ cải 150g</v>
      </c>
      <c r="Q114" s="3" t="str">
        <f>VLOOKUP(gia_khuyen_mai[[#This Row],[Mã sản phẩm]],product[[Mã sản phẩm]:[DS - ĐV]],3,0)</f>
        <v>Food Đức Việt</v>
      </c>
    </row>
    <row r="115" spans="1:17" ht="21.75" customHeight="1">
      <c r="A115" s="38">
        <f t="shared" si="3"/>
        <v>114</v>
      </c>
      <c r="B115" s="4" t="s">
        <v>12933</v>
      </c>
      <c r="C115" s="4" t="s">
        <v>5</v>
      </c>
      <c r="D115" s="4" t="s">
        <v>496</v>
      </c>
      <c r="E115" s="4" t="s">
        <v>12947</v>
      </c>
      <c r="F115" s="4" t="s">
        <v>12934</v>
      </c>
      <c r="G115" s="3" t="s">
        <v>12460</v>
      </c>
      <c r="H115" s="3" t="str">
        <f>VLOOKUP(gia_khuyen_mai[[#This Row],[Barcode]],'Giá gốc'!$A:$B,2,0)</f>
        <v>2151140</v>
      </c>
      <c r="I115" s="3" t="str">
        <f>VLOOKUP(gia_khuyen_mai[[#This Row],[Mã sản phẩm]],'Giá gốc'!$B:$C,2,0)</f>
        <v>Jongga Kim chi Củ cải 150g</v>
      </c>
      <c r="J115" s="5">
        <f>VLOOKUP(gia_khuyen_mai[[#This Row],[Mã sản phẩm]],'Giá gốc'!B:D,3,0)</f>
        <v>16500</v>
      </c>
      <c r="K115" s="57">
        <v>0.25</v>
      </c>
      <c r="L115" s="6">
        <f>ROUND((1-gia_khuyen_mai[[#This Row],[% Giảm giá]]) * gia_khuyen_mai[[#This Row],[Giá gốc]], 0)</f>
        <v>12375</v>
      </c>
      <c r="M115" s="6"/>
      <c r="O115" s="3" t="str">
        <f>IFERROR(VLOOKUP(gia_khuyen_mai[[#This Row],[Mã hàng tặng]],'Giá gốc'!B:C,2,0),"")</f>
        <v/>
      </c>
      <c r="Q115" s="3" t="str">
        <f>VLOOKUP(gia_khuyen_mai[[#This Row],[Mã sản phẩm]],product[[Mã sản phẩm]:[DS - ĐV]],3,0)</f>
        <v>Food Đức Việt</v>
      </c>
    </row>
    <row r="116" spans="1:17" ht="21.75" customHeight="1">
      <c r="A116" s="38">
        <f t="shared" si="3"/>
        <v>115</v>
      </c>
      <c r="B116" s="4" t="s">
        <v>12933</v>
      </c>
      <c r="C116" s="4" t="s">
        <v>5</v>
      </c>
      <c r="D116" s="4" t="s">
        <v>496</v>
      </c>
      <c r="E116" s="4" t="s">
        <v>12633</v>
      </c>
      <c r="F116" s="4" t="s">
        <v>12934</v>
      </c>
      <c r="G116" s="3" t="s">
        <v>479</v>
      </c>
      <c r="H116" s="3" t="str">
        <f>VLOOKUP(gia_khuyen_mai[[#This Row],[Barcode]],'Giá gốc'!$A:$B,2,0)</f>
        <v>2150338</v>
      </c>
      <c r="I116" s="3" t="str">
        <f>VLOOKUP(gia_khuyen_mai[[#This Row],[Mã sản phẩm]],'Giá gốc'!$B:$C,2,0)</f>
        <v>O'food Chả giò da xốp hải sản 300g</v>
      </c>
      <c r="J116" s="5">
        <f>VLOOKUP(gia_khuyen_mai[[#This Row],[Mã sản phẩm]],'Giá gốc'!B:D,3,0)</f>
        <v>31524</v>
      </c>
      <c r="K116" s="57">
        <v>0.25</v>
      </c>
      <c r="L116" s="6">
        <f>ROUND((1-gia_khuyen_mai[[#This Row],[% Giảm giá]]) * gia_khuyen_mai[[#This Row],[Giá gốc]], 0)</f>
        <v>23643</v>
      </c>
      <c r="M116" s="6"/>
      <c r="O116" s="3" t="str">
        <f>IFERROR(VLOOKUP(gia_khuyen_mai[[#This Row],[Mã hàng tặng]],'Giá gốc'!B:C,2,0),"")</f>
        <v/>
      </c>
      <c r="Q116" s="3" t="str">
        <f>VLOOKUP(gia_khuyen_mai[[#This Row],[Mã sản phẩm]],product[[Mã sản phẩm]:[DS - ĐV]],3,0)</f>
        <v>Food Đức Việt</v>
      </c>
    </row>
    <row r="117" spans="1:17" ht="21.75" customHeight="1">
      <c r="A117" s="38">
        <f>ROW()-1</f>
        <v>116</v>
      </c>
      <c r="B117" s="4" t="s">
        <v>12948</v>
      </c>
      <c r="C117" s="4" t="s">
        <v>500</v>
      </c>
      <c r="D117" s="4" t="s">
        <v>496</v>
      </c>
      <c r="E117" s="4" t="s">
        <v>12936</v>
      </c>
      <c r="F117" s="4" t="s">
        <v>12949</v>
      </c>
      <c r="G117" s="39" t="s">
        <v>379</v>
      </c>
      <c r="H117" s="3" t="str">
        <f>VLOOKUP(gia_khuyen_mai[[#This Row],[Barcode]],'Giá gốc'!$A:$B,2,0)</f>
        <v>2145689</v>
      </c>
      <c r="I117" s="3" t="str">
        <f>VLOOKUP(gia_khuyen_mai[[#This Row],[Mã sản phẩm]],'Giá gốc'!$B:$C,2,0)</f>
        <v>Xúc xích vườn bia 450g * 1EA</v>
      </c>
      <c r="J117" s="5">
        <f>VLOOKUP(gia_khuyen_mai[[#This Row],[Mã sản phẩm]],'Giá gốc'!B:D,3,0)</f>
        <v>84200</v>
      </c>
      <c r="K117" s="57">
        <v>0.05</v>
      </c>
      <c r="L117" s="6">
        <f>ROUND((1-gia_khuyen_mai[[#This Row],[% Giảm giá]]) * gia_khuyen_mai[[#This Row],[Giá gốc]], 0)</f>
        <v>79990</v>
      </c>
      <c r="M117" s="6" t="s">
        <v>503</v>
      </c>
      <c r="N117" s="3" t="s">
        <v>404</v>
      </c>
      <c r="O117" s="3" t="str">
        <f>IFERROR(VLOOKUP(gia_khuyen_mai[[#This Row],[Mã hàng tặng]],'Giá gốc'!B:C,2,0),"")</f>
        <v>Xúc xích Cocktail 200g</v>
      </c>
      <c r="Q117" s="3" t="str">
        <f>VLOOKUP(gia_khuyen_mai[[#This Row],[Mã sản phẩm]],product[[Mã sản phẩm]:[DS - ĐV]],3,0)</f>
        <v>Food Đức Việt</v>
      </c>
    </row>
    <row r="118" spans="1:17" ht="21.75" customHeight="1">
      <c r="A118" s="38">
        <f t="shared" ref="A118:A127" si="4">ROW()-1</f>
        <v>117</v>
      </c>
      <c r="B118" s="4" t="s">
        <v>12948</v>
      </c>
      <c r="C118" s="4" t="s">
        <v>500</v>
      </c>
      <c r="D118" s="4" t="s">
        <v>496</v>
      </c>
      <c r="E118" s="4" t="s">
        <v>12936</v>
      </c>
      <c r="F118" s="4" t="s">
        <v>12949</v>
      </c>
      <c r="G118" s="39" t="s">
        <v>12459</v>
      </c>
      <c r="H118" s="3" t="str">
        <f>VLOOKUP(gia_khuyen_mai[[#This Row],[Barcode]],'Giá gốc'!$A:$B,2,0)</f>
        <v>2151032</v>
      </c>
      <c r="I118" s="3" t="str">
        <f>VLOOKUP(gia_khuyen_mai[[#This Row],[Mã sản phẩm]],'Giá gốc'!$B:$C,2,0)</f>
        <v>Jongga Kim chi Củ cải 450g</v>
      </c>
      <c r="J118" s="5">
        <f>VLOOKUP(gia_khuyen_mai[[#This Row],[Mã sản phẩm]],'Giá gốc'!B:D,3,0)</f>
        <v>42000</v>
      </c>
      <c r="K118" s="57">
        <v>0.3</v>
      </c>
      <c r="L118" s="6">
        <f>ROUND((1-gia_khuyen_mai[[#This Row],[% Giảm giá]]) * gia_khuyen_mai[[#This Row],[Giá gốc]], 0)</f>
        <v>29400</v>
      </c>
      <c r="M118" s="6"/>
      <c r="O118" s="3" t="str">
        <f>IFERROR(VLOOKUP(gia_khuyen_mai[[#This Row],[Mã hàng tặng]],'Giá gốc'!B:C,2,0),"")</f>
        <v/>
      </c>
      <c r="Q118" s="3" t="str">
        <f>VLOOKUP(gia_khuyen_mai[[#This Row],[Mã sản phẩm]],product[[Mã sản phẩm]:[DS - ĐV]],3,0)</f>
        <v>Food Đức Việt</v>
      </c>
    </row>
    <row r="119" spans="1:17" ht="21.75" customHeight="1">
      <c r="A119" s="38">
        <f t="shared" si="4"/>
        <v>118</v>
      </c>
      <c r="B119" s="4" t="s">
        <v>12948</v>
      </c>
      <c r="C119" s="4" t="s">
        <v>500</v>
      </c>
      <c r="D119" s="4" t="s">
        <v>496</v>
      </c>
      <c r="E119" s="4" t="s">
        <v>12936</v>
      </c>
      <c r="F119" s="4" t="s">
        <v>12949</v>
      </c>
      <c r="G119" s="39" t="s">
        <v>415</v>
      </c>
      <c r="H119" s="3" t="str">
        <f>VLOOKUP(gia_khuyen_mai[[#This Row],[Barcode]],'Giá gốc'!$A:$B,2,0)</f>
        <v>2145767</v>
      </c>
      <c r="I119" s="3" t="str">
        <f>VLOOKUP(gia_khuyen_mai[[#This Row],[Mã sản phẩm]],'Giá gốc'!$B:$C,2,0)</f>
        <v>Xúc xích Mỹ 500g</v>
      </c>
      <c r="J119" s="5">
        <f>VLOOKUP(gia_khuyen_mai[[#This Row],[Mã sản phẩm]],'Giá gốc'!B:D,3,0)</f>
        <v>55600</v>
      </c>
      <c r="K119" s="57">
        <v>0.2</v>
      </c>
      <c r="L119" s="6">
        <f>ROUND((1-gia_khuyen_mai[[#This Row],[% Giảm giá]]) * gia_khuyen_mai[[#This Row],[Giá gốc]], 0)</f>
        <v>44480</v>
      </c>
      <c r="M119" s="6"/>
      <c r="O119" s="3" t="str">
        <f>IFERROR(VLOOKUP(gia_khuyen_mai[[#This Row],[Mã hàng tặng]],'Giá gốc'!B:C,2,0),"")</f>
        <v/>
      </c>
      <c r="Q119" s="3" t="str">
        <f>VLOOKUP(gia_khuyen_mai[[#This Row],[Mã sản phẩm]],product[[Mã sản phẩm]:[DS - ĐV]],3,0)</f>
        <v>Food Đức Việt</v>
      </c>
    </row>
    <row r="120" spans="1:17" ht="21.75" customHeight="1">
      <c r="A120" s="38">
        <f t="shared" si="4"/>
        <v>119</v>
      </c>
      <c r="B120" s="4" t="s">
        <v>12948</v>
      </c>
      <c r="C120" s="4" t="s">
        <v>500</v>
      </c>
      <c r="D120" s="4" t="s">
        <v>496</v>
      </c>
      <c r="E120" s="4" t="s">
        <v>12841</v>
      </c>
      <c r="F120" s="4" t="s">
        <v>12949</v>
      </c>
      <c r="G120" s="39" t="s">
        <v>376</v>
      </c>
      <c r="H120" s="3" t="str">
        <f>VLOOKUP(gia_khuyen_mai[[#This Row],[Barcode]],'Giá gốc'!$A:$B,2,0)</f>
        <v>2145690</v>
      </c>
      <c r="I120" s="3" t="str">
        <f>VLOOKUP(gia_khuyen_mai[[#This Row],[Mã sản phẩm]],'Giá gốc'!$B:$C,2,0)</f>
        <v>Xúc xích vườn bia 200g * 1EA</v>
      </c>
      <c r="J120" s="5">
        <f>VLOOKUP(gia_khuyen_mai[[#This Row],[Mã sản phẩm]],'Giá gốc'!B:D,3,0)</f>
        <v>38400</v>
      </c>
      <c r="K120" s="57">
        <v>0.2</v>
      </c>
      <c r="L120" s="6">
        <f>ROUND((1-gia_khuyen_mai[[#This Row],[% Giảm giá]]) * gia_khuyen_mai[[#This Row],[Giá gốc]], 0)</f>
        <v>30720</v>
      </c>
      <c r="M120" s="6"/>
      <c r="O120" s="3" t="str">
        <f>IFERROR(VLOOKUP(gia_khuyen_mai[[#This Row],[Mã hàng tặng]],'Giá gốc'!B:C,2,0),"")</f>
        <v/>
      </c>
      <c r="Q120" s="3" t="str">
        <f>VLOOKUP(gia_khuyen_mai[[#This Row],[Mã sản phẩm]],product[[Mã sản phẩm]:[DS - ĐV]],3,0)</f>
        <v>Food Đức Việt</v>
      </c>
    </row>
    <row r="121" spans="1:17" ht="21.75" customHeight="1">
      <c r="A121" s="38">
        <f t="shared" si="4"/>
        <v>120</v>
      </c>
      <c r="B121" s="4" t="s">
        <v>12948</v>
      </c>
      <c r="C121" s="4" t="s">
        <v>500</v>
      </c>
      <c r="D121" s="4" t="s">
        <v>496</v>
      </c>
      <c r="E121" s="4" t="s">
        <v>12841</v>
      </c>
      <c r="F121" s="4" t="s">
        <v>12949</v>
      </c>
      <c r="G121" s="39" t="s">
        <v>394</v>
      </c>
      <c r="H121" s="3" t="str">
        <f>VLOOKUP(gia_khuyen_mai[[#This Row],[Barcode]],'Giá gốc'!$A:$B,2,0)</f>
        <v>2145744</v>
      </c>
      <c r="I121" s="3" t="str">
        <f>VLOOKUP(gia_khuyen_mai[[#This Row],[Mã sản phẩm]],'Giá gốc'!$B:$C,2,0)</f>
        <v>Xúc xích bắp phô mai 250g</v>
      </c>
      <c r="J121" s="5">
        <f>VLOOKUP(gia_khuyen_mai[[#This Row],[Mã sản phẩm]],'Giá gốc'!B:D,3,0)</f>
        <v>49400</v>
      </c>
      <c r="K121" s="57">
        <v>0.25</v>
      </c>
      <c r="L121" s="6">
        <f>ROUND((1-gia_khuyen_mai[[#This Row],[% Giảm giá]]) * gia_khuyen_mai[[#This Row],[Giá gốc]], 0)</f>
        <v>37050</v>
      </c>
      <c r="M121" s="6"/>
      <c r="O121" s="3" t="str">
        <f>IFERROR(VLOOKUP(gia_khuyen_mai[[#This Row],[Mã hàng tặng]],'Giá gốc'!B:C,2,0),"")</f>
        <v/>
      </c>
      <c r="Q121" s="3" t="str">
        <f>VLOOKUP(gia_khuyen_mai[[#This Row],[Mã sản phẩm]],product[[Mã sản phẩm]:[DS - ĐV]],3,0)</f>
        <v>Food Đức Việt</v>
      </c>
    </row>
    <row r="122" spans="1:17" ht="21.75" customHeight="1">
      <c r="A122" s="38">
        <f t="shared" si="4"/>
        <v>121</v>
      </c>
      <c r="B122" s="4" t="s">
        <v>12948</v>
      </c>
      <c r="C122" s="4" t="s">
        <v>500</v>
      </c>
      <c r="D122" s="4" t="s">
        <v>496</v>
      </c>
      <c r="E122" s="4" t="s">
        <v>12841</v>
      </c>
      <c r="F122" s="4" t="s">
        <v>12949</v>
      </c>
      <c r="G122" s="39" t="s">
        <v>427</v>
      </c>
      <c r="H122" s="3" t="str">
        <f>VLOOKUP(gia_khuyen_mai[[#This Row],[Barcode]],'Giá gốc'!$A:$B,2,0)</f>
        <v>2145743</v>
      </c>
      <c r="I122" s="3" t="str">
        <f>VLOOKUP(gia_khuyen_mai[[#This Row],[Mã sản phẩm]],'Giá gốc'!$B:$C,2,0)</f>
        <v>Xúc xích sụn nướng Bulgogi 450g</v>
      </c>
      <c r="J122" s="5">
        <f>VLOOKUP(gia_khuyen_mai[[#This Row],[Mã sản phẩm]],'Giá gốc'!B:D,3,0)</f>
        <v>74500</v>
      </c>
      <c r="K122" s="57"/>
      <c r="L122" s="6">
        <f>ROUND((1-gia_khuyen_mai[[#This Row],[% Giảm giá]]) * gia_khuyen_mai[[#This Row],[Giá gốc]], 0)</f>
        <v>74500</v>
      </c>
      <c r="M122" s="6" t="s">
        <v>503</v>
      </c>
      <c r="N122" s="20" t="s">
        <v>428</v>
      </c>
      <c r="O122" s="3" t="str">
        <f>IFERROR(VLOOKUP(gia_khuyen_mai[[#This Row],[Mã hàng tặng]],'Giá gốc'!B:C,2,0),"")</f>
        <v>Xúc xích sụn nướng Bulgogi 450g</v>
      </c>
      <c r="Q122" s="3" t="str">
        <f>VLOOKUP(gia_khuyen_mai[[#This Row],[Mã sản phẩm]],product[[Mã sản phẩm]:[DS - ĐV]],3,0)</f>
        <v>Food Đức Việt</v>
      </c>
    </row>
    <row r="123" spans="1:17" ht="21.75" customHeight="1">
      <c r="A123" s="38">
        <f t="shared" si="4"/>
        <v>122</v>
      </c>
      <c r="B123" s="4" t="s">
        <v>12948</v>
      </c>
      <c r="C123" s="4" t="s">
        <v>500</v>
      </c>
      <c r="D123" s="4" t="s">
        <v>496</v>
      </c>
      <c r="E123" s="4" t="s">
        <v>12841</v>
      </c>
      <c r="F123" s="4" t="s">
        <v>12949</v>
      </c>
      <c r="G123" s="39" t="s">
        <v>406</v>
      </c>
      <c r="H123" s="3" t="str">
        <f>VLOOKUP(gia_khuyen_mai[[#This Row],[Barcode]],'Giá gốc'!$A:$B,2,0)</f>
        <v>2145764</v>
      </c>
      <c r="I123" s="3" t="str">
        <f>VLOOKUP(gia_khuyen_mai[[#This Row],[Mã sản phẩm]],'Giá gốc'!$B:$C,2,0)</f>
        <v>Xúc xích Cocktail 500g</v>
      </c>
      <c r="J123" s="5">
        <f>VLOOKUP(gia_khuyen_mai[[#This Row],[Mã sản phẩm]],'Giá gốc'!B:D,3,0)</f>
        <v>52800</v>
      </c>
      <c r="K123" s="57">
        <v>0.2</v>
      </c>
      <c r="L123" s="6">
        <f>ROUND((1-gia_khuyen_mai[[#This Row],[% Giảm giá]]) * gia_khuyen_mai[[#This Row],[Giá gốc]], 0)</f>
        <v>42240</v>
      </c>
      <c r="M123" s="6"/>
      <c r="O123" s="3" t="str">
        <f>IFERROR(VLOOKUP(gia_khuyen_mai[[#This Row],[Mã hàng tặng]],'Giá gốc'!B:C,2,0),"")</f>
        <v/>
      </c>
      <c r="Q123" s="3" t="str">
        <f>VLOOKUP(gia_khuyen_mai[[#This Row],[Mã sản phẩm]],product[[Mã sản phẩm]:[DS - ĐV]],3,0)</f>
        <v>Food Đức Việt</v>
      </c>
    </row>
    <row r="124" spans="1:17" ht="21.75" customHeight="1">
      <c r="A124" s="38">
        <f t="shared" si="4"/>
        <v>123</v>
      </c>
      <c r="B124" s="4" t="s">
        <v>12948</v>
      </c>
      <c r="C124" s="4" t="s">
        <v>500</v>
      </c>
      <c r="D124" s="4" t="s">
        <v>496</v>
      </c>
      <c r="E124" s="4" t="s">
        <v>12841</v>
      </c>
      <c r="F124" s="4" t="s">
        <v>12949</v>
      </c>
      <c r="G124" s="39" t="s">
        <v>433</v>
      </c>
      <c r="H124" s="3" t="str">
        <f>VLOOKUP(gia_khuyen_mai[[#This Row],[Barcode]],'Giá gốc'!$A:$B,2,0)</f>
        <v>2146417</v>
      </c>
      <c r="I124" s="3" t="str">
        <f>VLOOKUP(gia_khuyen_mai[[#This Row],[Mã sản phẩm]],'Giá gốc'!$B:$C,2,0)</f>
        <v>Chân giò hong khói rút xương 300g</v>
      </c>
      <c r="J124" s="5">
        <f>VLOOKUP(gia_khuyen_mai[[#This Row],[Mã sản phẩm]],'Giá gốc'!B:D,3,0)</f>
        <v>67700</v>
      </c>
      <c r="K124" s="57">
        <v>0.2</v>
      </c>
      <c r="L124" s="6">
        <f>ROUND((1-gia_khuyen_mai[[#This Row],[% Giảm giá]]) * gia_khuyen_mai[[#This Row],[Giá gốc]], 0)</f>
        <v>54160</v>
      </c>
      <c r="M124" s="6"/>
      <c r="O124" s="3" t="str">
        <f>IFERROR(VLOOKUP(gia_khuyen_mai[[#This Row],[Mã hàng tặng]],'Giá gốc'!B:C,2,0),"")</f>
        <v/>
      </c>
      <c r="Q124" s="3" t="str">
        <f>VLOOKUP(gia_khuyen_mai[[#This Row],[Mã sản phẩm]],product[[Mã sản phẩm]:[DS - ĐV]],3,0)</f>
        <v>Food Đức Việt</v>
      </c>
    </row>
    <row r="125" spans="1:17" ht="21.75" customHeight="1">
      <c r="A125" s="38">
        <f t="shared" si="4"/>
        <v>124</v>
      </c>
      <c r="B125" s="4" t="s">
        <v>12948</v>
      </c>
      <c r="C125" s="4" t="s">
        <v>500</v>
      </c>
      <c r="D125" s="4" t="s">
        <v>496</v>
      </c>
      <c r="E125" s="4" t="s">
        <v>12936</v>
      </c>
      <c r="F125" s="4" t="s">
        <v>12949</v>
      </c>
      <c r="G125" s="39" t="s">
        <v>467</v>
      </c>
      <c r="H125" s="3" t="str">
        <f>VLOOKUP(gia_khuyen_mai[[#This Row],[Barcode]],'Giá gốc'!$A:$B,2,0)</f>
        <v>2148987</v>
      </c>
      <c r="I125" s="3" t="str">
        <f>VLOOKUP(gia_khuyen_mai[[#This Row],[Mã sản phẩm]],'Giá gốc'!$B:$C,2,0)</f>
        <v>Kimchi cải thảo cắt lát 150g * 30EA</v>
      </c>
      <c r="J125" s="5">
        <f>VLOOKUP(gia_khuyen_mai[[#This Row],[Mã sản phẩm]],'Giá gốc'!B:D,3,0)</f>
        <v>14200</v>
      </c>
      <c r="K125" s="57"/>
      <c r="L125" s="6">
        <f>ROUND((1-gia_khuyen_mai[[#This Row],[% Giảm giá]]) * gia_khuyen_mai[[#This Row],[Giá gốc]], 0)</f>
        <v>14200</v>
      </c>
      <c r="M125" s="6" t="s">
        <v>503</v>
      </c>
      <c r="N125" s="3" t="str">
        <f>VLOOKUP(gia_khuyen_mai[[#This Row],[Barcode]],'Giá gốc'!$A:$B,2,0)</f>
        <v>2148987</v>
      </c>
      <c r="O125" s="3" t="str">
        <f>IFERROR(VLOOKUP(gia_khuyen_mai[[#This Row],[Mã hàng tặng]],'Giá gốc'!B:C,2,0),"")</f>
        <v>Kimchi cải thảo cắt lát 150g * 30EA</v>
      </c>
      <c r="Q125" s="3" t="str">
        <f>VLOOKUP(gia_khuyen_mai[[#This Row],[Mã sản phẩm]],product[[Mã sản phẩm]:[DS - ĐV]],3,0)</f>
        <v>Food Đức Việt</v>
      </c>
    </row>
    <row r="126" spans="1:17" ht="21.75" customHeight="1">
      <c r="A126" s="38">
        <f t="shared" si="4"/>
        <v>125</v>
      </c>
      <c r="B126" s="4" t="s">
        <v>12948</v>
      </c>
      <c r="C126" s="4" t="s">
        <v>500</v>
      </c>
      <c r="D126" s="4" t="s">
        <v>496</v>
      </c>
      <c r="E126" s="4" t="s">
        <v>12841</v>
      </c>
      <c r="F126" s="4" t="s">
        <v>12949</v>
      </c>
      <c r="G126" s="39" t="s">
        <v>473</v>
      </c>
      <c r="H126" s="3" t="str">
        <f>VLOOKUP(gia_khuyen_mai[[#This Row],[Barcode]],'Giá gốc'!$A:$B,2,0)</f>
        <v>2145679</v>
      </c>
      <c r="I126" s="3" t="str">
        <f>VLOOKUP(gia_khuyen_mai[[#This Row],[Mã sản phẩm]],'Giá gốc'!$B:$C,2,0)</f>
        <v>Đức Việt Handy- Xúc xích thịt heo muối hồng Himalaya 175g * 20EA</v>
      </c>
      <c r="J126" s="5">
        <f>VLOOKUP(gia_khuyen_mai[[#This Row],[Mã sản phẩm]],'Giá gốc'!B:D,3,0)</f>
        <v>18300</v>
      </c>
      <c r="K126" s="57"/>
      <c r="L126" s="6">
        <f>ROUND((1-gia_khuyen_mai[[#This Row],[% Giảm giá]]) * gia_khuyen_mai[[#This Row],[Giá gốc]], 0)</f>
        <v>18300</v>
      </c>
      <c r="M126" s="6" t="s">
        <v>503</v>
      </c>
      <c r="N126" s="3" t="str">
        <f>VLOOKUP(gia_khuyen_mai[[#This Row],[Barcode]],'Giá gốc'!$A:$B,2,0)</f>
        <v>2145679</v>
      </c>
      <c r="O126" s="3" t="str">
        <f>IFERROR(VLOOKUP(gia_khuyen_mai[[#This Row],[Mã hàng tặng]],'Giá gốc'!B:C,2,0),"")</f>
        <v>Đức Việt Handy- Xúc xích thịt heo muối hồng Himalaya 175g * 20EA</v>
      </c>
      <c r="Q126" s="3" t="str">
        <f>VLOOKUP(gia_khuyen_mai[[#This Row],[Mã sản phẩm]],product[[Mã sản phẩm]:[DS - ĐV]],3,0)</f>
        <v>Food Đức Việt</v>
      </c>
    </row>
    <row r="127" spans="1:17" ht="21.75" customHeight="1">
      <c r="A127" s="38">
        <f t="shared" si="4"/>
        <v>126</v>
      </c>
      <c r="B127" s="4" t="s">
        <v>12948</v>
      </c>
      <c r="C127" s="4" t="s">
        <v>5</v>
      </c>
      <c r="D127" s="4" t="s">
        <v>496</v>
      </c>
      <c r="E127" s="4" t="s">
        <v>12841</v>
      </c>
      <c r="F127" s="4" t="s">
        <v>12949</v>
      </c>
      <c r="G127" s="39" t="s">
        <v>476</v>
      </c>
      <c r="H127" s="3" t="str">
        <f>VLOOKUP(gia_khuyen_mai[[#This Row],[Barcode]],'Giá gốc'!$A:$B,2,0)</f>
        <v>2150337</v>
      </c>
      <c r="I127" s="3" t="str">
        <f>VLOOKUP(gia_khuyen_mai[[#This Row],[Mã sản phẩm]],'Giá gốc'!$B:$C,2,0)</f>
        <v>O'food Chả giò da xốp nhân thịt 300g</v>
      </c>
      <c r="J127" s="5">
        <f>VLOOKUP(gia_khuyen_mai[[#This Row],[Mã sản phẩm]],'Giá gốc'!B:D,3,0)</f>
        <v>31524</v>
      </c>
      <c r="K127" s="57">
        <v>0.3</v>
      </c>
      <c r="L127" s="6">
        <f>ROUND((1-gia_khuyen_mai[[#This Row],[% Giảm giá]]) * gia_khuyen_mai[[#This Row],[Giá gốc]], 0)</f>
        <v>22067</v>
      </c>
      <c r="M127" s="6"/>
      <c r="O127" s="3" t="str">
        <f>IFERROR(VLOOKUP(gia_khuyen_mai[[#This Row],[Mã hàng tặng]],'Giá gốc'!B:C,2,0),"")</f>
        <v/>
      </c>
      <c r="Q127" s="3" t="str">
        <f>VLOOKUP(gia_khuyen_mai[[#This Row],[Mã sản phẩm]],product[[Mã sản phẩm]:[DS - ĐV]],3,0)</f>
        <v>Food Đức Việt</v>
      </c>
    </row>
    <row r="128" spans="1:17" ht="21.75" customHeight="1">
      <c r="A128" s="52">
        <f t="shared" ref="A128:A133" si="5">ROW()-1</f>
        <v>127</v>
      </c>
      <c r="B128" s="4" t="s">
        <v>13133</v>
      </c>
      <c r="C128" s="4" t="s">
        <v>500</v>
      </c>
      <c r="D128" s="4" t="s">
        <v>496</v>
      </c>
      <c r="E128" s="4" t="s">
        <v>13134</v>
      </c>
      <c r="F128" s="4" t="s">
        <v>13135</v>
      </c>
      <c r="G128" s="53" t="s">
        <v>382</v>
      </c>
      <c r="H128" s="3" t="str">
        <f>VLOOKUP(gia_khuyen_mai[[#This Row],[Barcode]],'Giá gốc'!$A:$B,2,0)</f>
        <v>2145691</v>
      </c>
      <c r="I128" s="3" t="str">
        <f>VLOOKUP(gia_khuyen_mai[[#This Row],[Mã sản phẩm]],'Giá gốc'!$B:$C,2,0)</f>
        <v>Xúc xích viên hong khói 450g * 1EA</v>
      </c>
      <c r="J128" s="54">
        <f>VLOOKUP(gia_khuyen_mai[[#This Row],[Mã sản phẩm]],'Giá gốc'!B:D,3,0)</f>
        <v>84200</v>
      </c>
      <c r="K128" s="60">
        <v>0.23</v>
      </c>
      <c r="L128" s="6">
        <f>ROUND((1-gia_khuyen_mai[[#This Row],[% Giảm giá]]) * gia_khuyen_mai[[#This Row],[Giá gốc]], 0)</f>
        <v>64834</v>
      </c>
      <c r="M128" s="6"/>
      <c r="O128" s="3" t="str">
        <f>IFERROR(VLOOKUP(gia_khuyen_mai[[#This Row],[Mã hàng tặng]],'Giá gốc'!B:C,2,0),"")</f>
        <v/>
      </c>
      <c r="Q128" s="3" t="str">
        <f>VLOOKUP(gia_khuyen_mai[[#This Row],[Mã sản phẩm]],product[[Mã sản phẩm]:[DS - ĐV]],3,0)</f>
        <v>Food Đức Việt</v>
      </c>
    </row>
    <row r="129" spans="1:17" ht="21.75" customHeight="1">
      <c r="A129" s="52">
        <f t="shared" si="5"/>
        <v>128</v>
      </c>
      <c r="B129" s="4" t="s">
        <v>13133</v>
      </c>
      <c r="C129" s="4" t="s">
        <v>500</v>
      </c>
      <c r="D129" s="4" t="s">
        <v>496</v>
      </c>
      <c r="E129" s="4" t="s">
        <v>13134</v>
      </c>
      <c r="F129" s="4" t="s">
        <v>13135</v>
      </c>
      <c r="G129" s="53" t="s">
        <v>409</v>
      </c>
      <c r="H129" s="3" t="str">
        <f>VLOOKUP(gia_khuyen_mai[[#This Row],[Barcode]],'Giá gốc'!$A:$B,2,0)</f>
        <v>2145765</v>
      </c>
      <c r="I129" s="3" t="str">
        <f>VLOOKUP(gia_khuyen_mai[[#This Row],[Mã sản phẩm]],'Giá gốc'!$B:$C,2,0)</f>
        <v>Xúc xích Hotdog 200g</v>
      </c>
      <c r="J129" s="54">
        <f>VLOOKUP(gia_khuyen_mai[[#This Row],[Mã sản phẩm]],'Giá gốc'!B:D,3,0)</f>
        <v>20100</v>
      </c>
      <c r="K129" s="61">
        <v>0.2</v>
      </c>
      <c r="L129" s="6">
        <f>ROUND((1-gia_khuyen_mai[[#This Row],[% Giảm giá]]) * gia_khuyen_mai[[#This Row],[Giá gốc]], 0)</f>
        <v>16080</v>
      </c>
      <c r="M129" s="6"/>
      <c r="O129" s="3" t="str">
        <f>IFERROR(VLOOKUP(gia_khuyen_mai[[#This Row],[Mã hàng tặng]],'Giá gốc'!B:C,2,0),"")</f>
        <v/>
      </c>
      <c r="Q129" s="3" t="str">
        <f>VLOOKUP(gia_khuyen_mai[[#This Row],[Mã sản phẩm]],product[[Mã sản phẩm]:[DS - ĐV]],3,0)</f>
        <v>Food Đức Việt</v>
      </c>
    </row>
    <row r="130" spans="1:17" ht="21.75" customHeight="1">
      <c r="A130" s="52">
        <f t="shared" si="5"/>
        <v>129</v>
      </c>
      <c r="B130" s="4" t="s">
        <v>13133</v>
      </c>
      <c r="C130" s="4" t="s">
        <v>500</v>
      </c>
      <c r="D130" s="4" t="s">
        <v>496</v>
      </c>
      <c r="E130" s="4" t="s">
        <v>13134</v>
      </c>
      <c r="F130" s="4" t="s">
        <v>13135</v>
      </c>
      <c r="G130" s="53" t="s">
        <v>464</v>
      </c>
      <c r="H130" s="3" t="str">
        <f>VLOOKUP(gia_khuyen_mai[[#This Row],[Barcode]],'Giá gốc'!$A:$B,2,0)</f>
        <v>2145622</v>
      </c>
      <c r="I130" s="3" t="str">
        <f>VLOOKUP(gia_khuyen_mai[[#This Row],[Mã sản phẩm]],'Giá gốc'!$B:$C,2,0)</f>
        <v>Kim chi 450</v>
      </c>
      <c r="J130" s="54">
        <f>VLOOKUP(gia_khuyen_mai[[#This Row],[Mã sản phẩm]],'Giá gốc'!B:D,3,0)</f>
        <v>35500</v>
      </c>
      <c r="K130" s="60">
        <v>0.3</v>
      </c>
      <c r="L130" s="6">
        <f>ROUND((1-gia_khuyen_mai[[#This Row],[% Giảm giá]]) * gia_khuyen_mai[[#This Row],[Giá gốc]], 0)</f>
        <v>24850</v>
      </c>
      <c r="M130" s="6"/>
      <c r="O130" s="3" t="str">
        <f>IFERROR(VLOOKUP(gia_khuyen_mai[[#This Row],[Mã hàng tặng]],'Giá gốc'!B:C,2,0),"")</f>
        <v/>
      </c>
      <c r="Q130" s="3" t="str">
        <f>VLOOKUP(gia_khuyen_mai[[#This Row],[Mã sản phẩm]],product[[Mã sản phẩm]:[DS - ĐV]],3,0)</f>
        <v>Food Đức Việt</v>
      </c>
    </row>
    <row r="131" spans="1:17" ht="21.75" customHeight="1">
      <c r="A131" s="52">
        <f t="shared" si="5"/>
        <v>130</v>
      </c>
      <c r="B131" s="4" t="s">
        <v>13133</v>
      </c>
      <c r="C131" s="4" t="s">
        <v>500</v>
      </c>
      <c r="D131" s="4" t="s">
        <v>496</v>
      </c>
      <c r="E131" s="4" t="s">
        <v>13134</v>
      </c>
      <c r="F131" s="4" t="s">
        <v>13135</v>
      </c>
      <c r="G131" s="53" t="s">
        <v>470</v>
      </c>
      <c r="H131" s="3" t="str">
        <f>VLOOKUP(gia_khuyen_mai[[#This Row],[Barcode]],'Giá gốc'!$A:$B,2,0)</f>
        <v>2145699</v>
      </c>
      <c r="I131" s="3" t="str">
        <f>VLOOKUP(gia_khuyen_mai[[#This Row],[Mã sản phẩm]],'Giá gốc'!$B:$C,2,0)</f>
        <v>Seoul's Hotdog Chiên xù 250g (Đ)</v>
      </c>
      <c r="J131" s="54">
        <f>VLOOKUP(gia_khuyen_mai[[#This Row],[Mã sản phẩm]],'Giá gốc'!B:D,3,0)</f>
        <v>39150</v>
      </c>
      <c r="K131" s="60">
        <v>0.25</v>
      </c>
      <c r="L131" s="6">
        <f>ROUND((1-gia_khuyen_mai[[#This Row],[% Giảm giá]]) * gia_khuyen_mai[[#This Row],[Giá gốc]], 0)</f>
        <v>29363</v>
      </c>
      <c r="M131" s="6"/>
      <c r="O131" s="3" t="str">
        <f>IFERROR(VLOOKUP(gia_khuyen_mai[[#This Row],[Mã hàng tặng]],'Giá gốc'!B:C,2,0),"")</f>
        <v/>
      </c>
      <c r="Q131" s="3" t="str">
        <f>VLOOKUP(gia_khuyen_mai[[#This Row],[Mã sản phẩm]],product[[Mã sản phẩm]:[DS - ĐV]],3,0)</f>
        <v>Food Đức Việt</v>
      </c>
    </row>
    <row r="132" spans="1:17" ht="21.75" customHeight="1">
      <c r="A132" s="52">
        <f t="shared" si="5"/>
        <v>131</v>
      </c>
      <c r="B132" s="4" t="s">
        <v>13133</v>
      </c>
      <c r="C132" s="4" t="s">
        <v>500</v>
      </c>
      <c r="D132" s="4" t="s">
        <v>496</v>
      </c>
      <c r="E132" s="4" t="s">
        <v>13134</v>
      </c>
      <c r="F132" s="4" t="s">
        <v>13135</v>
      </c>
      <c r="G132" s="53" t="s">
        <v>479</v>
      </c>
      <c r="H132" s="3" t="str">
        <f>VLOOKUP(gia_khuyen_mai[[#This Row],[Barcode]],'Giá gốc'!$A:$B,2,0)</f>
        <v>2150338</v>
      </c>
      <c r="I132" s="3" t="str">
        <f>VLOOKUP(gia_khuyen_mai[[#This Row],[Mã sản phẩm]],'Giá gốc'!$B:$C,2,0)</f>
        <v>O'food Chả giò da xốp hải sản 300g</v>
      </c>
      <c r="J132" s="54">
        <f>VLOOKUP(gia_khuyen_mai[[#This Row],[Mã sản phẩm]],'Giá gốc'!B:D,3,0)</f>
        <v>31524</v>
      </c>
      <c r="K132" s="61">
        <v>0.25</v>
      </c>
      <c r="L132" s="6">
        <f>ROUND((1-gia_khuyen_mai[[#This Row],[% Giảm giá]]) * gia_khuyen_mai[[#This Row],[Giá gốc]], 0)</f>
        <v>23643</v>
      </c>
      <c r="M132" s="6"/>
      <c r="O132" s="3" t="str">
        <f>IFERROR(VLOOKUP(gia_khuyen_mai[[#This Row],[Mã hàng tặng]],'Giá gốc'!B:C,2,0),"")</f>
        <v/>
      </c>
      <c r="Q132" s="3" t="str">
        <f>VLOOKUP(gia_khuyen_mai[[#This Row],[Mã sản phẩm]],product[[Mã sản phẩm]:[DS - ĐV]],3,0)</f>
        <v>Food Đức Việt</v>
      </c>
    </row>
    <row r="133" spans="1:17" ht="21.75" customHeight="1">
      <c r="A133" s="52">
        <f t="shared" si="5"/>
        <v>132</v>
      </c>
      <c r="B133" s="4" t="s">
        <v>13133</v>
      </c>
      <c r="C133" s="4" t="s">
        <v>500</v>
      </c>
      <c r="D133" s="4" t="s">
        <v>496</v>
      </c>
      <c r="E133" s="4" t="s">
        <v>13134</v>
      </c>
      <c r="F133" s="4" t="s">
        <v>13135</v>
      </c>
      <c r="G133" s="53" t="s">
        <v>12461</v>
      </c>
      <c r="H133" s="3" t="str">
        <f>VLOOKUP(gia_khuyen_mai[[#This Row],[Barcode]],'Giá gốc'!$A:$B,2,0)</f>
        <v>2151765</v>
      </c>
      <c r="I133" s="3" t="str">
        <f>VLOOKUP(gia_khuyen_mai[[#This Row],[Mã sản phẩm]],'Giá gốc'!$B:$C,2,0)</f>
        <v>Ức gà hong khói 100g</v>
      </c>
      <c r="J133" s="54">
        <f>VLOOKUP(gia_khuyen_mai[[#This Row],[Mã sản phẩm]],'Giá gốc'!B:D,3,0)</f>
        <v>26000</v>
      </c>
      <c r="K133" s="61">
        <v>0.22</v>
      </c>
      <c r="L133" s="6">
        <f>ROUND((1-gia_khuyen_mai[[#This Row],[% Giảm giá]]) * gia_khuyen_mai[[#This Row],[Giá gốc]], 0)</f>
        <v>20280</v>
      </c>
      <c r="M133" s="6"/>
      <c r="O133" s="3" t="str">
        <f>IFERROR(VLOOKUP(gia_khuyen_mai[[#This Row],[Mã hàng tặng]],'Giá gốc'!B:C,2,0),"")</f>
        <v/>
      </c>
      <c r="Q133" s="3" t="str">
        <f>VLOOKUP(gia_khuyen_mai[[#This Row],[Mã sản phẩm]],product[[Mã sản phẩm]:[DS - ĐV]],3,0)</f>
        <v>Food Đức Việt</v>
      </c>
    </row>
    <row r="134" spans="1:17" ht="21.75" customHeight="1">
      <c r="A134" s="52">
        <f>ROW()-1</f>
        <v>133</v>
      </c>
      <c r="B134" s="4" t="s">
        <v>13133</v>
      </c>
      <c r="C134" s="4" t="s">
        <v>5</v>
      </c>
      <c r="D134" s="4" t="s">
        <v>496</v>
      </c>
      <c r="E134" s="4" t="s">
        <v>13134</v>
      </c>
      <c r="F134" s="4" t="s">
        <v>13135</v>
      </c>
      <c r="G134" s="53" t="s">
        <v>418</v>
      </c>
      <c r="H134" s="3" t="str">
        <f>VLOOKUP(gia_khuyen_mai[[#This Row],[Barcode]],'Giá gốc'!$A:$B,2,0)</f>
        <v>2145783</v>
      </c>
      <c r="I134" s="3" t="str">
        <f>VLOOKUP(gia_khuyen_mai[[#This Row],[Mã sản phẩm]],'Giá gốc'!$B:$C,2,0)</f>
        <v>Xúc xích Romas ( 50g) 500g</v>
      </c>
      <c r="J134" s="54">
        <f>VLOOKUP(gia_khuyen_mai[[#This Row],[Mã sản phẩm]],'Giá gốc'!B:D,3,0)</f>
        <v>53900</v>
      </c>
      <c r="K134" s="59">
        <v>0.2</v>
      </c>
      <c r="L134" s="6">
        <f>ROUND((1-gia_khuyen_mai[[#This Row],[% Giảm giá]]) * gia_khuyen_mai[[#This Row],[Giá gốc]], 0)</f>
        <v>43120</v>
      </c>
      <c r="M134" s="6"/>
      <c r="O134" s="3" t="str">
        <f>IFERROR(VLOOKUP(gia_khuyen_mai[[#This Row],[Mã hàng tặng]],'Giá gốc'!B:C,2,0),"")</f>
        <v/>
      </c>
      <c r="Q134" s="3" t="str">
        <f>VLOOKUP(gia_khuyen_mai[[#This Row],[Mã sản phẩm]],product[[Mã sản phẩm]:[DS - ĐV]],3,0)</f>
        <v>Food Đức Việt</v>
      </c>
    </row>
    <row r="135" spans="1:17" ht="21.75" customHeight="1">
      <c r="A135" s="52">
        <f t="shared" ref="A135:A143" si="6">ROW()-1</f>
        <v>134</v>
      </c>
      <c r="B135" s="4" t="s">
        <v>13133</v>
      </c>
      <c r="C135" s="4" t="s">
        <v>183</v>
      </c>
      <c r="D135" s="4" t="s">
        <v>496</v>
      </c>
      <c r="E135" s="4" t="s">
        <v>13134</v>
      </c>
      <c r="F135" s="4" t="s">
        <v>13135</v>
      </c>
      <c r="G135" s="53" t="s">
        <v>400</v>
      </c>
      <c r="H135" s="3" t="str">
        <f>VLOOKUP(gia_khuyen_mai[[#This Row],[Barcode]],'Giá gốc'!$A:$B,2,0)</f>
        <v>2145740</v>
      </c>
      <c r="I135" s="3" t="str">
        <f>VLOOKUP(gia_khuyen_mai[[#This Row],[Mã sản phẩm]],'Giá gốc'!$B:$C,2,0)</f>
        <v>Xúc xích phô mai Cheesy 70g * 30EA</v>
      </c>
      <c r="J135" s="54">
        <f>VLOOKUP(gia_khuyen_mai[[#This Row],[Mã sản phẩm]],'Giá gốc'!B:D,3,0)</f>
        <v>17100</v>
      </c>
      <c r="K135" s="61">
        <v>0.2</v>
      </c>
      <c r="L135" s="6">
        <f>ROUND((1-gia_khuyen_mai[[#This Row],[% Giảm giá]]) * gia_khuyen_mai[[#This Row],[Giá gốc]], 0)</f>
        <v>13680</v>
      </c>
      <c r="M135" s="6"/>
      <c r="O135" s="3" t="str">
        <f>IFERROR(VLOOKUP(gia_khuyen_mai[[#This Row],[Mã hàng tặng]],'Giá gốc'!B:C,2,0),"")</f>
        <v/>
      </c>
      <c r="Q135" s="3" t="str">
        <f>VLOOKUP(gia_khuyen_mai[[#This Row],[Mã sản phẩm]],product[[Mã sản phẩm]:[DS - ĐV]],3,0)</f>
        <v>Food Đức Việt</v>
      </c>
    </row>
    <row r="136" spans="1:17" ht="21.75" customHeight="1">
      <c r="A136" s="52">
        <f t="shared" si="6"/>
        <v>135</v>
      </c>
      <c r="B136" s="4" t="s">
        <v>13133</v>
      </c>
      <c r="C136" s="4" t="s">
        <v>183</v>
      </c>
      <c r="D136" s="4" t="s">
        <v>496</v>
      </c>
      <c r="E136" s="4" t="s">
        <v>13134</v>
      </c>
      <c r="F136" s="4" t="s">
        <v>13135</v>
      </c>
      <c r="G136" s="53" t="s">
        <v>412</v>
      </c>
      <c r="H136" s="3" t="str">
        <f>VLOOKUP(gia_khuyen_mai[[#This Row],[Barcode]],'Giá gốc'!$A:$B,2,0)</f>
        <v>2145768</v>
      </c>
      <c r="I136" s="3" t="str">
        <f>VLOOKUP(gia_khuyen_mai[[#This Row],[Mã sản phẩm]],'Giá gốc'!$B:$C,2,0)</f>
        <v>Xúc xích Hotdog 500g</v>
      </c>
      <c r="J136" s="54">
        <f>VLOOKUP(gia_khuyen_mai[[#This Row],[Mã sản phẩm]],'Giá gốc'!B:D,3,0)</f>
        <v>50200</v>
      </c>
      <c r="K136" s="61">
        <v>0.2</v>
      </c>
      <c r="L136" s="6">
        <f>ROUND((1-gia_khuyen_mai[[#This Row],[% Giảm giá]]) * gia_khuyen_mai[[#This Row],[Giá gốc]], 0)</f>
        <v>40160</v>
      </c>
      <c r="M136" s="6"/>
      <c r="O136" s="3" t="str">
        <f>IFERROR(VLOOKUP(gia_khuyen_mai[[#This Row],[Mã hàng tặng]],'Giá gốc'!B:C,2,0),"")</f>
        <v/>
      </c>
      <c r="Q136" s="3" t="str">
        <f>VLOOKUP(gia_khuyen_mai[[#This Row],[Mã sản phẩm]],product[[Mã sản phẩm]:[DS - ĐV]],3,0)</f>
        <v>Food Đức Việt</v>
      </c>
    </row>
    <row r="137" spans="1:17" ht="21.75" customHeight="1">
      <c r="A137" s="52">
        <f t="shared" si="6"/>
        <v>136</v>
      </c>
      <c r="B137" s="4" t="s">
        <v>13133</v>
      </c>
      <c r="C137" s="4" t="s">
        <v>183</v>
      </c>
      <c r="D137" s="4" t="s">
        <v>496</v>
      </c>
      <c r="E137" s="4" t="s">
        <v>13134</v>
      </c>
      <c r="F137" s="4" t="s">
        <v>13135</v>
      </c>
      <c r="G137" s="53" t="s">
        <v>421</v>
      </c>
      <c r="H137" s="3" t="str">
        <f>VLOOKUP(gia_khuyen_mai[[#This Row],[Barcode]],'Giá gốc'!$A:$B,2,0)</f>
        <v>2145791</v>
      </c>
      <c r="I137" s="3" t="str">
        <f>VLOOKUP(gia_khuyen_mai[[#This Row],[Mã sản phẩm]],'Giá gốc'!$B:$C,2,0)</f>
        <v>Xúc xích Romas 70g * 30EA</v>
      </c>
      <c r="J137" s="54">
        <f>VLOOKUP(gia_khuyen_mai[[#This Row],[Mã sản phẩm]],'Giá gốc'!B:D,3,0)</f>
        <v>13100</v>
      </c>
      <c r="K137" s="61">
        <v>0.2</v>
      </c>
      <c r="L137" s="6">
        <f>ROUND((1-gia_khuyen_mai[[#This Row],[% Giảm giá]]) * gia_khuyen_mai[[#This Row],[Giá gốc]], 0)</f>
        <v>10480</v>
      </c>
      <c r="M137" s="6"/>
      <c r="O137" s="3" t="str">
        <f>IFERROR(VLOOKUP(gia_khuyen_mai[[#This Row],[Mã hàng tặng]],'Giá gốc'!B:C,2,0),"")</f>
        <v/>
      </c>
      <c r="Q137" s="3" t="str">
        <f>VLOOKUP(gia_khuyen_mai[[#This Row],[Mã sản phẩm]],product[[Mã sản phẩm]:[DS - ĐV]],3,0)</f>
        <v>Food Đức Việt</v>
      </c>
    </row>
    <row r="138" spans="1:17" ht="21.75" customHeight="1">
      <c r="A138" s="52">
        <f t="shared" si="6"/>
        <v>137</v>
      </c>
      <c r="B138" s="4" t="s">
        <v>13133</v>
      </c>
      <c r="C138" s="4" t="s">
        <v>183</v>
      </c>
      <c r="D138" s="4" t="s">
        <v>496</v>
      </c>
      <c r="E138" s="4" t="s">
        <v>13134</v>
      </c>
      <c r="F138" s="4" t="s">
        <v>13135</v>
      </c>
      <c r="G138" s="53" t="s">
        <v>448</v>
      </c>
      <c r="H138" s="3" t="str">
        <f>VLOOKUP(gia_khuyen_mai[[#This Row],[Barcode]],'Giá gốc'!$A:$B,2,0)</f>
        <v>2145695</v>
      </c>
      <c r="I138" s="3" t="str">
        <f>VLOOKUP(gia_khuyen_mai[[#This Row],[Mã sản phẩm]],'Giá gốc'!$B:$C,2,0)</f>
        <v>Seoul's Hotdog 350g</v>
      </c>
      <c r="J138" s="54">
        <f>VLOOKUP(gia_khuyen_mai[[#This Row],[Mã sản phẩm]],'Giá gốc'!B:D,3,0)</f>
        <v>48384</v>
      </c>
      <c r="K138" s="61">
        <v>0.25</v>
      </c>
      <c r="L138" s="6">
        <f>ROUND((1-gia_khuyen_mai[[#This Row],[% Giảm giá]]) * gia_khuyen_mai[[#This Row],[Giá gốc]], 0)</f>
        <v>36288</v>
      </c>
      <c r="M138" s="6"/>
      <c r="O138" s="3" t="str">
        <f>IFERROR(VLOOKUP(gia_khuyen_mai[[#This Row],[Mã hàng tặng]],'Giá gốc'!B:C,2,0),"")</f>
        <v/>
      </c>
      <c r="Q138" s="3" t="str">
        <f>VLOOKUP(gia_khuyen_mai[[#This Row],[Mã sản phẩm]],product[[Mã sản phẩm]:[DS - ĐV]],3,0)</f>
        <v>Food Đức Việt</v>
      </c>
    </row>
    <row r="139" spans="1:17" ht="21.75" customHeight="1">
      <c r="A139" s="52">
        <f t="shared" si="6"/>
        <v>138</v>
      </c>
      <c r="B139" s="4" t="s">
        <v>13133</v>
      </c>
      <c r="C139" s="4" t="s">
        <v>183</v>
      </c>
      <c r="D139" s="4" t="s">
        <v>496</v>
      </c>
      <c r="E139" s="4" t="s">
        <v>13134</v>
      </c>
      <c r="F139" s="4" t="s">
        <v>13135</v>
      </c>
      <c r="G139" s="53" t="s">
        <v>451</v>
      </c>
      <c r="H139" s="3" t="str">
        <f>VLOOKUP(gia_khuyen_mai[[#This Row],[Barcode]],'Giá gốc'!$A:$B,2,0)</f>
        <v>2145697</v>
      </c>
      <c r="I139" s="3" t="str">
        <f>VLOOKUP(gia_khuyen_mai[[#This Row],[Mã sản phẩm]],'Giá gốc'!$B:$C,2,0)</f>
        <v>Seoul nhân phô mai 250g</v>
      </c>
      <c r="J139" s="54">
        <f>VLOOKUP(gia_khuyen_mai[[#This Row],[Mã sản phẩm]],'Giá gốc'!B:D,3,0)</f>
        <v>42000</v>
      </c>
      <c r="K139" s="61">
        <v>0.22</v>
      </c>
      <c r="L139" s="6">
        <f>ROUND((1-gia_khuyen_mai[[#This Row],[% Giảm giá]]) * gia_khuyen_mai[[#This Row],[Giá gốc]], 0)</f>
        <v>32760</v>
      </c>
      <c r="M139" s="6"/>
      <c r="O139" s="3" t="str">
        <f>IFERROR(VLOOKUP(gia_khuyen_mai[[#This Row],[Mã hàng tặng]],'Giá gốc'!B:C,2,0),"")</f>
        <v/>
      </c>
      <c r="Q139" s="3" t="str">
        <f>VLOOKUP(gia_khuyen_mai[[#This Row],[Mã sản phẩm]],product[[Mã sản phẩm]:[DS - ĐV]],3,0)</f>
        <v>Food Đức Việt</v>
      </c>
    </row>
    <row r="140" spans="1:17" ht="21.75" customHeight="1">
      <c r="A140" s="52">
        <f t="shared" si="6"/>
        <v>139</v>
      </c>
      <c r="B140" s="4" t="s">
        <v>13133</v>
      </c>
      <c r="C140" s="4" t="s">
        <v>183</v>
      </c>
      <c r="D140" s="4" t="s">
        <v>496</v>
      </c>
      <c r="E140" s="4" t="s">
        <v>13134</v>
      </c>
      <c r="F140" s="4" t="s">
        <v>13135</v>
      </c>
      <c r="G140" s="53" t="s">
        <v>458</v>
      </c>
      <c r="H140" s="3" t="str">
        <f>VLOOKUP(gia_khuyen_mai[[#This Row],[Barcode]],'Giá gốc'!$A:$B,2,0)</f>
        <v>2145680</v>
      </c>
      <c r="I140" s="3" t="str">
        <f>VLOOKUP(gia_khuyen_mai[[#This Row],[Mã sản phẩm]],'Giá gốc'!$B:$C,2,0)</f>
        <v>O'food Xúc xích Lắc Phô mai vị truyền thống 56g * 24EA</v>
      </c>
      <c r="J140" s="54">
        <f>VLOOKUP(gia_khuyen_mai[[#This Row],[Mã sản phẩm]],'Giá gốc'!B:D,3,0)</f>
        <v>9300</v>
      </c>
      <c r="K140" s="61">
        <v>0.2</v>
      </c>
      <c r="L140" s="6">
        <f>ROUND((1-gia_khuyen_mai[[#This Row],[% Giảm giá]]) * gia_khuyen_mai[[#This Row],[Giá gốc]], 0)</f>
        <v>7440</v>
      </c>
      <c r="M140" s="6"/>
      <c r="O140" s="3" t="str">
        <f>IFERROR(VLOOKUP(gia_khuyen_mai[[#This Row],[Mã hàng tặng]],'Giá gốc'!B:C,2,0),"")</f>
        <v/>
      </c>
      <c r="Q140" s="3" t="str">
        <f>VLOOKUP(gia_khuyen_mai[[#This Row],[Mã sản phẩm]],product[[Mã sản phẩm]:[DS - ĐV]],3,0)</f>
        <v>Food Đức Việt</v>
      </c>
    </row>
    <row r="141" spans="1:17" ht="21.75" customHeight="1">
      <c r="A141" s="52">
        <f t="shared" si="6"/>
        <v>140</v>
      </c>
      <c r="B141" s="4" t="s">
        <v>13133</v>
      </c>
      <c r="C141" s="4" t="s">
        <v>183</v>
      </c>
      <c r="D141" s="4" t="s">
        <v>496</v>
      </c>
      <c r="E141" s="4" t="s">
        <v>13134</v>
      </c>
      <c r="F141" s="4" t="s">
        <v>13135</v>
      </c>
      <c r="G141" s="53" t="s">
        <v>461</v>
      </c>
      <c r="H141" s="3" t="str">
        <f>VLOOKUP(gia_khuyen_mai[[#This Row],[Barcode]],'Giá gốc'!$A:$B,2,0)</f>
        <v>2145681</v>
      </c>
      <c r="I141" s="3" t="str">
        <f>VLOOKUP(gia_khuyen_mai[[#This Row],[Mã sản phẩm]],'Giá gốc'!$B:$C,2,0)</f>
        <v>O'food Xúc xích Lắc Phô mai vị dâu tây 56g * 24EA</v>
      </c>
      <c r="J141" s="54">
        <f>VLOOKUP(gia_khuyen_mai[[#This Row],[Mã sản phẩm]],'Giá gốc'!B:D,3,0)</f>
        <v>9300</v>
      </c>
      <c r="K141" s="61">
        <v>0.2</v>
      </c>
      <c r="L141" s="6">
        <f>ROUND((1-gia_khuyen_mai[[#This Row],[% Giảm giá]]) * gia_khuyen_mai[[#This Row],[Giá gốc]], 0)</f>
        <v>7440</v>
      </c>
      <c r="M141" s="6"/>
      <c r="O141" s="3" t="str">
        <f>IFERROR(VLOOKUP(gia_khuyen_mai[[#This Row],[Mã hàng tặng]],'Giá gốc'!B:C,2,0),"")</f>
        <v/>
      </c>
      <c r="Q141" s="3" t="str">
        <f>VLOOKUP(gia_khuyen_mai[[#This Row],[Mã sản phẩm]],product[[Mã sản phẩm]:[DS - ĐV]],3,0)</f>
        <v>Food Đức Việt</v>
      </c>
    </row>
    <row r="142" spans="1:17" ht="21.75" customHeight="1">
      <c r="A142" s="52">
        <f t="shared" si="6"/>
        <v>141</v>
      </c>
      <c r="B142" s="4" t="s">
        <v>13133</v>
      </c>
      <c r="C142" s="4" t="s">
        <v>183</v>
      </c>
      <c r="D142" s="4" t="s">
        <v>496</v>
      </c>
      <c r="E142" s="4" t="s">
        <v>13134</v>
      </c>
      <c r="F142" s="4" t="s">
        <v>13135</v>
      </c>
      <c r="G142" s="53" t="s">
        <v>12826</v>
      </c>
      <c r="H142" s="3" t="str">
        <f>VLOOKUP(gia_khuyen_mai[[#This Row],[Barcode]],'Giá gốc'!$A:$B,2,0)</f>
        <v>2145724</v>
      </c>
      <c r="I142" s="3" t="str">
        <f>VLOOKUP(gia_khuyen_mai[[#This Row],[Mã sản phẩm]],'Giá gốc'!$B:$C,2,0)</f>
        <v>ĐỨC VIỆT Xúc xích Keilbasa 200g</v>
      </c>
      <c r="J142" s="54">
        <f>VLOOKUP(gia_khuyen_mai[[#This Row],[Mã sản phẩm]],'Giá gốc'!B:D,3,0)</f>
        <v>52000</v>
      </c>
      <c r="K142" s="61">
        <v>0.3</v>
      </c>
      <c r="L142" s="6">
        <f>ROUND((1-gia_khuyen_mai[[#This Row],[% Giảm giá]]) * gia_khuyen_mai[[#This Row],[Giá gốc]], 0)</f>
        <v>36400</v>
      </c>
      <c r="M142" s="6"/>
      <c r="O142" s="3" t="str">
        <f>IFERROR(VLOOKUP(gia_khuyen_mai[[#This Row],[Mã hàng tặng]],'Giá gốc'!B:C,2,0),"")</f>
        <v/>
      </c>
      <c r="Q142" s="3" t="str">
        <f>VLOOKUP(gia_khuyen_mai[[#This Row],[Mã sản phẩm]],product[[Mã sản phẩm]:[DS - ĐV]],3,0)</f>
        <v>Food Đức Việt</v>
      </c>
    </row>
    <row r="143" spans="1:17" ht="21.75" customHeight="1">
      <c r="A143" s="52">
        <f t="shared" si="6"/>
        <v>142</v>
      </c>
      <c r="B143" s="4" t="s">
        <v>13133</v>
      </c>
      <c r="C143" s="4" t="s">
        <v>183</v>
      </c>
      <c r="D143" s="4" t="s">
        <v>496</v>
      </c>
      <c r="E143" s="4" t="s">
        <v>13134</v>
      </c>
      <c r="F143" s="4" t="s">
        <v>13135</v>
      </c>
      <c r="G143" s="53" t="s">
        <v>12475</v>
      </c>
      <c r="H143" s="3" t="str">
        <f>VLOOKUP(gia_khuyen_mai[[#This Row],[Barcode]],'Giá gốc'!$A:$B,2,0)</f>
        <v>2149794</v>
      </c>
      <c r="I143" s="3" t="str">
        <f>VLOOKUP(gia_khuyen_mai[[#This Row],[Mã sản phẩm]],'Giá gốc'!$B:$C,2,0)</f>
        <v>Xúc xích Romas Light 500g</v>
      </c>
      <c r="J143" s="54">
        <f>VLOOKUP(gia_khuyen_mai[[#This Row],[Mã sản phẩm]],'Giá gốc'!B:D,3,0)</f>
        <v>44000</v>
      </c>
      <c r="K143" s="61">
        <v>0.22</v>
      </c>
      <c r="L143" s="6">
        <f>ROUND((1-gia_khuyen_mai[[#This Row],[% Giảm giá]]) * gia_khuyen_mai[[#This Row],[Giá gốc]], 0)</f>
        <v>34320</v>
      </c>
      <c r="M143" s="6"/>
      <c r="O143" s="3" t="str">
        <f>IFERROR(VLOOKUP(gia_khuyen_mai[[#This Row],[Mã hàng tặng]],'Giá gốc'!B:C,2,0),"")</f>
        <v/>
      </c>
      <c r="Q143" s="3" t="str">
        <f>VLOOKUP(gia_khuyen_mai[[#This Row],[Mã sản phẩm]],product[[Mã sản phẩm]:[DS - ĐV]],3,0)</f>
        <v>Food Đức Việt</v>
      </c>
    </row>
    <row r="144" spans="1:17" s="65" customFormat="1" ht="21.75" customHeight="1">
      <c r="A144" s="62">
        <f t="shared" ref="A144:A145" si="7">ROW()-1</f>
        <v>143</v>
      </c>
      <c r="B144" s="63" t="s">
        <v>13244</v>
      </c>
      <c r="C144" s="63" t="s">
        <v>183</v>
      </c>
      <c r="D144" s="63" t="s">
        <v>496</v>
      </c>
      <c r="E144" s="63" t="s">
        <v>13242</v>
      </c>
      <c r="F144" s="63" t="s">
        <v>13243</v>
      </c>
      <c r="G144" s="64" t="s">
        <v>367</v>
      </c>
      <c r="H144" s="65" t="str">
        <f>VLOOKUP(gia_khuyen_mai[[#This Row],[Barcode]],'Giá gốc'!$A:$B,2,0)</f>
        <v>2145715</v>
      </c>
      <c r="I144" s="65" t="str">
        <f>VLOOKUP(gia_khuyen_mai[[#This Row],[Mã sản phẩm]],'Giá gốc'!$B:$C,2,0)</f>
        <v>Xúc xích nướng ( 84) 500g</v>
      </c>
      <c r="J144" s="66">
        <f>VLOOKUP(gia_khuyen_mai[[#This Row],[Mã sản phẩm]],'Giá gốc'!B:D,3,0)</f>
        <v>84500</v>
      </c>
      <c r="K144" s="61">
        <v>0.22</v>
      </c>
      <c r="L144" s="67">
        <f>ROUND((1-gia_khuyen_mai[[#This Row],[% Giảm giá]]) * gia_khuyen_mai[[#This Row],[Giá gốc]], 0)</f>
        <v>65910</v>
      </c>
      <c r="M144" s="67"/>
      <c r="O144" s="65" t="str">
        <f>IFERROR(VLOOKUP(gia_khuyen_mai[[#This Row],[Mã hàng tặng]],'Giá gốc'!B:C,2,0),"")</f>
        <v/>
      </c>
      <c r="Q144" s="65" t="str">
        <f>VLOOKUP(gia_khuyen_mai[[#This Row],[Mã sản phẩm]],product[[Mã sản phẩm]:[DS - ĐV]],3,0)</f>
        <v>Food Đức Việt</v>
      </c>
    </row>
    <row r="145" spans="1:17" s="65" customFormat="1" ht="21.75" customHeight="1">
      <c r="A145" s="62">
        <f t="shared" si="7"/>
        <v>144</v>
      </c>
      <c r="B145" s="63" t="s">
        <v>13244</v>
      </c>
      <c r="C145" s="63" t="s">
        <v>183</v>
      </c>
      <c r="D145" s="63" t="s">
        <v>496</v>
      </c>
      <c r="E145" s="63" t="s">
        <v>13242</v>
      </c>
      <c r="F145" s="63" t="s">
        <v>13243</v>
      </c>
      <c r="G145" s="64" t="s">
        <v>388</v>
      </c>
      <c r="H145" s="65" t="str">
        <f>VLOOKUP(gia_khuyen_mai[[#This Row],[Barcode]],'Giá gốc'!$A:$B,2,0)</f>
        <v>2145721</v>
      </c>
      <c r="I145" s="65" t="str">
        <f>VLOOKUP(gia_khuyen_mai[[#This Row],[Mã sản phẩm]],'Giá gốc'!$B:$C,2,0)</f>
        <v>Xúc xích Becllin 500g</v>
      </c>
      <c r="J145" s="66">
        <f>VLOOKUP(gia_khuyen_mai[[#This Row],[Mã sản phẩm]],'Giá gốc'!B:D,3,0)</f>
        <v>96800</v>
      </c>
      <c r="K145" s="61">
        <v>0.2</v>
      </c>
      <c r="L145" s="67">
        <f>ROUND((1-gia_khuyen_mai[[#This Row],[% Giảm giá]]) * gia_khuyen_mai[[#This Row],[Giá gốc]], 0)</f>
        <v>77440</v>
      </c>
      <c r="M145" s="67"/>
      <c r="O145" s="65" t="str">
        <f>IFERROR(VLOOKUP(gia_khuyen_mai[[#This Row],[Mã hàng tặng]],'Giá gốc'!B:C,2,0),"")</f>
        <v/>
      </c>
      <c r="Q145" s="65" t="str">
        <f>VLOOKUP(gia_khuyen_mai[[#This Row],[Mã sản phẩm]],product[[Mã sản phẩm]:[DS - ĐV]],3,0)</f>
        <v>Food Đức Việt</v>
      </c>
    </row>
    <row r="146" spans="1:17" s="65" customFormat="1" ht="21.75" customHeight="1">
      <c r="A146" s="62">
        <f>ROW()-1</f>
        <v>145</v>
      </c>
      <c r="B146" s="63" t="s">
        <v>13244</v>
      </c>
      <c r="C146" s="63" t="s">
        <v>5</v>
      </c>
      <c r="D146" s="63" t="s">
        <v>496</v>
      </c>
      <c r="E146" s="63" t="s">
        <v>13242</v>
      </c>
      <c r="F146" s="63" t="s">
        <v>13243</v>
      </c>
      <c r="G146" s="64" t="s">
        <v>376</v>
      </c>
      <c r="H146" s="65" t="str">
        <f>VLOOKUP(gia_khuyen_mai[[#This Row],[Barcode]],'Giá gốc'!$A:$B,2,0)</f>
        <v>2145690</v>
      </c>
      <c r="I146" s="65" t="str">
        <f>VLOOKUP(gia_khuyen_mai[[#This Row],[Mã sản phẩm]],'Giá gốc'!$B:$C,2,0)</f>
        <v>Xúc xích vườn bia 200g * 1EA</v>
      </c>
      <c r="J146" s="66">
        <f>VLOOKUP(gia_khuyen_mai[[#This Row],[Mã sản phẩm]],'Giá gốc'!B:D,3,0)</f>
        <v>38400</v>
      </c>
      <c r="K146" s="68">
        <v>0.2</v>
      </c>
      <c r="L146" s="67">
        <f>ROUND((1-gia_khuyen_mai[[#This Row],[% Giảm giá]]) * gia_khuyen_mai[[#This Row],[Giá gốc]], 0)</f>
        <v>30720</v>
      </c>
      <c r="M146" s="67"/>
      <c r="O146" s="65" t="str">
        <f>IFERROR(VLOOKUP(gia_khuyen_mai[[#This Row],[Mã hàng tặng]],'Giá gốc'!B:C,2,0),"")</f>
        <v/>
      </c>
      <c r="Q146" s="65" t="str">
        <f>VLOOKUP(gia_khuyen_mai[[#This Row],[Mã sản phẩm]],product[[Mã sản phẩm]:[DS - ĐV]],3,0)</f>
        <v>Food Đức Việt</v>
      </c>
    </row>
    <row r="147" spans="1:17" s="65" customFormat="1" ht="21.75" customHeight="1">
      <c r="A147" s="62">
        <f>ROW()-1</f>
        <v>146</v>
      </c>
      <c r="B147" s="63" t="s">
        <v>13244</v>
      </c>
      <c r="C147" s="63" t="s">
        <v>5</v>
      </c>
      <c r="D147" s="63" t="s">
        <v>496</v>
      </c>
      <c r="E147" s="63" t="s">
        <v>13242</v>
      </c>
      <c r="F147" s="63" t="s">
        <v>13243</v>
      </c>
      <c r="G147" s="64" t="s">
        <v>12462</v>
      </c>
      <c r="H147" s="65" t="str">
        <f>VLOOKUP(gia_khuyen_mai[[#This Row],[Barcode]],'Giá gốc'!$A:$B,2,0)</f>
        <v>2145747</v>
      </c>
      <c r="I147" s="65" t="str">
        <f>VLOOKUP(gia_khuyen_mai[[#This Row],[Mã sản phẩm]],'Giá gốc'!$B:$C,2,0)</f>
        <v>Xúc xích thịt heo Bragenwurst 400g</v>
      </c>
      <c r="J147" s="66">
        <f>VLOOKUP(gia_khuyen_mai[[#This Row],[Mã sản phẩm]],'Giá gốc'!B:D,3,0)</f>
        <v>82080</v>
      </c>
      <c r="K147" s="68">
        <v>0.25</v>
      </c>
      <c r="L147" s="67">
        <f>ROUND((1-gia_khuyen_mai[[#This Row],[% Giảm giá]]) * gia_khuyen_mai[[#This Row],[Giá gốc]], 0)</f>
        <v>61560</v>
      </c>
      <c r="M147" s="67"/>
      <c r="O147" s="65" t="str">
        <f>IFERROR(VLOOKUP(gia_khuyen_mai[[#This Row],[Mã hàng tặng]],'Giá gốc'!B:C,2,0),"")</f>
        <v/>
      </c>
      <c r="Q147" s="65" t="str">
        <f>VLOOKUP(gia_khuyen_mai[[#This Row],[Mã sản phẩm]],product[[Mã sản phẩm]:[DS - ĐV]],3,0)</f>
        <v>Food Đức Việt</v>
      </c>
    </row>
    <row r="148" spans="1:17" s="65" customFormat="1" ht="21.75" customHeight="1">
      <c r="A148" s="62">
        <f>ROW()-1</f>
        <v>147</v>
      </c>
      <c r="B148" s="63" t="s">
        <v>13244</v>
      </c>
      <c r="C148" s="63" t="s">
        <v>183</v>
      </c>
      <c r="D148" s="63" t="s">
        <v>496</v>
      </c>
      <c r="E148" s="63" t="s">
        <v>13242</v>
      </c>
      <c r="F148" s="63" t="s">
        <v>13243</v>
      </c>
      <c r="G148" s="64" t="s">
        <v>12462</v>
      </c>
      <c r="H148" s="65" t="str">
        <f>VLOOKUP(gia_khuyen_mai[[#This Row],[Barcode]],'Giá gốc'!$A:$B,2,0)</f>
        <v>2145747</v>
      </c>
      <c r="I148" s="65" t="str">
        <f>VLOOKUP(gia_khuyen_mai[[#This Row],[Mã sản phẩm]],'Giá gốc'!$B:$C,2,0)</f>
        <v>Xúc xích thịt heo Bragenwurst 400g</v>
      </c>
      <c r="J148" s="66">
        <f>VLOOKUP(gia_khuyen_mai[[#This Row],[Mã sản phẩm]],'Giá gốc'!B:D,3,0)</f>
        <v>82080</v>
      </c>
      <c r="K148" s="68">
        <v>0.3</v>
      </c>
      <c r="L148" s="67">
        <f>ROUND((1-gia_khuyen_mai[[#This Row],[% Giảm giá]]) * gia_khuyen_mai[[#This Row],[Giá gốc]], 0)</f>
        <v>57456</v>
      </c>
      <c r="M148" s="67"/>
      <c r="O148" s="65" t="str">
        <f>IFERROR(VLOOKUP(gia_khuyen_mai[[#This Row],[Mã hàng tặng]],'Giá gốc'!B:C,2,0),"")</f>
        <v/>
      </c>
      <c r="Q148" s="65" t="str">
        <f>VLOOKUP(gia_khuyen_mai[[#This Row],[Mã sản phẩm]],product[[Mã sản phẩm]:[DS - ĐV]],3,0)</f>
        <v>Food Đức Việt</v>
      </c>
    </row>
    <row r="149" spans="1:17" s="65" customFormat="1" ht="21.75" customHeight="1">
      <c r="A149" s="62">
        <f t="shared" ref="A149:A151" si="8">ROW()-1</f>
        <v>148</v>
      </c>
      <c r="B149" s="63" t="s">
        <v>13244</v>
      </c>
      <c r="C149" s="63" t="s">
        <v>500</v>
      </c>
      <c r="D149" s="63" t="s">
        <v>496</v>
      </c>
      <c r="E149" s="63" t="s">
        <v>13242</v>
      </c>
      <c r="F149" s="63" t="s">
        <v>13243</v>
      </c>
      <c r="G149" s="64" t="s">
        <v>373</v>
      </c>
      <c r="H149" s="65" t="str">
        <f>VLOOKUP(gia_khuyen_mai[[#This Row],[Barcode]],'Giá gốc'!$A:$B,2,0)</f>
        <v>2145686</v>
      </c>
      <c r="I149" s="65" t="str">
        <f>VLOOKUP(gia_khuyen_mai[[#This Row],[Mã sản phẩm]],'Giá gốc'!$B:$C,2,0)</f>
        <v>Xúc xích hong khói 450g</v>
      </c>
      <c r="J149" s="66">
        <f>VLOOKUP(gia_khuyen_mai[[#This Row],[Mã sản phẩm]],'Giá gốc'!B:D,3,0)</f>
        <v>79100</v>
      </c>
      <c r="K149" s="60">
        <v>0.23</v>
      </c>
      <c r="L149" s="67">
        <f>ROUND((1-gia_khuyen_mai[[#This Row],[% Giảm giá]]) * gia_khuyen_mai[[#This Row],[Giá gốc]], 0)</f>
        <v>60907</v>
      </c>
      <c r="M149" s="67"/>
      <c r="O149" s="65" t="str">
        <f>IFERROR(VLOOKUP(gia_khuyen_mai[[#This Row],[Mã hàng tặng]],'Giá gốc'!B:C,2,0),"")</f>
        <v/>
      </c>
      <c r="Q149" s="65" t="str">
        <f>VLOOKUP(gia_khuyen_mai[[#This Row],[Mã sản phẩm]],product[[Mã sản phẩm]:[DS - ĐV]],3,0)</f>
        <v>Food Đức Việt</v>
      </c>
    </row>
    <row r="150" spans="1:17" s="65" customFormat="1" ht="21.75" customHeight="1">
      <c r="A150" s="62">
        <f t="shared" si="8"/>
        <v>149</v>
      </c>
      <c r="B150" s="63" t="s">
        <v>13244</v>
      </c>
      <c r="C150" s="63" t="s">
        <v>500</v>
      </c>
      <c r="D150" s="63" t="s">
        <v>496</v>
      </c>
      <c r="E150" s="63" t="s">
        <v>13242</v>
      </c>
      <c r="F150" s="63" t="s">
        <v>13243</v>
      </c>
      <c r="G150" s="64" t="s">
        <v>433</v>
      </c>
      <c r="H150" s="65" t="str">
        <f>VLOOKUP(gia_khuyen_mai[[#This Row],[Barcode]],'Giá gốc'!$A:$B,2,0)</f>
        <v>2146417</v>
      </c>
      <c r="I150" s="65" t="str">
        <f>VLOOKUP(gia_khuyen_mai[[#This Row],[Mã sản phẩm]],'Giá gốc'!$B:$C,2,0)</f>
        <v>Chân giò hong khói rút xương 300g</v>
      </c>
      <c r="J150" s="66">
        <f>VLOOKUP(gia_khuyen_mai[[#This Row],[Mã sản phẩm]],'Giá gốc'!B:D,3,0)</f>
        <v>67700</v>
      </c>
      <c r="K150" s="61">
        <v>0.23</v>
      </c>
      <c r="L150" s="67">
        <f>ROUND((1-gia_khuyen_mai[[#This Row],[% Giảm giá]]) * gia_khuyen_mai[[#This Row],[Giá gốc]], 0)</f>
        <v>52129</v>
      </c>
      <c r="M150" s="67"/>
      <c r="O150" s="65" t="str">
        <f>IFERROR(VLOOKUP(gia_khuyen_mai[[#This Row],[Mã hàng tặng]],'Giá gốc'!B:C,2,0),"")</f>
        <v/>
      </c>
      <c r="Q150" s="65" t="str">
        <f>VLOOKUP(gia_khuyen_mai[[#This Row],[Mã sản phẩm]],product[[Mã sản phẩm]:[DS - ĐV]],3,0)</f>
        <v>Food Đức Việt</v>
      </c>
    </row>
    <row r="151" spans="1:17" s="65" customFormat="1" ht="21.75" customHeight="1">
      <c r="A151" s="62">
        <f t="shared" si="8"/>
        <v>150</v>
      </c>
      <c r="B151" s="63" t="s">
        <v>13244</v>
      </c>
      <c r="C151" s="63" t="s">
        <v>500</v>
      </c>
      <c r="D151" s="63" t="s">
        <v>496</v>
      </c>
      <c r="E151" s="63" t="s">
        <v>13242</v>
      </c>
      <c r="F151" s="63" t="s">
        <v>13243</v>
      </c>
      <c r="G151" s="64" t="s">
        <v>12460</v>
      </c>
      <c r="H151" s="65" t="str">
        <f>VLOOKUP(gia_khuyen_mai[[#This Row],[Barcode]],'Giá gốc'!$A:$B,2,0)</f>
        <v>2151140</v>
      </c>
      <c r="I151" s="65" t="str">
        <f>VLOOKUP(gia_khuyen_mai[[#This Row],[Mã sản phẩm]],'Giá gốc'!$B:$C,2,0)</f>
        <v>Jongga Kim chi Củ cải 150g</v>
      </c>
      <c r="J151" s="66">
        <f>VLOOKUP(gia_khuyen_mai[[#This Row],[Mã sản phẩm]],'Giá gốc'!B:D,3,0)</f>
        <v>16500</v>
      </c>
      <c r="K151" s="61">
        <v>0.25</v>
      </c>
      <c r="L151" s="67">
        <f>ROUND((1-gia_khuyen_mai[[#This Row],[% Giảm giá]]) * gia_khuyen_mai[[#This Row],[Giá gốc]], 0)</f>
        <v>12375</v>
      </c>
      <c r="M151" s="67"/>
      <c r="O151" s="65" t="str">
        <f>IFERROR(VLOOKUP(gia_khuyen_mai[[#This Row],[Mã hàng tặng]],'Giá gốc'!B:C,2,0),"")</f>
        <v/>
      </c>
      <c r="Q151" s="65" t="str">
        <f>VLOOKUP(gia_khuyen_mai[[#This Row],[Mã sản phẩm]],product[[Mã sản phẩm]:[DS - ĐV]],3,0)</f>
        <v>Food Đức Việt</v>
      </c>
    </row>
    <row r="152" spans="1:17" s="65" customFormat="1" ht="21.75" customHeight="1">
      <c r="A152" s="62">
        <f>ROW()-1</f>
        <v>151</v>
      </c>
      <c r="B152" s="63" t="s">
        <v>13244</v>
      </c>
      <c r="C152" s="63" t="s">
        <v>500</v>
      </c>
      <c r="D152" s="63" t="s">
        <v>496</v>
      </c>
      <c r="E152" s="63" t="s">
        <v>13245</v>
      </c>
      <c r="F152" s="63" t="s">
        <v>13243</v>
      </c>
      <c r="G152" s="64" t="s">
        <v>470</v>
      </c>
      <c r="H152" s="65" t="str">
        <f>VLOOKUP(gia_khuyen_mai[[#This Row],[Barcode]],'Giá gốc'!$A:$B,2,0)</f>
        <v>2145699</v>
      </c>
      <c r="I152" s="65" t="str">
        <f>VLOOKUP(gia_khuyen_mai[[#This Row],[Mã sản phẩm]],'Giá gốc'!$B:$C,2,0)</f>
        <v>Seoul's Hotdog Chiên xù 250g (Đ)</v>
      </c>
      <c r="J152" s="66">
        <f>VLOOKUP(gia_khuyen_mai[[#This Row],[Mã sản phẩm]],'Giá gốc'!B:D,3,0)</f>
        <v>39150</v>
      </c>
      <c r="K152" s="68">
        <v>0.25</v>
      </c>
      <c r="L152" s="67">
        <f>ROUND((1-gia_khuyen_mai[[#This Row],[% Giảm giá]]) * gia_khuyen_mai[[#This Row],[Giá gốc]], 0)</f>
        <v>29363</v>
      </c>
      <c r="M152" s="67"/>
      <c r="O152" s="65" t="str">
        <f>IFERROR(VLOOKUP(gia_khuyen_mai[[#This Row],[Mã hàng tặng]],'Giá gốc'!B:C,2,0),"")</f>
        <v/>
      </c>
      <c r="Q152" s="65" t="str">
        <f>VLOOKUP(gia_khuyen_mai[[#This Row],[Mã sản phẩm]],product[[Mã sản phẩm]:[DS - ĐV]],3,0)</f>
        <v>Food Đức Việt</v>
      </c>
    </row>
    <row r="153" spans="1:17" s="65" customFormat="1" ht="21.75" customHeight="1">
      <c r="A153" s="62">
        <f t="shared" ref="A153:A154" si="9">ROW()-1</f>
        <v>152</v>
      </c>
      <c r="B153" s="63" t="s">
        <v>13133</v>
      </c>
      <c r="C153" s="63" t="s">
        <v>183</v>
      </c>
      <c r="D153" s="63" t="s">
        <v>496</v>
      </c>
      <c r="E153" s="63" t="s">
        <v>12934</v>
      </c>
      <c r="F153" s="63" t="s">
        <v>13135</v>
      </c>
      <c r="G153" s="64" t="s">
        <v>452</v>
      </c>
      <c r="H153" s="65" t="str">
        <f>VLOOKUP(gia_khuyen_mai[[#This Row],[Barcode]],'Giá gốc'!$A:$B,2,0)</f>
        <v>2145648</v>
      </c>
      <c r="I153" s="65" t="str">
        <f>VLOOKUP(gia_khuyen_mai[[#This Row],[Mã sản phẩm]],'Giá gốc'!$B:$C,2,0)</f>
        <v>Đức Việt Handy - xúc xích ăn liền vị heo 105g * 20EA</v>
      </c>
      <c r="J153" s="66">
        <f>VLOOKUP(gia_khuyen_mai[[#This Row],[Mã sản phẩm]],'Giá gốc'!B:D,3,0)</f>
        <v>9300</v>
      </c>
      <c r="K153" s="68">
        <v>0.3</v>
      </c>
      <c r="L153" s="67">
        <f>ROUND((1-gia_khuyen_mai[[#This Row],[% Giảm giá]]) * gia_khuyen_mai[[#This Row],[Giá gốc]], 0)</f>
        <v>6510</v>
      </c>
      <c r="M153" s="67"/>
      <c r="O153" s="65" t="str">
        <f>IFERROR(VLOOKUP(gia_khuyen_mai[[#This Row],[Mã hàng tặng]],'Giá gốc'!B:C,2,0),"")</f>
        <v/>
      </c>
      <c r="Q153" s="65" t="str">
        <f>VLOOKUP(gia_khuyen_mai[[#This Row],[Mã sản phẩm]],product[[Mã sản phẩm]:[DS - ĐV]],3,0)</f>
        <v>Food Đức Việt</v>
      </c>
    </row>
    <row r="154" spans="1:17" s="65" customFormat="1" ht="21.75" customHeight="1">
      <c r="A154" s="62">
        <f t="shared" si="9"/>
        <v>153</v>
      </c>
      <c r="B154" s="63" t="s">
        <v>13133</v>
      </c>
      <c r="C154" s="63" t="s">
        <v>183</v>
      </c>
      <c r="D154" s="63" t="s">
        <v>496</v>
      </c>
      <c r="E154" s="63" t="s">
        <v>12934</v>
      </c>
      <c r="F154" s="63" t="s">
        <v>13135</v>
      </c>
      <c r="G154" s="64" t="s">
        <v>455</v>
      </c>
      <c r="H154" s="65" t="str">
        <f>VLOOKUP(gia_khuyen_mai[[#This Row],[Barcode]],'Giá gốc'!$A:$B,2,0)</f>
        <v>2145657</v>
      </c>
      <c r="I154" s="65" t="str">
        <f>VLOOKUP(gia_khuyen_mai[[#This Row],[Mã sản phẩm]],'Giá gốc'!$B:$C,2,0)</f>
        <v>Đức Việt Handy - xúc xích ăn liền vị bò 105g * 20EA</v>
      </c>
      <c r="J154" s="66">
        <f>VLOOKUP(gia_khuyen_mai[[#This Row],[Mã sản phẩm]],'Giá gốc'!B:D,3,0)</f>
        <v>9300</v>
      </c>
      <c r="K154" s="68">
        <v>0.3</v>
      </c>
      <c r="L154" s="67">
        <f>ROUND((1-gia_khuyen_mai[[#This Row],[% Giảm giá]]) * gia_khuyen_mai[[#This Row],[Giá gốc]], 0)</f>
        <v>6510</v>
      </c>
      <c r="M154" s="67"/>
      <c r="O154" s="65" t="str">
        <f>IFERROR(VLOOKUP(gia_khuyen_mai[[#This Row],[Mã hàng tặng]],'Giá gốc'!B:C,2,0),"")</f>
        <v/>
      </c>
      <c r="Q154" s="65" t="str">
        <f>VLOOKUP(gia_khuyen_mai[[#This Row],[Mã sản phẩm]],product[[Mã sản phẩm]:[DS - ĐV]],3,0)</f>
        <v>Food Đức Việt</v>
      </c>
    </row>
    <row r="155" spans="1:17" s="65" customFormat="1" ht="21.75" customHeight="1">
      <c r="A155" s="62">
        <f>ROW()-1</f>
        <v>154</v>
      </c>
      <c r="B155" s="63" t="s">
        <v>13244</v>
      </c>
      <c r="C155" s="63" t="s">
        <v>183</v>
      </c>
      <c r="D155" s="63" t="s">
        <v>496</v>
      </c>
      <c r="E155" s="63" t="s">
        <v>13242</v>
      </c>
      <c r="F155" s="63" t="s">
        <v>13135</v>
      </c>
      <c r="G155" s="65" t="s">
        <v>397</v>
      </c>
      <c r="H155" s="65" t="str">
        <f>VLOOKUP(gia_khuyen_mai[[#This Row],[Barcode]],'Giá gốc'!$A:$B,2,0)</f>
        <v>2145726</v>
      </c>
      <c r="I155" s="65" t="str">
        <f>VLOOKUP(gia_khuyen_mai[[#This Row],[Mã sản phẩm]],'Giá gốc'!$B:$C,2,0)</f>
        <v>Xúc xích phô mai Cheesy 250g</v>
      </c>
      <c r="J155" s="66">
        <f>VLOOKUP(gia_khuyen_mai[[#This Row],[Mã sản phẩm]],'Giá gốc'!B:D,3,0)</f>
        <v>49400</v>
      </c>
      <c r="K155" s="68"/>
      <c r="L155" s="67">
        <f>ROUND((1-gia_khuyen_mai[[#This Row],[% Giảm giá]]) * gia_khuyen_mai[[#This Row],[Giá gốc]], 0)</f>
        <v>49400</v>
      </c>
      <c r="M155" s="67" t="s">
        <v>503</v>
      </c>
      <c r="N155" s="65" t="str">
        <f>VLOOKUP(gia_khuyen_mai[[#This Row],[Barcode]],'Giá gốc'!$A:$B,2,0)</f>
        <v>2145726</v>
      </c>
      <c r="O155" s="65" t="str">
        <f>IFERROR(VLOOKUP(gia_khuyen_mai[[#This Row],[Mã hàng tặng]],'Giá gốc'!B:C,2,0),"")</f>
        <v>Xúc xích phô mai Cheesy 250g</v>
      </c>
      <c r="Q155" s="65" t="str">
        <f>VLOOKUP(gia_khuyen_mai[[#This Row],[Mã sản phẩm]],product[[Mã sản phẩm]:[DS - ĐV]],3,0)</f>
        <v>Food Đức Việt</v>
      </c>
    </row>
    <row r="156" spans="1:17" s="65" customFormat="1" ht="21.75" customHeight="1">
      <c r="A156" s="62">
        <f>ROW()-1</f>
        <v>155</v>
      </c>
      <c r="B156" s="63" t="s">
        <v>13244</v>
      </c>
      <c r="C156" s="63" t="s">
        <v>183</v>
      </c>
      <c r="D156" s="63" t="s">
        <v>496</v>
      </c>
      <c r="E156" s="63" t="s">
        <v>13242</v>
      </c>
      <c r="F156" s="63" t="s">
        <v>13243</v>
      </c>
      <c r="G156" s="64" t="s">
        <v>418</v>
      </c>
      <c r="H156" s="65" t="str">
        <f>VLOOKUP(gia_khuyen_mai[[#This Row],[Barcode]],'Giá gốc'!$A:$B,2,0)</f>
        <v>2145783</v>
      </c>
      <c r="I156" s="65" t="str">
        <f>VLOOKUP(gia_khuyen_mai[[#This Row],[Mã sản phẩm]],'Giá gốc'!$B:$C,2,0)</f>
        <v>Xúc xích Romas ( 50g) 500g</v>
      </c>
      <c r="J156" s="66">
        <f>VLOOKUP(gia_khuyen_mai[[#This Row],[Mã sản phẩm]],'Giá gốc'!B:D,3,0)</f>
        <v>53900</v>
      </c>
      <c r="K156" s="68">
        <v>0.25</v>
      </c>
      <c r="L156" s="67">
        <f>ROUND((1-gia_khuyen_mai[[#This Row],[% Giảm giá]]) * gia_khuyen_mai[[#This Row],[Giá gốc]], 0)</f>
        <v>40425</v>
      </c>
      <c r="M156" s="67"/>
      <c r="O156" s="65" t="str">
        <f>IFERROR(VLOOKUP(gia_khuyen_mai[[#This Row],[Mã hàng tặng]],'Giá gốc'!B:C,2,0),"")</f>
        <v/>
      </c>
      <c r="Q156" s="65" t="str">
        <f>VLOOKUP(gia_khuyen_mai[[#This Row],[Mã sản phẩm]],product[[Mã sản phẩm]:[DS - ĐV]],3,0)</f>
        <v>Food Đức Việt</v>
      </c>
    </row>
    <row r="157" spans="1:17" s="65" customFormat="1" ht="21.75" customHeight="1">
      <c r="A157" s="62">
        <f t="shared" ref="A157:A158" si="10">ROW()-1</f>
        <v>156</v>
      </c>
      <c r="B157" s="63" t="s">
        <v>13244</v>
      </c>
      <c r="C157" s="63" t="s">
        <v>183</v>
      </c>
      <c r="D157" s="63" t="s">
        <v>496</v>
      </c>
      <c r="E157" s="63" t="s">
        <v>13245</v>
      </c>
      <c r="F157" s="63" t="s">
        <v>13243</v>
      </c>
      <c r="G157" s="69" t="s">
        <v>452</v>
      </c>
      <c r="H157" s="65" t="str">
        <f>VLOOKUP(gia_khuyen_mai[[#This Row],[Barcode]],'Giá gốc'!$A:$B,2,0)</f>
        <v>2145648</v>
      </c>
      <c r="I157" s="65" t="str">
        <f>VLOOKUP(gia_khuyen_mai[[#This Row],[Mã sản phẩm]],'Giá gốc'!$B:$C,2,0)</f>
        <v>Đức Việt Handy - xúc xích ăn liền vị heo 105g * 20EA</v>
      </c>
      <c r="J157" s="66">
        <f>VLOOKUP(gia_khuyen_mai[[#This Row],[Mã sản phẩm]],'Giá gốc'!B:D,3,0)</f>
        <v>9300</v>
      </c>
      <c r="K157" s="68">
        <v>0.22</v>
      </c>
      <c r="L157" s="67">
        <f>ROUND((1-gia_khuyen_mai[[#This Row],[% Giảm giá]]) * gia_khuyen_mai[[#This Row],[Giá gốc]], 0)</f>
        <v>7254</v>
      </c>
      <c r="M157" s="67"/>
      <c r="O157" s="65" t="str">
        <f>IFERROR(VLOOKUP(gia_khuyen_mai[[#This Row],[Mã hàng tặng]],'Giá gốc'!B:C,2,0),"")</f>
        <v/>
      </c>
      <c r="Q157" s="65" t="str">
        <f>VLOOKUP(gia_khuyen_mai[[#This Row],[Mã sản phẩm]],product[[Mã sản phẩm]:[DS - ĐV]],3,0)</f>
        <v>Food Đức Việt</v>
      </c>
    </row>
    <row r="158" spans="1:17" s="65" customFormat="1" ht="21.75" customHeight="1">
      <c r="A158" s="62">
        <f t="shared" si="10"/>
        <v>157</v>
      </c>
      <c r="B158" s="63" t="s">
        <v>13244</v>
      </c>
      <c r="C158" s="63" t="s">
        <v>183</v>
      </c>
      <c r="D158" s="63" t="s">
        <v>496</v>
      </c>
      <c r="E158" s="63" t="s">
        <v>13245</v>
      </c>
      <c r="F158" s="63" t="s">
        <v>13243</v>
      </c>
      <c r="G158" s="69" t="s">
        <v>455</v>
      </c>
      <c r="H158" s="65" t="str">
        <f>VLOOKUP(gia_khuyen_mai[[#This Row],[Barcode]],'Giá gốc'!$A:$B,2,0)</f>
        <v>2145657</v>
      </c>
      <c r="I158" s="65" t="str">
        <f>VLOOKUP(gia_khuyen_mai[[#This Row],[Mã sản phẩm]],'Giá gốc'!$B:$C,2,0)</f>
        <v>Đức Việt Handy - xúc xích ăn liền vị bò 105g * 20EA</v>
      </c>
      <c r="J158" s="66">
        <f>VLOOKUP(gia_khuyen_mai[[#This Row],[Mã sản phẩm]],'Giá gốc'!B:D,3,0)</f>
        <v>9300</v>
      </c>
      <c r="K158" s="68">
        <v>0.22</v>
      </c>
      <c r="L158" s="67">
        <f>ROUND((1-gia_khuyen_mai[[#This Row],[% Giảm giá]]) * gia_khuyen_mai[[#This Row],[Giá gốc]], 0)</f>
        <v>7254</v>
      </c>
      <c r="M158" s="67"/>
      <c r="O158" s="65" t="str">
        <f>IFERROR(VLOOKUP(gia_khuyen_mai[[#This Row],[Mã hàng tặng]],'Giá gốc'!B:C,2,0),"")</f>
        <v/>
      </c>
      <c r="Q158" s="65" t="str">
        <f>VLOOKUP(gia_khuyen_mai[[#This Row],[Mã sản phẩm]],product[[Mã sản phẩm]:[DS - ĐV]],3,0)</f>
        <v>Food Đức Việt</v>
      </c>
    </row>
    <row r="159" spans="1:17" s="65" customFormat="1" ht="21.75" customHeight="1">
      <c r="A159" s="38">
        <f>ROW()-1</f>
        <v>158</v>
      </c>
      <c r="B159" s="4" t="s">
        <v>13337</v>
      </c>
      <c r="C159" s="63" t="s">
        <v>183</v>
      </c>
      <c r="D159" s="63" t="s">
        <v>496</v>
      </c>
      <c r="E159" s="4" t="s">
        <v>13245</v>
      </c>
      <c r="F159" s="4" t="s">
        <v>13338</v>
      </c>
      <c r="G159" s="39" t="s">
        <v>376</v>
      </c>
      <c r="H159" s="3" t="str">
        <f>VLOOKUP(gia_khuyen_mai[[#This Row],[Barcode]],'Giá gốc'!$A:$B,2,0)</f>
        <v>2145690</v>
      </c>
      <c r="I159" s="3" t="str">
        <f>VLOOKUP(gia_khuyen_mai[[#This Row],[Mã sản phẩm]],'Giá gốc'!$B:$C,2,0)</f>
        <v>Xúc xích vườn bia 200g * 1EA</v>
      </c>
      <c r="J159" s="5">
        <f>VLOOKUP(gia_khuyen_mai[[#This Row],[Mã sản phẩm]],'Giá gốc'!B:D,3,0)</f>
        <v>38400</v>
      </c>
      <c r="K159" s="57">
        <v>0.2</v>
      </c>
      <c r="L159" s="6">
        <f>ROUND((1-gia_khuyen_mai[[#This Row],[% Giảm giá]]) * gia_khuyen_mai[[#This Row],[Giá gốc]], 0)</f>
        <v>30720</v>
      </c>
      <c r="M159" s="6"/>
      <c r="N159" s="3"/>
      <c r="O159" s="3" t="str">
        <f>IFERROR(VLOOKUP(gia_khuyen_mai[[#This Row],[Mã hàng tặng]],'Giá gốc'!B:C,2,0),"")</f>
        <v/>
      </c>
      <c r="P159" s="3"/>
      <c r="Q159" s="3" t="str">
        <f>VLOOKUP(gia_khuyen_mai[[#This Row],[Mã sản phẩm]],product[[Mã sản phẩm]:[DS - ĐV]],3,0)</f>
        <v>Food Đức Việt</v>
      </c>
    </row>
    <row r="160" spans="1:17" ht="21.75" customHeight="1">
      <c r="A160" s="38">
        <f t="shared" ref="A160:A165" si="11">ROW()-1</f>
        <v>159</v>
      </c>
      <c r="B160" s="4" t="s">
        <v>13337</v>
      </c>
      <c r="C160" s="63" t="s">
        <v>500</v>
      </c>
      <c r="D160" s="63" t="s">
        <v>496</v>
      </c>
      <c r="E160" s="4" t="s">
        <v>13245</v>
      </c>
      <c r="F160" s="4" t="s">
        <v>13338</v>
      </c>
      <c r="G160" s="39" t="s">
        <v>379</v>
      </c>
      <c r="H160" s="3" t="str">
        <f>VLOOKUP(gia_khuyen_mai[[#This Row],[Barcode]],'Giá gốc'!$A:$B,2,0)</f>
        <v>2145689</v>
      </c>
      <c r="I160" s="3" t="str">
        <f>VLOOKUP(gia_khuyen_mai[[#This Row],[Mã sản phẩm]],'Giá gốc'!$B:$C,2,0)</f>
        <v>Xúc xích vườn bia 450g * 1EA</v>
      </c>
      <c r="J160" s="5">
        <f>VLOOKUP(gia_khuyen_mai[[#This Row],[Mã sản phẩm]],'Giá gốc'!B:D,3,0)</f>
        <v>84200</v>
      </c>
      <c r="K160" s="57">
        <v>0.22</v>
      </c>
      <c r="L160" s="6">
        <f>ROUND((1-gia_khuyen_mai[[#This Row],[% Giảm giá]]) * gia_khuyen_mai[[#This Row],[Giá gốc]], 0)</f>
        <v>65676</v>
      </c>
      <c r="M160" s="6"/>
      <c r="O160" s="3" t="str">
        <f>IFERROR(VLOOKUP(gia_khuyen_mai[[#This Row],[Mã hàng tặng]],'Giá gốc'!B:C,2,0),"")</f>
        <v/>
      </c>
      <c r="Q160" s="3" t="str">
        <f>VLOOKUP(gia_khuyen_mai[[#This Row],[Mã sản phẩm]],product[[Mã sản phẩm]:[DS - ĐV]],3,0)</f>
        <v>Food Đức Việt</v>
      </c>
    </row>
    <row r="161" spans="1:17" ht="21.75" customHeight="1">
      <c r="A161" s="38">
        <f t="shared" si="11"/>
        <v>160</v>
      </c>
      <c r="B161" s="4" t="s">
        <v>13337</v>
      </c>
      <c r="C161" s="63" t="s">
        <v>500</v>
      </c>
      <c r="D161" s="63" t="s">
        <v>496</v>
      </c>
      <c r="E161" s="4" t="s">
        <v>13245</v>
      </c>
      <c r="F161" s="4" t="s">
        <v>13338</v>
      </c>
      <c r="G161" s="39" t="s">
        <v>394</v>
      </c>
      <c r="H161" s="3" t="str">
        <f>VLOOKUP(gia_khuyen_mai[[#This Row],[Barcode]],'Giá gốc'!$A:$B,2,0)</f>
        <v>2145744</v>
      </c>
      <c r="I161" s="3" t="str">
        <f>VLOOKUP(gia_khuyen_mai[[#This Row],[Mã sản phẩm]],'Giá gốc'!$B:$C,2,0)</f>
        <v>Xúc xích bắp phô mai 250g</v>
      </c>
      <c r="J161" s="5">
        <f>VLOOKUP(gia_khuyen_mai[[#This Row],[Mã sản phẩm]],'Giá gốc'!B:D,3,0)</f>
        <v>49400</v>
      </c>
      <c r="K161" s="57">
        <v>0.25</v>
      </c>
      <c r="L161" s="6">
        <f>ROUND((1-gia_khuyen_mai[[#This Row],[% Giảm giá]]) * gia_khuyen_mai[[#This Row],[Giá gốc]], 0)</f>
        <v>37050</v>
      </c>
      <c r="M161" s="6"/>
      <c r="O161" s="3" t="str">
        <f>IFERROR(VLOOKUP(gia_khuyen_mai[[#This Row],[Mã hàng tặng]],'Giá gốc'!B:C,2,0),"")</f>
        <v/>
      </c>
      <c r="Q161" s="3" t="str">
        <f>VLOOKUP(gia_khuyen_mai[[#This Row],[Mã sản phẩm]],product[[Mã sản phẩm]:[DS - ĐV]],3,0)</f>
        <v>Food Đức Việt</v>
      </c>
    </row>
    <row r="162" spans="1:17" ht="21.75" customHeight="1">
      <c r="A162" s="38">
        <f t="shared" si="11"/>
        <v>161</v>
      </c>
      <c r="B162" s="4" t="s">
        <v>13337</v>
      </c>
      <c r="C162" s="63" t="s">
        <v>500</v>
      </c>
      <c r="D162" s="63" t="s">
        <v>496</v>
      </c>
      <c r="E162" s="4" t="s">
        <v>13245</v>
      </c>
      <c r="F162" s="4" t="s">
        <v>13338</v>
      </c>
      <c r="G162" s="39" t="s">
        <v>415</v>
      </c>
      <c r="H162" s="3" t="str">
        <f>VLOOKUP(gia_khuyen_mai[[#This Row],[Barcode]],'Giá gốc'!$A:$B,2,0)</f>
        <v>2145767</v>
      </c>
      <c r="I162" s="3" t="str">
        <f>VLOOKUP(gia_khuyen_mai[[#This Row],[Mã sản phẩm]],'Giá gốc'!$B:$C,2,0)</f>
        <v>Xúc xích Mỹ 500g</v>
      </c>
      <c r="J162" s="5">
        <f>VLOOKUP(gia_khuyen_mai[[#This Row],[Mã sản phẩm]],'Giá gốc'!B:D,3,0)</f>
        <v>55600</v>
      </c>
      <c r="K162" s="57">
        <v>0.2</v>
      </c>
      <c r="L162" s="6">
        <f>ROUND((1-gia_khuyen_mai[[#This Row],[% Giảm giá]]) * gia_khuyen_mai[[#This Row],[Giá gốc]], 0)</f>
        <v>44480</v>
      </c>
      <c r="M162" s="6"/>
      <c r="O162" s="3" t="str">
        <f>IFERROR(VLOOKUP(gia_khuyen_mai[[#This Row],[Mã hàng tặng]],'Giá gốc'!B:C,2,0),"")</f>
        <v/>
      </c>
      <c r="Q162" s="3" t="str">
        <f>VLOOKUP(gia_khuyen_mai[[#This Row],[Mã sản phẩm]],product[[Mã sản phẩm]:[DS - ĐV]],3,0)</f>
        <v>Food Đức Việt</v>
      </c>
    </row>
    <row r="163" spans="1:17" ht="21.75" customHeight="1">
      <c r="A163" s="38">
        <f t="shared" si="11"/>
        <v>162</v>
      </c>
      <c r="B163" s="4" t="s">
        <v>13337</v>
      </c>
      <c r="C163" s="63" t="s">
        <v>183</v>
      </c>
      <c r="D163" s="63" t="s">
        <v>496</v>
      </c>
      <c r="E163" s="4" t="s">
        <v>13245</v>
      </c>
      <c r="F163" s="4" t="s">
        <v>13338</v>
      </c>
      <c r="G163" s="39" t="s">
        <v>424</v>
      </c>
      <c r="H163" s="3" t="str">
        <f>VLOOKUP(gia_khuyen_mai[[#This Row],[Barcode]],'Giá gốc'!$A:$B,2,0)</f>
        <v>2145774</v>
      </c>
      <c r="I163" s="3" t="str">
        <f>VLOOKUP(gia_khuyen_mai[[#This Row],[Mã sản phẩm]],'Giá gốc'!$B:$C,2,0)</f>
        <v>Xúc xích Pari (50g) 500g</v>
      </c>
      <c r="J163" s="5">
        <f>VLOOKUP(gia_khuyen_mai[[#This Row],[Mã sản phẩm]],'Giá gốc'!B:D,3,0)</f>
        <v>55600</v>
      </c>
      <c r="K163" s="57">
        <v>0.22</v>
      </c>
      <c r="L163" s="6">
        <f>ROUND((1-gia_khuyen_mai[[#This Row],[% Giảm giá]]) * gia_khuyen_mai[[#This Row],[Giá gốc]], 0)</f>
        <v>43368</v>
      </c>
      <c r="M163" s="6"/>
      <c r="O163" s="3" t="str">
        <f>IFERROR(VLOOKUP(gia_khuyen_mai[[#This Row],[Mã hàng tặng]],'Giá gốc'!B:C,2,0),"")</f>
        <v/>
      </c>
      <c r="Q163" s="3" t="str">
        <f>VLOOKUP(gia_khuyen_mai[[#This Row],[Mã sản phẩm]],product[[Mã sản phẩm]:[DS - ĐV]],3,0)</f>
        <v>Food Đức Việt</v>
      </c>
    </row>
    <row r="164" spans="1:17" ht="21.75" customHeight="1">
      <c r="A164" s="38">
        <f t="shared" si="11"/>
        <v>163</v>
      </c>
      <c r="B164" s="4" t="s">
        <v>13337</v>
      </c>
      <c r="C164" s="63" t="s">
        <v>500</v>
      </c>
      <c r="D164" s="63" t="s">
        <v>496</v>
      </c>
      <c r="E164" s="4" t="s">
        <v>13245</v>
      </c>
      <c r="F164" s="4" t="s">
        <v>13338</v>
      </c>
      <c r="G164" s="39" t="s">
        <v>427</v>
      </c>
      <c r="H164" s="3" t="str">
        <f>VLOOKUP(gia_khuyen_mai[[#This Row],[Barcode]],'Giá gốc'!$A:$B,2,0)</f>
        <v>2145743</v>
      </c>
      <c r="I164" s="3" t="str">
        <f>VLOOKUP(gia_khuyen_mai[[#This Row],[Mã sản phẩm]],'Giá gốc'!$B:$C,2,0)</f>
        <v>Xúc xích sụn nướng Bulgogi 450g</v>
      </c>
      <c r="J164" s="5">
        <f>VLOOKUP(gia_khuyen_mai[[#This Row],[Mã sản phẩm]],'Giá gốc'!B:D,3,0)</f>
        <v>74500</v>
      </c>
      <c r="K164" s="57">
        <v>0.3</v>
      </c>
      <c r="L164" s="6">
        <f>ROUND((1-gia_khuyen_mai[[#This Row],[% Giảm giá]]) * gia_khuyen_mai[[#This Row],[Giá gốc]], 0)</f>
        <v>52150</v>
      </c>
      <c r="M164" s="6"/>
      <c r="O164" s="3" t="str">
        <f>IFERROR(VLOOKUP(gia_khuyen_mai[[#This Row],[Mã hàng tặng]],'Giá gốc'!B:C,2,0),"")</f>
        <v/>
      </c>
      <c r="Q164" s="3" t="str">
        <f>VLOOKUP(gia_khuyen_mai[[#This Row],[Mã sản phẩm]],product[[Mã sản phẩm]:[DS - ĐV]],3,0)</f>
        <v>Food Đức Việt</v>
      </c>
    </row>
    <row r="165" spans="1:17" ht="21.75" customHeight="1">
      <c r="A165" s="38">
        <f t="shared" si="11"/>
        <v>164</v>
      </c>
      <c r="B165" s="4" t="s">
        <v>13337</v>
      </c>
      <c r="C165" s="63" t="s">
        <v>183</v>
      </c>
      <c r="D165" s="63" t="s">
        <v>496</v>
      </c>
      <c r="E165" s="4" t="s">
        <v>13245</v>
      </c>
      <c r="F165" s="4" t="s">
        <v>13338</v>
      </c>
      <c r="G165" s="39" t="s">
        <v>12824</v>
      </c>
      <c r="H165" s="3" t="str">
        <f>VLOOKUP(gia_khuyen_mai[[#This Row],[Barcode]],'Giá gốc'!$A:$B,2,0)</f>
        <v>2151323</v>
      </c>
      <c r="I165" s="3" t="str">
        <f>VLOOKUP(gia_khuyen_mai[[#This Row],[Mã sản phẩm]],'Giá gốc'!$B:$C,2,0)</f>
        <v>OFOOD Tteokgalbi chả nướng HQ 200g</v>
      </c>
      <c r="J165" s="5">
        <f>VLOOKUP(gia_khuyen_mai[[#This Row],[Mã sản phẩm]],'Giá gốc'!B:D,3,0)</f>
        <v>36000</v>
      </c>
      <c r="K165" s="57">
        <v>0.25</v>
      </c>
      <c r="L165" s="6">
        <f>ROUND((1-gia_khuyen_mai[[#This Row],[% Giảm giá]]) * gia_khuyen_mai[[#This Row],[Giá gốc]], 0)</f>
        <v>27000</v>
      </c>
      <c r="M165" s="6"/>
      <c r="O165" s="3" t="str">
        <f>IFERROR(VLOOKUP(gia_khuyen_mai[[#This Row],[Mã hàng tặng]],'Giá gốc'!B:C,2,0),"")</f>
        <v/>
      </c>
      <c r="Q165" s="3" t="str">
        <f>VLOOKUP(gia_khuyen_mai[[#This Row],[Mã sản phẩm]],product[[Mã sản phẩm]:[DS - ĐV]],3,0)</f>
        <v>Food Đức Việt</v>
      </c>
    </row>
    <row r="166" spans="1:17" ht="21.75" customHeight="1">
      <c r="A166" s="38">
        <f>ROW()-1</f>
        <v>165</v>
      </c>
      <c r="B166" s="4" t="s">
        <v>13337</v>
      </c>
      <c r="C166" s="63" t="s">
        <v>500</v>
      </c>
      <c r="D166" s="63" t="s">
        <v>496</v>
      </c>
      <c r="E166" s="4" t="s">
        <v>13245</v>
      </c>
      <c r="F166" s="4" t="s">
        <v>13338</v>
      </c>
      <c r="G166" s="39" t="s">
        <v>464</v>
      </c>
      <c r="H166" s="3" t="str">
        <f>VLOOKUP(gia_khuyen_mai[[#This Row],[Barcode]],'Giá gốc'!$A:$B,2,0)</f>
        <v>2145622</v>
      </c>
      <c r="I166" s="3" t="str">
        <f>VLOOKUP(gia_khuyen_mai[[#This Row],[Mã sản phẩm]],'Giá gốc'!$B:$C,2,0)</f>
        <v>Kim chi 450</v>
      </c>
      <c r="J166" s="5">
        <f>VLOOKUP(gia_khuyen_mai[[#This Row],[Mã sản phẩm]],'Giá gốc'!B:D,3,0)</f>
        <v>35500</v>
      </c>
      <c r="K166" s="57"/>
      <c r="L166" s="6">
        <f>ROUND((1-gia_khuyen_mai[[#This Row],[% Giảm giá]]) * gia_khuyen_mai[[#This Row],[Giá gốc]], 0)</f>
        <v>35500</v>
      </c>
      <c r="M166" s="6" t="s">
        <v>503</v>
      </c>
      <c r="N166" s="3" t="str">
        <f>VLOOKUP(gia_khuyen_mai[[#This Row],[Barcode]],'Giá gốc'!$A:$B,2,0)</f>
        <v>2145622</v>
      </c>
      <c r="O166" s="3" t="str">
        <f>IFERROR(VLOOKUP(gia_khuyen_mai[[#This Row],[Mã hàng tặng]],'Giá gốc'!B:C,2,0),"")</f>
        <v>Kim chi 450</v>
      </c>
      <c r="Q166" s="3" t="str">
        <f>VLOOKUP(gia_khuyen_mai[[#This Row],[Mã sản phẩm]],product[[Mã sản phẩm]:[DS - ĐV]],3,0)</f>
        <v>Food Đức Việt</v>
      </c>
    </row>
    <row r="167" spans="1:17" ht="21.75" customHeight="1">
      <c r="A167" s="38">
        <f>ROW()-1</f>
        <v>166</v>
      </c>
      <c r="B167" s="4" t="s">
        <v>13337</v>
      </c>
      <c r="C167" s="63" t="s">
        <v>5</v>
      </c>
      <c r="D167" s="63" t="s">
        <v>496</v>
      </c>
      <c r="E167" s="4" t="s">
        <v>13339</v>
      </c>
      <c r="F167" s="4" t="s">
        <v>13338</v>
      </c>
      <c r="G167" s="39" t="s">
        <v>376</v>
      </c>
      <c r="H167" s="3" t="str">
        <f>VLOOKUP(gia_khuyen_mai[[#This Row],[Barcode]],'Giá gốc'!$A:$B,2,0)</f>
        <v>2145690</v>
      </c>
      <c r="I167" s="3" t="str">
        <f>VLOOKUP(gia_khuyen_mai[[#This Row],[Mã sản phẩm]],'Giá gốc'!$B:$C,2,0)</f>
        <v>Xúc xích vườn bia 200g * 1EA</v>
      </c>
      <c r="J167" s="5">
        <f>VLOOKUP(gia_khuyen_mai[[#This Row],[Mã sản phẩm]],'Giá gốc'!B:D,3,0)</f>
        <v>38400</v>
      </c>
      <c r="K167" s="57">
        <v>0.2</v>
      </c>
      <c r="L167" s="6">
        <f>ROUND((1-gia_khuyen_mai[[#This Row],[% Giảm giá]]) * gia_khuyen_mai[[#This Row],[Giá gốc]], 0)</f>
        <v>30720</v>
      </c>
      <c r="M167" s="6"/>
      <c r="O167" s="3" t="str">
        <f>IFERROR(VLOOKUP(gia_khuyen_mai[[#This Row],[Mã hàng tặng]],'Giá gốc'!B:C,2,0),"")</f>
        <v/>
      </c>
      <c r="Q167" s="3" t="str">
        <f>VLOOKUP(gia_khuyen_mai[[#This Row],[Mã sản phẩm]],product[[Mã sản phẩm]:[DS - ĐV]],3,0)</f>
        <v>Food Đức Việt</v>
      </c>
    </row>
    <row r="168" spans="1:17" ht="21.75" customHeight="1">
      <c r="A168" s="38">
        <f>ROW()-1</f>
        <v>167</v>
      </c>
      <c r="B168" s="4" t="s">
        <v>13410</v>
      </c>
      <c r="C168" s="4" t="s">
        <v>183</v>
      </c>
      <c r="D168" s="63" t="s">
        <v>496</v>
      </c>
      <c r="E168" s="4" t="s">
        <v>13411</v>
      </c>
      <c r="F168" s="4" t="s">
        <v>13411</v>
      </c>
      <c r="G168" s="39" t="s">
        <v>445</v>
      </c>
      <c r="H168" s="3" t="str">
        <f>VLOOKUP(gia_khuyen_mai[[#This Row],[Barcode]],'Giá gốc'!$A:$B,2,0)</f>
        <v>2145745</v>
      </c>
      <c r="I168" s="3" t="str">
        <f>VLOOKUP(gia_khuyen_mai[[#This Row],[Mã sản phẩm]],'Giá gốc'!$B:$C,2,0)</f>
        <v>Jăm bông hấp 200g</v>
      </c>
      <c r="J168" s="5">
        <f>VLOOKUP(gia_khuyen_mai[[#This Row],[Mã sản phẩm]],'Giá gốc'!B:D,3,0)</f>
        <v>37000</v>
      </c>
      <c r="K168" s="57"/>
      <c r="L168" s="6">
        <f>ROUND((1-gia_khuyen_mai[[#This Row],[% Giảm giá]]) * gia_khuyen_mai[[#This Row],[Giá gốc]], 0)</f>
        <v>37000</v>
      </c>
      <c r="M168" s="6" t="s">
        <v>503</v>
      </c>
      <c r="N168" s="3" t="s">
        <v>13413</v>
      </c>
      <c r="O168" s="3" t="str">
        <f>IFERROR(VLOOKUP(gia_khuyen_mai[[#This Row],[Mã hàng tặng]],'Giá gốc'!B:C,2,0),"")</f>
        <v>Jăm bông Kimbap 170</v>
      </c>
      <c r="Q168" s="3" t="str">
        <f>VLOOKUP(gia_khuyen_mai[[#This Row],[Mã sản phẩm]],product[[Mã sản phẩm]:[DS - ĐV]],3,0)</f>
        <v>Food Đức Việt</v>
      </c>
    </row>
    <row r="169" spans="1:17" ht="21.75" customHeight="1">
      <c r="A169" s="38">
        <f t="shared" ref="A169:A170" si="12">ROW()-1</f>
        <v>168</v>
      </c>
      <c r="B169" s="4" t="s">
        <v>13410</v>
      </c>
      <c r="C169" s="4" t="s">
        <v>183</v>
      </c>
      <c r="D169" s="63" t="s">
        <v>496</v>
      </c>
      <c r="E169" s="4" t="s">
        <v>13411</v>
      </c>
      <c r="F169" s="4" t="s">
        <v>13411</v>
      </c>
      <c r="G169" s="39" t="s">
        <v>12475</v>
      </c>
      <c r="H169" s="3" t="str">
        <f>VLOOKUP(gia_khuyen_mai[[#This Row],[Barcode]],'Giá gốc'!$A:$B,2,0)</f>
        <v>2149794</v>
      </c>
      <c r="I169" s="3" t="str">
        <f>VLOOKUP(gia_khuyen_mai[[#This Row],[Mã sản phẩm]],'Giá gốc'!$B:$C,2,0)</f>
        <v>Xúc xích Romas Light 500g</v>
      </c>
      <c r="J169" s="5">
        <f>VLOOKUP(gia_khuyen_mai[[#This Row],[Mã sản phẩm]],'Giá gốc'!B:D,3,0)</f>
        <v>44000</v>
      </c>
      <c r="K169" s="57"/>
      <c r="L169" s="6">
        <f>ROUND((1-gia_khuyen_mai[[#This Row],[% Giảm giá]]) * gia_khuyen_mai[[#This Row],[Giá gốc]], 0)</f>
        <v>44000</v>
      </c>
      <c r="M169" s="6" t="s">
        <v>503</v>
      </c>
      <c r="N169" s="3" t="str">
        <f>VLOOKUP(gia_khuyen_mai[[#This Row],[Barcode]],'Giá gốc'!$A:$B,2,0)</f>
        <v>2149794</v>
      </c>
      <c r="O169" s="3" t="str">
        <f>IFERROR(VLOOKUP(gia_khuyen_mai[[#This Row],[Mã hàng tặng]],'Giá gốc'!B:C,2,0),"")</f>
        <v>Xúc xích Romas Light 500g</v>
      </c>
      <c r="Q169" s="3" t="str">
        <f>VLOOKUP(gia_khuyen_mai[[#This Row],[Mã sản phẩm]],product[[Mã sản phẩm]:[DS - ĐV]],3,0)</f>
        <v>Food Đức Việt</v>
      </c>
    </row>
    <row r="170" spans="1:17" ht="21.75" customHeight="1">
      <c r="A170" s="38">
        <f t="shared" si="12"/>
        <v>169</v>
      </c>
      <c r="B170" s="4" t="s">
        <v>13410</v>
      </c>
      <c r="C170" s="4" t="s">
        <v>183</v>
      </c>
      <c r="D170" s="63" t="s">
        <v>496</v>
      </c>
      <c r="E170" s="4" t="s">
        <v>13411</v>
      </c>
      <c r="F170" s="4" t="s">
        <v>13411</v>
      </c>
      <c r="G170" s="39" t="s">
        <v>385</v>
      </c>
      <c r="H170" s="3" t="str">
        <f>VLOOKUP(gia_khuyen_mai[[#This Row],[Barcode]],'Giá gốc'!$A:$B,2,0)</f>
        <v>2145714</v>
      </c>
      <c r="I170" s="3" t="str">
        <f>VLOOKUP(gia_khuyen_mai[[#This Row],[Mã sản phẩm]],'Giá gốc'!$B:$C,2,0)</f>
        <v>Xúc xích viên hong khói 200g</v>
      </c>
      <c r="J170" s="5">
        <f>VLOOKUP(gia_khuyen_mai[[#This Row],[Mã sản phẩm]],'Giá gốc'!B:D,3,0)</f>
        <v>38400</v>
      </c>
      <c r="K170" s="57"/>
      <c r="L170" s="6">
        <f>ROUND((1-gia_khuyen_mai[[#This Row],[% Giảm giá]]) * gia_khuyen_mai[[#This Row],[Giá gốc]], 0)</f>
        <v>38400</v>
      </c>
      <c r="M170" s="6" t="s">
        <v>503</v>
      </c>
      <c r="N170" s="39" t="s">
        <v>377</v>
      </c>
      <c r="O170" s="3" t="str">
        <f>IFERROR(VLOOKUP(gia_khuyen_mai[[#This Row],[Mã hàng tặng]],'Giá gốc'!B:C,2,0),"")</f>
        <v>Xúc xích vườn bia 200g * 1EA</v>
      </c>
      <c r="Q170" s="3" t="str">
        <f>VLOOKUP(gia_khuyen_mai[[#This Row],[Mã sản phẩm]],product[[Mã sản phẩm]:[DS - ĐV]],3,0)</f>
        <v>Food Đức Việt</v>
      </c>
    </row>
  </sheetData>
  <phoneticPr fontId="5" type="noConversion"/>
  <conditionalFormatting sqref="N83">
    <cfRule type="duplicateValues" dxfId="11" priority="11"/>
    <cfRule type="duplicateValues" dxfId="10" priority="12"/>
  </conditionalFormatting>
  <conditionalFormatting sqref="N95">
    <cfRule type="duplicateValues" dxfId="9" priority="9"/>
    <cfRule type="duplicateValues" dxfId="8" priority="10"/>
  </conditionalFormatting>
  <conditionalFormatting sqref="N114">
    <cfRule type="duplicateValues" dxfId="7" priority="4"/>
    <cfRule type="duplicateValues" dxfId="6" priority="5"/>
    <cfRule type="duplicateValues" dxfId="5" priority="6"/>
  </conditionalFormatting>
  <conditionalFormatting sqref="N122">
    <cfRule type="duplicateValues" dxfId="4" priority="1"/>
    <cfRule type="duplicateValues" dxfId="3" priority="2"/>
    <cfRule type="duplicateValues" dxfId="2" priority="3"/>
  </conditionalFormatting>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390C9ED7-468C-42F9-B08D-42418E5D0B72}">
          <x14:formula1>
            <xm:f>'Data Validation'!$A$2:$A$5</xm:f>
          </x14:formula1>
          <xm:sqref>D2:D8</xm:sqref>
        </x14:dataValidation>
        <x14:dataValidation type="list" allowBlank="1" showInputMessage="1" showErrorMessage="1" xr:uid="{C01B93F3-65D8-4994-9BED-BAA9D072DA55}">
          <x14:formula1>
            <xm:f>'Data Validation'!$C$2:$C$4</xm:f>
          </x14:formula1>
          <xm:sqref>C2:C170</xm:sqref>
        </x14:dataValidation>
        <x14:dataValidation type="list" allowBlank="1" showInputMessage="1" showErrorMessage="1" xr:uid="{70682026-A2D1-4D89-B7D7-4AB945F4B9A2}">
          <x14:formula1>
            <xm:f>'Data Validation'!$E$2:$E$3</xm:f>
          </x14:formula1>
          <xm:sqref>M2:M170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A0AB-A9DE-4F4D-A979-EB19AA177A1E}">
  <sheetPr>
    <tabColor rgb="FFC00000"/>
  </sheetPr>
  <dimension ref="A1:I4065"/>
  <sheetViews>
    <sheetView topLeftCell="A4026" zoomScale="70" zoomScaleNormal="70" workbookViewId="0">
      <selection activeCell="E4031" sqref="E4031:E4065"/>
    </sheetView>
  </sheetViews>
  <sheetFormatPr defaultColWidth="21" defaultRowHeight="15"/>
  <cols>
    <col min="3" max="3" width="46" customWidth="1"/>
    <col min="4" max="4" width="60.7109375" hidden="1" customWidth="1"/>
    <col min="6" max="6" width="26.85546875" customWidth="1"/>
  </cols>
  <sheetData>
    <row r="1" spans="1:9">
      <c r="A1" s="12" t="s">
        <v>510</v>
      </c>
      <c r="B1" s="13" t="s">
        <v>1</v>
      </c>
      <c r="C1" s="13" t="s">
        <v>511</v>
      </c>
      <c r="D1" s="13" t="s">
        <v>512</v>
      </c>
      <c r="E1" s="13" t="s">
        <v>513</v>
      </c>
      <c r="F1" s="13" t="s">
        <v>515</v>
      </c>
      <c r="G1" s="13" t="s">
        <v>514</v>
      </c>
      <c r="H1" s="17" t="s">
        <v>9349</v>
      </c>
      <c r="I1" s="17" t="s">
        <v>11072</v>
      </c>
    </row>
    <row r="2" spans="1:9">
      <c r="A2" s="11" t="s">
        <v>7277</v>
      </c>
      <c r="B2" s="9" t="s">
        <v>5</v>
      </c>
      <c r="C2" s="10" t="e">
        <v>#N/A</v>
      </c>
      <c r="D2" s="10" t="s">
        <v>2219</v>
      </c>
      <c r="E2" s="9" t="s">
        <v>11201</v>
      </c>
      <c r="F2" s="10" t="str">
        <f>VLOOKUP(Table8[[#This Row],[Mã khách hàng]],code_khach_hang[],2,0)</f>
        <v>CHI NHÁNH HẢI DƯƠNG - CÔNG TY CỔ PHẦN DỊCH VỤ THƯƠNG MẠI TỔNG HỢP WINCOMMERCE</v>
      </c>
      <c r="G2" s="10"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c r="A3" s="14" t="s">
        <v>8115</v>
      </c>
      <c r="B3" s="15" t="s">
        <v>5</v>
      </c>
      <c r="C3" s="10" t="s">
        <v>8116</v>
      </c>
      <c r="D3" s="16" t="s">
        <v>518</v>
      </c>
      <c r="E3" s="15" t="s">
        <v>11193</v>
      </c>
      <c r="F3" s="16" t="str">
        <f>VLOOKUP(Table8[[#This Row],[Mã khách hàng]],code_khach_hang[],2,0)</f>
        <v>CHI NHÁNH BẮC NINH - CÔNG TY CỔ PHẦN DỊCH VỤ THƯƠNG MẠI TỔNG HỢP WINCOMMERCE</v>
      </c>
      <c r="G3" s="16"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c r="A4" s="14" t="s">
        <v>5271</v>
      </c>
      <c r="B4" s="15" t="s">
        <v>5</v>
      </c>
      <c r="C4" s="10" t="s">
        <v>5272</v>
      </c>
      <c r="D4" s="16" t="s">
        <v>523</v>
      </c>
      <c r="E4" s="15" t="s">
        <v>11193</v>
      </c>
      <c r="F4" s="16" t="str">
        <f>VLOOKUP(Table8[[#This Row],[Mã khách hàng]],code_khach_hang[],2,0)</f>
        <v>CHI NHÁNH BẮC NINH - CÔNG TY CỔ PHẦN DỊCH VỤ THƯƠNG MẠI TỔNG HỢP WINCOMMERCE</v>
      </c>
      <c r="G4" s="16"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c r="A5" s="14" t="s">
        <v>7300</v>
      </c>
      <c r="B5" s="15" t="s">
        <v>5</v>
      </c>
      <c r="C5" s="10" t="s">
        <v>7301</v>
      </c>
      <c r="D5" s="16" t="s">
        <v>526</v>
      </c>
      <c r="E5" s="15" t="s">
        <v>11193</v>
      </c>
      <c r="F5" s="16" t="str">
        <f>VLOOKUP(Table8[[#This Row],[Mã khách hàng]],code_khach_hang[],2,0)</f>
        <v>CHI NHÁNH BẮC NINH - CÔNG TY CỔ PHẦN DỊCH VỤ THƯƠNG MẠI TỔNG HỢP WINCOMMERCE</v>
      </c>
      <c r="G5" s="16"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c r="A6" s="14" t="s">
        <v>7810</v>
      </c>
      <c r="B6" s="15" t="s">
        <v>5</v>
      </c>
      <c r="C6" s="10" t="s">
        <v>7811</v>
      </c>
      <c r="D6" s="16" t="s">
        <v>530</v>
      </c>
      <c r="E6" s="15" t="s">
        <v>11193</v>
      </c>
      <c r="F6" s="16" t="str">
        <f>VLOOKUP(Table8[[#This Row],[Mã khách hàng]],code_khach_hang[],2,0)</f>
        <v>CHI NHÁNH BẮC NINH - CÔNG TY CỔ PHẦN DỊCH VỤ THƯƠNG MẠI TỔNG HỢP WINCOMMERCE</v>
      </c>
      <c r="G6" s="16"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c r="A7" s="14" t="s">
        <v>7556</v>
      </c>
      <c r="B7" s="15" t="s">
        <v>5</v>
      </c>
      <c r="C7" s="10" t="s">
        <v>7557</v>
      </c>
      <c r="D7" s="16" t="s">
        <v>534</v>
      </c>
      <c r="E7" s="15" t="s">
        <v>11193</v>
      </c>
      <c r="F7" s="16" t="str">
        <f>VLOOKUP(Table8[[#This Row],[Mã khách hàng]],code_khach_hang[],2,0)</f>
        <v>CHI NHÁNH BẮC NINH - CÔNG TY CỔ PHẦN DỊCH VỤ THƯƠNG MẠI TỔNG HỢP WINCOMMERCE</v>
      </c>
      <c r="G7" s="16"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c r="A8" s="14" t="s">
        <v>7986</v>
      </c>
      <c r="B8" s="15" t="s">
        <v>5</v>
      </c>
      <c r="C8" s="10" t="s">
        <v>7987</v>
      </c>
      <c r="D8" s="16" t="s">
        <v>537</v>
      </c>
      <c r="E8" s="15" t="s">
        <v>11193</v>
      </c>
      <c r="F8" s="16" t="str">
        <f>VLOOKUP(Table8[[#This Row],[Mã khách hàng]],code_khach_hang[],2,0)</f>
        <v>CHI NHÁNH BẮC NINH - CÔNG TY CỔ PHẦN DỊCH VỤ THƯƠNG MẠI TỔNG HỢP WINCOMMERCE</v>
      </c>
      <c r="G8" s="16"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c r="A9" s="14" t="s">
        <v>8192</v>
      </c>
      <c r="B9" s="15" t="s">
        <v>5</v>
      </c>
      <c r="C9" s="10" t="s">
        <v>8193</v>
      </c>
      <c r="D9" s="16" t="s">
        <v>540</v>
      </c>
      <c r="E9" s="15" t="s">
        <v>11193</v>
      </c>
      <c r="F9" s="16" t="str">
        <f>VLOOKUP(Table8[[#This Row],[Mã khách hàng]],code_khach_hang[],2,0)</f>
        <v>CHI NHÁNH BẮC NINH - CÔNG TY CỔ PHẦN DỊCH VỤ THƯƠNG MẠI TỔNG HỢP WINCOMMERCE</v>
      </c>
      <c r="G9" s="16"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c r="A10" s="14" t="s">
        <v>8260</v>
      </c>
      <c r="B10" s="15" t="s">
        <v>5</v>
      </c>
      <c r="C10" s="10" t="s">
        <v>8261</v>
      </c>
      <c r="D10" s="16" t="s">
        <v>543</v>
      </c>
      <c r="E10" s="15" t="s">
        <v>11193</v>
      </c>
      <c r="F10" s="16" t="str">
        <f>VLOOKUP(Table8[[#This Row],[Mã khách hàng]],code_khach_hang[],2,0)</f>
        <v>CHI NHÁNH BẮC NINH - CÔNG TY CỔ PHẦN DỊCH VỤ THƯƠNG MẠI TỔNG HỢP WINCOMMERCE</v>
      </c>
      <c r="G10" s="16"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c r="A11" s="14" t="s">
        <v>8559</v>
      </c>
      <c r="B11" s="15" t="s">
        <v>5</v>
      </c>
      <c r="C11" s="10" t="s">
        <v>8560</v>
      </c>
      <c r="D11" s="16" t="s">
        <v>546</v>
      </c>
      <c r="E11" s="15" t="s">
        <v>11193</v>
      </c>
      <c r="F11" s="16" t="str">
        <f>VLOOKUP(Table8[[#This Row],[Mã khách hàng]],code_khach_hang[],2,0)</f>
        <v>CHI NHÁNH BẮC NINH - CÔNG TY CỔ PHẦN DỊCH VỤ THƯƠNG MẠI TỔNG HỢP WINCOMMERCE</v>
      </c>
      <c r="G11" s="16"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c r="A12" s="14" t="s">
        <v>6202</v>
      </c>
      <c r="B12" s="15" t="s">
        <v>5</v>
      </c>
      <c r="C12" s="10" t="s">
        <v>6203</v>
      </c>
      <c r="D12" s="16" t="s">
        <v>549</v>
      </c>
      <c r="E12" s="15" t="s">
        <v>11193</v>
      </c>
      <c r="F12" s="16" t="str">
        <f>VLOOKUP(Table8[[#This Row],[Mã khách hàng]],code_khach_hang[],2,0)</f>
        <v>CHI NHÁNH BẮC NINH - CÔNG TY CỔ PHẦN DỊCH VỤ THƯƠNG MẠI TỔNG HỢP WINCOMMERCE</v>
      </c>
      <c r="G12" s="16"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c r="A13" s="14" t="s">
        <v>6312</v>
      </c>
      <c r="B13" s="15" t="s">
        <v>5</v>
      </c>
      <c r="C13" s="10" t="s">
        <v>6313</v>
      </c>
      <c r="D13" s="16" t="s">
        <v>552</v>
      </c>
      <c r="E13" s="15" t="s">
        <v>11193</v>
      </c>
      <c r="F13" s="16" t="str">
        <f>VLOOKUP(Table8[[#This Row],[Mã khách hàng]],code_khach_hang[],2,0)</f>
        <v>CHI NHÁNH BẮC NINH - CÔNG TY CỔ PHẦN DỊCH VỤ THƯƠNG MẠI TỔNG HỢP WINCOMMERCE</v>
      </c>
      <c r="G13" s="16"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c r="A14" s="14" t="s">
        <v>6542</v>
      </c>
      <c r="B14" s="15" t="s">
        <v>5</v>
      </c>
      <c r="C14" s="10" t="s">
        <v>6543</v>
      </c>
      <c r="D14" s="16" t="s">
        <v>555</v>
      </c>
      <c r="E14" s="15" t="s">
        <v>11193</v>
      </c>
      <c r="F14" s="16" t="str">
        <f>VLOOKUP(Table8[[#This Row],[Mã khách hàng]],code_khach_hang[],2,0)</f>
        <v>CHI NHÁNH BẮC NINH - CÔNG TY CỔ PHẦN DỊCH VỤ THƯƠNG MẠI TỔNG HỢP WINCOMMERCE</v>
      </c>
      <c r="G14" s="16"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c r="A15" s="14" t="s">
        <v>6872</v>
      </c>
      <c r="B15" s="15" t="s">
        <v>5</v>
      </c>
      <c r="C15" s="10" t="s">
        <v>6873</v>
      </c>
      <c r="D15" s="16" t="s">
        <v>558</v>
      </c>
      <c r="E15" s="15" t="s">
        <v>11193</v>
      </c>
      <c r="F15" s="16" t="str">
        <f>VLOOKUP(Table8[[#This Row],[Mã khách hàng]],code_khach_hang[],2,0)</f>
        <v>CHI NHÁNH BẮC NINH - CÔNG TY CỔ PHẦN DỊCH VỤ THƯƠNG MẠI TỔNG HỢP WINCOMMERCE</v>
      </c>
      <c r="G15" s="16"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c r="A16" s="14" t="s">
        <v>6998</v>
      </c>
      <c r="B16" s="15" t="s">
        <v>5</v>
      </c>
      <c r="C16" s="10" t="s">
        <v>6999</v>
      </c>
      <c r="D16" s="16" t="s">
        <v>561</v>
      </c>
      <c r="E16" s="15" t="s">
        <v>11193</v>
      </c>
      <c r="F16" s="16" t="str">
        <f>VLOOKUP(Table8[[#This Row],[Mã khách hàng]],code_khach_hang[],2,0)</f>
        <v>CHI NHÁNH BẮC NINH - CÔNG TY CỔ PHẦN DỊCH VỤ THƯƠNG MẠI TỔNG HỢP WINCOMMERCE</v>
      </c>
      <c r="G16" s="16"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c r="A17" s="14" t="s">
        <v>8097</v>
      </c>
      <c r="B17" s="15" t="s">
        <v>5</v>
      </c>
      <c r="C17" s="10" t="s">
        <v>8098</v>
      </c>
      <c r="D17" s="16" t="s">
        <v>564</v>
      </c>
      <c r="E17" s="15" t="s">
        <v>11193</v>
      </c>
      <c r="F17" s="16" t="str">
        <f>VLOOKUP(Table8[[#This Row],[Mã khách hàng]],code_khach_hang[],2,0)</f>
        <v>CHI NHÁNH BẮC NINH - CÔNG TY CỔ PHẦN DỊCH VỤ THƯƠNG MẠI TỔNG HỢP WINCOMMERCE</v>
      </c>
      <c r="G17" s="16"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c r="A18" s="14" t="s">
        <v>5653</v>
      </c>
      <c r="B18" s="15" t="s">
        <v>5</v>
      </c>
      <c r="C18" s="10" t="s">
        <v>5654</v>
      </c>
      <c r="D18" s="16" t="s">
        <v>567</v>
      </c>
      <c r="E18" s="15" t="s">
        <v>11193</v>
      </c>
      <c r="F18" s="16" t="str">
        <f>VLOOKUP(Table8[[#This Row],[Mã khách hàng]],code_khach_hang[],2,0)</f>
        <v>CHI NHÁNH BẮC NINH - CÔNG TY CỔ PHẦN DỊCH VỤ THƯƠNG MẠI TỔNG HỢP WINCOMMERCE</v>
      </c>
      <c r="G18" s="16"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c r="A19" s="14" t="s">
        <v>5774</v>
      </c>
      <c r="B19" s="15" t="s">
        <v>5</v>
      </c>
      <c r="C19" s="10" t="s">
        <v>5775</v>
      </c>
      <c r="D19" s="16" t="s">
        <v>570</v>
      </c>
      <c r="E19" s="15" t="s">
        <v>11193</v>
      </c>
      <c r="F19" s="16" t="str">
        <f>VLOOKUP(Table8[[#This Row],[Mã khách hàng]],code_khach_hang[],2,0)</f>
        <v>CHI NHÁNH BẮC NINH - CÔNG TY CỔ PHẦN DỊCH VỤ THƯƠNG MẠI TỔNG HỢP WINCOMMERCE</v>
      </c>
      <c r="G19" s="16"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c r="A20" s="14" t="s">
        <v>5830</v>
      </c>
      <c r="B20" s="15" t="s">
        <v>5</v>
      </c>
      <c r="C20" s="10" t="s">
        <v>5831</v>
      </c>
      <c r="D20" s="16" t="s">
        <v>573</v>
      </c>
      <c r="E20" s="15" t="s">
        <v>11193</v>
      </c>
      <c r="F20" s="16" t="str">
        <f>VLOOKUP(Table8[[#This Row],[Mã khách hàng]],code_khach_hang[],2,0)</f>
        <v>CHI NHÁNH BẮC NINH - CÔNG TY CỔ PHẦN DỊCH VỤ THƯƠNG MẠI TỔNG HỢP WINCOMMERCE</v>
      </c>
      <c r="G20" s="16"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c r="A21" s="14" t="s">
        <v>6064</v>
      </c>
      <c r="B21" s="15" t="s">
        <v>5</v>
      </c>
      <c r="C21" s="10" t="s">
        <v>6065</v>
      </c>
      <c r="D21" s="16" t="s">
        <v>576</v>
      </c>
      <c r="E21" s="15" t="s">
        <v>11193</v>
      </c>
      <c r="F21" s="16" t="str">
        <f>VLOOKUP(Table8[[#This Row],[Mã khách hàng]],code_khach_hang[],2,0)</f>
        <v>CHI NHÁNH BẮC NINH - CÔNG TY CỔ PHẦN DỊCH VỤ THƯƠNG MẠI TỔNG HỢP WINCOMMERCE</v>
      </c>
      <c r="G21" s="16"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c r="A22" s="14" t="s">
        <v>7559</v>
      </c>
      <c r="B22" s="15" t="s">
        <v>5</v>
      </c>
      <c r="C22" s="10" t="s">
        <v>7560</v>
      </c>
      <c r="D22" s="16" t="s">
        <v>579</v>
      </c>
      <c r="E22" s="15" t="s">
        <v>11193</v>
      </c>
      <c r="F22" s="16" t="str">
        <f>VLOOKUP(Table8[[#This Row],[Mã khách hàng]],code_khach_hang[],2,0)</f>
        <v>CHI NHÁNH BẮC NINH - CÔNG TY CỔ PHẦN DỊCH VỤ THƯƠNG MẠI TỔNG HỢP WINCOMMERCE</v>
      </c>
      <c r="G22" s="16"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c r="A23" s="14" t="s">
        <v>8535</v>
      </c>
      <c r="B23" s="15" t="s">
        <v>5</v>
      </c>
      <c r="C23" s="10" t="s">
        <v>8536</v>
      </c>
      <c r="D23" s="16" t="s">
        <v>582</v>
      </c>
      <c r="E23" s="15" t="s">
        <v>11193</v>
      </c>
      <c r="F23" s="16" t="str">
        <f>VLOOKUP(Table8[[#This Row],[Mã khách hàng]],code_khach_hang[],2,0)</f>
        <v>CHI NHÁNH BẮC NINH - CÔNG TY CỔ PHẦN DỊCH VỤ THƯƠNG MẠI TỔNG HỢP WINCOMMERCE</v>
      </c>
      <c r="G23" s="16"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c r="A24" s="14" t="s">
        <v>8729</v>
      </c>
      <c r="B24" s="15" t="s">
        <v>5</v>
      </c>
      <c r="C24" s="10" t="s">
        <v>8730</v>
      </c>
      <c r="D24" s="16" t="s">
        <v>585</v>
      </c>
      <c r="E24" s="15" t="s">
        <v>11193</v>
      </c>
      <c r="F24" s="16" t="str">
        <f>VLOOKUP(Table8[[#This Row],[Mã khách hàng]],code_khach_hang[],2,0)</f>
        <v>CHI NHÁNH BẮC NINH - CÔNG TY CỔ PHẦN DỊCH VỤ THƯƠNG MẠI TỔNG HỢP WINCOMMERCE</v>
      </c>
      <c r="G24" s="16"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c r="A25" s="14" t="s">
        <v>4464</v>
      </c>
      <c r="B25" s="15" t="s">
        <v>5</v>
      </c>
      <c r="C25" s="10" t="s">
        <v>4465</v>
      </c>
      <c r="D25" s="16" t="s">
        <v>588</v>
      </c>
      <c r="E25" s="15" t="s">
        <v>11193</v>
      </c>
      <c r="F25" s="16" t="str">
        <f>VLOOKUP(Table8[[#This Row],[Mã khách hàng]],code_khach_hang[],2,0)</f>
        <v>CHI NHÁNH BẮC NINH - CÔNG TY CỔ PHẦN DỊCH VỤ THƯƠNG MẠI TỔNG HỢP WINCOMMERCE</v>
      </c>
      <c r="G25" s="16"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c r="A26" s="14" t="s">
        <v>4545</v>
      </c>
      <c r="B26" s="15" t="s">
        <v>5</v>
      </c>
      <c r="C26" s="10" t="s">
        <v>4546</v>
      </c>
      <c r="D26" s="16" t="s">
        <v>591</v>
      </c>
      <c r="E26" s="15" t="s">
        <v>11193</v>
      </c>
      <c r="F26" s="16" t="str">
        <f>VLOOKUP(Table8[[#This Row],[Mã khách hàng]],code_khach_hang[],2,0)</f>
        <v>CHI NHÁNH BẮC NINH - CÔNG TY CỔ PHẦN DỊCH VỤ THƯƠNG MẠI TỔNG HỢP WINCOMMERCE</v>
      </c>
      <c r="G26" s="16"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c r="A27" s="14" t="s">
        <v>4665</v>
      </c>
      <c r="B27" s="15" t="s">
        <v>5</v>
      </c>
      <c r="C27" s="10" t="s">
        <v>4666</v>
      </c>
      <c r="D27" s="16" t="s">
        <v>594</v>
      </c>
      <c r="E27" s="15" t="s">
        <v>11193</v>
      </c>
      <c r="F27" s="16" t="str">
        <f>VLOOKUP(Table8[[#This Row],[Mã khách hàng]],code_khach_hang[],2,0)</f>
        <v>CHI NHÁNH BẮC NINH - CÔNG TY CỔ PHẦN DỊCH VỤ THƯƠNG MẠI TỔNG HỢP WINCOMMERCE</v>
      </c>
      <c r="G27" s="16"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c r="A28" s="14" t="s">
        <v>4680</v>
      </c>
      <c r="B28" s="15" t="s">
        <v>5</v>
      </c>
      <c r="C28" s="10" t="s">
        <v>4681</v>
      </c>
      <c r="D28" s="16" t="s">
        <v>597</v>
      </c>
      <c r="E28" s="15" t="s">
        <v>11193</v>
      </c>
      <c r="F28" s="16" t="str">
        <f>VLOOKUP(Table8[[#This Row],[Mã khách hàng]],code_khach_hang[],2,0)</f>
        <v>CHI NHÁNH BẮC NINH - CÔNG TY CỔ PHẦN DỊCH VỤ THƯƠNG MẠI TỔNG HỢP WINCOMMERCE</v>
      </c>
      <c r="G28" s="16"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c r="A29" s="14" t="s">
        <v>4773</v>
      </c>
      <c r="B29" s="15" t="s">
        <v>5</v>
      </c>
      <c r="C29" s="10" t="s">
        <v>4774</v>
      </c>
      <c r="D29" s="16" t="s">
        <v>600</v>
      </c>
      <c r="E29" s="15" t="s">
        <v>11193</v>
      </c>
      <c r="F29" s="16" t="str">
        <f>VLOOKUP(Table8[[#This Row],[Mã khách hàng]],code_khach_hang[],2,0)</f>
        <v>CHI NHÁNH BẮC NINH - CÔNG TY CỔ PHẦN DỊCH VỤ THƯƠNG MẠI TỔNG HỢP WINCOMMERCE</v>
      </c>
      <c r="G29" s="16"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c r="A30" s="14" t="s">
        <v>4797</v>
      </c>
      <c r="B30" s="15" t="s">
        <v>5</v>
      </c>
      <c r="C30" s="10" t="s">
        <v>4798</v>
      </c>
      <c r="D30" s="16" t="s">
        <v>603</v>
      </c>
      <c r="E30" s="15" t="s">
        <v>11193</v>
      </c>
      <c r="F30" s="16" t="str">
        <f>VLOOKUP(Table8[[#This Row],[Mã khách hàng]],code_khach_hang[],2,0)</f>
        <v>CHI NHÁNH BẮC NINH - CÔNG TY CỔ PHẦN DỊCH VỤ THƯƠNG MẠI TỔNG HỢP WINCOMMERCE</v>
      </c>
      <c r="G30" s="16"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c r="A31" s="14" t="s">
        <v>4836</v>
      </c>
      <c r="B31" s="15" t="s">
        <v>5</v>
      </c>
      <c r="C31" s="10" t="s">
        <v>4837</v>
      </c>
      <c r="D31" s="16" t="s">
        <v>606</v>
      </c>
      <c r="E31" s="15" t="s">
        <v>11193</v>
      </c>
      <c r="F31" s="16" t="str">
        <f>VLOOKUP(Table8[[#This Row],[Mã khách hàng]],code_khach_hang[],2,0)</f>
        <v>CHI NHÁNH BẮC NINH - CÔNG TY CỔ PHẦN DỊCH VỤ THƯƠNG MẠI TỔNG HỢP WINCOMMERCE</v>
      </c>
      <c r="G31" s="16"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c r="A32" s="14" t="s">
        <v>4953</v>
      </c>
      <c r="B32" s="15" t="s">
        <v>5</v>
      </c>
      <c r="C32" s="10" t="s">
        <v>4954</v>
      </c>
      <c r="D32" s="16" t="s">
        <v>609</v>
      </c>
      <c r="E32" s="15" t="s">
        <v>11193</v>
      </c>
      <c r="F32" s="16" t="str">
        <f>VLOOKUP(Table8[[#This Row],[Mã khách hàng]],code_khach_hang[],2,0)</f>
        <v>CHI NHÁNH BẮC NINH - CÔNG TY CỔ PHẦN DỊCH VỤ THƯƠNG MẠI TỔNG HỢP WINCOMMERCE</v>
      </c>
      <c r="G32" s="16"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c r="A33" s="14" t="s">
        <v>4971</v>
      </c>
      <c r="B33" s="15" t="s">
        <v>5</v>
      </c>
      <c r="C33" s="10" t="s">
        <v>4972</v>
      </c>
      <c r="D33" s="16" t="s">
        <v>612</v>
      </c>
      <c r="E33" s="15" t="s">
        <v>11193</v>
      </c>
      <c r="F33" s="16" t="str">
        <f>VLOOKUP(Table8[[#This Row],[Mã khách hàng]],code_khach_hang[],2,0)</f>
        <v>CHI NHÁNH BẮC NINH - CÔNG TY CỔ PHẦN DỊCH VỤ THƯƠNG MẠI TỔNG HỢP WINCOMMERCE</v>
      </c>
      <c r="G33" s="16"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c r="A34" s="14" t="s">
        <v>4989</v>
      </c>
      <c r="B34" s="15" t="s">
        <v>5</v>
      </c>
      <c r="C34" s="10" t="s">
        <v>4990</v>
      </c>
      <c r="D34" s="16" t="s">
        <v>615</v>
      </c>
      <c r="E34" s="15" t="s">
        <v>11193</v>
      </c>
      <c r="F34" s="16" t="str">
        <f>VLOOKUP(Table8[[#This Row],[Mã khách hàng]],code_khach_hang[],2,0)</f>
        <v>CHI NHÁNH BẮC NINH - CÔNG TY CỔ PHẦN DỊCH VỤ THƯƠNG MẠI TỔNG HỢP WINCOMMERCE</v>
      </c>
      <c r="G34" s="16"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c r="A35" s="14" t="s">
        <v>5118</v>
      </c>
      <c r="B35" s="15" t="s">
        <v>5</v>
      </c>
      <c r="C35" s="10" t="s">
        <v>5119</v>
      </c>
      <c r="D35" s="16" t="s">
        <v>618</v>
      </c>
      <c r="E35" s="15" t="s">
        <v>11193</v>
      </c>
      <c r="F35" s="16" t="str">
        <f>VLOOKUP(Table8[[#This Row],[Mã khách hàng]],code_khach_hang[],2,0)</f>
        <v>CHI NHÁNH BẮC NINH - CÔNG TY CỔ PHẦN DỊCH VỤ THƯƠNG MẠI TỔNG HỢP WINCOMMERCE</v>
      </c>
      <c r="G35" s="16"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c r="A36" s="14" t="s">
        <v>5121</v>
      </c>
      <c r="B36" s="15" t="s">
        <v>5</v>
      </c>
      <c r="C36" s="10" t="s">
        <v>5122</v>
      </c>
      <c r="D36" s="16" t="s">
        <v>621</v>
      </c>
      <c r="E36" s="15" t="s">
        <v>11193</v>
      </c>
      <c r="F36" s="16" t="str">
        <f>VLOOKUP(Table8[[#This Row],[Mã khách hàng]],code_khach_hang[],2,0)</f>
        <v>CHI NHÁNH BẮC NINH - CÔNG TY CỔ PHẦN DỊCH VỤ THƯƠNG MẠI TỔNG HỢP WINCOMMERCE</v>
      </c>
      <c r="G36" s="16"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c r="A37" s="14" t="s">
        <v>11079</v>
      </c>
      <c r="B37" s="15" t="s">
        <v>5</v>
      </c>
      <c r="C37" s="10" t="s">
        <v>13138</v>
      </c>
      <c r="D37" s="16" t="s">
        <v>624</v>
      </c>
      <c r="E37" s="15" t="s">
        <v>11193</v>
      </c>
      <c r="F37" s="16" t="str">
        <f>VLOOKUP(Table8[[#This Row],[Mã khách hàng]],code_khach_hang[],2,0)</f>
        <v>CHI NHÁNH BẮC NINH - CÔNG TY CỔ PHẦN DỊCH VỤ THƯƠNG MẠI TỔNG HỢP WINCOMMERCE</v>
      </c>
      <c r="G37" s="16"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c r="A38" s="14" t="s">
        <v>5427</v>
      </c>
      <c r="B38" s="15" t="s">
        <v>5</v>
      </c>
      <c r="C38" s="10" t="s">
        <v>5428</v>
      </c>
      <c r="D38" s="16" t="s">
        <v>627</v>
      </c>
      <c r="E38" s="15" t="s">
        <v>11193</v>
      </c>
      <c r="F38" s="16" t="str">
        <f>VLOOKUP(Table8[[#This Row],[Mã khách hàng]],code_khach_hang[],2,0)</f>
        <v>CHI NHÁNH BẮC NINH - CÔNG TY CỔ PHẦN DỊCH VỤ THƯƠNG MẠI TỔNG HỢP WINCOMMERCE</v>
      </c>
      <c r="G38" s="16"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c r="A39" s="14" t="s">
        <v>5538</v>
      </c>
      <c r="B39" s="15" t="s">
        <v>5</v>
      </c>
      <c r="C39" s="10" t="s">
        <v>5539</v>
      </c>
      <c r="D39" s="16" t="s">
        <v>630</v>
      </c>
      <c r="E39" s="15" t="s">
        <v>11193</v>
      </c>
      <c r="F39" s="16" t="str">
        <f>VLOOKUP(Table8[[#This Row],[Mã khách hàng]],code_khach_hang[],2,0)</f>
        <v>CHI NHÁNH BẮC NINH - CÔNG TY CỔ PHẦN DỊCH VỤ THƯƠNG MẠI TỔNG HỢP WINCOMMERCE</v>
      </c>
      <c r="G39" s="16"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c r="A40" s="14" t="s">
        <v>6058</v>
      </c>
      <c r="B40" s="15" t="s">
        <v>5</v>
      </c>
      <c r="C40" s="10" t="s">
        <v>6059</v>
      </c>
      <c r="D40" s="16" t="s">
        <v>633</v>
      </c>
      <c r="E40" s="15" t="s">
        <v>11193</v>
      </c>
      <c r="F40" s="16" t="str">
        <f>VLOOKUP(Table8[[#This Row],[Mã khách hàng]],code_khach_hang[],2,0)</f>
        <v>CHI NHÁNH BẮC NINH - CÔNG TY CỔ PHẦN DỊCH VỤ THƯƠNG MẠI TỔNG HỢP WINCOMMERCE</v>
      </c>
      <c r="G40" s="16"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c r="A41" s="14" t="s">
        <v>6219</v>
      </c>
      <c r="B41" s="15" t="s">
        <v>5</v>
      </c>
      <c r="C41" s="10" t="s">
        <v>6220</v>
      </c>
      <c r="D41" s="16" t="s">
        <v>636</v>
      </c>
      <c r="E41" s="15" t="s">
        <v>11193</v>
      </c>
      <c r="F41" s="16" t="str">
        <f>VLOOKUP(Table8[[#This Row],[Mã khách hàng]],code_khach_hang[],2,0)</f>
        <v>CHI NHÁNH BẮC NINH - CÔNG TY CỔ PHẦN DỊCH VỤ THƯƠNG MẠI TỔNG HỢP WINCOMMERCE</v>
      </c>
      <c r="G41" s="16"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c r="A42" s="14" t="s">
        <v>6222</v>
      </c>
      <c r="B42" s="15" t="s">
        <v>5</v>
      </c>
      <c r="C42" s="10" t="s">
        <v>6223</v>
      </c>
      <c r="D42" s="16" t="s">
        <v>639</v>
      </c>
      <c r="E42" s="15" t="s">
        <v>11193</v>
      </c>
      <c r="F42" s="16" t="str">
        <f>VLOOKUP(Table8[[#This Row],[Mã khách hàng]],code_khach_hang[],2,0)</f>
        <v>CHI NHÁNH BẮC NINH - CÔNG TY CỔ PHẦN DỊCH VỤ THƯƠNG MẠI TỔNG HỢP WINCOMMERCE</v>
      </c>
      <c r="G42" s="16"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c r="A43" s="14" t="s">
        <v>6860</v>
      </c>
      <c r="B43" s="15" t="s">
        <v>5</v>
      </c>
      <c r="C43" s="10" t="s">
        <v>6861</v>
      </c>
      <c r="D43" s="16" t="s">
        <v>642</v>
      </c>
      <c r="E43" s="15" t="s">
        <v>11193</v>
      </c>
      <c r="F43" s="16" t="str">
        <f>VLOOKUP(Table8[[#This Row],[Mã khách hàng]],code_khach_hang[],2,0)</f>
        <v>CHI NHÁNH BẮC NINH - CÔNG TY CỔ PHẦN DỊCH VỤ THƯƠNG MẠI TỔNG HỢP WINCOMMERCE</v>
      </c>
      <c r="G43" s="16"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c r="A44" s="14" t="s">
        <v>6965</v>
      </c>
      <c r="B44" s="15" t="s">
        <v>5</v>
      </c>
      <c r="C44" s="10" t="s">
        <v>6966</v>
      </c>
      <c r="D44" s="16" t="s">
        <v>645</v>
      </c>
      <c r="E44" s="15" t="s">
        <v>11193</v>
      </c>
      <c r="F44" s="16" t="str">
        <f>VLOOKUP(Table8[[#This Row],[Mã khách hàng]],code_khach_hang[],2,0)</f>
        <v>CHI NHÁNH BẮC NINH - CÔNG TY CỔ PHẦN DỊCH VỤ THƯƠNG MẠI TỔNG HỢP WINCOMMERCE</v>
      </c>
      <c r="G44" s="16"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c r="A45" s="14" t="s">
        <v>7324</v>
      </c>
      <c r="B45" s="15" t="s">
        <v>5</v>
      </c>
      <c r="C45" s="10" t="s">
        <v>7325</v>
      </c>
      <c r="D45" s="16" t="s">
        <v>648</v>
      </c>
      <c r="E45" s="15" t="s">
        <v>11193</v>
      </c>
      <c r="F45" s="16" t="str">
        <f>VLOOKUP(Table8[[#This Row],[Mã khách hàng]],code_khach_hang[],2,0)</f>
        <v>CHI NHÁNH BẮC NINH - CÔNG TY CỔ PHẦN DỊCH VỤ THƯƠNG MẠI TỔNG HỢP WINCOMMERCE</v>
      </c>
      <c r="G45" s="16"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c r="A46" s="14" t="s">
        <v>7440</v>
      </c>
      <c r="B46" s="15" t="s">
        <v>5</v>
      </c>
      <c r="C46" s="10" t="s">
        <v>7441</v>
      </c>
      <c r="D46" s="16" t="s">
        <v>649</v>
      </c>
      <c r="E46" s="15" t="s">
        <v>11193</v>
      </c>
      <c r="F46" s="16" t="str">
        <f>VLOOKUP(Table8[[#This Row],[Mã khách hàng]],code_khach_hang[],2,0)</f>
        <v>CHI NHÁNH BẮC NINH - CÔNG TY CỔ PHẦN DỊCH VỤ THƯƠNG MẠI TỔNG HỢP WINCOMMERCE</v>
      </c>
      <c r="G46" s="16"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c r="A47" s="14" t="s">
        <v>7933</v>
      </c>
      <c r="B47" s="15" t="s">
        <v>5</v>
      </c>
      <c r="C47" s="10" t="s">
        <v>7934</v>
      </c>
      <c r="D47" s="16" t="s">
        <v>654</v>
      </c>
      <c r="E47" s="15" t="s">
        <v>11193</v>
      </c>
      <c r="F47" s="16" t="str">
        <f>VLOOKUP(Table8[[#This Row],[Mã khách hàng]],code_khach_hang[],2,0)</f>
        <v>CHI NHÁNH BẮC NINH - CÔNG TY CỔ PHẦN DỊCH VỤ THƯƠNG MẠI TỔNG HỢP WINCOMMERCE</v>
      </c>
      <c r="G47" s="16"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c r="A48" s="14" t="s">
        <v>8239</v>
      </c>
      <c r="B48" s="15" t="s">
        <v>5</v>
      </c>
      <c r="C48" s="10" t="s">
        <v>8240</v>
      </c>
      <c r="D48" s="16" t="s">
        <v>657</v>
      </c>
      <c r="E48" s="15" t="s">
        <v>11193</v>
      </c>
      <c r="F48" s="16" t="str">
        <f>VLOOKUP(Table8[[#This Row],[Mã khách hàng]],code_khach_hang[],2,0)</f>
        <v>CHI NHÁNH BẮC NINH - CÔNG TY CỔ PHẦN DỊCH VỤ THƯƠNG MẠI TỔNG HỢP WINCOMMERCE</v>
      </c>
      <c r="G48" s="16"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c r="A49" s="14" t="s">
        <v>8518</v>
      </c>
      <c r="B49" s="15" t="s">
        <v>5</v>
      </c>
      <c r="C49" s="10" t="s">
        <v>8519</v>
      </c>
      <c r="D49" s="16" t="s">
        <v>660</v>
      </c>
      <c r="E49" s="15" t="s">
        <v>11193</v>
      </c>
      <c r="F49" s="16" t="str">
        <f>VLOOKUP(Table8[[#This Row],[Mã khách hàng]],code_khach_hang[],2,0)</f>
        <v>CHI NHÁNH BẮC NINH - CÔNG TY CỔ PHẦN DỊCH VỤ THƯƠNG MẠI TỔNG HỢP WINCOMMERCE</v>
      </c>
      <c r="G49" s="16"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c r="A50" s="14" t="s">
        <v>8532</v>
      </c>
      <c r="B50" s="15" t="s">
        <v>5</v>
      </c>
      <c r="C50" s="10" t="s">
        <v>8533</v>
      </c>
      <c r="D50" s="16" t="s">
        <v>663</v>
      </c>
      <c r="E50" s="15" t="s">
        <v>11193</v>
      </c>
      <c r="F50" s="16" t="str">
        <f>VLOOKUP(Table8[[#This Row],[Mã khách hàng]],code_khach_hang[],2,0)</f>
        <v>CHI NHÁNH BẮC NINH - CÔNG TY CỔ PHẦN DỊCH VỤ THƯƠNG MẠI TỔNG HỢP WINCOMMERCE</v>
      </c>
      <c r="G50" s="16"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c r="A51" s="14" t="s">
        <v>8741</v>
      </c>
      <c r="B51" s="15" t="s">
        <v>5</v>
      </c>
      <c r="C51" s="10" t="s">
        <v>8742</v>
      </c>
      <c r="D51" s="16" t="s">
        <v>666</v>
      </c>
      <c r="E51" s="15" t="s">
        <v>11193</v>
      </c>
      <c r="F51" s="16" t="str">
        <f>VLOOKUP(Table8[[#This Row],[Mã khách hàng]],code_khach_hang[],2,0)</f>
        <v>CHI NHÁNH BẮC NINH - CÔNG TY CỔ PHẦN DỊCH VỤ THƯƠNG MẠI TỔNG HỢP WINCOMMERCE</v>
      </c>
      <c r="G51" s="16"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c r="A52" s="14" t="s">
        <v>4518</v>
      </c>
      <c r="B52" s="15" t="s">
        <v>5</v>
      </c>
      <c r="C52" s="10" t="s">
        <v>4519</v>
      </c>
      <c r="D52" s="16" t="s">
        <v>669</v>
      </c>
      <c r="E52" s="15" t="s">
        <v>11193</v>
      </c>
      <c r="F52" s="16" t="str">
        <f>VLOOKUP(Table8[[#This Row],[Mã khách hàng]],code_khach_hang[],2,0)</f>
        <v>CHI NHÁNH BẮC NINH - CÔNG TY CỔ PHẦN DỊCH VỤ THƯƠNG MẠI TỔNG HỢP WINCOMMERCE</v>
      </c>
      <c r="G52" s="16"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c r="A53" s="14" t="s">
        <v>4581</v>
      </c>
      <c r="B53" s="15" t="s">
        <v>5</v>
      </c>
      <c r="C53" s="10" t="s">
        <v>4582</v>
      </c>
      <c r="D53" s="16" t="s">
        <v>672</v>
      </c>
      <c r="E53" s="15" t="s">
        <v>11193</v>
      </c>
      <c r="F53" s="16" t="str">
        <f>VLOOKUP(Table8[[#This Row],[Mã khách hàng]],code_khach_hang[],2,0)</f>
        <v>CHI NHÁNH BẮC NINH - CÔNG TY CỔ PHẦN DỊCH VỤ THƯƠNG MẠI TỔNG HỢP WINCOMMERCE</v>
      </c>
      <c r="G53" s="16"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c r="A54" s="14" t="s">
        <v>5022</v>
      </c>
      <c r="B54" s="15" t="s">
        <v>5</v>
      </c>
      <c r="C54" s="10" t="s">
        <v>5023</v>
      </c>
      <c r="D54" s="16" t="s">
        <v>675</v>
      </c>
      <c r="E54" s="15" t="s">
        <v>11193</v>
      </c>
      <c r="F54" s="16" t="str">
        <f>VLOOKUP(Table8[[#This Row],[Mã khách hàng]],code_khach_hang[],2,0)</f>
        <v>CHI NHÁNH BẮC NINH - CÔNG TY CỔ PHẦN DỊCH VỤ THƯƠNG MẠI TỔNG HỢP WINCOMMERCE</v>
      </c>
      <c r="G54" s="16"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c r="A55" s="14" t="s">
        <v>5106</v>
      </c>
      <c r="B55" s="15" t="s">
        <v>5</v>
      </c>
      <c r="C55" s="10" t="s">
        <v>5107</v>
      </c>
      <c r="D55" s="16" t="s">
        <v>678</v>
      </c>
      <c r="E55" s="15" t="s">
        <v>11193</v>
      </c>
      <c r="F55" s="16" t="str">
        <f>VLOOKUP(Table8[[#This Row],[Mã khách hàng]],code_khach_hang[],2,0)</f>
        <v>CHI NHÁNH BẮC NINH - CÔNG TY CỔ PHẦN DỊCH VỤ THƯƠNG MẠI TỔNG HỢP WINCOMMERCE</v>
      </c>
      <c r="G55" s="16"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c r="A56" s="14" t="s">
        <v>5244</v>
      </c>
      <c r="B56" s="15" t="s">
        <v>5</v>
      </c>
      <c r="C56" s="10" t="s">
        <v>5245</v>
      </c>
      <c r="D56" s="16" t="s">
        <v>680</v>
      </c>
      <c r="E56" s="15" t="s">
        <v>11193</v>
      </c>
      <c r="F56" s="16" t="str">
        <f>VLOOKUP(Table8[[#This Row],[Mã khách hàng]],code_khach_hang[],2,0)</f>
        <v>CHI NHÁNH BẮC NINH - CÔNG TY CỔ PHẦN DỊCH VỤ THƯƠNG MẠI TỔNG HỢP WINCOMMERCE</v>
      </c>
      <c r="G56" s="16"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c r="A57" s="14" t="s">
        <v>6749</v>
      </c>
      <c r="B57" s="15" t="s">
        <v>5</v>
      </c>
      <c r="C57" s="10" t="s">
        <v>6750</v>
      </c>
      <c r="D57" s="16" t="s">
        <v>683</v>
      </c>
      <c r="E57" s="15" t="s">
        <v>11193</v>
      </c>
      <c r="F57" s="16" t="str">
        <f>VLOOKUP(Table8[[#This Row],[Mã khách hàng]],code_khach_hang[],2,0)</f>
        <v>CHI NHÁNH BẮC NINH - CÔNG TY CỔ PHẦN DỊCH VỤ THƯƠNG MẠI TỔNG HỢP WINCOMMERCE</v>
      </c>
      <c r="G57" s="16"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c r="A58" s="14" t="s">
        <v>6914</v>
      </c>
      <c r="B58" s="15" t="s">
        <v>5</v>
      </c>
      <c r="C58" s="10" t="s">
        <v>6915</v>
      </c>
      <c r="D58" s="16" t="s">
        <v>686</v>
      </c>
      <c r="E58" s="15" t="s">
        <v>11193</v>
      </c>
      <c r="F58" s="16" t="str">
        <f>VLOOKUP(Table8[[#This Row],[Mã khách hàng]],code_khach_hang[],2,0)</f>
        <v>CHI NHÁNH BẮC NINH - CÔNG TY CỔ PHẦN DỊCH VỤ THƯƠNG MẠI TỔNG HỢP WINCOMMERCE</v>
      </c>
      <c r="G58" s="16"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c r="A59" s="14" t="s">
        <v>8688</v>
      </c>
      <c r="B59" s="15" t="s">
        <v>5</v>
      </c>
      <c r="C59" s="10" t="s">
        <v>8689</v>
      </c>
      <c r="D59" s="16" t="s">
        <v>689</v>
      </c>
      <c r="E59" s="15" t="s">
        <v>11193</v>
      </c>
      <c r="F59" s="16" t="str">
        <f>VLOOKUP(Table8[[#This Row],[Mã khách hàng]],code_khach_hang[],2,0)</f>
        <v>CHI NHÁNH BẮC NINH - CÔNG TY CỔ PHẦN DỊCH VỤ THƯƠNG MẠI TỔNG HỢP WINCOMMERCE</v>
      </c>
      <c r="G59" s="16"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c r="A60" s="14" t="s">
        <v>8480</v>
      </c>
      <c r="B60" s="15" t="s">
        <v>5</v>
      </c>
      <c r="C60" s="10" t="s">
        <v>8481</v>
      </c>
      <c r="D60" s="16" t="s">
        <v>692</v>
      </c>
      <c r="E60" s="15" t="s">
        <v>11193</v>
      </c>
      <c r="F60" s="16" t="str">
        <f>VLOOKUP(Table8[[#This Row],[Mã khách hàng]],code_khach_hang[],2,0)</f>
        <v>CHI NHÁNH BẮC NINH - CÔNG TY CỔ PHẦN DỊCH VỤ THƯƠNG MẠI TỔNG HỢP WINCOMMERCE</v>
      </c>
      <c r="G60" s="16"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c r="A61" s="14" t="s">
        <v>8617</v>
      </c>
      <c r="B61" s="15" t="s">
        <v>5</v>
      </c>
      <c r="C61" s="10" t="s">
        <v>8618</v>
      </c>
      <c r="D61" s="16" t="s">
        <v>695</v>
      </c>
      <c r="E61" s="15" t="s">
        <v>11193</v>
      </c>
      <c r="F61" s="16" t="str">
        <f>VLOOKUP(Table8[[#This Row],[Mã khách hàng]],code_khach_hang[],2,0)</f>
        <v>CHI NHÁNH BẮC NINH - CÔNG TY CỔ PHẦN DỊCH VỤ THƯƠNG MẠI TỔNG HỢP WINCOMMERCE</v>
      </c>
      <c r="G61" s="16"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c r="A62" s="14" t="s">
        <v>8853</v>
      </c>
      <c r="B62" s="15" t="s">
        <v>5</v>
      </c>
      <c r="C62" s="10" t="s">
        <v>8854</v>
      </c>
      <c r="D62" s="16" t="s">
        <v>698</v>
      </c>
      <c r="E62" s="15" t="s">
        <v>11193</v>
      </c>
      <c r="F62" s="16" t="str">
        <f>VLOOKUP(Table8[[#This Row],[Mã khách hàng]],code_khach_hang[],2,0)</f>
        <v>CHI NHÁNH BẮC NINH - CÔNG TY CỔ PHẦN DỊCH VỤ THƯƠNG MẠI TỔNG HỢP WINCOMMERCE</v>
      </c>
      <c r="G62" s="16"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c r="A63" s="14" t="s">
        <v>8794</v>
      </c>
      <c r="B63" s="15" t="s">
        <v>5</v>
      </c>
      <c r="C63" s="10" t="s">
        <v>8795</v>
      </c>
      <c r="D63" s="16" t="s">
        <v>701</v>
      </c>
      <c r="E63" s="15" t="s">
        <v>11193</v>
      </c>
      <c r="F63" s="16" t="str">
        <f>VLOOKUP(Table8[[#This Row],[Mã khách hàng]],code_khach_hang[],2,0)</f>
        <v>CHI NHÁNH BẮC NINH - CÔNG TY CỔ PHẦN DỊCH VỤ THƯƠNG MẠI TỔNG HỢP WINCOMMERCE</v>
      </c>
      <c r="G63" s="16"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c r="A64" s="14" t="s">
        <v>8821</v>
      </c>
      <c r="B64" s="15" t="s">
        <v>5</v>
      </c>
      <c r="C64" s="10" t="s">
        <v>8822</v>
      </c>
      <c r="D64" s="16" t="s">
        <v>704</v>
      </c>
      <c r="E64" s="15" t="s">
        <v>11193</v>
      </c>
      <c r="F64" s="16" t="str">
        <f>VLOOKUP(Table8[[#This Row],[Mã khách hàng]],code_khach_hang[],2,0)</f>
        <v>CHI NHÁNH BẮC NINH - CÔNG TY CỔ PHẦN DỊCH VỤ THƯƠNG MẠI TỔNG HỢP WINCOMMERCE</v>
      </c>
      <c r="G64" s="16"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c r="A65" s="14" t="s">
        <v>8735</v>
      </c>
      <c r="B65" s="15" t="s">
        <v>5</v>
      </c>
      <c r="C65" s="10" t="s">
        <v>8736</v>
      </c>
      <c r="D65" s="16" t="s">
        <v>706</v>
      </c>
      <c r="E65" s="15" t="s">
        <v>11193</v>
      </c>
      <c r="F65" s="16" t="str">
        <f>VLOOKUP(Table8[[#This Row],[Mã khách hàng]],code_khach_hang[],2,0)</f>
        <v>CHI NHÁNH BẮC NINH - CÔNG TY CỔ PHẦN DỊCH VỤ THƯƠNG MẠI TỔNG HỢP WINCOMMERCE</v>
      </c>
      <c r="G65" s="16"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c r="A66" s="14" t="s">
        <v>8771</v>
      </c>
      <c r="B66" s="15" t="s">
        <v>5</v>
      </c>
      <c r="C66" s="10" t="s">
        <v>8772</v>
      </c>
      <c r="D66" s="16" t="s">
        <v>709</v>
      </c>
      <c r="E66" s="15" t="s">
        <v>11193</v>
      </c>
      <c r="F66" s="16" t="str">
        <f>VLOOKUP(Table8[[#This Row],[Mã khách hàng]],code_khach_hang[],2,0)</f>
        <v>CHI NHÁNH BẮC NINH - CÔNG TY CỔ PHẦN DỊCH VỤ THƯƠNG MẠI TỔNG HỢP WINCOMMERCE</v>
      </c>
      <c r="G66" s="16"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c r="A67" s="14" t="s">
        <v>9067</v>
      </c>
      <c r="B67" s="15" t="s">
        <v>5</v>
      </c>
      <c r="C67" s="10" t="s">
        <v>9068</v>
      </c>
      <c r="D67" s="16" t="s">
        <v>712</v>
      </c>
      <c r="E67" s="15" t="s">
        <v>11193</v>
      </c>
      <c r="F67" s="16" t="str">
        <f>VLOOKUP(Table8[[#This Row],[Mã khách hàng]],code_khach_hang[],2,0)</f>
        <v>CHI NHÁNH BẮC NINH - CÔNG TY CỔ PHẦN DỊCH VỤ THƯƠNG MẠI TỔNG HỢP WINCOMMERCE</v>
      </c>
      <c r="G67" s="16"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c r="A68" s="14" t="s">
        <v>9025</v>
      </c>
      <c r="B68" s="15" t="s">
        <v>5</v>
      </c>
      <c r="C68" s="10" t="s">
        <v>9026</v>
      </c>
      <c r="D68" s="16" t="s">
        <v>715</v>
      </c>
      <c r="E68" s="15" t="s">
        <v>11193</v>
      </c>
      <c r="F68" s="16" t="str">
        <f>VLOOKUP(Table8[[#This Row],[Mã khách hàng]],code_khach_hang[],2,0)</f>
        <v>CHI NHÁNH BẮC NINH - CÔNG TY CỔ PHẦN DỊCH VỤ THƯƠNG MẠI TỔNG HỢP WINCOMMERCE</v>
      </c>
      <c r="G68" s="16"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c r="A69" s="14" t="s">
        <v>9022</v>
      </c>
      <c r="B69" s="15" t="s">
        <v>5</v>
      </c>
      <c r="C69" s="10" t="s">
        <v>9023</v>
      </c>
      <c r="D69" s="16" t="s">
        <v>718</v>
      </c>
      <c r="E69" s="15" t="s">
        <v>11193</v>
      </c>
      <c r="F69" s="16" t="str">
        <f>VLOOKUP(Table8[[#This Row],[Mã khách hàng]],code_khach_hang[],2,0)</f>
        <v>CHI NHÁNH BẮC NINH - CÔNG TY CỔ PHẦN DỊCH VỤ THƯƠNG MẠI TỔNG HỢP WINCOMMERCE</v>
      </c>
      <c r="G69" s="16"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c r="A70" s="14" t="s">
        <v>1369</v>
      </c>
      <c r="B70" s="15" t="s">
        <v>5</v>
      </c>
      <c r="C70" s="10" t="s">
        <v>1370</v>
      </c>
      <c r="D70" s="16" t="s">
        <v>721</v>
      </c>
      <c r="E70" s="15" t="s">
        <v>11193</v>
      </c>
      <c r="F70" s="16" t="str">
        <f>VLOOKUP(Table8[[#This Row],[Mã khách hàng]],code_khach_hang[],2,0)</f>
        <v>CHI NHÁNH BẮC NINH - CÔNG TY CỔ PHẦN DỊCH VỤ THƯƠNG MẠI TỔNG HỢP WINCOMMERCE</v>
      </c>
      <c r="G70" s="16"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c r="A71" s="14" t="s">
        <v>1444</v>
      </c>
      <c r="B71" s="15" t="s">
        <v>5</v>
      </c>
      <c r="C71" s="10" t="s">
        <v>1445</v>
      </c>
      <c r="D71" s="16" t="s">
        <v>724</v>
      </c>
      <c r="E71" s="15" t="s">
        <v>11193</v>
      </c>
      <c r="F71" s="16" t="str">
        <f>VLOOKUP(Table8[[#This Row],[Mã khách hàng]],code_khach_hang[],2,0)</f>
        <v>CHI NHÁNH BẮC NINH - CÔNG TY CỔ PHẦN DỊCH VỤ THƯƠNG MẠI TỔNG HỢP WINCOMMERCE</v>
      </c>
      <c r="G71" s="16"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c r="A72" s="14" t="s">
        <v>1701</v>
      </c>
      <c r="B72" s="15" t="s">
        <v>5</v>
      </c>
      <c r="C72" s="10" t="s">
        <v>1702</v>
      </c>
      <c r="D72" s="16" t="s">
        <v>727</v>
      </c>
      <c r="E72" s="15" t="s">
        <v>11193</v>
      </c>
      <c r="F72" s="16" t="str">
        <f>VLOOKUP(Table8[[#This Row],[Mã khách hàng]],code_khach_hang[],2,0)</f>
        <v>CHI NHÁNH BẮC NINH - CÔNG TY CỔ PHẦN DỊCH VỤ THƯƠNG MẠI TỔNG HỢP WINCOMMERCE</v>
      </c>
      <c r="G72" s="16"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c r="A73" s="14" t="s">
        <v>2542</v>
      </c>
      <c r="B73" s="15" t="s">
        <v>5</v>
      </c>
      <c r="C73" s="10" t="s">
        <v>2543</v>
      </c>
      <c r="D73" s="16" t="s">
        <v>729</v>
      </c>
      <c r="E73" s="15" t="s">
        <v>11193</v>
      </c>
      <c r="F73" s="16" t="str">
        <f>VLOOKUP(Table8[[#This Row],[Mã khách hàng]],code_khach_hang[],2,0)</f>
        <v>CHI NHÁNH BẮC NINH - CÔNG TY CỔ PHẦN DỊCH VỤ THƯƠNG MẠI TỔNG HỢP WINCOMMERCE</v>
      </c>
      <c r="G73" s="16"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c r="A74" s="14" t="s">
        <v>2241</v>
      </c>
      <c r="B74" s="15" t="s">
        <v>5</v>
      </c>
      <c r="C74" s="10" t="s">
        <v>2242</v>
      </c>
      <c r="D74" s="16" t="s">
        <v>732</v>
      </c>
      <c r="E74" s="15" t="s">
        <v>11193</v>
      </c>
      <c r="F74" s="16" t="str">
        <f>VLOOKUP(Table8[[#This Row],[Mã khách hàng]],code_khach_hang[],2,0)</f>
        <v>CHI NHÁNH BẮC NINH - CÔNG TY CỔ PHẦN DỊCH VỤ THƯƠNG MẠI TỔNG HỢP WINCOMMERCE</v>
      </c>
      <c r="G74" s="16"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c r="A75" s="14" t="s">
        <v>2616</v>
      </c>
      <c r="B75" s="15" t="s">
        <v>5</v>
      </c>
      <c r="C75" s="10" t="s">
        <v>2617</v>
      </c>
      <c r="D75" s="16" t="s">
        <v>735</v>
      </c>
      <c r="E75" s="15" t="s">
        <v>11193</v>
      </c>
      <c r="F75" s="16" t="str">
        <f>VLOOKUP(Table8[[#This Row],[Mã khách hàng]],code_khach_hang[],2,0)</f>
        <v>CHI NHÁNH BẮC NINH - CÔNG TY CỔ PHẦN DỊCH VỤ THƯƠNG MẠI TỔNG HỢP WINCOMMERCE</v>
      </c>
      <c r="G75" s="16"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c r="A76" s="14" t="s">
        <v>2649</v>
      </c>
      <c r="B76" s="15" t="s">
        <v>5</v>
      </c>
      <c r="C76" s="10" t="s">
        <v>2650</v>
      </c>
      <c r="D76" s="16" t="s">
        <v>738</v>
      </c>
      <c r="E76" s="15" t="s">
        <v>11193</v>
      </c>
      <c r="F76" s="16" t="str">
        <f>VLOOKUP(Table8[[#This Row],[Mã khách hàng]],code_khach_hang[],2,0)</f>
        <v>CHI NHÁNH BẮC NINH - CÔNG TY CỔ PHẦN DỊCH VỤ THƯƠNG MẠI TỔNG HỢP WINCOMMERCE</v>
      </c>
      <c r="G76" s="16"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c r="A77" s="14" t="s">
        <v>2816</v>
      </c>
      <c r="B77" s="15" t="s">
        <v>5</v>
      </c>
      <c r="C77" s="10" t="s">
        <v>2817</v>
      </c>
      <c r="D77" s="16" t="s">
        <v>740</v>
      </c>
      <c r="E77" s="15" t="s">
        <v>11193</v>
      </c>
      <c r="F77" s="16" t="str">
        <f>VLOOKUP(Table8[[#This Row],[Mã khách hàng]],code_khach_hang[],2,0)</f>
        <v>CHI NHÁNH BẮC NINH - CÔNG TY CỔ PHẦN DỊCH VỤ THƯƠNG MẠI TỔNG HỢP WINCOMMERCE</v>
      </c>
      <c r="G77" s="16"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c r="A78" s="14" t="s">
        <v>1509</v>
      </c>
      <c r="B78" s="15" t="s">
        <v>5</v>
      </c>
      <c r="C78" s="10" t="s">
        <v>1510</v>
      </c>
      <c r="D78" s="16" t="s">
        <v>743</v>
      </c>
      <c r="E78" s="15" t="s">
        <v>11193</v>
      </c>
      <c r="F78" s="16" t="str">
        <f>VLOOKUP(Table8[[#This Row],[Mã khách hàng]],code_khach_hang[],2,0)</f>
        <v>CHI NHÁNH BẮC NINH - CÔNG TY CỔ PHẦN DỊCH VỤ THƯƠNG MẠI TỔNG HỢP WINCOMMERCE</v>
      </c>
      <c r="G78" s="16"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c r="A79" s="14" t="s">
        <v>1540</v>
      </c>
      <c r="B79" s="15" t="s">
        <v>5</v>
      </c>
      <c r="C79" s="10" t="s">
        <v>1541</v>
      </c>
      <c r="D79" s="16" t="s">
        <v>746</v>
      </c>
      <c r="E79" s="15" t="s">
        <v>11193</v>
      </c>
      <c r="F79" s="16" t="str">
        <f>VLOOKUP(Table8[[#This Row],[Mã khách hàng]],code_khach_hang[],2,0)</f>
        <v>CHI NHÁNH BẮC NINH - CÔNG TY CỔ PHẦN DỊCH VỤ THƯƠNG MẠI TỔNG HỢP WINCOMMERCE</v>
      </c>
      <c r="G79" s="16"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c r="A80" s="14" t="s">
        <v>710</v>
      </c>
      <c r="B80" s="15" t="s">
        <v>183</v>
      </c>
      <c r="C80" s="10" t="s">
        <v>711</v>
      </c>
      <c r="D80" s="16" t="s">
        <v>749</v>
      </c>
      <c r="E80" s="15" t="s">
        <v>11193</v>
      </c>
      <c r="F80" s="16" t="str">
        <f>VLOOKUP(Table8[[#This Row],[Mã khách hàng]],code_khach_hang[],2,0)</f>
        <v>CHI NHÁNH BẮC NINH - CÔNG TY CỔ PHẦN DỊCH VỤ THƯƠNG MẠI TỔNG HỢP WINCOMMERCE</v>
      </c>
      <c r="G80" s="16"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c r="A81" s="14" t="s">
        <v>8328</v>
      </c>
      <c r="B81" s="15" t="s">
        <v>5</v>
      </c>
      <c r="C81" s="10" t="s">
        <v>8329</v>
      </c>
      <c r="D81" s="16" t="s">
        <v>752</v>
      </c>
      <c r="E81" s="15" t="s">
        <v>11197</v>
      </c>
      <c r="F81" s="16" t="str">
        <f>VLOOKUP(Table8[[#This Row],[Mã khách hàng]],code_khach_hang[],2,0)</f>
        <v>CHI NHÁNH QUẢNG NINH - CÔNG TY CỔ PHẦN DỊCH VỤ THƯƠNG MẠI TỔNG HỢP WINCOMMERCE</v>
      </c>
      <c r="G81" s="16"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c r="A82" s="14" t="s">
        <v>8434</v>
      </c>
      <c r="B82" s="15" t="s">
        <v>5</v>
      </c>
      <c r="C82" s="10" t="s">
        <v>8435</v>
      </c>
      <c r="D82" s="16" t="s">
        <v>755</v>
      </c>
      <c r="E82" s="15" t="s">
        <v>11197</v>
      </c>
      <c r="F82" s="16" t="str">
        <f>VLOOKUP(Table8[[#This Row],[Mã khách hàng]],code_khach_hang[],2,0)</f>
        <v>CHI NHÁNH QUẢNG NINH - CÔNG TY CỔ PHẦN DỊCH VỤ THƯƠNG MẠI TỔNG HỢP WINCOMMERCE</v>
      </c>
      <c r="G82" s="16"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c r="A83" s="14" t="s">
        <v>6067</v>
      </c>
      <c r="B83" s="15" t="s">
        <v>5</v>
      </c>
      <c r="C83" s="10" t="s">
        <v>6068</v>
      </c>
      <c r="D83" s="16" t="s">
        <v>758</v>
      </c>
      <c r="E83" s="15" t="s">
        <v>11197</v>
      </c>
      <c r="F83" s="16" t="str">
        <f>VLOOKUP(Table8[[#This Row],[Mã khách hàng]],code_khach_hang[],2,0)</f>
        <v>CHI NHÁNH QUẢNG NINH - CÔNG TY CỔ PHẦN DỊCH VỤ THƯƠNG MẠI TỔNG HỢP WINCOMMERCE</v>
      </c>
      <c r="G83" s="16"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c r="A84" s="14" t="s">
        <v>6085</v>
      </c>
      <c r="B84" s="15" t="s">
        <v>5</v>
      </c>
      <c r="C84" s="10" t="s">
        <v>6086</v>
      </c>
      <c r="D84" s="16" t="s">
        <v>761</v>
      </c>
      <c r="E84" s="14" t="s">
        <v>11197</v>
      </c>
      <c r="F84" s="16" t="str">
        <f>VLOOKUP(Table8[[#This Row],[Mã khách hàng]],code_khach_hang[],2,0)</f>
        <v>CHI NHÁNH QUẢNG NINH - CÔNG TY CỔ PHẦN DỊCH VỤ THƯƠNG MẠI TỔNG HỢP WINCOMMERCE</v>
      </c>
      <c r="G84" s="16"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c r="A85" s="14" t="s">
        <v>6103</v>
      </c>
      <c r="B85" s="15" t="s">
        <v>5</v>
      </c>
      <c r="C85" s="10" t="s">
        <v>6104</v>
      </c>
      <c r="D85" s="16" t="s">
        <v>764</v>
      </c>
      <c r="E85" s="15" t="s">
        <v>11197</v>
      </c>
      <c r="F85" s="16" t="str">
        <f>VLOOKUP(Table8[[#This Row],[Mã khách hàng]],code_khach_hang[],2,0)</f>
        <v>CHI NHÁNH QUẢNG NINH - CÔNG TY CỔ PHẦN DỊCH VỤ THƯƠNG MẠI TỔNG HỢP WINCOMMERCE</v>
      </c>
      <c r="G85" s="16"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c r="A86" s="14" t="s">
        <v>6863</v>
      </c>
      <c r="B86" s="15" t="s">
        <v>5</v>
      </c>
      <c r="C86" s="10" t="s">
        <v>6864</v>
      </c>
      <c r="D86" s="16" t="s">
        <v>767</v>
      </c>
      <c r="E86" s="15" t="s">
        <v>11197</v>
      </c>
      <c r="F86" s="16" t="str">
        <f>VLOOKUP(Table8[[#This Row],[Mã khách hàng]],code_khach_hang[],2,0)</f>
        <v>CHI NHÁNH QUẢNG NINH - CÔNG TY CỔ PHẦN DỊCH VỤ THƯƠNG MẠI TỔNG HỢP WINCOMMERCE</v>
      </c>
      <c r="G86" s="16"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c r="A87" s="14" t="s">
        <v>6995</v>
      </c>
      <c r="B87" s="15" t="s">
        <v>5</v>
      </c>
      <c r="C87" s="10" t="s">
        <v>6996</v>
      </c>
      <c r="D87" s="16" t="s">
        <v>770</v>
      </c>
      <c r="E87" s="15" t="s">
        <v>11197</v>
      </c>
      <c r="F87" s="16" t="str">
        <f>VLOOKUP(Table8[[#This Row],[Mã khách hàng]],code_khach_hang[],2,0)</f>
        <v>CHI NHÁNH QUẢNG NINH - CÔNG TY CỔ PHẦN DỊCH VỤ THƯƠNG MẠI TỔNG HỢP WINCOMMERCE</v>
      </c>
      <c r="G87" s="16"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c r="A88" s="14" t="s">
        <v>7303</v>
      </c>
      <c r="B88" s="15" t="s">
        <v>5</v>
      </c>
      <c r="C88" s="10" t="s">
        <v>7304</v>
      </c>
      <c r="D88" s="16" t="s">
        <v>773</v>
      </c>
      <c r="E88" s="15" t="s">
        <v>11197</v>
      </c>
      <c r="F88" s="16" t="str">
        <f>VLOOKUP(Table8[[#This Row],[Mã khách hàng]],code_khach_hang[],2,0)</f>
        <v>CHI NHÁNH QUẢNG NINH - CÔNG TY CỔ PHẦN DỊCH VỤ THƯƠNG MẠI TỔNG HỢP WINCOMMERCE</v>
      </c>
      <c r="G88" s="16"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c r="A89" s="14" t="s">
        <v>7327</v>
      </c>
      <c r="B89" s="15" t="s">
        <v>5</v>
      </c>
      <c r="C89" s="10" t="s">
        <v>7328</v>
      </c>
      <c r="D89" s="16" t="s">
        <v>776</v>
      </c>
      <c r="E89" s="15" t="s">
        <v>11197</v>
      </c>
      <c r="F89" s="16" t="str">
        <f>VLOOKUP(Table8[[#This Row],[Mã khách hàng]],code_khach_hang[],2,0)</f>
        <v>CHI NHÁNH QUẢNG NINH - CÔNG TY CỔ PHẦN DỊCH VỤ THƯƠNG MẠI TỔNG HỢP WINCOMMERCE</v>
      </c>
      <c r="G89" s="16"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c r="A90" s="14" t="s">
        <v>8082</v>
      </c>
      <c r="B90" s="15" t="s">
        <v>5</v>
      </c>
      <c r="C90" s="10" t="s">
        <v>8083</v>
      </c>
      <c r="D90" s="16" t="s">
        <v>779</v>
      </c>
      <c r="E90" s="15" t="s">
        <v>11197</v>
      </c>
      <c r="F90" s="16" t="str">
        <f>VLOOKUP(Table8[[#This Row],[Mã khách hàng]],code_khach_hang[],2,0)</f>
        <v>CHI NHÁNH QUẢNG NINH - CÔNG TY CỔ PHẦN DỊCH VỤ THƯƠNG MẠI TỔNG HỢP WINCOMMERCE</v>
      </c>
      <c r="G90" s="16"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c r="A91" s="14" t="s">
        <v>8112</v>
      </c>
      <c r="B91" s="15" t="s">
        <v>5</v>
      </c>
      <c r="C91" s="10" t="s">
        <v>8113</v>
      </c>
      <c r="D91" s="16" t="s">
        <v>782</v>
      </c>
      <c r="E91" s="15" t="s">
        <v>11197</v>
      </c>
      <c r="F91" s="16" t="str">
        <f>VLOOKUP(Table8[[#This Row],[Mã khách hàng]],code_khach_hang[],2,0)</f>
        <v>CHI NHÁNH QUẢNG NINH - CÔNG TY CỔ PHẦN DỊCH VỤ THƯƠNG MẠI TỔNG HỢP WINCOMMERCE</v>
      </c>
      <c r="G91" s="16"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c r="A92" s="14" t="s">
        <v>4380</v>
      </c>
      <c r="B92" s="15" t="s">
        <v>5</v>
      </c>
      <c r="C92" s="10" t="s">
        <v>4381</v>
      </c>
      <c r="D92" s="16" t="s">
        <v>785</v>
      </c>
      <c r="E92" s="15" t="s">
        <v>11197</v>
      </c>
      <c r="F92" s="16" t="str">
        <f>VLOOKUP(Table8[[#This Row],[Mã khách hàng]],code_khach_hang[],2,0)</f>
        <v>CHI NHÁNH QUẢNG NINH - CÔNG TY CỔ PHẦN DỊCH VỤ THƯƠNG MẠI TỔNG HỢP WINCOMMERCE</v>
      </c>
      <c r="G92" s="16"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c r="A93" s="14" t="s">
        <v>4392</v>
      </c>
      <c r="B93" s="15" t="s">
        <v>5</v>
      </c>
      <c r="C93" s="10" t="s">
        <v>4393</v>
      </c>
      <c r="D93" s="16" t="s">
        <v>788</v>
      </c>
      <c r="E93" s="15" t="s">
        <v>11197</v>
      </c>
      <c r="F93" s="16" t="str">
        <f>VLOOKUP(Table8[[#This Row],[Mã khách hàng]],code_khach_hang[],2,0)</f>
        <v>CHI NHÁNH QUẢNG NINH - CÔNG TY CỔ PHẦN DỊCH VỤ THƯƠNG MẠI TỔNG HỢP WINCOMMERCE</v>
      </c>
      <c r="G93" s="16"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c r="A94" s="14" t="s">
        <v>4437</v>
      </c>
      <c r="B94" s="15" t="s">
        <v>5</v>
      </c>
      <c r="C94" s="10" t="s">
        <v>4438</v>
      </c>
      <c r="D94" s="16" t="s">
        <v>791</v>
      </c>
      <c r="E94" s="15" t="s">
        <v>11197</v>
      </c>
      <c r="F94" s="16" t="str">
        <f>VLOOKUP(Table8[[#This Row],[Mã khách hàng]],code_khach_hang[],2,0)</f>
        <v>CHI NHÁNH QUẢNG NINH - CÔNG TY CỔ PHẦN DỊCH VỤ THƯƠNG MẠI TỔNG HỢP WINCOMMERCE</v>
      </c>
      <c r="G94" s="16"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c r="A95" s="14" t="s">
        <v>4500</v>
      </c>
      <c r="B95" s="15" t="s">
        <v>5</v>
      </c>
      <c r="C95" s="10" t="s">
        <v>4501</v>
      </c>
      <c r="D95" s="16" t="s">
        <v>794</v>
      </c>
      <c r="E95" s="15" t="s">
        <v>11197</v>
      </c>
      <c r="F95" s="16" t="str">
        <f>VLOOKUP(Table8[[#This Row],[Mã khách hàng]],code_khach_hang[],2,0)</f>
        <v>CHI NHÁNH QUẢNG NINH - CÔNG TY CỔ PHẦN DỊCH VỤ THƯƠNG MẠI TỔNG HỢP WINCOMMERCE</v>
      </c>
      <c r="G95" s="16"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c r="A96" s="14" t="s">
        <v>4512</v>
      </c>
      <c r="B96" s="15" t="s">
        <v>5</v>
      </c>
      <c r="C96" s="10" t="s">
        <v>4513</v>
      </c>
      <c r="D96" s="16" t="s">
        <v>797</v>
      </c>
      <c r="E96" s="15" t="s">
        <v>11197</v>
      </c>
      <c r="F96" s="16" t="str">
        <f>VLOOKUP(Table8[[#This Row],[Mã khách hàng]],code_khach_hang[],2,0)</f>
        <v>CHI NHÁNH QUẢNG NINH - CÔNG TY CỔ PHẦN DỊCH VỤ THƯƠNG MẠI TỔNG HỢP WINCOMMERCE</v>
      </c>
      <c r="G96" s="16"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c r="A97" s="14" t="s">
        <v>4737</v>
      </c>
      <c r="B97" s="15" t="s">
        <v>5</v>
      </c>
      <c r="C97" s="10" t="s">
        <v>4738</v>
      </c>
      <c r="D97" s="16" t="s">
        <v>800</v>
      </c>
      <c r="E97" s="15" t="s">
        <v>11197</v>
      </c>
      <c r="F97" s="16" t="str">
        <f>VLOOKUP(Table8[[#This Row],[Mã khách hàng]],code_khach_hang[],2,0)</f>
        <v>CHI NHÁNH QUẢNG NINH - CÔNG TY CỔ PHẦN DỊCH VỤ THƯƠNG MẠI TỔNG HỢP WINCOMMERCE</v>
      </c>
      <c r="G97" s="16"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c r="A98" s="14" t="s">
        <v>4863</v>
      </c>
      <c r="B98" s="15" t="s">
        <v>5</v>
      </c>
      <c r="C98" s="10" t="s">
        <v>4864</v>
      </c>
      <c r="D98" s="16" t="s">
        <v>803</v>
      </c>
      <c r="E98" s="15" t="s">
        <v>11197</v>
      </c>
      <c r="F98" s="16" t="str">
        <f>VLOOKUP(Table8[[#This Row],[Mã khách hàng]],code_khach_hang[],2,0)</f>
        <v>CHI NHÁNH QUẢNG NINH - CÔNG TY CỔ PHẦN DỊCH VỤ THƯƠNG MẠI TỔNG HỢP WINCOMMERCE</v>
      </c>
      <c r="G98" s="16"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c r="A99" s="14" t="s">
        <v>4941</v>
      </c>
      <c r="B99" s="15" t="s">
        <v>5</v>
      </c>
      <c r="C99" s="10" t="s">
        <v>4942</v>
      </c>
      <c r="D99" s="16" t="s">
        <v>806</v>
      </c>
      <c r="E99" s="15" t="s">
        <v>11197</v>
      </c>
      <c r="F99" s="16" t="str">
        <f>VLOOKUP(Table8[[#This Row],[Mã khách hàng]],code_khach_hang[],2,0)</f>
        <v>CHI NHÁNH QUẢNG NINH - CÔNG TY CỔ PHẦN DỊCH VỤ THƯƠNG MẠI TỔNG HỢP WINCOMMERCE</v>
      </c>
      <c r="G99" s="16"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c r="A100" s="14" t="s">
        <v>7125</v>
      </c>
      <c r="B100" s="15" t="s">
        <v>5</v>
      </c>
      <c r="C100" s="10" t="s">
        <v>7126</v>
      </c>
      <c r="D100" s="16" t="s">
        <v>809</v>
      </c>
      <c r="E100" s="15" t="s">
        <v>11197</v>
      </c>
      <c r="F100" s="16" t="str">
        <f>VLOOKUP(Table8[[#This Row],[Mã khách hàng]],code_khach_hang[],2,0)</f>
        <v>CHI NHÁNH QUẢNG NINH - CÔNG TY CỔ PHẦN DỊCH VỤ THƯƠNG MẠI TỔNG HỢP WINCOMMERCE</v>
      </c>
      <c r="G100" s="16"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c r="A101" s="14" t="s">
        <v>7333</v>
      </c>
      <c r="B101" s="15" t="s">
        <v>5</v>
      </c>
      <c r="C101" s="10" t="s">
        <v>7334</v>
      </c>
      <c r="D101" s="16" t="s">
        <v>812</v>
      </c>
      <c r="E101" s="15" t="s">
        <v>11197</v>
      </c>
      <c r="F101" s="16" t="str">
        <f>VLOOKUP(Table8[[#This Row],[Mã khách hàng]],code_khach_hang[],2,0)</f>
        <v>CHI NHÁNH QUẢNG NINH - CÔNG TY CỔ PHẦN DỊCH VỤ THƯƠNG MẠI TỔNG HỢP WINCOMMERCE</v>
      </c>
      <c r="G101" s="16"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c r="A102" s="14" t="s">
        <v>7840</v>
      </c>
      <c r="B102" s="15" t="s">
        <v>5</v>
      </c>
      <c r="C102" s="10" t="s">
        <v>7841</v>
      </c>
      <c r="D102" s="16" t="s">
        <v>815</v>
      </c>
      <c r="E102" s="15" t="s">
        <v>11197</v>
      </c>
      <c r="F102" s="16" t="str">
        <f>VLOOKUP(Table8[[#This Row],[Mã khách hàng]],code_khach_hang[],2,0)</f>
        <v>CHI NHÁNH QUẢNG NINH - CÔNG TY CỔ PHẦN DỊCH VỤ THƯƠNG MẠI TỔNG HỢP WINCOMMERCE</v>
      </c>
      <c r="G102" s="16"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c r="A103" s="14" t="s">
        <v>7889</v>
      </c>
      <c r="B103" s="15" t="s">
        <v>5</v>
      </c>
      <c r="C103" s="10" t="s">
        <v>7890</v>
      </c>
      <c r="D103" s="16" t="s">
        <v>818</v>
      </c>
      <c r="E103" s="15" t="s">
        <v>11197</v>
      </c>
      <c r="F103" s="16" t="str">
        <f>VLOOKUP(Table8[[#This Row],[Mã khách hàng]],code_khach_hang[],2,0)</f>
        <v>CHI NHÁNH QUẢNG NINH - CÔNG TY CỔ PHẦN DỊCH VỤ THƯƠNG MẠI TỔNG HỢP WINCOMMERCE</v>
      </c>
      <c r="G103" s="16"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c r="A104" s="14" t="s">
        <v>7128</v>
      </c>
      <c r="B104" s="15" t="s">
        <v>5</v>
      </c>
      <c r="C104" s="10" t="s">
        <v>7129</v>
      </c>
      <c r="D104" s="16" t="s">
        <v>821</v>
      </c>
      <c r="E104" s="15" t="s">
        <v>11197</v>
      </c>
      <c r="F104" s="16" t="str">
        <f>VLOOKUP(Table8[[#This Row],[Mã khách hàng]],code_khach_hang[],2,0)</f>
        <v>CHI NHÁNH QUẢNG NINH - CÔNG TY CỔ PHẦN DỊCH VỤ THƯƠNG MẠI TỔNG HỢP WINCOMMERCE</v>
      </c>
      <c r="G104" s="16"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c r="A105" s="14" t="s">
        <v>7174</v>
      </c>
      <c r="B105" s="15" t="s">
        <v>5</v>
      </c>
      <c r="C105" s="10" t="s">
        <v>7175</v>
      </c>
      <c r="D105" s="16" t="s">
        <v>824</v>
      </c>
      <c r="E105" s="15" t="s">
        <v>11197</v>
      </c>
      <c r="F105" s="16" t="str">
        <f>VLOOKUP(Table8[[#This Row],[Mã khách hàng]],code_khach_hang[],2,0)</f>
        <v>CHI NHÁNH QUẢNG NINH - CÔNG TY CỔ PHẦN DỊCH VỤ THƯƠNG MẠI TỔNG HỢP WINCOMMERCE</v>
      </c>
      <c r="G105" s="16"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c r="A106" s="14" t="s">
        <v>7205</v>
      </c>
      <c r="B106" s="15" t="s">
        <v>5</v>
      </c>
      <c r="C106" s="10" t="s">
        <v>7206</v>
      </c>
      <c r="D106" s="16" t="s">
        <v>827</v>
      </c>
      <c r="E106" s="15" t="s">
        <v>11197</v>
      </c>
      <c r="F106" s="16" t="str">
        <f>VLOOKUP(Table8[[#This Row],[Mã khách hàng]],code_khach_hang[],2,0)</f>
        <v>CHI NHÁNH QUẢNG NINH - CÔNG TY CỔ PHẦN DỊCH VỤ THƯƠNG MẠI TỔNG HỢP WINCOMMERCE</v>
      </c>
      <c r="G106" s="16"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c r="A107" s="14" t="s">
        <v>7336</v>
      </c>
      <c r="B107" s="15" t="s">
        <v>5</v>
      </c>
      <c r="C107" s="10" t="s">
        <v>7337</v>
      </c>
      <c r="D107" s="16" t="s">
        <v>830</v>
      </c>
      <c r="E107" s="15" t="s">
        <v>11197</v>
      </c>
      <c r="F107" s="16" t="str">
        <f>VLOOKUP(Table8[[#This Row],[Mã khách hàng]],code_khach_hang[],2,0)</f>
        <v>CHI NHÁNH QUẢNG NINH - CÔNG TY CỔ PHẦN DỊCH VỤ THƯƠNG MẠI TỔNG HỢP WINCOMMERCE</v>
      </c>
      <c r="G107" s="16"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c r="A108" s="14" t="s">
        <v>7452</v>
      </c>
      <c r="B108" s="15" t="s">
        <v>5</v>
      </c>
      <c r="C108" s="10" t="e">
        <v>#N/A</v>
      </c>
      <c r="D108" s="16" t="s">
        <v>833</v>
      </c>
      <c r="E108" s="15" t="s">
        <v>11197</v>
      </c>
      <c r="F108" s="16" t="str">
        <f>VLOOKUP(Table8[[#This Row],[Mã khách hàng]],code_khach_hang[],2,0)</f>
        <v>CHI NHÁNH QUẢNG NINH - CÔNG TY CỔ PHẦN DỊCH VỤ THƯƠNG MẠI TỔNG HỢP WINCOMMERCE</v>
      </c>
      <c r="G108" s="16"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c r="A109" s="14" t="s">
        <v>7625</v>
      </c>
      <c r="B109" s="15" t="s">
        <v>5</v>
      </c>
      <c r="C109" s="10" t="s">
        <v>7626</v>
      </c>
      <c r="D109" s="16" t="s">
        <v>836</v>
      </c>
      <c r="E109" s="15" t="s">
        <v>11197</v>
      </c>
      <c r="F109" s="16" t="str">
        <f>VLOOKUP(Table8[[#This Row],[Mã khách hàng]],code_khach_hang[],2,0)</f>
        <v>CHI NHÁNH QUẢNG NINH - CÔNG TY CỔ PHẦN DỊCH VỤ THƯƠNG MẠI TỔNG HỢP WINCOMMERCE</v>
      </c>
      <c r="G109" s="16"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c r="A110" s="14" t="s">
        <v>7783</v>
      </c>
      <c r="B110" s="15" t="s">
        <v>5</v>
      </c>
      <c r="C110" s="10" t="s">
        <v>7784</v>
      </c>
      <c r="D110" s="16" t="s">
        <v>839</v>
      </c>
      <c r="E110" s="15" t="s">
        <v>11197</v>
      </c>
      <c r="F110" s="16" t="str">
        <f>VLOOKUP(Table8[[#This Row],[Mã khách hàng]],code_khach_hang[],2,0)</f>
        <v>CHI NHÁNH QUẢNG NINH - CÔNG TY CỔ PHẦN DỊCH VỤ THƯƠNG MẠI TỔNG HỢP WINCOMMERCE</v>
      </c>
      <c r="G110" s="16"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c r="A111" s="14" t="s">
        <v>8648</v>
      </c>
      <c r="B111" s="15" t="s">
        <v>5</v>
      </c>
      <c r="C111" s="10" t="e">
        <v>#N/A</v>
      </c>
      <c r="D111" s="16" t="s">
        <v>842</v>
      </c>
      <c r="E111" s="15" t="s">
        <v>11197</v>
      </c>
      <c r="F111" s="16" t="str">
        <f>VLOOKUP(Table8[[#This Row],[Mã khách hàng]],code_khach_hang[],2,0)</f>
        <v>CHI NHÁNH QUẢNG NINH - CÔNG TY CỔ PHẦN DỊCH VỤ THƯƠNG MẠI TỔNG HỢP WINCOMMERCE</v>
      </c>
      <c r="G111" s="16"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c r="A112" s="14" t="s">
        <v>8680</v>
      </c>
      <c r="B112" s="15" t="s">
        <v>5</v>
      </c>
      <c r="C112" s="10" t="s">
        <v>8681</v>
      </c>
      <c r="D112" s="16" t="s">
        <v>845</v>
      </c>
      <c r="E112" s="15" t="s">
        <v>11197</v>
      </c>
      <c r="F112" s="16" t="str">
        <f>VLOOKUP(Table8[[#This Row],[Mã khách hàng]],code_khach_hang[],2,0)</f>
        <v>CHI NHÁNH QUẢNG NINH - CÔNG TY CỔ PHẦN DỊCH VỤ THƯƠNG MẠI TỔNG HỢP WINCOMMERCE</v>
      </c>
      <c r="G112" s="16"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c r="A113" s="14" t="s">
        <v>7511</v>
      </c>
      <c r="B113" s="15" t="s">
        <v>5</v>
      </c>
      <c r="C113" s="10" t="s">
        <v>7512</v>
      </c>
      <c r="D113" s="16" t="s">
        <v>848</v>
      </c>
      <c r="E113" s="15" t="s">
        <v>11197</v>
      </c>
      <c r="F113" s="16" t="str">
        <f>VLOOKUP(Table8[[#This Row],[Mã khách hàng]],code_khach_hang[],2,0)</f>
        <v>CHI NHÁNH QUẢNG NINH - CÔNG TY CỔ PHẦN DỊCH VỤ THƯƠNG MẠI TỔNG HỢP WINCOMMERCE</v>
      </c>
      <c r="G113" s="16"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c r="A114" s="14" t="s">
        <v>8812</v>
      </c>
      <c r="B114" s="15" t="s">
        <v>5</v>
      </c>
      <c r="C114" s="10" t="s">
        <v>8813</v>
      </c>
      <c r="D114" s="16" t="s">
        <v>851</v>
      </c>
      <c r="E114" s="15" t="s">
        <v>11197</v>
      </c>
      <c r="F114" s="16" t="str">
        <f>VLOOKUP(Table8[[#This Row],[Mã khách hàng]],code_khach_hang[],2,0)</f>
        <v>CHI NHÁNH QUẢNG NINH - CÔNG TY CỔ PHẦN DỊCH VỤ THƯƠNG MẠI TỔNG HỢP WINCOMMERCE</v>
      </c>
      <c r="G114" s="16"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c r="A115" s="14" t="s">
        <v>9055</v>
      </c>
      <c r="B115" s="15" t="s">
        <v>5</v>
      </c>
      <c r="C115" s="10" t="s">
        <v>9056</v>
      </c>
      <c r="D115" s="16" t="s">
        <v>854</v>
      </c>
      <c r="E115" s="15" t="s">
        <v>11197</v>
      </c>
      <c r="F115" s="16" t="str">
        <f>VLOOKUP(Table8[[#This Row],[Mã khách hàng]],code_khach_hang[],2,0)</f>
        <v>CHI NHÁNH QUẢNG NINH - CÔNG TY CỔ PHẦN DỊCH VỤ THƯƠNG MẠI TỔNG HỢP WINCOMMERCE</v>
      </c>
      <c r="G115" s="16"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c r="A116" s="14" t="s">
        <v>8983</v>
      </c>
      <c r="B116" s="15" t="s">
        <v>5</v>
      </c>
      <c r="C116" s="10" t="s">
        <v>8984</v>
      </c>
      <c r="D116" s="16" t="s">
        <v>857</v>
      </c>
      <c r="E116" s="15" t="s">
        <v>11197</v>
      </c>
      <c r="F116" s="16" t="str">
        <f>VLOOKUP(Table8[[#This Row],[Mã khách hàng]],code_khach_hang[],2,0)</f>
        <v>CHI NHÁNH QUẢNG NINH - CÔNG TY CỔ PHẦN DỊCH VỤ THƯƠNG MẠI TỔNG HỢP WINCOMMERCE</v>
      </c>
      <c r="G116" s="16"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c r="A117" s="14" t="s">
        <v>9099</v>
      </c>
      <c r="B117" s="15" t="s">
        <v>5</v>
      </c>
      <c r="C117" s="10" t="s">
        <v>9100</v>
      </c>
      <c r="D117" s="16" t="s">
        <v>860</v>
      </c>
      <c r="E117" s="15" t="s">
        <v>11197</v>
      </c>
      <c r="F117" s="16" t="str">
        <f>VLOOKUP(Table8[[#This Row],[Mã khách hàng]],code_khach_hang[],2,0)</f>
        <v>CHI NHÁNH QUẢNG NINH - CÔNG TY CỔ PHẦN DỊCH VỤ THƯƠNG MẠI TỔNG HỢP WINCOMMERCE</v>
      </c>
      <c r="G117" s="16"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c r="A118" s="14" t="s">
        <v>8494</v>
      </c>
      <c r="B118" s="15" t="s">
        <v>5</v>
      </c>
      <c r="C118" s="10" t="s">
        <v>8495</v>
      </c>
      <c r="D118" s="16" t="s">
        <v>863</v>
      </c>
      <c r="E118" s="15" t="s">
        <v>11197</v>
      </c>
      <c r="F118" s="16" t="str">
        <f>VLOOKUP(Table8[[#This Row],[Mã khách hàng]],code_khach_hang[],2,0)</f>
        <v>CHI NHÁNH QUẢNG NINH - CÔNG TY CỔ PHẦN DỊCH VỤ THƯƠNG MẠI TỔNG HỢP WINCOMMERCE</v>
      </c>
      <c r="G118" s="16"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c r="A119" s="14" t="s">
        <v>1519</v>
      </c>
      <c r="B119" s="15" t="s">
        <v>5</v>
      </c>
      <c r="C119" s="10" t="s">
        <v>1520</v>
      </c>
      <c r="D119" s="16" t="s">
        <v>866</v>
      </c>
      <c r="E119" s="15" t="s">
        <v>11197</v>
      </c>
      <c r="F119" s="16" t="str">
        <f>VLOOKUP(Table8[[#This Row],[Mã khách hàng]],code_khach_hang[],2,0)</f>
        <v>CHI NHÁNH QUẢNG NINH - CÔNG TY CỔ PHẦN DỊCH VỤ THƯƠNG MẠI TỔNG HỢP WINCOMMERCE</v>
      </c>
      <c r="G119" s="16"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c r="A120" s="14" t="s">
        <v>2063</v>
      </c>
      <c r="B120" s="15" t="s">
        <v>5</v>
      </c>
      <c r="C120" s="10" t="s">
        <v>2064</v>
      </c>
      <c r="D120" s="16" t="s">
        <v>869</v>
      </c>
      <c r="E120" s="15" t="s">
        <v>11197</v>
      </c>
      <c r="F120" s="16" t="str">
        <f>VLOOKUP(Table8[[#This Row],[Mã khách hàng]],code_khach_hang[],2,0)</f>
        <v>CHI NHÁNH QUẢNG NINH - CÔNG TY CỔ PHẦN DỊCH VỤ THƯƠNG MẠI TỔNG HỢP WINCOMMERCE</v>
      </c>
      <c r="G120" s="16"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c r="A121" s="14" t="s">
        <v>713</v>
      </c>
      <c r="B121" s="15" t="s">
        <v>183</v>
      </c>
      <c r="C121" s="10" t="s">
        <v>714</v>
      </c>
      <c r="D121" s="16" t="s">
        <v>872</v>
      </c>
      <c r="E121" s="15" t="s">
        <v>11197</v>
      </c>
      <c r="F121" s="16" t="str">
        <f>VLOOKUP(Table8[[#This Row],[Mã khách hàng]],code_khach_hang[],2,0)</f>
        <v>CHI NHÁNH QUẢNG NINH - CÔNG TY CỔ PHẦN DỊCH VỤ THƯƠNG MẠI TỔNG HỢP WINCOMMERCE</v>
      </c>
      <c r="G121" s="16"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c r="A122" s="14" t="s">
        <v>681</v>
      </c>
      <c r="B122" s="15" t="s">
        <v>183</v>
      </c>
      <c r="C122" s="10" t="s">
        <v>682</v>
      </c>
      <c r="D122" s="16" t="s">
        <v>875</v>
      </c>
      <c r="E122" s="15" t="s">
        <v>11197</v>
      </c>
      <c r="F122" s="16" t="str">
        <f>VLOOKUP(Table8[[#This Row],[Mã khách hàng]],code_khach_hang[],2,0)</f>
        <v>CHI NHÁNH QUẢNG NINH - CÔNG TY CỔ PHẦN DỊCH VỤ THƯƠNG MẠI TỔNG HỢP WINCOMMERCE</v>
      </c>
      <c r="G122" s="16"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c r="A123" s="14" t="s">
        <v>6503</v>
      </c>
      <c r="B123" s="15" t="s">
        <v>5</v>
      </c>
      <c r="C123" s="10" t="s">
        <v>6504</v>
      </c>
      <c r="D123" s="16" t="s">
        <v>878</v>
      </c>
      <c r="E123" s="15" t="s">
        <v>11198</v>
      </c>
      <c r="F123" s="16" t="str">
        <f>VLOOKUP(Table8[[#This Row],[Mã khách hàng]],code_khach_hang[],2,0)</f>
        <v>CHI NHÁNH HẢI PHÒNG - CÔNG TY CỔ PHẦN DỊCH VỤ THƯƠNG MẠI TỔNG HỢP WINCOMMERCE</v>
      </c>
      <c r="G123" s="16"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c r="A124" s="14" t="s">
        <v>7180</v>
      </c>
      <c r="B124" s="15" t="s">
        <v>5</v>
      </c>
      <c r="C124" s="10" t="s">
        <v>7181</v>
      </c>
      <c r="D124" s="16" t="s">
        <v>881</v>
      </c>
      <c r="E124" s="15" t="s">
        <v>11198</v>
      </c>
      <c r="F124" s="16" t="str">
        <f>VLOOKUP(Table8[[#This Row],[Mã khách hàng]],code_khach_hang[],2,0)</f>
        <v>CHI NHÁNH HẢI PHÒNG - CÔNG TY CỔ PHẦN DỊCH VỤ THƯƠNG MẠI TỔNG HỢP WINCOMMERCE</v>
      </c>
      <c r="G124" s="16"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c r="A125" s="14" t="s">
        <v>7463</v>
      </c>
      <c r="B125" s="15" t="s">
        <v>5</v>
      </c>
      <c r="C125" s="10" t="s">
        <v>7464</v>
      </c>
      <c r="D125" s="16" t="s">
        <v>884</v>
      </c>
      <c r="E125" s="15" t="s">
        <v>11198</v>
      </c>
      <c r="F125" s="16" t="str">
        <f>VLOOKUP(Table8[[#This Row],[Mã khách hàng]],code_khach_hang[],2,0)</f>
        <v>CHI NHÁNH HẢI PHÒNG - CÔNG TY CỔ PHẦN DỊCH VỤ THƯƠNG MẠI TỔNG HỢP WINCOMMERCE</v>
      </c>
      <c r="G125" s="16"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c r="A126" s="14" t="s">
        <v>7472</v>
      </c>
      <c r="B126" s="15" t="s">
        <v>5</v>
      </c>
      <c r="C126" s="10" t="s">
        <v>7473</v>
      </c>
      <c r="D126" s="16" t="s">
        <v>887</v>
      </c>
      <c r="E126" s="15" t="s">
        <v>11198</v>
      </c>
      <c r="F126" s="16" t="str">
        <f>VLOOKUP(Table8[[#This Row],[Mã khách hàng]],code_khach_hang[],2,0)</f>
        <v>CHI NHÁNH HẢI PHÒNG - CÔNG TY CỔ PHẦN DỊCH VỤ THƯƠNG MẠI TỔNG HỢP WINCOMMERCE</v>
      </c>
      <c r="G126" s="16"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c r="A127" s="14" t="s">
        <v>7622</v>
      </c>
      <c r="B127" s="15" t="s">
        <v>5</v>
      </c>
      <c r="C127" s="10" t="s">
        <v>7623</v>
      </c>
      <c r="D127" s="16" t="s">
        <v>890</v>
      </c>
      <c r="E127" s="15" t="s">
        <v>11198</v>
      </c>
      <c r="F127" s="16" t="str">
        <f>VLOOKUP(Table8[[#This Row],[Mã khách hàng]],code_khach_hang[],2,0)</f>
        <v>CHI NHÁNH HẢI PHÒNG - CÔNG TY CỔ PHẦN DỊCH VỤ THƯƠNG MẠI TỔNG HỢP WINCOMMERCE</v>
      </c>
      <c r="G127" s="16"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c r="A128" s="14" t="s">
        <v>7631</v>
      </c>
      <c r="B128" s="15" t="s">
        <v>5</v>
      </c>
      <c r="C128" s="10" t="s">
        <v>7632</v>
      </c>
      <c r="D128" s="16" t="s">
        <v>893</v>
      </c>
      <c r="E128" s="15" t="s">
        <v>11198</v>
      </c>
      <c r="F128" s="16" t="str">
        <f>VLOOKUP(Table8[[#This Row],[Mã khách hàng]],code_khach_hang[],2,0)</f>
        <v>CHI NHÁNH HẢI PHÒNG - CÔNG TY CỔ PHẦN DỊCH VỤ THƯƠNG MẠI TỔNG HỢP WINCOMMERCE</v>
      </c>
      <c r="G128" s="16"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c r="A129" s="14" t="s">
        <v>4314</v>
      </c>
      <c r="B129" s="15" t="s">
        <v>5</v>
      </c>
      <c r="C129" s="10" t="s">
        <v>4315</v>
      </c>
      <c r="D129" s="16" t="s">
        <v>896</v>
      </c>
      <c r="E129" s="15" t="s">
        <v>11198</v>
      </c>
      <c r="F129" s="16" t="str">
        <f>VLOOKUP(Table8[[#This Row],[Mã khách hàng]],code_khach_hang[],2,0)</f>
        <v>CHI NHÁNH HẢI PHÒNG - CÔNG TY CỔ PHẦN DỊCH VỤ THƯƠNG MẠI TỔNG HỢP WINCOMMERCE</v>
      </c>
      <c r="G129" s="16"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c r="A130" s="14" t="s">
        <v>4473</v>
      </c>
      <c r="B130" s="15" t="s">
        <v>5</v>
      </c>
      <c r="C130" s="10" t="s">
        <v>4474</v>
      </c>
      <c r="D130" s="16" t="s">
        <v>899</v>
      </c>
      <c r="E130" s="15" t="s">
        <v>11198</v>
      </c>
      <c r="F130" s="16" t="str">
        <f>VLOOKUP(Table8[[#This Row],[Mã khách hàng]],code_khach_hang[],2,0)</f>
        <v>CHI NHÁNH HẢI PHÒNG - CÔNG TY CỔ PHẦN DỊCH VỤ THƯƠNG MẠI TỔNG HỢP WINCOMMERCE</v>
      </c>
      <c r="G130" s="16"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c r="A131" s="14" t="s">
        <v>4476</v>
      </c>
      <c r="B131" s="15" t="s">
        <v>5</v>
      </c>
      <c r="C131" s="10" t="s">
        <v>4477</v>
      </c>
      <c r="D131" s="16" t="s">
        <v>902</v>
      </c>
      <c r="E131" s="15" t="s">
        <v>11198</v>
      </c>
      <c r="F131" s="16" t="str">
        <f>VLOOKUP(Table8[[#This Row],[Mã khách hàng]],code_khach_hang[],2,0)</f>
        <v>CHI NHÁNH HẢI PHÒNG - CÔNG TY CỔ PHẦN DỊCH VỤ THƯƠNG MẠI TỔNG HỢP WINCOMMERCE</v>
      </c>
      <c r="G131" s="16"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c r="A132" s="14" t="s">
        <v>5824</v>
      </c>
      <c r="B132" s="15" t="s">
        <v>5</v>
      </c>
      <c r="C132" s="10" t="s">
        <v>5825</v>
      </c>
      <c r="D132" s="16" t="s">
        <v>905</v>
      </c>
      <c r="E132" s="15" t="s">
        <v>11198</v>
      </c>
      <c r="F132" s="16" t="str">
        <f>VLOOKUP(Table8[[#This Row],[Mã khách hàng]],code_khach_hang[],2,0)</f>
        <v>CHI NHÁNH HẢI PHÒNG - CÔNG TY CỔ PHẦN DỊCH VỤ THƯƠNG MẠI TỔNG HỢP WINCOMMERCE</v>
      </c>
      <c r="G132" s="16"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c r="A133" s="14" t="s">
        <v>5827</v>
      </c>
      <c r="B133" s="15" t="s">
        <v>5</v>
      </c>
      <c r="C133" s="10" t="s">
        <v>5828</v>
      </c>
      <c r="D133" s="16" t="s">
        <v>908</v>
      </c>
      <c r="E133" s="15" t="s">
        <v>11198</v>
      </c>
      <c r="F133" s="16" t="str">
        <f>VLOOKUP(Table8[[#This Row],[Mã khách hàng]],code_khach_hang[],2,0)</f>
        <v>CHI NHÁNH HẢI PHÒNG - CÔNG TY CỔ PHẦN DỊCH VỤ THƯƠNG MẠI TỔNG HỢP WINCOMMERCE</v>
      </c>
      <c r="G133" s="16"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c r="A134" s="14" t="s">
        <v>6061</v>
      </c>
      <c r="B134" s="15" t="s">
        <v>5</v>
      </c>
      <c r="C134" s="10" t="s">
        <v>6062</v>
      </c>
      <c r="D134" s="16" t="s">
        <v>911</v>
      </c>
      <c r="E134" s="15" t="s">
        <v>11198</v>
      </c>
      <c r="F134" s="16" t="str">
        <f>VLOOKUP(Table8[[#This Row],[Mã khách hàng]],code_khach_hang[],2,0)</f>
        <v>CHI NHÁNH HẢI PHÒNG - CÔNG TY CỔ PHẦN DỊCH VỤ THƯƠNG MẠI TỔNG HỢP WINCOMMERCE</v>
      </c>
      <c r="G134" s="16"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c r="A135" s="14" t="s">
        <v>6082</v>
      </c>
      <c r="B135" s="15" t="s">
        <v>5</v>
      </c>
      <c r="C135" s="10" t="s">
        <v>6083</v>
      </c>
      <c r="D135" s="16" t="s">
        <v>914</v>
      </c>
      <c r="E135" s="15" t="s">
        <v>11198</v>
      </c>
      <c r="F135" s="16" t="str">
        <f>VLOOKUP(Table8[[#This Row],[Mã khách hàng]],code_khach_hang[],2,0)</f>
        <v>CHI NHÁNH HẢI PHÒNG - CÔNG TY CỔ PHẦN DỊCH VỤ THƯƠNG MẠI TỔNG HỢP WINCOMMERCE</v>
      </c>
      <c r="G135" s="16"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c r="A136" s="14" t="s">
        <v>6193</v>
      </c>
      <c r="B136" s="15" t="s">
        <v>5</v>
      </c>
      <c r="C136" s="10" t="s">
        <v>6194</v>
      </c>
      <c r="D136" s="16" t="s">
        <v>917</v>
      </c>
      <c r="E136" s="15" t="s">
        <v>11198</v>
      </c>
      <c r="F136" s="16" t="str">
        <f>VLOOKUP(Table8[[#This Row],[Mã khách hàng]],code_khach_hang[],2,0)</f>
        <v>CHI NHÁNH HẢI PHÒNG - CÔNG TY CỔ PHẦN DỊCH VỤ THƯƠNG MẠI TỔNG HỢP WINCOMMERCE</v>
      </c>
      <c r="G136" s="16"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c r="A137" s="14" t="s">
        <v>6521</v>
      </c>
      <c r="B137" s="15" t="s">
        <v>5</v>
      </c>
      <c r="C137" s="10" t="s">
        <v>6522</v>
      </c>
      <c r="D137" s="16" t="s">
        <v>920</v>
      </c>
      <c r="E137" s="15" t="s">
        <v>11198</v>
      </c>
      <c r="F137" s="16" t="str">
        <f>VLOOKUP(Table8[[#This Row],[Mã khách hàng]],code_khach_hang[],2,0)</f>
        <v>CHI NHÁNH HẢI PHÒNG - CÔNG TY CỔ PHẦN DỊCH VỤ THƯƠNG MẠI TỔNG HỢP WINCOMMERCE</v>
      </c>
      <c r="G137" s="16"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c r="A138" s="14" t="s">
        <v>7162</v>
      </c>
      <c r="B138" s="15" t="s">
        <v>5</v>
      </c>
      <c r="C138" s="10" t="s">
        <v>7163</v>
      </c>
      <c r="D138" s="16" t="s">
        <v>923</v>
      </c>
      <c r="E138" s="15" t="s">
        <v>11198</v>
      </c>
      <c r="F138" s="16" t="str">
        <f>VLOOKUP(Table8[[#This Row],[Mã khách hàng]],code_khach_hang[],2,0)</f>
        <v>CHI NHÁNH HẢI PHÒNG - CÔNG TY CỔ PHẦN DỊCH VỤ THƯƠNG MẠI TỔNG HỢP WINCOMMERCE</v>
      </c>
      <c r="G138" s="16"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c r="A139" s="14" t="s">
        <v>7330</v>
      </c>
      <c r="B139" s="15" t="s">
        <v>5</v>
      </c>
      <c r="C139" s="10" t="s">
        <v>7331</v>
      </c>
      <c r="D139" s="16" t="s">
        <v>926</v>
      </c>
      <c r="E139" s="15" t="s">
        <v>11198</v>
      </c>
      <c r="F139" s="16" t="str">
        <f>VLOOKUP(Table8[[#This Row],[Mã khách hàng]],code_khach_hang[],2,0)</f>
        <v>CHI NHÁNH HẢI PHÒNG - CÔNG TY CỔ PHẦN DỊCH VỤ THƯƠNG MẠI TỔNG HỢP WINCOMMERCE</v>
      </c>
      <c r="G139" s="16"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c r="A140" s="14" t="s">
        <v>7640</v>
      </c>
      <c r="B140" s="15" t="s">
        <v>5</v>
      </c>
      <c r="C140" s="10" t="s">
        <v>7641</v>
      </c>
      <c r="D140" s="16" t="s">
        <v>929</v>
      </c>
      <c r="E140" s="15" t="s">
        <v>11198</v>
      </c>
      <c r="F140" s="16" t="str">
        <f>VLOOKUP(Table8[[#This Row],[Mã khách hàng]],code_khach_hang[],2,0)</f>
        <v>CHI NHÁNH HẢI PHÒNG - CÔNG TY CỔ PHẦN DỊCH VỤ THƯƠNG MẠI TỔNG HỢP WINCOMMERCE</v>
      </c>
      <c r="G140" s="16"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c r="A141" s="14" t="s">
        <v>7724</v>
      </c>
      <c r="B141" s="15" t="s">
        <v>5</v>
      </c>
      <c r="C141" s="10" t="s">
        <v>7725</v>
      </c>
      <c r="D141" s="16" t="s">
        <v>932</v>
      </c>
      <c r="E141" s="15" t="s">
        <v>11198</v>
      </c>
      <c r="F141" s="16" t="str">
        <f>VLOOKUP(Table8[[#This Row],[Mã khách hàng]],code_khach_hang[],2,0)</f>
        <v>CHI NHÁNH HẢI PHÒNG - CÔNG TY CỔ PHẦN DỊCH VỤ THƯƠNG MẠI TỔNG HỢP WINCOMMERCE</v>
      </c>
      <c r="G141" s="16"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c r="A142" s="14" t="s">
        <v>7780</v>
      </c>
      <c r="B142" s="15" t="s">
        <v>5</v>
      </c>
      <c r="C142" s="10" t="s">
        <v>7781</v>
      </c>
      <c r="D142" s="16" t="s">
        <v>935</v>
      </c>
      <c r="E142" s="15" t="s">
        <v>11198</v>
      </c>
      <c r="F142" s="16" t="str">
        <f>VLOOKUP(Table8[[#This Row],[Mã khách hàng]],code_khach_hang[],2,0)</f>
        <v>CHI NHÁNH HẢI PHÒNG - CÔNG TY CỔ PHẦN DỊCH VỤ THƯƠNG MẠI TỔNG HỢP WINCOMMERCE</v>
      </c>
      <c r="G142" s="16"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c r="A143" s="14" t="s">
        <v>7852</v>
      </c>
      <c r="B143" s="15" t="s">
        <v>5</v>
      </c>
      <c r="C143" s="10" t="s">
        <v>7853</v>
      </c>
      <c r="D143" s="16" t="s">
        <v>938</v>
      </c>
      <c r="E143" s="15" t="s">
        <v>11198</v>
      </c>
      <c r="F143" s="16" t="str">
        <f>VLOOKUP(Table8[[#This Row],[Mã khách hàng]],code_khach_hang[],2,0)</f>
        <v>CHI NHÁNH HẢI PHÒNG - CÔNG TY CỔ PHẦN DỊCH VỤ THƯƠNG MẠI TỔNG HỢP WINCOMMERCE</v>
      </c>
      <c r="G143" s="16"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c r="A144" s="14" t="s">
        <v>11080</v>
      </c>
      <c r="B144" s="15" t="s">
        <v>5</v>
      </c>
      <c r="C144" s="10" t="s">
        <v>13139</v>
      </c>
      <c r="D144" s="16" t="s">
        <v>941</v>
      </c>
      <c r="E144" s="15" t="s">
        <v>11198</v>
      </c>
      <c r="F144" s="16" t="str">
        <f>VLOOKUP(Table8[[#This Row],[Mã khách hàng]],code_khach_hang[],2,0)</f>
        <v>CHI NHÁNH HẢI PHÒNG - CÔNG TY CỔ PHẦN DỊCH VỤ THƯƠNG MẠI TỔNG HỢP WINCOMMERCE</v>
      </c>
      <c r="G144" s="16"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c r="A145" s="14" t="s">
        <v>4284</v>
      </c>
      <c r="B145" s="15" t="s">
        <v>5</v>
      </c>
      <c r="C145" s="10" t="s">
        <v>4285</v>
      </c>
      <c r="D145" s="16" t="s">
        <v>944</v>
      </c>
      <c r="E145" s="15" t="s">
        <v>11198</v>
      </c>
      <c r="F145" s="16" t="str">
        <f>VLOOKUP(Table8[[#This Row],[Mã khách hàng]],code_khach_hang[],2,0)</f>
        <v>CHI NHÁNH HẢI PHÒNG - CÔNG TY CỔ PHẦN DỊCH VỤ THƯƠNG MẠI TỔNG HỢP WINCOMMERCE</v>
      </c>
      <c r="G145" s="16"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c r="A146" s="14" t="s">
        <v>11081</v>
      </c>
      <c r="B146" s="15" t="s">
        <v>5</v>
      </c>
      <c r="C146" s="10" t="e">
        <v>#N/A</v>
      </c>
      <c r="D146" s="16" t="s">
        <v>947</v>
      </c>
      <c r="E146" s="15" t="s">
        <v>11198</v>
      </c>
      <c r="F146" s="16" t="str">
        <f>VLOOKUP(Table8[[#This Row],[Mã khách hàng]],code_khach_hang[],2,0)</f>
        <v>CHI NHÁNH HẢI PHÒNG - CÔNG TY CỔ PHẦN DỊCH VỤ THƯƠNG MẠI TỔNG HỢP WINCOMMERCE</v>
      </c>
      <c r="G146" s="16"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c r="A147" s="14" t="s">
        <v>4833</v>
      </c>
      <c r="B147" s="15" t="s">
        <v>5</v>
      </c>
      <c r="C147" s="10" t="s">
        <v>4834</v>
      </c>
      <c r="D147" s="16" t="s">
        <v>950</v>
      </c>
      <c r="E147" s="15" t="s">
        <v>11198</v>
      </c>
      <c r="F147" s="16" t="str">
        <f>VLOOKUP(Table8[[#This Row],[Mã khách hàng]],code_khach_hang[],2,0)</f>
        <v>CHI NHÁNH HẢI PHÒNG - CÔNG TY CỔ PHẦN DỊCH VỤ THƯƠNG MẠI TỔNG HỢP WINCOMMERCE</v>
      </c>
      <c r="G147" s="16"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c r="A148" s="14" t="s">
        <v>6175</v>
      </c>
      <c r="B148" s="15" t="s">
        <v>5</v>
      </c>
      <c r="C148" s="10" t="s">
        <v>6176</v>
      </c>
      <c r="D148" s="16" t="s">
        <v>953</v>
      </c>
      <c r="E148" s="15" t="s">
        <v>11198</v>
      </c>
      <c r="F148" s="16" t="str">
        <f>VLOOKUP(Table8[[#This Row],[Mã khách hàng]],code_khach_hang[],2,0)</f>
        <v>CHI NHÁNH HẢI PHÒNG - CÔNG TY CỔ PHẦN DỊCH VỤ THƯƠNG MẠI TỔNG HỢP WINCOMMERCE</v>
      </c>
      <c r="G148" s="16"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c r="A149" s="14" t="s">
        <v>6381</v>
      </c>
      <c r="B149" s="15" t="s">
        <v>5</v>
      </c>
      <c r="C149" s="10" t="s">
        <v>6382</v>
      </c>
      <c r="D149" s="16" t="s">
        <v>956</v>
      </c>
      <c r="E149" s="15" t="s">
        <v>11198</v>
      </c>
      <c r="F149" s="16" t="str">
        <f>VLOOKUP(Table8[[#This Row],[Mã khách hàng]],code_khach_hang[],2,0)</f>
        <v>CHI NHÁNH HẢI PHÒNG - CÔNG TY CỔ PHẦN DỊCH VỤ THƯƠNG MẠI TỔNG HỢP WINCOMMERCE</v>
      </c>
      <c r="G149" s="16"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c r="A150" s="14" t="s">
        <v>7721</v>
      </c>
      <c r="B150" s="15" t="s">
        <v>5</v>
      </c>
      <c r="C150" s="10" t="s">
        <v>7722</v>
      </c>
      <c r="D150" s="16" t="s">
        <v>959</v>
      </c>
      <c r="E150" s="15" t="s">
        <v>11198</v>
      </c>
      <c r="F150" s="16" t="str">
        <f>VLOOKUP(Table8[[#This Row],[Mã khách hàng]],code_khach_hang[],2,0)</f>
        <v>CHI NHÁNH HẢI PHÒNG - CÔNG TY CỔ PHẦN DỊCH VỤ THƯƠNG MẠI TỔNG HỢP WINCOMMERCE</v>
      </c>
      <c r="G150" s="16"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c r="A151" s="14" t="s">
        <v>8136</v>
      </c>
      <c r="B151" s="15" t="s">
        <v>5</v>
      </c>
      <c r="C151" s="10" t="s">
        <v>8137</v>
      </c>
      <c r="D151" s="16" t="s">
        <v>962</v>
      </c>
      <c r="E151" s="15" t="s">
        <v>11198</v>
      </c>
      <c r="F151" s="16" t="str">
        <f>VLOOKUP(Table8[[#This Row],[Mã khách hàng]],code_khach_hang[],2,0)</f>
        <v>CHI NHÁNH HẢI PHÒNG - CÔNG TY CỔ PHẦN DỊCH VỤ THƯƠNG MẠI TỔNG HỢP WINCOMMERCE</v>
      </c>
      <c r="G151" s="16"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c r="A152" s="14" t="s">
        <v>1325</v>
      </c>
      <c r="B152" s="15" t="s">
        <v>5</v>
      </c>
      <c r="C152" s="10" t="s">
        <v>1326</v>
      </c>
      <c r="D152" s="16" t="s">
        <v>965</v>
      </c>
      <c r="E152" s="15" t="s">
        <v>11198</v>
      </c>
      <c r="F152" s="16" t="str">
        <f>VLOOKUP(Table8[[#This Row],[Mã khách hàng]],code_khach_hang[],2,0)</f>
        <v>CHI NHÁNH HẢI PHÒNG - CÔNG TY CỔ PHẦN DỊCH VỤ THƯƠNG MẠI TỔNG HỢP WINCOMMERCE</v>
      </c>
      <c r="G152" s="16"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c r="A153" s="14" t="s">
        <v>4632</v>
      </c>
      <c r="B153" s="15" t="s">
        <v>5</v>
      </c>
      <c r="C153" s="10" t="s">
        <v>4633</v>
      </c>
      <c r="D153" s="16" t="s">
        <v>968</v>
      </c>
      <c r="E153" s="15" t="s">
        <v>11198</v>
      </c>
      <c r="F153" s="16" t="str">
        <f>VLOOKUP(Table8[[#This Row],[Mã khách hàng]],code_khach_hang[],2,0)</f>
        <v>CHI NHÁNH HẢI PHÒNG - CÔNG TY CỔ PHẦN DỊCH VỤ THƯƠNG MẠI TỔNG HỢP WINCOMMERCE</v>
      </c>
      <c r="G153" s="16"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c r="A154" s="14" t="s">
        <v>4932</v>
      </c>
      <c r="B154" s="15" t="s">
        <v>5</v>
      </c>
      <c r="C154" s="10" t="s">
        <v>4933</v>
      </c>
      <c r="D154" s="16" t="s">
        <v>971</v>
      </c>
      <c r="E154" s="15" t="s">
        <v>11198</v>
      </c>
      <c r="F154" s="16" t="str">
        <f>VLOOKUP(Table8[[#This Row],[Mã khách hàng]],code_khach_hang[],2,0)</f>
        <v>CHI NHÁNH HẢI PHÒNG - CÔNG TY CỔ PHẦN DỊCH VỤ THƯƠNG MẠI TỔNG HỢP WINCOMMERCE</v>
      </c>
      <c r="G154" s="16"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c r="A155" s="14" t="s">
        <v>5013</v>
      </c>
      <c r="B155" s="15" t="s">
        <v>5</v>
      </c>
      <c r="C155" s="10" t="s">
        <v>5014</v>
      </c>
      <c r="D155" s="16" t="s">
        <v>974</v>
      </c>
      <c r="E155" s="15" t="s">
        <v>11198</v>
      </c>
      <c r="F155" s="16" t="str">
        <f>VLOOKUP(Table8[[#This Row],[Mã khách hàng]],code_khach_hang[],2,0)</f>
        <v>CHI NHÁNH HẢI PHÒNG - CÔNG TY CỔ PHẦN DỊCH VỤ THƯƠNG MẠI TỔNG HỢP WINCOMMERCE</v>
      </c>
      <c r="G155" s="16"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c r="A156" s="14" t="s">
        <v>5526</v>
      </c>
      <c r="B156" s="15" t="s">
        <v>5</v>
      </c>
      <c r="C156" s="10" t="s">
        <v>5527</v>
      </c>
      <c r="D156" s="16" t="s">
        <v>977</v>
      </c>
      <c r="E156" s="15" t="s">
        <v>11198</v>
      </c>
      <c r="F156" s="16" t="str">
        <f>VLOOKUP(Table8[[#This Row],[Mã khách hàng]],code_khach_hang[],2,0)</f>
        <v>CHI NHÁNH HẢI PHÒNG - CÔNG TY CỔ PHẦN DỊCH VỤ THƯƠNG MẠI TỔNG HỢP WINCOMMERCE</v>
      </c>
      <c r="G156" s="16"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c r="A157" s="14" t="s">
        <v>5600</v>
      </c>
      <c r="B157" s="15" t="s">
        <v>5</v>
      </c>
      <c r="C157" s="10" t="s">
        <v>5601</v>
      </c>
      <c r="D157" s="16" t="s">
        <v>980</v>
      </c>
      <c r="E157" s="15" t="s">
        <v>11198</v>
      </c>
      <c r="F157" s="16" t="str">
        <f>VLOOKUP(Table8[[#This Row],[Mã khách hàng]],code_khach_hang[],2,0)</f>
        <v>CHI NHÁNH HẢI PHÒNG - CÔNG TY CỔ PHẦN DỊCH VỤ THƯƠNG MẠI TỔNG HỢP WINCOMMERCE</v>
      </c>
      <c r="G157" s="16"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c r="A158" s="14" t="s">
        <v>5762</v>
      </c>
      <c r="B158" s="15" t="s">
        <v>5</v>
      </c>
      <c r="C158" s="10" t="s">
        <v>5763</v>
      </c>
      <c r="D158" s="16" t="s">
        <v>983</v>
      </c>
      <c r="E158" s="15" t="s">
        <v>11198</v>
      </c>
      <c r="F158" s="16" t="str">
        <f>VLOOKUP(Table8[[#This Row],[Mã khách hàng]],code_khach_hang[],2,0)</f>
        <v>CHI NHÁNH HẢI PHÒNG - CÔNG TY CỔ PHẦN DỊCH VỤ THƯƠNG MẠI TỔNG HỢP WINCOMMERCE</v>
      </c>
      <c r="G158" s="16"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c r="A159" s="14" t="s">
        <v>6022</v>
      </c>
      <c r="B159" s="15" t="s">
        <v>5</v>
      </c>
      <c r="C159" s="10" t="s">
        <v>6023</v>
      </c>
      <c r="D159" s="16" t="s">
        <v>986</v>
      </c>
      <c r="E159" s="15" t="s">
        <v>11198</v>
      </c>
      <c r="F159" s="16" t="str">
        <f>VLOOKUP(Table8[[#This Row],[Mã khách hàng]],code_khach_hang[],2,0)</f>
        <v>CHI NHÁNH HẢI PHÒNG - CÔNG TY CỔ PHẦN DỊCH VỤ THƯƠNG MẠI TỔNG HỢP WINCOMMERCE</v>
      </c>
      <c r="G159" s="16"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c r="A160" s="14" t="s">
        <v>6127</v>
      </c>
      <c r="B160" s="15" t="s">
        <v>5</v>
      </c>
      <c r="C160" s="10" t="s">
        <v>6128</v>
      </c>
      <c r="D160" s="16" t="s">
        <v>989</v>
      </c>
      <c r="E160" s="15" t="s">
        <v>11198</v>
      </c>
      <c r="F160" s="16" t="str">
        <f>VLOOKUP(Table8[[#This Row],[Mã khách hàng]],code_khach_hang[],2,0)</f>
        <v>CHI NHÁNH HẢI PHÒNG - CÔNG TY CỔ PHẦN DỊCH VỤ THƯƠNG MẠI TỔNG HỢP WINCOMMERCE</v>
      </c>
      <c r="G160" s="16"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c r="A161" s="14" t="s">
        <v>6240</v>
      </c>
      <c r="B161" s="15" t="s">
        <v>5</v>
      </c>
      <c r="C161" s="10" t="s">
        <v>6241</v>
      </c>
      <c r="D161" s="16" t="s">
        <v>992</v>
      </c>
      <c r="E161" s="15" t="s">
        <v>11198</v>
      </c>
      <c r="F161" s="16" t="str">
        <f>VLOOKUP(Table8[[#This Row],[Mã khách hàng]],code_khach_hang[],2,0)</f>
        <v>CHI NHÁNH HẢI PHÒNG - CÔNG TY CỔ PHẦN DỊCH VỤ THƯƠNG MẠI TỔNG HỢP WINCOMMERCE</v>
      </c>
      <c r="G161" s="16"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c r="A162" s="14" t="s">
        <v>7402</v>
      </c>
      <c r="B162" s="15" t="s">
        <v>5</v>
      </c>
      <c r="C162" s="10" t="s">
        <v>7403</v>
      </c>
      <c r="D162" s="16" t="s">
        <v>995</v>
      </c>
      <c r="E162" s="15" t="s">
        <v>11198</v>
      </c>
      <c r="F162" s="16" t="str">
        <f>VLOOKUP(Table8[[#This Row],[Mã khách hàng]],code_khach_hang[],2,0)</f>
        <v>CHI NHÁNH HẢI PHÒNG - CÔNG TY CỔ PHẦN DỊCH VỤ THƯƠNG MẠI TỔNG HỢP WINCOMMERCE</v>
      </c>
      <c r="G162" s="16"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c r="A163" s="14" t="s">
        <v>1320</v>
      </c>
      <c r="B163" s="15" t="s">
        <v>5</v>
      </c>
      <c r="C163" s="10" t="s">
        <v>1321</v>
      </c>
      <c r="D163" s="16" t="s">
        <v>998</v>
      </c>
      <c r="E163" s="15" t="s">
        <v>11198</v>
      </c>
      <c r="F163" s="16" t="str">
        <f>VLOOKUP(Table8[[#This Row],[Mã khách hàng]],code_khach_hang[],2,0)</f>
        <v>CHI NHÁNH HẢI PHÒNG - CÔNG TY CỔ PHẦN DỊCH VỤ THƯƠNG MẠI TỔNG HỢP WINCOMMERCE</v>
      </c>
      <c r="G163" s="16"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c r="A164" s="14" t="s">
        <v>9300</v>
      </c>
      <c r="B164" s="15" t="s">
        <v>5</v>
      </c>
      <c r="C164" s="10" t="s">
        <v>9301</v>
      </c>
      <c r="D164" s="16" t="s">
        <v>1001</v>
      </c>
      <c r="E164" s="15" t="s">
        <v>11198</v>
      </c>
      <c r="F164" s="16" t="str">
        <f>VLOOKUP(Table8[[#This Row],[Mã khách hàng]],code_khach_hang[],2,0)</f>
        <v>CHI NHÁNH HẢI PHÒNG - CÔNG TY CỔ PHẦN DỊCH VỤ THƯƠNG MẠI TỔNG HỢP WINCOMMERCE</v>
      </c>
      <c r="G164" s="16"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c r="A165" s="14" t="s">
        <v>1334</v>
      </c>
      <c r="B165" s="15" t="s">
        <v>5</v>
      </c>
      <c r="C165" s="10" t="s">
        <v>1335</v>
      </c>
      <c r="D165" s="16" t="s">
        <v>1004</v>
      </c>
      <c r="E165" s="15" t="s">
        <v>11198</v>
      </c>
      <c r="F165" s="16" t="str">
        <f>VLOOKUP(Table8[[#This Row],[Mã khách hàng]],code_khach_hang[],2,0)</f>
        <v>CHI NHÁNH HẢI PHÒNG - CÔNG TY CỔ PHẦN DỊCH VỤ THƯƠNG MẠI TỔNG HỢP WINCOMMERCE</v>
      </c>
      <c r="G165" s="16"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c r="A166" s="14" t="s">
        <v>4143</v>
      </c>
      <c r="B166" s="15" t="s">
        <v>5</v>
      </c>
      <c r="C166" s="10" t="s">
        <v>4144</v>
      </c>
      <c r="D166" s="16" t="s">
        <v>1007</v>
      </c>
      <c r="E166" s="15" t="s">
        <v>11198</v>
      </c>
      <c r="F166" s="16" t="str">
        <f>VLOOKUP(Table8[[#This Row],[Mã khách hàng]],code_khach_hang[],2,0)</f>
        <v>CHI NHÁNH HẢI PHÒNG - CÔNG TY CỔ PHẦN DỊCH VỤ THƯƠNG MẠI TỔNG HỢP WINCOMMERCE</v>
      </c>
      <c r="G166" s="16"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c r="A167" s="14" t="s">
        <v>4167</v>
      </c>
      <c r="B167" s="15" t="s">
        <v>5</v>
      </c>
      <c r="C167" s="10" t="s">
        <v>4168</v>
      </c>
      <c r="D167" s="16" t="s">
        <v>1010</v>
      </c>
      <c r="E167" s="15" t="s">
        <v>11198</v>
      </c>
      <c r="F167" s="16" t="str">
        <f>VLOOKUP(Table8[[#This Row],[Mã khách hàng]],code_khach_hang[],2,0)</f>
        <v>CHI NHÁNH HẢI PHÒNG - CÔNG TY CỔ PHẦN DỊCH VỤ THƯƠNG MẠI TỔNG HỢP WINCOMMERCE</v>
      </c>
      <c r="G167" s="16"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c r="A168" s="14" t="s">
        <v>4170</v>
      </c>
      <c r="B168" s="15" t="s">
        <v>5</v>
      </c>
      <c r="C168" s="10" t="s">
        <v>4171</v>
      </c>
      <c r="D168" s="16" t="s">
        <v>1013</v>
      </c>
      <c r="E168" s="15" t="s">
        <v>11198</v>
      </c>
      <c r="F168" s="16" t="str">
        <f>VLOOKUP(Table8[[#This Row],[Mã khách hàng]],code_khach_hang[],2,0)</f>
        <v>CHI NHÁNH HẢI PHÒNG - CÔNG TY CỔ PHẦN DỊCH VỤ THƯƠNG MẠI TỔNG HỢP WINCOMMERCE</v>
      </c>
      <c r="G168" s="16"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c r="A169" s="14" t="s">
        <v>4245</v>
      </c>
      <c r="B169" s="15" t="s">
        <v>5</v>
      </c>
      <c r="C169" s="10" t="s">
        <v>4246</v>
      </c>
      <c r="D169" s="16" t="s">
        <v>1016</v>
      </c>
      <c r="E169" s="15" t="s">
        <v>11198</v>
      </c>
      <c r="F169" s="16" t="str">
        <f>VLOOKUP(Table8[[#This Row],[Mã khách hàng]],code_khach_hang[],2,0)</f>
        <v>CHI NHÁNH HẢI PHÒNG - CÔNG TY CỔ PHẦN DỊCH VỤ THƯƠNG MẠI TỔNG HỢP WINCOMMERCE</v>
      </c>
      <c r="G169" s="16"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c r="A170" s="14" t="s">
        <v>4287</v>
      </c>
      <c r="B170" s="15" t="s">
        <v>5</v>
      </c>
      <c r="C170" s="10" t="s">
        <v>4288</v>
      </c>
      <c r="D170" s="16" t="s">
        <v>1019</v>
      </c>
      <c r="E170" s="15" t="s">
        <v>11198</v>
      </c>
      <c r="F170" s="16" t="str">
        <f>VLOOKUP(Table8[[#This Row],[Mã khách hàng]],code_khach_hang[],2,0)</f>
        <v>CHI NHÁNH HẢI PHÒNG - CÔNG TY CỔ PHẦN DỊCH VỤ THƯƠNG MẠI TỔNG HỢP WINCOMMERCE</v>
      </c>
      <c r="G170" s="16"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c r="A171" s="14" t="s">
        <v>4332</v>
      </c>
      <c r="B171" s="15" t="s">
        <v>5</v>
      </c>
      <c r="C171" s="10" t="s">
        <v>4333</v>
      </c>
      <c r="D171" s="16" t="s">
        <v>1022</v>
      </c>
      <c r="E171" s="15" t="s">
        <v>11198</v>
      </c>
      <c r="F171" s="16" t="str">
        <f>VLOOKUP(Table8[[#This Row],[Mã khách hàng]],code_khach_hang[],2,0)</f>
        <v>CHI NHÁNH HẢI PHÒNG - CÔNG TY CỔ PHẦN DỊCH VỤ THƯƠNG MẠI TỔNG HỢP WINCOMMERCE</v>
      </c>
      <c r="G171" s="16"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c r="A172" s="14" t="s">
        <v>4362</v>
      </c>
      <c r="B172" s="15" t="s">
        <v>5</v>
      </c>
      <c r="C172" s="10" t="s">
        <v>4363</v>
      </c>
      <c r="D172" s="16" t="s">
        <v>1025</v>
      </c>
      <c r="E172" s="15" t="s">
        <v>11198</v>
      </c>
      <c r="F172" s="16" t="str">
        <f>VLOOKUP(Table8[[#This Row],[Mã khách hàng]],code_khach_hang[],2,0)</f>
        <v>CHI NHÁNH HẢI PHÒNG - CÔNG TY CỔ PHẦN DỊCH VỤ THƯƠNG MẠI TỔNG HỢP WINCOMMERCE</v>
      </c>
      <c r="G172" s="16"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c r="A173" s="14" t="s">
        <v>4674</v>
      </c>
      <c r="B173" s="15" t="s">
        <v>5</v>
      </c>
      <c r="C173" s="10" t="s">
        <v>4675</v>
      </c>
      <c r="D173" s="16" t="s">
        <v>1028</v>
      </c>
      <c r="E173" s="15" t="s">
        <v>11198</v>
      </c>
      <c r="F173" s="16" t="str">
        <f>VLOOKUP(Table8[[#This Row],[Mã khách hàng]],code_khach_hang[],2,0)</f>
        <v>CHI NHÁNH HẢI PHÒNG - CÔNG TY CỔ PHẦN DỊCH VỤ THƯƠNG MẠI TỔNG HỢP WINCOMMERCE</v>
      </c>
      <c r="G173" s="16"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c r="A174" s="14" t="s">
        <v>4692</v>
      </c>
      <c r="B174" s="15" t="s">
        <v>5</v>
      </c>
      <c r="C174" s="10" t="s">
        <v>4693</v>
      </c>
      <c r="D174" s="16" t="s">
        <v>1031</v>
      </c>
      <c r="E174" s="15" t="s">
        <v>11198</v>
      </c>
      <c r="F174" s="16" t="str">
        <f>VLOOKUP(Table8[[#This Row],[Mã khách hàng]],code_khach_hang[],2,0)</f>
        <v>CHI NHÁNH HẢI PHÒNG - CÔNG TY CỔ PHẦN DỊCH VỤ THƯƠNG MẠI TỔNG HỢP WINCOMMERCE</v>
      </c>
      <c r="G174" s="16"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c r="A175" s="14" t="s">
        <v>11082</v>
      </c>
      <c r="B175" s="15" t="s">
        <v>5</v>
      </c>
      <c r="C175" s="10" t="e">
        <v>#N/A</v>
      </c>
      <c r="D175" s="16" t="s">
        <v>1034</v>
      </c>
      <c r="E175" s="15" t="s">
        <v>11198</v>
      </c>
      <c r="F175" s="16" t="str">
        <f>VLOOKUP(Table8[[#This Row],[Mã khách hàng]],code_khach_hang[],2,0)</f>
        <v>CHI NHÁNH HẢI PHÒNG - CÔNG TY CỔ PHẦN DỊCH VỤ THƯƠNG MẠI TỔNG HỢP WINCOMMERCE</v>
      </c>
      <c r="G175" s="16"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c r="A176" s="14" t="s">
        <v>5043</v>
      </c>
      <c r="B176" s="15" t="s">
        <v>5</v>
      </c>
      <c r="C176" s="10" t="s">
        <v>5044</v>
      </c>
      <c r="D176" s="16" t="s">
        <v>1037</v>
      </c>
      <c r="E176" s="15" t="s">
        <v>11198</v>
      </c>
      <c r="F176" s="16" t="str">
        <f>VLOOKUP(Table8[[#This Row],[Mã khách hàng]],code_khach_hang[],2,0)</f>
        <v>CHI NHÁNH HẢI PHÒNG - CÔNG TY CỔ PHẦN DỊCH VỤ THƯƠNG MẠI TỔNG HỢP WINCOMMERCE</v>
      </c>
      <c r="G176" s="16"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c r="A177" s="14" t="s">
        <v>11083</v>
      </c>
      <c r="B177" s="15" t="s">
        <v>5</v>
      </c>
      <c r="C177" s="10" t="e">
        <v>#N/A</v>
      </c>
      <c r="D177" s="16" t="s">
        <v>1040</v>
      </c>
      <c r="E177" s="15" t="s">
        <v>11198</v>
      </c>
      <c r="F177" s="16" t="str">
        <f>VLOOKUP(Table8[[#This Row],[Mã khách hàng]],code_khach_hang[],2,0)</f>
        <v>CHI NHÁNH HẢI PHÒNG - CÔNG TY CỔ PHẦN DỊCH VỤ THƯƠNG MẠI TỔNG HỢP WINCOMMERCE</v>
      </c>
      <c r="G177" s="16"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c r="A178" s="14" t="s">
        <v>5484</v>
      </c>
      <c r="B178" s="15" t="s">
        <v>5</v>
      </c>
      <c r="C178" s="10" t="s">
        <v>5485</v>
      </c>
      <c r="D178" s="16" t="s">
        <v>1043</v>
      </c>
      <c r="E178" s="15" t="s">
        <v>11198</v>
      </c>
      <c r="F178" s="16" t="str">
        <f>VLOOKUP(Table8[[#This Row],[Mã khách hàng]],code_khach_hang[],2,0)</f>
        <v>CHI NHÁNH HẢI PHÒNG - CÔNG TY CỔ PHẦN DỊCH VỤ THƯƠNG MẠI TỔNG HỢP WINCOMMERCE</v>
      </c>
      <c r="G178" s="16"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c r="A179" s="14" t="s">
        <v>5656</v>
      </c>
      <c r="B179" s="15" t="s">
        <v>5</v>
      </c>
      <c r="C179" s="10" t="s">
        <v>5657</v>
      </c>
      <c r="D179" s="16" t="s">
        <v>1046</v>
      </c>
      <c r="E179" s="15" t="s">
        <v>11198</v>
      </c>
      <c r="F179" s="16" t="str">
        <f>VLOOKUP(Table8[[#This Row],[Mã khách hàng]],code_khach_hang[],2,0)</f>
        <v>CHI NHÁNH HẢI PHÒNG - CÔNG TY CỔ PHẦN DỊCH VỤ THƯƠNG MẠI TỔNG HỢP WINCOMMERCE</v>
      </c>
      <c r="G179" s="16"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c r="A180" s="14" t="s">
        <v>5860</v>
      </c>
      <c r="B180" s="15" t="s">
        <v>5</v>
      </c>
      <c r="C180" s="10" t="s">
        <v>5861</v>
      </c>
      <c r="D180" s="16" t="s">
        <v>1049</v>
      </c>
      <c r="E180" s="15" t="s">
        <v>11198</v>
      </c>
      <c r="F180" s="16" t="str">
        <f>VLOOKUP(Table8[[#This Row],[Mã khách hàng]],code_khach_hang[],2,0)</f>
        <v>CHI NHÁNH HẢI PHÒNG - CÔNG TY CỔ PHẦN DỊCH VỤ THƯƠNG MẠI TỔNG HỢP WINCOMMERCE</v>
      </c>
      <c r="G180" s="16"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c r="A181" s="14" t="s">
        <v>6172</v>
      </c>
      <c r="B181" s="15" t="s">
        <v>5</v>
      </c>
      <c r="C181" s="10" t="s">
        <v>6173</v>
      </c>
      <c r="D181" s="16" t="s">
        <v>1052</v>
      </c>
      <c r="E181" s="15" t="s">
        <v>11198</v>
      </c>
      <c r="F181" s="16" t="str">
        <f>VLOOKUP(Table8[[#This Row],[Mã khách hàng]],code_khach_hang[],2,0)</f>
        <v>CHI NHÁNH HẢI PHÒNG - CÔNG TY CỔ PHẦN DỊCH VỤ THƯƠNG MẠI TỔNG HỢP WINCOMMERCE</v>
      </c>
      <c r="G181" s="16"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c r="A182" s="14" t="s">
        <v>11084</v>
      </c>
      <c r="B182" s="15" t="s">
        <v>5</v>
      </c>
      <c r="C182" s="10" t="e">
        <v>#N/A</v>
      </c>
      <c r="D182" s="16" t="s">
        <v>1055</v>
      </c>
      <c r="E182" s="15" t="s">
        <v>11198</v>
      </c>
      <c r="F182" s="16" t="str">
        <f>VLOOKUP(Table8[[#This Row],[Mã khách hàng]],code_khach_hang[],2,0)</f>
        <v>CHI NHÁNH HẢI PHÒNG - CÔNG TY CỔ PHẦN DỊCH VỤ THƯƠNG MẠI TỔNG HỢP WINCOMMERCE</v>
      </c>
      <c r="G182" s="16"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c r="A183" s="14" t="s">
        <v>6596</v>
      </c>
      <c r="B183" s="15" t="s">
        <v>5</v>
      </c>
      <c r="C183" s="10" t="s">
        <v>6597</v>
      </c>
      <c r="D183" s="16" t="s">
        <v>1058</v>
      </c>
      <c r="E183" s="15" t="s">
        <v>11198</v>
      </c>
      <c r="F183" s="16" t="str">
        <f>VLOOKUP(Table8[[#This Row],[Mã khách hàng]],code_khach_hang[],2,0)</f>
        <v>CHI NHÁNH HẢI PHÒNG - CÔNG TY CỔ PHẦN DỊCH VỤ THƯƠNG MẠI TỔNG HỢP WINCOMMERCE</v>
      </c>
      <c r="G183" s="16"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c r="A184" s="14" t="s">
        <v>7071</v>
      </c>
      <c r="B184" s="15" t="s">
        <v>5</v>
      </c>
      <c r="C184" s="10" t="s">
        <v>7072</v>
      </c>
      <c r="D184" s="16" t="s">
        <v>1061</v>
      </c>
      <c r="E184" s="15" t="s">
        <v>11198</v>
      </c>
      <c r="F184" s="16" t="str">
        <f>VLOOKUP(Table8[[#This Row],[Mã khách hàng]],code_khach_hang[],2,0)</f>
        <v>CHI NHÁNH HẢI PHÒNG - CÔNG TY CỔ PHẦN DỊCH VỤ THƯƠNG MẠI TỔNG HỢP WINCOMMERCE</v>
      </c>
      <c r="G184" s="16"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c r="A185" s="14" t="s">
        <v>7565</v>
      </c>
      <c r="B185" s="15" t="s">
        <v>5</v>
      </c>
      <c r="C185" s="10" t="s">
        <v>7566</v>
      </c>
      <c r="D185" s="16" t="s">
        <v>1064</v>
      </c>
      <c r="E185" s="15" t="s">
        <v>11198</v>
      </c>
      <c r="F185" s="16" t="str">
        <f>VLOOKUP(Table8[[#This Row],[Mã khách hàng]],code_khach_hang[],2,0)</f>
        <v>CHI NHÁNH HẢI PHÒNG - CÔNG TY CỔ PHẦN DỊCH VỤ THƯƠNG MẠI TỔNG HỢP WINCOMMERCE</v>
      </c>
      <c r="G185" s="16"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c r="A186" s="14" t="s">
        <v>8298</v>
      </c>
      <c r="B186" s="15" t="s">
        <v>5</v>
      </c>
      <c r="C186" s="10" t="s">
        <v>8299</v>
      </c>
      <c r="D186" s="16" t="s">
        <v>1067</v>
      </c>
      <c r="E186" s="15" t="s">
        <v>11198</v>
      </c>
      <c r="F186" s="16" t="str">
        <f>VLOOKUP(Table8[[#This Row],[Mã khách hàng]],code_khach_hang[],2,0)</f>
        <v>CHI NHÁNH HẢI PHÒNG - CÔNG TY CỔ PHẦN DỊCH VỤ THƯƠNG MẠI TỔNG HỢP WINCOMMERCE</v>
      </c>
      <c r="G186" s="16"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c r="A187" s="14" t="s">
        <v>4242</v>
      </c>
      <c r="B187" s="15" t="s">
        <v>5</v>
      </c>
      <c r="C187" s="10" t="s">
        <v>4243</v>
      </c>
      <c r="D187" s="16" t="s">
        <v>1070</v>
      </c>
      <c r="E187" s="15" t="s">
        <v>11198</v>
      </c>
      <c r="F187" s="16" t="str">
        <f>VLOOKUP(Table8[[#This Row],[Mã khách hàng]],code_khach_hang[],2,0)</f>
        <v>CHI NHÁNH HẢI PHÒNG - CÔNG TY CỔ PHẦN DỊCH VỤ THƯƠNG MẠI TỔNG HỢP WINCOMMERCE</v>
      </c>
      <c r="G187" s="16"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c r="A188" s="14" t="s">
        <v>4317</v>
      </c>
      <c r="B188" s="15" t="s">
        <v>5</v>
      </c>
      <c r="C188" s="10" t="s">
        <v>4318</v>
      </c>
      <c r="D188" s="16" t="s">
        <v>1073</v>
      </c>
      <c r="E188" s="15" t="s">
        <v>11198</v>
      </c>
      <c r="F188" s="16" t="str">
        <f>VLOOKUP(Table8[[#This Row],[Mã khách hàng]],code_khach_hang[],2,0)</f>
        <v>CHI NHÁNH HẢI PHÒNG - CÔNG TY CỔ PHẦN DỊCH VỤ THƯƠNG MẠI TỔNG HỢP WINCOMMERCE</v>
      </c>
      <c r="G188" s="16"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c r="A189" s="14" t="s">
        <v>4329</v>
      </c>
      <c r="B189" s="15" t="s">
        <v>5</v>
      </c>
      <c r="C189" s="10" t="s">
        <v>4330</v>
      </c>
      <c r="D189" s="16" t="s">
        <v>1076</v>
      </c>
      <c r="E189" s="15" t="s">
        <v>11198</v>
      </c>
      <c r="F189" s="16" t="str">
        <f>VLOOKUP(Table8[[#This Row],[Mã khách hàng]],code_khach_hang[],2,0)</f>
        <v>CHI NHÁNH HẢI PHÒNG - CÔNG TY CỔ PHẦN DỊCH VỤ THƯƠNG MẠI TỔNG HỢP WINCOMMERCE</v>
      </c>
      <c r="G189" s="16"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c r="A190" s="14" t="s">
        <v>11085</v>
      </c>
      <c r="B190" s="15" t="s">
        <v>5</v>
      </c>
      <c r="C190" s="10" t="e">
        <v>#N/A</v>
      </c>
      <c r="D190" s="16" t="s">
        <v>1079</v>
      </c>
      <c r="E190" s="15" t="s">
        <v>11198</v>
      </c>
      <c r="F190" s="16" t="str">
        <f>VLOOKUP(Table8[[#This Row],[Mã khách hàng]],code_khach_hang[],2,0)</f>
        <v>CHI NHÁNH HẢI PHÒNG - CÔNG TY CỔ PHẦN DỊCH VỤ THƯƠNG MẠI TỔNG HỢP WINCOMMERCE</v>
      </c>
      <c r="G190" s="16"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c r="A191" s="14" t="s">
        <v>11086</v>
      </c>
      <c r="B191" s="15" t="s">
        <v>5</v>
      </c>
      <c r="C191" s="10" t="e">
        <v>#N/A</v>
      </c>
      <c r="D191" s="16" t="s">
        <v>1082</v>
      </c>
      <c r="E191" s="15" t="s">
        <v>11198</v>
      </c>
      <c r="F191" s="16" t="str">
        <f>VLOOKUP(Table8[[#This Row],[Mã khách hàng]],code_khach_hang[],2,0)</f>
        <v>CHI NHÁNH HẢI PHÒNG - CÔNG TY CỔ PHẦN DỊCH VỤ THƯƠNG MẠI TỔNG HỢP WINCOMMERCE</v>
      </c>
      <c r="G191" s="16"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c r="A192" s="14" t="s">
        <v>4911</v>
      </c>
      <c r="B192" s="15" t="s">
        <v>5</v>
      </c>
      <c r="C192" s="10" t="s">
        <v>4912</v>
      </c>
      <c r="D192" s="16" t="s">
        <v>1085</v>
      </c>
      <c r="E192" s="15" t="s">
        <v>11198</v>
      </c>
      <c r="F192" s="16" t="str">
        <f>VLOOKUP(Table8[[#This Row],[Mã khách hàng]],code_khach_hang[],2,0)</f>
        <v>CHI NHÁNH HẢI PHÒNG - CÔNG TY CỔ PHẦN DỊCH VỤ THƯƠNG MẠI TỔNG HỢP WINCOMMERCE</v>
      </c>
      <c r="G192" s="16"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c r="A193" s="14" t="s">
        <v>11087</v>
      </c>
      <c r="B193" s="15" t="s">
        <v>5</v>
      </c>
      <c r="C193" s="10" t="e">
        <v>#N/A</v>
      </c>
      <c r="D193" s="16" t="s">
        <v>1088</v>
      </c>
      <c r="E193" s="15" t="s">
        <v>11198</v>
      </c>
      <c r="F193" s="16" t="str">
        <f>VLOOKUP(Table8[[#This Row],[Mã khách hàng]],code_khach_hang[],2,0)</f>
        <v>CHI NHÁNH HẢI PHÒNG - CÔNG TY CỔ PHẦN DỊCH VỤ THƯƠNG MẠI TỔNG HỢP WINCOMMERCE</v>
      </c>
      <c r="G193" s="16"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c r="A194" s="14" t="s">
        <v>11088</v>
      </c>
      <c r="B194" s="15" t="s">
        <v>5</v>
      </c>
      <c r="C194" s="10" t="e">
        <v>#N/A</v>
      </c>
      <c r="D194" s="16" t="s">
        <v>1091</v>
      </c>
      <c r="E194" s="15" t="s">
        <v>11198</v>
      </c>
      <c r="F194" s="16" t="str">
        <f>VLOOKUP(Table8[[#This Row],[Mã khách hàng]],code_khach_hang[],2,0)</f>
        <v>CHI NHÁNH HẢI PHÒNG - CÔNG TY CỔ PHẦN DỊCH VỤ THƯƠNG MẠI TỔNG HỢP WINCOMMERCE</v>
      </c>
      <c r="G194" s="16"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c r="A195" s="14" t="s">
        <v>5659</v>
      </c>
      <c r="B195" s="15" t="s">
        <v>5</v>
      </c>
      <c r="C195" s="10" t="s">
        <v>5660</v>
      </c>
      <c r="D195" s="16" t="s">
        <v>1094</v>
      </c>
      <c r="E195" s="15" t="s">
        <v>11198</v>
      </c>
      <c r="F195" s="16" t="str">
        <f>VLOOKUP(Table8[[#This Row],[Mã khách hàng]],code_khach_hang[],2,0)</f>
        <v>CHI NHÁNH HẢI PHÒNG - CÔNG TY CỔ PHẦN DỊCH VỤ THƯƠNG MẠI TỔNG HỢP WINCOMMERCE</v>
      </c>
      <c r="G195" s="16"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c r="A196" s="14" t="s">
        <v>5887</v>
      </c>
      <c r="B196" s="15" t="s">
        <v>5</v>
      </c>
      <c r="C196" s="10" t="s">
        <v>5888</v>
      </c>
      <c r="D196" s="16" t="s">
        <v>1097</v>
      </c>
      <c r="E196" s="15" t="s">
        <v>11198</v>
      </c>
      <c r="F196" s="16" t="str">
        <f>VLOOKUP(Table8[[#This Row],[Mã khách hàng]],code_khach_hang[],2,0)</f>
        <v>CHI NHÁNH HẢI PHÒNG - CÔNG TY CỔ PHẦN DỊCH VỤ THƯƠNG MẠI TỔNG HỢP WINCOMMERCE</v>
      </c>
      <c r="G196" s="16"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c r="A197" s="14" t="s">
        <v>7159</v>
      </c>
      <c r="B197" s="15" t="s">
        <v>5</v>
      </c>
      <c r="C197" s="10" t="s">
        <v>7160</v>
      </c>
      <c r="D197" s="16" t="s">
        <v>1100</v>
      </c>
      <c r="E197" s="15" t="s">
        <v>11198</v>
      </c>
      <c r="F197" s="16" t="str">
        <f>VLOOKUP(Table8[[#This Row],[Mã khách hàng]],code_khach_hang[],2,0)</f>
        <v>CHI NHÁNH HẢI PHÒNG - CÔNG TY CỔ PHẦN DỊCH VỤ THƯƠNG MẠI TỔNG HỢP WINCOMMERCE</v>
      </c>
      <c r="G197" s="16"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c r="A198" s="14" t="s">
        <v>7924</v>
      </c>
      <c r="B198" s="15" t="s">
        <v>5</v>
      </c>
      <c r="C198" s="10" t="s">
        <v>7925</v>
      </c>
      <c r="D198" s="16" t="s">
        <v>1103</v>
      </c>
      <c r="E198" s="15" t="s">
        <v>11198</v>
      </c>
      <c r="F198" s="16" t="str">
        <f>VLOOKUP(Table8[[#This Row],[Mã khách hàng]],code_khach_hang[],2,0)</f>
        <v>CHI NHÁNH HẢI PHÒNG - CÔNG TY CỔ PHẦN DỊCH VỤ THƯƠNG MẠI TỔNG HỢP WINCOMMERCE</v>
      </c>
      <c r="G198" s="16"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c r="A199" s="14" t="s">
        <v>4470</v>
      </c>
      <c r="B199" s="15" t="s">
        <v>5</v>
      </c>
      <c r="C199" s="10" t="s">
        <v>4471</v>
      </c>
      <c r="D199" s="16" t="s">
        <v>1106</v>
      </c>
      <c r="E199" s="15" t="s">
        <v>11198</v>
      </c>
      <c r="F199" s="16" t="str">
        <f>VLOOKUP(Table8[[#This Row],[Mã khách hàng]],code_khach_hang[],2,0)</f>
        <v>CHI NHÁNH HẢI PHÒNG - CÔNG TY CỔ PHẦN DỊCH VỤ THƯƠNG MẠI TỔNG HỢP WINCOMMERCE</v>
      </c>
      <c r="G199" s="16"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c r="A200" s="14" t="s">
        <v>4983</v>
      </c>
      <c r="B200" s="15" t="s">
        <v>5</v>
      </c>
      <c r="C200" s="10" t="s">
        <v>4984</v>
      </c>
      <c r="D200" s="16" t="s">
        <v>1109</v>
      </c>
      <c r="E200" s="15" t="s">
        <v>11198</v>
      </c>
      <c r="F200" s="16" t="str">
        <f>VLOOKUP(Table8[[#This Row],[Mã khách hàng]],code_khach_hang[],2,0)</f>
        <v>CHI NHÁNH HẢI PHÒNG - CÔNG TY CỔ PHẦN DỊCH VỤ THƯƠNG MẠI TỔNG HỢP WINCOMMERCE</v>
      </c>
      <c r="G200" s="16"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c r="A201" s="14" t="s">
        <v>6321</v>
      </c>
      <c r="B201" s="15" t="s">
        <v>5</v>
      </c>
      <c r="C201" s="10" t="s">
        <v>6322</v>
      </c>
      <c r="D201" s="16" t="s">
        <v>1112</v>
      </c>
      <c r="E201" s="15" t="s">
        <v>11198</v>
      </c>
      <c r="F201" s="16" t="str">
        <f>VLOOKUP(Table8[[#This Row],[Mã khách hàng]],code_khach_hang[],2,0)</f>
        <v>CHI NHÁNH HẢI PHÒNG - CÔNG TY CỔ PHẦN DỊCH VỤ THƯƠNG MẠI TỔNG HỢP WINCOMMERCE</v>
      </c>
      <c r="G201" s="16"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c r="A202" s="14" t="s">
        <v>9303</v>
      </c>
      <c r="B202" s="15" t="s">
        <v>5</v>
      </c>
      <c r="C202" s="10" t="s">
        <v>9304</v>
      </c>
      <c r="D202" s="16" t="s">
        <v>1115</v>
      </c>
      <c r="E202" s="15" t="s">
        <v>11198</v>
      </c>
      <c r="F202" s="16" t="str">
        <f>VLOOKUP(Table8[[#This Row],[Mã khách hàng]],code_khach_hang[],2,0)</f>
        <v>CHI NHÁNH HẢI PHÒNG - CÔNG TY CỔ PHẦN DỊCH VỤ THƯƠNG MẠI TỔNG HỢP WINCOMMERCE</v>
      </c>
      <c r="G202" s="16"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c r="A203" s="14" t="s">
        <v>7080</v>
      </c>
      <c r="B203" s="15" t="s">
        <v>5</v>
      </c>
      <c r="C203" s="10" t="s">
        <v>7081</v>
      </c>
      <c r="D203" s="16" t="s">
        <v>1118</v>
      </c>
      <c r="E203" s="15" t="s">
        <v>11198</v>
      </c>
      <c r="F203" s="16" t="str">
        <f>VLOOKUP(Table8[[#This Row],[Mã khách hàng]],code_khach_hang[],2,0)</f>
        <v>CHI NHÁNH HẢI PHÒNG - CÔNG TY CỔ PHẦN DỊCH VỤ THƯƠNG MẠI TỔNG HỢP WINCOMMERCE</v>
      </c>
      <c r="G203" s="16"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c r="A204" s="14" t="s">
        <v>7354</v>
      </c>
      <c r="B204" s="15" t="s">
        <v>5</v>
      </c>
      <c r="C204" s="10" t="s">
        <v>7355</v>
      </c>
      <c r="D204" s="16" t="s">
        <v>1121</v>
      </c>
      <c r="E204" s="15" t="s">
        <v>11198</v>
      </c>
      <c r="F204" s="16" t="str">
        <f>VLOOKUP(Table8[[#This Row],[Mã khách hàng]],code_khach_hang[],2,0)</f>
        <v>CHI NHÁNH HẢI PHÒNG - CÔNG TY CỔ PHẦN DỊCH VỤ THƯƠNG MẠI TỔNG HỢP WINCOMMERCE</v>
      </c>
      <c r="G204" s="16"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c r="A205" s="14" t="s">
        <v>7469</v>
      </c>
      <c r="B205" s="15" t="s">
        <v>5</v>
      </c>
      <c r="C205" s="10" t="s">
        <v>7470</v>
      </c>
      <c r="D205" s="16" t="s">
        <v>1124</v>
      </c>
      <c r="E205" s="15" t="s">
        <v>11198</v>
      </c>
      <c r="F205" s="16" t="str">
        <f>VLOOKUP(Table8[[#This Row],[Mã khách hàng]],code_khach_hang[],2,0)</f>
        <v>CHI NHÁNH HẢI PHÒNG - CÔNG TY CỔ PHẦN DỊCH VỤ THƯƠNG MẠI TỔNG HỢP WINCOMMERCE</v>
      </c>
      <c r="G205" s="16"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c r="A206" s="14" t="s">
        <v>8055</v>
      </c>
      <c r="B206" s="15" t="s">
        <v>5</v>
      </c>
      <c r="C206" s="10" t="s">
        <v>8056</v>
      </c>
      <c r="D206" s="16" t="s">
        <v>1127</v>
      </c>
      <c r="E206" s="15" t="s">
        <v>11198</v>
      </c>
      <c r="F206" s="16" t="str">
        <f>VLOOKUP(Table8[[#This Row],[Mã khách hàng]],code_khach_hang[],2,0)</f>
        <v>CHI NHÁNH HẢI PHÒNG - CÔNG TY CỔ PHẦN DỊCH VỤ THƯƠNG MẠI TỔNG HỢP WINCOMMERCE</v>
      </c>
      <c r="G206" s="16"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c r="A207" s="14" t="s">
        <v>8100</v>
      </c>
      <c r="B207" s="15" t="s">
        <v>5</v>
      </c>
      <c r="C207" s="10" t="s">
        <v>8101</v>
      </c>
      <c r="D207" s="16" t="s">
        <v>1130</v>
      </c>
      <c r="E207" s="15" t="s">
        <v>11198</v>
      </c>
      <c r="F207" s="16" t="str">
        <f>VLOOKUP(Table8[[#This Row],[Mã khách hàng]],code_khach_hang[],2,0)</f>
        <v>CHI NHÁNH HẢI PHÒNG - CÔNG TY CỔ PHẦN DỊCH VỤ THƯƠNG MẠI TỔNG HỢP WINCOMMERCE</v>
      </c>
      <c r="G207" s="16"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c r="A208" s="14" t="s">
        <v>8399</v>
      </c>
      <c r="B208" s="15" t="s">
        <v>5</v>
      </c>
      <c r="C208" s="10" t="s">
        <v>8400</v>
      </c>
      <c r="D208" s="16" t="s">
        <v>1133</v>
      </c>
      <c r="E208" s="15" t="s">
        <v>11198</v>
      </c>
      <c r="F208" s="16" t="str">
        <f>VLOOKUP(Table8[[#This Row],[Mã khách hàng]],code_khach_hang[],2,0)</f>
        <v>CHI NHÁNH HẢI PHÒNG - CÔNG TY CỔ PHẦN DỊCH VỤ THƯƠNG MẠI TỔNG HỢP WINCOMMERCE</v>
      </c>
      <c r="G208" s="16"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c r="A209" s="14" t="s">
        <v>7697</v>
      </c>
      <c r="B209" s="15" t="s">
        <v>5</v>
      </c>
      <c r="C209" s="10" t="s">
        <v>7698</v>
      </c>
      <c r="D209" s="16" t="s">
        <v>1136</v>
      </c>
      <c r="E209" s="15" t="s">
        <v>11198</v>
      </c>
      <c r="F209" s="16" t="str">
        <f>VLOOKUP(Table8[[#This Row],[Mã khách hàng]],code_khach_hang[],2,0)</f>
        <v>CHI NHÁNH HẢI PHÒNG - CÔNG TY CỔ PHẦN DỊCH VỤ THƯƠNG MẠI TỔNG HỢP WINCOMMERCE</v>
      </c>
      <c r="G209" s="16"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c r="A210" s="14" t="s">
        <v>8413</v>
      </c>
      <c r="B210" s="15" t="s">
        <v>5</v>
      </c>
      <c r="C210" s="10" t="s">
        <v>8414</v>
      </c>
      <c r="D210" s="16" t="s">
        <v>1139</v>
      </c>
      <c r="E210" s="15" t="s">
        <v>11198</v>
      </c>
      <c r="F210" s="16" t="str">
        <f>VLOOKUP(Table8[[#This Row],[Mã khách hàng]],code_khach_hang[],2,0)</f>
        <v>CHI NHÁNH HẢI PHÒNG - CÔNG TY CỔ PHẦN DỊCH VỤ THƯƠNG MẠI TỔNG HỢP WINCOMMERCE</v>
      </c>
      <c r="G210" s="16"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c r="A211" s="14" t="s">
        <v>8838</v>
      </c>
      <c r="B211" s="15" t="s">
        <v>5</v>
      </c>
      <c r="C211" s="10" t="s">
        <v>8839</v>
      </c>
      <c r="D211" s="16" t="s">
        <v>1142</v>
      </c>
      <c r="E211" s="15" t="s">
        <v>11198</v>
      </c>
      <c r="F211" s="16" t="str">
        <f>VLOOKUP(Table8[[#This Row],[Mã khách hàng]],code_khach_hang[],2,0)</f>
        <v>CHI NHÁNH HẢI PHÒNG - CÔNG TY CỔ PHẦN DỊCH VỤ THƯƠNG MẠI TỔNG HỢP WINCOMMERCE</v>
      </c>
      <c r="G211" s="16"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c r="A212" s="14" t="s">
        <v>8762</v>
      </c>
      <c r="B212" s="15" t="s">
        <v>5</v>
      </c>
      <c r="C212" s="10" t="s">
        <v>8763</v>
      </c>
      <c r="D212" s="16" t="s">
        <v>1145</v>
      </c>
      <c r="E212" s="15" t="s">
        <v>11198</v>
      </c>
      <c r="F212" s="16" t="str">
        <f>VLOOKUP(Table8[[#This Row],[Mã khách hàng]],code_khach_hang[],2,0)</f>
        <v>CHI NHÁNH HẢI PHÒNG - CÔNG TY CỔ PHẦN DỊCH VỤ THƯƠNG MẠI TỔNG HỢP WINCOMMERCE</v>
      </c>
      <c r="G212" s="16"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c r="A213" s="14" t="s">
        <v>8711</v>
      </c>
      <c r="B213" s="15" t="s">
        <v>5</v>
      </c>
      <c r="C213" s="10" t="s">
        <v>8712</v>
      </c>
      <c r="D213" s="16" t="s">
        <v>1148</v>
      </c>
      <c r="E213" s="15" t="s">
        <v>11198</v>
      </c>
      <c r="F213" s="16" t="str">
        <f>VLOOKUP(Table8[[#This Row],[Mã khách hàng]],code_khach_hang[],2,0)</f>
        <v>CHI NHÁNH HẢI PHÒNG - CÔNG TY CỔ PHẦN DỊCH VỤ THƯƠNG MẠI TỔNG HỢP WINCOMMERCE</v>
      </c>
      <c r="G213" s="16"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c r="A214" s="14" t="s">
        <v>9016</v>
      </c>
      <c r="B214" s="15" t="s">
        <v>5</v>
      </c>
      <c r="C214" s="10" t="s">
        <v>9017</v>
      </c>
      <c r="D214" s="16" t="s">
        <v>1151</v>
      </c>
      <c r="E214" s="15" t="s">
        <v>11198</v>
      </c>
      <c r="F214" s="16" t="str">
        <f>VLOOKUP(Table8[[#This Row],[Mã khách hàng]],code_khach_hang[],2,0)</f>
        <v>CHI NHÁNH HẢI PHÒNG - CÔNG TY CỔ PHẦN DỊCH VỤ THƯƠNG MẠI TỔNG HỢP WINCOMMERCE</v>
      </c>
      <c r="G214" s="16"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c r="A215" s="14" t="s">
        <v>9046</v>
      </c>
      <c r="B215" s="15" t="s">
        <v>5</v>
      </c>
      <c r="C215" s="10" t="s">
        <v>9047</v>
      </c>
      <c r="D215" s="16" t="s">
        <v>1154</v>
      </c>
      <c r="E215" s="15" t="s">
        <v>11198</v>
      </c>
      <c r="F215" s="16" t="str">
        <f>VLOOKUP(Table8[[#This Row],[Mã khách hàng]],code_khach_hang[],2,0)</f>
        <v>CHI NHÁNH HẢI PHÒNG - CÔNG TY CỔ PHẦN DỊCH VỤ THƯƠNG MẠI TỔNG HỢP WINCOMMERCE</v>
      </c>
      <c r="G215" s="16"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c r="A216" s="14" t="s">
        <v>9102</v>
      </c>
      <c r="B216" s="15" t="s">
        <v>5</v>
      </c>
      <c r="C216" s="10" t="s">
        <v>9103</v>
      </c>
      <c r="D216" s="16" t="s">
        <v>1157</v>
      </c>
      <c r="E216" s="15" t="s">
        <v>11198</v>
      </c>
      <c r="F216" s="16" t="str">
        <f>VLOOKUP(Table8[[#This Row],[Mã khách hàng]],code_khach_hang[],2,0)</f>
        <v>CHI NHÁNH HẢI PHÒNG - CÔNG TY CỔ PHẦN DỊCH VỤ THƯƠNG MẠI TỔNG HỢP WINCOMMERCE</v>
      </c>
      <c r="G216" s="16"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c r="A217" s="14" t="s">
        <v>1362</v>
      </c>
      <c r="B217" s="15" t="s">
        <v>5</v>
      </c>
      <c r="C217" s="10" t="s">
        <v>1363</v>
      </c>
      <c r="D217" s="16" t="s">
        <v>1160</v>
      </c>
      <c r="E217" s="15" t="s">
        <v>11198</v>
      </c>
      <c r="F217" s="16" t="str">
        <f>VLOOKUP(Table8[[#This Row],[Mã khách hàng]],code_khach_hang[],2,0)</f>
        <v>CHI NHÁNH HẢI PHÒNG - CÔNG TY CỔ PHẦN DỊCH VỤ THƯƠNG MẠI TỔNG HỢP WINCOMMERCE</v>
      </c>
      <c r="G217" s="16"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c r="A218" s="14" t="s">
        <v>1467</v>
      </c>
      <c r="B218" s="15" t="s">
        <v>5</v>
      </c>
      <c r="C218" s="10" t="s">
        <v>1468</v>
      </c>
      <c r="D218" s="16" t="s">
        <v>1163</v>
      </c>
      <c r="E218" s="15" t="s">
        <v>11198</v>
      </c>
      <c r="F218" s="16" t="str">
        <f>VLOOKUP(Table8[[#This Row],[Mã khách hàng]],code_khach_hang[],2,0)</f>
        <v>CHI NHÁNH HẢI PHÒNG - CÔNG TY CỔ PHẦN DỊCH VỤ THƯƠNG MẠI TỔNG HỢP WINCOMMERCE</v>
      </c>
      <c r="G218" s="16"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c r="A219" s="14" t="s">
        <v>1635</v>
      </c>
      <c r="B219" s="15" t="s">
        <v>5</v>
      </c>
      <c r="C219" s="10" t="s">
        <v>1636</v>
      </c>
      <c r="D219" s="16" t="s">
        <v>1166</v>
      </c>
      <c r="E219" s="15" t="s">
        <v>11198</v>
      </c>
      <c r="F219" s="16" t="str">
        <f>VLOOKUP(Table8[[#This Row],[Mã khách hàng]],code_khach_hang[],2,0)</f>
        <v>CHI NHÁNH HẢI PHÒNG - CÔNG TY CỔ PHẦN DỊCH VỤ THƯƠNG MẠI TỔNG HỢP WINCOMMERCE</v>
      </c>
      <c r="G219" s="16"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c r="A220" s="14" t="s">
        <v>1850</v>
      </c>
      <c r="B220" s="15" t="s">
        <v>5</v>
      </c>
      <c r="C220" s="10" t="s">
        <v>1851</v>
      </c>
      <c r="D220" s="16" t="s">
        <v>1169</v>
      </c>
      <c r="E220" s="15" t="s">
        <v>11198</v>
      </c>
      <c r="F220" s="16" t="str">
        <f>VLOOKUP(Table8[[#This Row],[Mã khách hàng]],code_khach_hang[],2,0)</f>
        <v>CHI NHÁNH HẢI PHÒNG - CÔNG TY CỔ PHẦN DỊCH VỤ THƯƠNG MẠI TỔNG HỢP WINCOMMERCE</v>
      </c>
      <c r="G220" s="16"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c r="A221" s="14" t="s">
        <v>2007</v>
      </c>
      <c r="B221" s="15" t="s">
        <v>5</v>
      </c>
      <c r="C221" s="10" t="s">
        <v>2008</v>
      </c>
      <c r="D221" s="16" t="s">
        <v>1172</v>
      </c>
      <c r="E221" s="15" t="s">
        <v>11198</v>
      </c>
      <c r="F221" s="16" t="str">
        <f>VLOOKUP(Table8[[#This Row],[Mã khách hàng]],code_khach_hang[],2,0)</f>
        <v>CHI NHÁNH HẢI PHÒNG - CÔNG TY CỔ PHẦN DỊCH VỤ THƯƠNG MẠI TỔNG HỢP WINCOMMERCE</v>
      </c>
      <c r="G221" s="16"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c r="A222" s="14" t="s">
        <v>2548</v>
      </c>
      <c r="B222" s="15" t="s">
        <v>5</v>
      </c>
      <c r="C222" s="10" t="s">
        <v>2549</v>
      </c>
      <c r="D222" s="16" t="s">
        <v>1175</v>
      </c>
      <c r="E222" s="15" t="s">
        <v>11198</v>
      </c>
      <c r="F222" s="16" t="str">
        <f>VLOOKUP(Table8[[#This Row],[Mã khách hàng]],code_khach_hang[],2,0)</f>
        <v>CHI NHÁNH HẢI PHÒNG - CÔNG TY CỔ PHẦN DỊCH VỤ THƯƠNG MẠI TỔNG HỢP WINCOMMERCE</v>
      </c>
      <c r="G222" s="16"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c r="A223" s="14" t="s">
        <v>2804</v>
      </c>
      <c r="B223" s="15" t="s">
        <v>5</v>
      </c>
      <c r="C223" s="10" t="s">
        <v>2805</v>
      </c>
      <c r="D223" s="16" t="s">
        <v>1178</v>
      </c>
      <c r="E223" s="15" t="s">
        <v>11198</v>
      </c>
      <c r="F223" s="16" t="str">
        <f>VLOOKUP(Table8[[#This Row],[Mã khách hàng]],code_khach_hang[],2,0)</f>
        <v>CHI NHÁNH HẢI PHÒNG - CÔNG TY CỔ PHẦN DỊCH VỤ THƯƠNG MẠI TỔNG HỢP WINCOMMERCE</v>
      </c>
      <c r="G223" s="16"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c r="A224" s="14" t="s">
        <v>1496</v>
      </c>
      <c r="B224" s="15" t="s">
        <v>5</v>
      </c>
      <c r="C224" s="10" t="s">
        <v>1497</v>
      </c>
      <c r="D224" s="16" t="s">
        <v>1181</v>
      </c>
      <c r="E224" s="15" t="s">
        <v>11198</v>
      </c>
      <c r="F224" s="16" t="str">
        <f>VLOOKUP(Table8[[#This Row],[Mã khách hàng]],code_khach_hang[],2,0)</f>
        <v>CHI NHÁNH HẢI PHÒNG - CÔNG TY CỔ PHẦN DỊCH VỤ THƯƠNG MẠI TỔNG HỢP WINCOMMERCE</v>
      </c>
      <c r="G224" s="16"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c r="A225" s="14" t="s">
        <v>1549</v>
      </c>
      <c r="B225" s="15" t="s">
        <v>5</v>
      </c>
      <c r="C225" s="10" t="s">
        <v>1550</v>
      </c>
      <c r="D225" s="16" t="s">
        <v>1184</v>
      </c>
      <c r="E225" s="15" t="s">
        <v>11198</v>
      </c>
      <c r="F225" s="16" t="str">
        <f>VLOOKUP(Table8[[#This Row],[Mã khách hàng]],code_khach_hang[],2,0)</f>
        <v>CHI NHÁNH HẢI PHÒNG - CÔNG TY CỔ PHẦN DỊCH VỤ THƯƠNG MẠI TỔNG HỢP WINCOMMERCE</v>
      </c>
      <c r="G225" s="16"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c r="A226" s="14" t="s">
        <v>658</v>
      </c>
      <c r="B226" s="15" t="s">
        <v>183</v>
      </c>
      <c r="C226" s="10" t="s">
        <v>659</v>
      </c>
      <c r="D226" s="16" t="s">
        <v>1187</v>
      </c>
      <c r="E226" s="15" t="s">
        <v>11198</v>
      </c>
      <c r="F226" s="16" t="str">
        <f>VLOOKUP(Table8[[#This Row],[Mã khách hàng]],code_khach_hang[],2,0)</f>
        <v>CHI NHÁNH HẢI PHÒNG - CÔNG TY CỔ PHẦN DỊCH VỤ THƯƠNG MẠI TỔNG HỢP WINCOMMERCE</v>
      </c>
      <c r="G226" s="16"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c r="A227" s="14" t="s">
        <v>783</v>
      </c>
      <c r="B227" s="15" t="s">
        <v>5</v>
      </c>
      <c r="C227" s="10" t="s">
        <v>784</v>
      </c>
      <c r="D227" s="16" t="s">
        <v>1190</v>
      </c>
      <c r="E227" s="15" t="s">
        <v>11215</v>
      </c>
      <c r="F227" s="16" t="str">
        <f>VLOOKUP(Table8[[#This Row],[Mã khách hàng]],code_khach_hang[],2,0)</f>
        <v>CHI NHÁNH HÀ NỘI - CÔNG TY CỔ PHẦN DỊCH VỤ THƯƠNG MẠI TỔNG HỢP WINCOMMERCE</v>
      </c>
      <c r="G227" s="16"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c r="A228" s="14" t="s">
        <v>810</v>
      </c>
      <c r="B228" s="15" t="s">
        <v>5</v>
      </c>
      <c r="C228" s="10" t="s">
        <v>811</v>
      </c>
      <c r="D228" s="16" t="s">
        <v>1193</v>
      </c>
      <c r="E228" s="15" t="s">
        <v>11215</v>
      </c>
      <c r="F228" s="16" t="str">
        <f>VLOOKUP(Table8[[#This Row],[Mã khách hàng]],code_khach_hang[],2,0)</f>
        <v>CHI NHÁNH HÀ NỘI - CÔNG TY CỔ PHẦN DỊCH VỤ THƯƠNG MẠI TỔNG HỢP WINCOMMERCE</v>
      </c>
      <c r="G228" s="16"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c r="A229" s="14" t="s">
        <v>11089</v>
      </c>
      <c r="B229" s="15" t="s">
        <v>5</v>
      </c>
      <c r="C229" s="10" t="s">
        <v>13140</v>
      </c>
      <c r="D229" s="16" t="s">
        <v>1196</v>
      </c>
      <c r="E229" s="15" t="s">
        <v>11215</v>
      </c>
      <c r="F229" s="16" t="str">
        <f>VLOOKUP(Table8[[#This Row],[Mã khách hàng]],code_khach_hang[],2,0)</f>
        <v>CHI NHÁNH HÀ NỘI - CÔNG TY CỔ PHẦN DỊCH VỤ THƯƠNG MẠI TỔNG HỢP WINCOMMERCE</v>
      </c>
      <c r="G229" s="16"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c r="A230" s="14" t="s">
        <v>1140</v>
      </c>
      <c r="B230" s="15" t="s">
        <v>5</v>
      </c>
      <c r="C230" s="10" t="s">
        <v>1141</v>
      </c>
      <c r="D230" s="16" t="s">
        <v>1199</v>
      </c>
      <c r="E230" s="15" t="s">
        <v>11215</v>
      </c>
      <c r="F230" s="16" t="str">
        <f>VLOOKUP(Table8[[#This Row],[Mã khách hàng]],code_khach_hang[],2,0)</f>
        <v>CHI NHÁNH HÀ NỘI - CÔNG TY CỔ PHẦN DỊCH VỤ THƯƠNG MẠI TỔNG HỢP WINCOMMERCE</v>
      </c>
      <c r="G230" s="16"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c r="A231" s="14" t="s">
        <v>1182</v>
      </c>
      <c r="B231" s="15" t="s">
        <v>5</v>
      </c>
      <c r="C231" s="10" t="s">
        <v>1183</v>
      </c>
      <c r="D231" s="16" t="s">
        <v>1202</v>
      </c>
      <c r="E231" s="15" t="s">
        <v>11215</v>
      </c>
      <c r="F231" s="16" t="str">
        <f>VLOOKUP(Table8[[#This Row],[Mã khách hàng]],code_khach_hang[],2,0)</f>
        <v>CHI NHÁNH HÀ NỘI - CÔNG TY CỔ PHẦN DỊCH VỤ THƯƠNG MẠI TỔNG HỢP WINCOMMERCE</v>
      </c>
      <c r="G231" s="16"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c r="A232" s="14" t="s">
        <v>1263</v>
      </c>
      <c r="B232" s="15" t="s">
        <v>5</v>
      </c>
      <c r="C232" s="10" t="s">
        <v>1264</v>
      </c>
      <c r="D232" s="16" t="s">
        <v>1205</v>
      </c>
      <c r="E232" s="15" t="s">
        <v>11215</v>
      </c>
      <c r="F232" s="16" t="str">
        <f>VLOOKUP(Table8[[#This Row],[Mã khách hàng]],code_khach_hang[],2,0)</f>
        <v>CHI NHÁNH HÀ NỘI - CÔNG TY CỔ PHẦN DỊCH VỤ THƯƠNG MẠI TỔNG HỢP WINCOMMERCE</v>
      </c>
      <c r="G232" s="16"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c r="A233" s="14" t="s">
        <v>5007</v>
      </c>
      <c r="B233" s="15" t="s">
        <v>5</v>
      </c>
      <c r="C233" s="10" t="s">
        <v>5008</v>
      </c>
      <c r="D233" s="16" t="s">
        <v>1208</v>
      </c>
      <c r="E233" s="15" t="s">
        <v>11215</v>
      </c>
      <c r="F233" s="16" t="str">
        <f>VLOOKUP(Table8[[#This Row],[Mã khách hàng]],code_khach_hang[],2,0)</f>
        <v>CHI NHÁNH HÀ NỘI - CÔNG TY CỔ PHẦN DỊCH VỤ THƯƠNG MẠI TỔNG HỢP WINCOMMERCE</v>
      </c>
      <c r="G233" s="16"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c r="A234" s="14" t="s">
        <v>5544</v>
      </c>
      <c r="B234" s="15" t="s">
        <v>5</v>
      </c>
      <c r="C234" s="10" t="s">
        <v>5545</v>
      </c>
      <c r="D234" s="16" t="s">
        <v>1211</v>
      </c>
      <c r="E234" s="15" t="s">
        <v>11215</v>
      </c>
      <c r="F234" s="16" t="str">
        <f>VLOOKUP(Table8[[#This Row],[Mã khách hàng]],code_khach_hang[],2,0)</f>
        <v>CHI NHÁNH HÀ NỘI - CÔNG TY CỔ PHẦN DỊCH VỤ THƯƠNG MẠI TỔNG HỢP WINCOMMERCE</v>
      </c>
      <c r="G234" s="16"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c r="A235" s="14" t="s">
        <v>6695</v>
      </c>
      <c r="B235" s="15" t="s">
        <v>5</v>
      </c>
      <c r="C235" s="10" t="s">
        <v>6696</v>
      </c>
      <c r="D235" s="16" t="s">
        <v>1214</v>
      </c>
      <c r="E235" s="15" t="s">
        <v>11215</v>
      </c>
      <c r="F235" s="16" t="str">
        <f>VLOOKUP(Table8[[#This Row],[Mã khách hàng]],code_khach_hang[],2,0)</f>
        <v>CHI NHÁNH HÀ NỘI - CÔNG TY CỔ PHẦN DỊCH VỤ THƯƠNG MẠI TỔNG HỢP WINCOMMERCE</v>
      </c>
      <c r="G235" s="16"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c r="A236" s="14" t="s">
        <v>7807</v>
      </c>
      <c r="B236" s="15" t="s">
        <v>5</v>
      </c>
      <c r="C236" s="10" t="s">
        <v>7808</v>
      </c>
      <c r="D236" s="16" t="s">
        <v>1217</v>
      </c>
      <c r="E236" s="15" t="s">
        <v>11215</v>
      </c>
      <c r="F236" s="16" t="str">
        <f>VLOOKUP(Table8[[#This Row],[Mã khách hàng]],code_khach_hang[],2,0)</f>
        <v>CHI NHÁNH HÀ NỘI - CÔNG TY CỔ PHẦN DỊCH VỤ THƯƠNG MẠI TỔNG HỢP WINCOMMERCE</v>
      </c>
      <c r="G236" s="16"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c r="A237" s="14" t="s">
        <v>8181</v>
      </c>
      <c r="B237" s="15" t="s">
        <v>5</v>
      </c>
      <c r="C237" s="10" t="s">
        <v>8182</v>
      </c>
      <c r="D237" s="16" t="s">
        <v>1220</v>
      </c>
      <c r="E237" s="15" t="s">
        <v>11215</v>
      </c>
      <c r="F237" s="16" t="str">
        <f>VLOOKUP(Table8[[#This Row],[Mã khách hàng]],code_khach_hang[],2,0)</f>
        <v>CHI NHÁNH HÀ NỘI - CÔNG TY CỔ PHẦN DỊCH VỤ THƯƠNG MẠI TỔNG HỢP WINCOMMERCE</v>
      </c>
      <c r="G237" s="16"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c r="A238" s="14" t="s">
        <v>8195</v>
      </c>
      <c r="B238" s="15" t="s">
        <v>5</v>
      </c>
      <c r="C238" s="10" t="s">
        <v>8196</v>
      </c>
      <c r="D238" s="16" t="s">
        <v>1223</v>
      </c>
      <c r="E238" s="15" t="s">
        <v>11215</v>
      </c>
      <c r="F238" s="16" t="str">
        <f>VLOOKUP(Table8[[#This Row],[Mã khách hàng]],code_khach_hang[],2,0)</f>
        <v>CHI NHÁNH HÀ NỘI - CÔNG TY CỔ PHẦN DỊCH VỤ THƯƠNG MẠI TỔNG HỢP WINCOMMERCE</v>
      </c>
      <c r="G238" s="16"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c r="A239" s="14" t="s">
        <v>750</v>
      </c>
      <c r="B239" s="15" t="s">
        <v>5</v>
      </c>
      <c r="C239" s="10" t="s">
        <v>751</v>
      </c>
      <c r="D239" s="16" t="s">
        <v>1226</v>
      </c>
      <c r="E239" s="15" t="s">
        <v>11215</v>
      </c>
      <c r="F239" s="16" t="str">
        <f>VLOOKUP(Table8[[#This Row],[Mã khách hàng]],code_khach_hang[],2,0)</f>
        <v>CHI NHÁNH HÀ NỘI - CÔNG TY CỔ PHẦN DỊCH VỤ THƯƠNG MẠI TỔNG HỢP WINCOMMERCE</v>
      </c>
      <c r="G239" s="16"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c r="A240" s="14" t="s">
        <v>813</v>
      </c>
      <c r="B240" s="15" t="s">
        <v>5</v>
      </c>
      <c r="C240" s="10" t="s">
        <v>814</v>
      </c>
      <c r="D240" s="16" t="s">
        <v>1229</v>
      </c>
      <c r="E240" s="15" t="s">
        <v>11215</v>
      </c>
      <c r="F240" s="16" t="str">
        <f>VLOOKUP(Table8[[#This Row],[Mã khách hàng]],code_khach_hang[],2,0)</f>
        <v>CHI NHÁNH HÀ NỘI - CÔNG TY CỔ PHẦN DỊCH VỤ THƯƠNG MẠI TỔNG HỢP WINCOMMERCE</v>
      </c>
      <c r="G240" s="16"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c r="A241" s="14" t="s">
        <v>879</v>
      </c>
      <c r="B241" s="15" t="s">
        <v>5</v>
      </c>
      <c r="C241" s="10" t="s">
        <v>880</v>
      </c>
      <c r="D241" s="16" t="s">
        <v>1232</v>
      </c>
      <c r="E241" s="15" t="s">
        <v>11215</v>
      </c>
      <c r="F241" s="16" t="str">
        <f>VLOOKUP(Table8[[#This Row],[Mã khách hàng]],code_khach_hang[],2,0)</f>
        <v>CHI NHÁNH HÀ NỘI - CÔNG TY CỔ PHẦN DỊCH VỤ THƯƠNG MẠI TỔNG HỢP WINCOMMERCE</v>
      </c>
      <c r="G241" s="16"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c r="A242" s="14" t="s">
        <v>897</v>
      </c>
      <c r="B242" s="15" t="s">
        <v>5</v>
      </c>
      <c r="C242" s="10" t="s">
        <v>898</v>
      </c>
      <c r="D242" s="16" t="s">
        <v>1235</v>
      </c>
      <c r="E242" s="15" t="s">
        <v>11215</v>
      </c>
      <c r="F242" s="16" t="str">
        <f>VLOOKUP(Table8[[#This Row],[Mã khách hàng]],code_khach_hang[],2,0)</f>
        <v>CHI NHÁNH HÀ NỘI - CÔNG TY CỔ PHẦN DỊCH VỤ THƯƠNG MẠI TỔNG HỢP WINCOMMERCE</v>
      </c>
      <c r="G242" s="16"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c r="A243" s="14" t="s">
        <v>951</v>
      </c>
      <c r="B243" s="15" t="s">
        <v>5</v>
      </c>
      <c r="C243" s="10" t="s">
        <v>952</v>
      </c>
      <c r="D243" s="16" t="s">
        <v>1238</v>
      </c>
      <c r="E243" s="15" t="s">
        <v>11215</v>
      </c>
      <c r="F243" s="16" t="str">
        <f>VLOOKUP(Table8[[#This Row],[Mã khách hàng]],code_khach_hang[],2,0)</f>
        <v>CHI NHÁNH HÀ NỘI - CÔNG TY CỔ PHẦN DỊCH VỤ THƯƠNG MẠI TỔNG HỢP WINCOMMERCE</v>
      </c>
      <c r="G243" s="16"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c r="A244" s="14" t="s">
        <v>972</v>
      </c>
      <c r="B244" s="15" t="s">
        <v>5</v>
      </c>
      <c r="C244" s="10" t="s">
        <v>973</v>
      </c>
      <c r="D244" s="16" t="s">
        <v>1241</v>
      </c>
      <c r="E244" s="15" t="s">
        <v>11215</v>
      </c>
      <c r="F244" s="16" t="str">
        <f>VLOOKUP(Table8[[#This Row],[Mã khách hàng]],code_khach_hang[],2,0)</f>
        <v>CHI NHÁNH HÀ NỘI - CÔNG TY CỔ PHẦN DỊCH VỤ THƯƠNG MẠI TỔNG HỢP WINCOMMERCE</v>
      </c>
      <c r="G244" s="16"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c r="A245" s="14" t="s">
        <v>11090</v>
      </c>
      <c r="B245" s="15" t="s">
        <v>5</v>
      </c>
      <c r="C245" s="10" t="s">
        <v>13141</v>
      </c>
      <c r="D245" s="16" t="s">
        <v>1244</v>
      </c>
      <c r="E245" s="15" t="s">
        <v>11215</v>
      </c>
      <c r="F245" s="16" t="str">
        <f>VLOOKUP(Table8[[#This Row],[Mã khách hàng]],code_khach_hang[],2,0)</f>
        <v>CHI NHÁNH HÀ NỘI - CÔNG TY CỔ PHẦN DỊCH VỤ THƯƠNG MẠI TỔNG HỢP WINCOMMERCE</v>
      </c>
      <c r="G245" s="16"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c r="A246" s="14" t="s">
        <v>1029</v>
      </c>
      <c r="B246" s="15" t="s">
        <v>5</v>
      </c>
      <c r="C246" s="10" t="s">
        <v>1030</v>
      </c>
      <c r="D246" s="16" t="s">
        <v>1247</v>
      </c>
      <c r="E246" s="15" t="s">
        <v>11215</v>
      </c>
      <c r="F246" s="16" t="str">
        <f>VLOOKUP(Table8[[#This Row],[Mã khách hàng]],code_khach_hang[],2,0)</f>
        <v>CHI NHÁNH HÀ NỘI - CÔNG TY CỔ PHẦN DỊCH VỤ THƯƠNG MẠI TỔNG HỢP WINCOMMERCE</v>
      </c>
      <c r="G246" s="16"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c r="A247" s="14" t="s">
        <v>1032</v>
      </c>
      <c r="B247" s="15" t="s">
        <v>5</v>
      </c>
      <c r="C247" s="10" t="s">
        <v>1033</v>
      </c>
      <c r="D247" s="16" t="s">
        <v>1250</v>
      </c>
      <c r="E247" s="15" t="s">
        <v>11215</v>
      </c>
      <c r="F247" s="16" t="str">
        <f>VLOOKUP(Table8[[#This Row],[Mã khách hàng]],code_khach_hang[],2,0)</f>
        <v>CHI NHÁNH HÀ NỘI - CÔNG TY CỔ PHẦN DỊCH VỤ THƯƠNG MẠI TỔNG HỢP WINCOMMERCE</v>
      </c>
      <c r="G247" s="16"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c r="A248" s="14" t="s">
        <v>1077</v>
      </c>
      <c r="B248" s="15" t="s">
        <v>5</v>
      </c>
      <c r="C248" s="10" t="s">
        <v>1078</v>
      </c>
      <c r="D248" s="16" t="s">
        <v>1253</v>
      </c>
      <c r="E248" s="15" t="s">
        <v>11215</v>
      </c>
      <c r="F248" s="16" t="str">
        <f>VLOOKUP(Table8[[#This Row],[Mã khách hàng]],code_khach_hang[],2,0)</f>
        <v>CHI NHÁNH HÀ NỘI - CÔNG TY CỔ PHẦN DỊCH VỤ THƯƠNG MẠI TỔNG HỢP WINCOMMERCE</v>
      </c>
      <c r="G248" s="16"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c r="A249" s="14" t="s">
        <v>1215</v>
      </c>
      <c r="B249" s="15" t="s">
        <v>5</v>
      </c>
      <c r="C249" s="10" t="s">
        <v>1216</v>
      </c>
      <c r="D249" s="16" t="s">
        <v>1256</v>
      </c>
      <c r="E249" s="15" t="s">
        <v>11215</v>
      </c>
      <c r="F249" s="16" t="str">
        <f>VLOOKUP(Table8[[#This Row],[Mã khách hàng]],code_khach_hang[],2,0)</f>
        <v>CHI NHÁNH HÀ NỘI - CÔNG TY CỔ PHẦN DỊCH VỤ THƯƠNG MẠI TỔNG HỢP WINCOMMERCE</v>
      </c>
      <c r="G249" s="16"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c r="A250" s="14" t="s">
        <v>4230</v>
      </c>
      <c r="B250" s="15" t="s">
        <v>5</v>
      </c>
      <c r="C250" s="10" t="s">
        <v>4231</v>
      </c>
      <c r="D250" s="16" t="s">
        <v>1259</v>
      </c>
      <c r="E250" s="15" t="s">
        <v>11215</v>
      </c>
      <c r="F250" s="16" t="str">
        <f>VLOOKUP(Table8[[#This Row],[Mã khách hàng]],code_khach_hang[],2,0)</f>
        <v>CHI NHÁNH HÀ NỘI - CÔNG TY CỔ PHẦN DỊCH VỤ THƯƠNG MẠI TỔNG HỢP WINCOMMERCE</v>
      </c>
      <c r="G250" s="16"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c r="A251" s="14" t="s">
        <v>4857</v>
      </c>
      <c r="B251" s="15" t="s">
        <v>5</v>
      </c>
      <c r="C251" s="10" t="s">
        <v>4858</v>
      </c>
      <c r="D251" s="16" t="s">
        <v>1262</v>
      </c>
      <c r="E251" s="15" t="s">
        <v>11215</v>
      </c>
      <c r="F251" s="16" t="str">
        <f>VLOOKUP(Table8[[#This Row],[Mã khách hàng]],code_khach_hang[],2,0)</f>
        <v>CHI NHÁNH HÀ NỘI - CÔNG TY CỔ PHẦN DỊCH VỤ THƯƠNG MẠI TỔNG HỢP WINCOMMERCE</v>
      </c>
      <c r="G251" s="16"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c r="A252" s="14" t="s">
        <v>5085</v>
      </c>
      <c r="B252" s="15" t="s">
        <v>5</v>
      </c>
      <c r="C252" s="10" t="s">
        <v>5086</v>
      </c>
      <c r="D252" s="16" t="s">
        <v>1265</v>
      </c>
      <c r="E252" s="15" t="s">
        <v>11215</v>
      </c>
      <c r="F252" s="16" t="str">
        <f>VLOOKUP(Table8[[#This Row],[Mã khách hàng]],code_khach_hang[],2,0)</f>
        <v>CHI NHÁNH HÀ NỘI - CÔNG TY CỔ PHẦN DỊCH VỤ THƯƠNG MẠI TỔNG HỢP WINCOMMERCE</v>
      </c>
      <c r="G252" s="16"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c r="A253" s="14" t="s">
        <v>6602</v>
      </c>
      <c r="B253" s="15" t="s">
        <v>5</v>
      </c>
      <c r="C253" s="10" t="s">
        <v>6603</v>
      </c>
      <c r="D253" s="16" t="s">
        <v>1268</v>
      </c>
      <c r="E253" s="15" t="s">
        <v>11215</v>
      </c>
      <c r="F253" s="16" t="str">
        <f>VLOOKUP(Table8[[#This Row],[Mã khách hàng]],code_khach_hang[],2,0)</f>
        <v>CHI NHÁNH HÀ NỘI - CÔNG TY CỔ PHẦN DỊCH VỤ THƯƠNG MẠI TỔNG HỢP WINCOMMERCE</v>
      </c>
      <c r="G253" s="16"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c r="A254" s="14" t="s">
        <v>1116</v>
      </c>
      <c r="B254" s="15" t="s">
        <v>5</v>
      </c>
      <c r="C254" s="10" t="s">
        <v>1117</v>
      </c>
      <c r="D254" s="16" t="s">
        <v>1271</v>
      </c>
      <c r="E254" s="15" t="s">
        <v>11215</v>
      </c>
      <c r="F254" s="16" t="str">
        <f>VLOOKUP(Table8[[#This Row],[Mã khách hàng]],code_khach_hang[],2,0)</f>
        <v>CHI NHÁNH HÀ NỘI - CÔNG TY CỔ PHẦN DỊCH VỤ THƯƠNG MẠI TỔNG HỢP WINCOMMERCE</v>
      </c>
      <c r="G254" s="16"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c r="A255" s="14" t="s">
        <v>11091</v>
      </c>
      <c r="B255" s="15" t="s">
        <v>183</v>
      </c>
      <c r="C255" s="10" t="s">
        <v>13142</v>
      </c>
      <c r="D255" s="16" t="s">
        <v>1274</v>
      </c>
      <c r="E255" s="15" t="s">
        <v>11195</v>
      </c>
      <c r="F255" s="16" t="str">
        <f>VLOOKUP(Table8[[#This Row],[Mã khách hàng]],code_khach_hang[],2,0)</f>
        <v>CHI NHÁNH HÀ NỘI - CÔNG TY CỔ PHẦN DỊCH VỤ THƯƠNG MẠI TỔNG HỢP WINCOMMERCE</v>
      </c>
      <c r="G255" s="16"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c r="A256" s="14" t="s">
        <v>8671</v>
      </c>
      <c r="B256" s="15" t="s">
        <v>5</v>
      </c>
      <c r="C256" s="10" t="s">
        <v>8672</v>
      </c>
      <c r="D256" s="16" t="s">
        <v>1277</v>
      </c>
      <c r="E256" s="15" t="s">
        <v>11215</v>
      </c>
      <c r="F256" s="16" t="str">
        <f>VLOOKUP(Table8[[#This Row],[Mã khách hàng]],code_khach_hang[],2,0)</f>
        <v>CHI NHÁNH HÀ NỘI - CÔNG TY CỔ PHẦN DỊCH VỤ THƯƠNG MẠI TỔNG HỢP WINCOMMERCE</v>
      </c>
      <c r="G256" s="16"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c r="A257" s="14" t="s">
        <v>804</v>
      </c>
      <c r="B257" s="15" t="s">
        <v>5</v>
      </c>
      <c r="C257" s="10" t="s">
        <v>805</v>
      </c>
      <c r="D257" s="16" t="s">
        <v>1280</v>
      </c>
      <c r="E257" s="15" t="s">
        <v>11215</v>
      </c>
      <c r="F257" s="16" t="str">
        <f>VLOOKUP(Table8[[#This Row],[Mã khách hàng]],code_khach_hang[],2,0)</f>
        <v>CHI NHÁNH HÀ NỘI - CÔNG TY CỔ PHẦN DỊCH VỤ THƯƠNG MẠI TỔNG HỢP WINCOMMERCE</v>
      </c>
      <c r="G257" s="16"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c r="A258" s="14" t="s">
        <v>816</v>
      </c>
      <c r="B258" s="15" t="s">
        <v>5</v>
      </c>
      <c r="C258" s="10" t="s">
        <v>817</v>
      </c>
      <c r="D258" s="16" t="s">
        <v>1283</v>
      </c>
      <c r="E258" s="15" t="s">
        <v>11215</v>
      </c>
      <c r="F258" s="16" t="str">
        <f>VLOOKUP(Table8[[#This Row],[Mã khách hàng]],code_khach_hang[],2,0)</f>
        <v>CHI NHÁNH HÀ NỘI - CÔNG TY CỔ PHẦN DỊCH VỤ THƯƠNG MẠI TỔNG HỢP WINCOMMERCE</v>
      </c>
      <c r="G258" s="16"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c r="A259" s="14" t="s">
        <v>834</v>
      </c>
      <c r="B259" s="15" t="s">
        <v>5</v>
      </c>
      <c r="C259" s="10" t="s">
        <v>835</v>
      </c>
      <c r="D259" s="16" t="s">
        <v>1286</v>
      </c>
      <c r="E259" s="15" t="s">
        <v>11215</v>
      </c>
      <c r="F259" s="16" t="str">
        <f>VLOOKUP(Table8[[#This Row],[Mã khách hàng]],code_khach_hang[],2,0)</f>
        <v>CHI NHÁNH HÀ NỘI - CÔNG TY CỔ PHẦN DỊCH VỤ THƯƠNG MẠI TỔNG HỢP WINCOMMERCE</v>
      </c>
      <c r="G259" s="16"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c r="A260" s="14" t="s">
        <v>843</v>
      </c>
      <c r="B260" s="15" t="s">
        <v>5</v>
      </c>
      <c r="C260" s="10" t="s">
        <v>844</v>
      </c>
      <c r="D260" s="16" t="s">
        <v>1289</v>
      </c>
      <c r="E260" s="15" t="s">
        <v>11215</v>
      </c>
      <c r="F260" s="16" t="str">
        <f>VLOOKUP(Table8[[#This Row],[Mã khách hàng]],code_khach_hang[],2,0)</f>
        <v>CHI NHÁNH HÀ NỘI - CÔNG TY CỔ PHẦN DỊCH VỤ THƯƠNG MẠI TỔNG HỢP WINCOMMERCE</v>
      </c>
      <c r="G260" s="16"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c r="A261" s="14" t="s">
        <v>873</v>
      </c>
      <c r="B261" s="15" t="s">
        <v>5</v>
      </c>
      <c r="C261" s="10" t="s">
        <v>874</v>
      </c>
      <c r="D261" s="16" t="s">
        <v>1292</v>
      </c>
      <c r="E261" s="15" t="s">
        <v>11215</v>
      </c>
      <c r="F261" s="16" t="str">
        <f>VLOOKUP(Table8[[#This Row],[Mã khách hàng]],code_khach_hang[],2,0)</f>
        <v>CHI NHÁNH HÀ NỘI - CÔNG TY CỔ PHẦN DỊCH VỤ THƯƠNG MẠI TỔNG HỢP WINCOMMERCE</v>
      </c>
      <c r="G261" s="16"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c r="A262" s="14" t="s">
        <v>912</v>
      </c>
      <c r="B262" s="15" t="s">
        <v>5</v>
      </c>
      <c r="C262" s="10" t="s">
        <v>913</v>
      </c>
      <c r="D262" s="16" t="s">
        <v>1295</v>
      </c>
      <c r="E262" s="15" t="s">
        <v>11215</v>
      </c>
      <c r="F262" s="16" t="str">
        <f>VLOOKUP(Table8[[#This Row],[Mã khách hàng]],code_khach_hang[],2,0)</f>
        <v>CHI NHÁNH HÀ NỘI - CÔNG TY CỔ PHẦN DỊCH VỤ THƯƠNG MẠI TỔNG HỢP WINCOMMERCE</v>
      </c>
      <c r="G262" s="16"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c r="A263" s="14" t="s">
        <v>927</v>
      </c>
      <c r="B263" s="15" t="s">
        <v>5</v>
      </c>
      <c r="C263" s="10" t="s">
        <v>928</v>
      </c>
      <c r="D263" s="16" t="s">
        <v>1298</v>
      </c>
      <c r="E263" s="15" t="s">
        <v>11215</v>
      </c>
      <c r="F263" s="16" t="str">
        <f>VLOOKUP(Table8[[#This Row],[Mã khách hàng]],code_khach_hang[],2,0)</f>
        <v>CHI NHÁNH HÀ NỘI - CÔNG TY CỔ PHẦN DỊCH VỤ THƯƠNG MẠI TỔNG HỢP WINCOMMERCE</v>
      </c>
      <c r="G263" s="16"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c r="A264" s="14" t="s">
        <v>933</v>
      </c>
      <c r="B264" s="15" t="s">
        <v>5</v>
      </c>
      <c r="C264" s="10" t="s">
        <v>934</v>
      </c>
      <c r="D264" s="16" t="s">
        <v>1301</v>
      </c>
      <c r="E264" s="15" t="s">
        <v>11215</v>
      </c>
      <c r="F264" s="16" t="str">
        <f>VLOOKUP(Table8[[#This Row],[Mã khách hàng]],code_khach_hang[],2,0)</f>
        <v>CHI NHÁNH HÀ NỘI - CÔNG TY CỔ PHẦN DỊCH VỤ THƯƠNG MẠI TỔNG HỢP WINCOMMERCE</v>
      </c>
      <c r="G264" s="16"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c r="A265" s="14" t="s">
        <v>936</v>
      </c>
      <c r="B265" s="15" t="s">
        <v>5</v>
      </c>
      <c r="C265" s="10" t="s">
        <v>937</v>
      </c>
      <c r="D265" s="16" t="s">
        <v>1304</v>
      </c>
      <c r="E265" s="15" t="s">
        <v>11215</v>
      </c>
      <c r="F265" s="16" t="str">
        <f>VLOOKUP(Table8[[#This Row],[Mã khách hàng]],code_khach_hang[],2,0)</f>
        <v>CHI NHÁNH HÀ NỘI - CÔNG TY CỔ PHẦN DỊCH VỤ THƯƠNG MẠI TỔNG HỢP WINCOMMERCE</v>
      </c>
      <c r="G265" s="16"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c r="A266" s="14" t="s">
        <v>1005</v>
      </c>
      <c r="B266" s="15" t="s">
        <v>5</v>
      </c>
      <c r="C266" s="10" t="s">
        <v>1006</v>
      </c>
      <c r="D266" s="16" t="s">
        <v>1307</v>
      </c>
      <c r="E266" s="15" t="s">
        <v>11215</v>
      </c>
      <c r="F266" s="16" t="str">
        <f>VLOOKUP(Table8[[#This Row],[Mã khách hàng]],code_khach_hang[],2,0)</f>
        <v>CHI NHÁNH HÀ NỘI - CÔNG TY CỔ PHẦN DỊCH VỤ THƯƠNG MẠI TỔNG HỢP WINCOMMERCE</v>
      </c>
      <c r="G266" s="16"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c r="A267" s="14" t="s">
        <v>1125</v>
      </c>
      <c r="B267" s="15" t="s">
        <v>5</v>
      </c>
      <c r="C267" s="10" t="s">
        <v>1126</v>
      </c>
      <c r="D267" s="16" t="s">
        <v>1310</v>
      </c>
      <c r="E267" s="15" t="s">
        <v>11215</v>
      </c>
      <c r="F267" s="16" t="str">
        <f>VLOOKUP(Table8[[#This Row],[Mã khách hàng]],code_khach_hang[],2,0)</f>
        <v>CHI NHÁNH HÀ NỘI - CÔNG TY CỔ PHẦN DỊCH VỤ THƯƠNG MẠI TỔNG HỢP WINCOMMERCE</v>
      </c>
      <c r="G267" s="16"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c r="A268" s="14" t="s">
        <v>1134</v>
      </c>
      <c r="B268" s="15" t="s">
        <v>5</v>
      </c>
      <c r="C268" s="10" t="s">
        <v>1135</v>
      </c>
      <c r="D268" s="16" t="s">
        <v>1313</v>
      </c>
      <c r="E268" s="15" t="s">
        <v>11215</v>
      </c>
      <c r="F268" s="16" t="str">
        <f>VLOOKUP(Table8[[#This Row],[Mã khách hàng]],code_khach_hang[],2,0)</f>
        <v>CHI NHÁNH HÀ NỘI - CÔNG TY CỔ PHẦN DỊCH VỤ THƯƠNG MẠI TỔNG HỢP WINCOMMERCE</v>
      </c>
      <c r="G268" s="16"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c r="A269" s="14" t="s">
        <v>1161</v>
      </c>
      <c r="B269" s="15" t="s">
        <v>5</v>
      </c>
      <c r="C269" s="10" t="s">
        <v>1162</v>
      </c>
      <c r="D269" s="16" t="s">
        <v>1316</v>
      </c>
      <c r="E269" s="15" t="s">
        <v>11215</v>
      </c>
      <c r="F269" s="16" t="str">
        <f>VLOOKUP(Table8[[#This Row],[Mã khách hàng]],code_khach_hang[],2,0)</f>
        <v>CHI NHÁNH HÀ NỘI - CÔNG TY CỔ PHẦN DỊCH VỤ THƯƠNG MẠI TỔNG HỢP WINCOMMERCE</v>
      </c>
      <c r="G269" s="16"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c r="A270" s="14" t="s">
        <v>1185</v>
      </c>
      <c r="B270" s="15" t="s">
        <v>5</v>
      </c>
      <c r="C270" s="10" t="s">
        <v>1186</v>
      </c>
      <c r="D270" s="16" t="s">
        <v>1319</v>
      </c>
      <c r="E270" s="15" t="s">
        <v>11215</v>
      </c>
      <c r="F270" s="16" t="str">
        <f>VLOOKUP(Table8[[#This Row],[Mã khách hàng]],code_khach_hang[],2,0)</f>
        <v>CHI NHÁNH HÀ NỘI - CÔNG TY CỔ PHẦN DỊCH VỤ THƯƠNG MẠI TỔNG HỢP WINCOMMERCE</v>
      </c>
      <c r="G270" s="16"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c r="A271" s="14" t="s">
        <v>11092</v>
      </c>
      <c r="B271" s="15" t="s">
        <v>5</v>
      </c>
      <c r="C271" s="10" t="e">
        <v>#N/A</v>
      </c>
      <c r="D271" s="16" t="s">
        <v>1322</v>
      </c>
      <c r="E271" s="15" t="s">
        <v>11215</v>
      </c>
      <c r="F271" s="16" t="str">
        <f>VLOOKUP(Table8[[#This Row],[Mã khách hàng]],code_khach_hang[],2,0)</f>
        <v>CHI NHÁNH HÀ NỘI - CÔNG TY CỔ PHẦN DỊCH VỤ THƯƠNG MẠI TỔNG HỢP WINCOMMERCE</v>
      </c>
      <c r="G271" s="16"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c r="A272" s="14" t="s">
        <v>1269</v>
      </c>
      <c r="B272" s="15" t="s">
        <v>5</v>
      </c>
      <c r="C272" s="10" t="s">
        <v>1270</v>
      </c>
      <c r="D272" s="16" t="s">
        <v>1327</v>
      </c>
      <c r="E272" s="15" t="s">
        <v>11215</v>
      </c>
      <c r="F272" s="16" t="str">
        <f>VLOOKUP(Table8[[#This Row],[Mã khách hàng]],code_khach_hang[],2,0)</f>
        <v>CHI NHÁNH HÀ NỘI - CÔNG TY CỔ PHẦN DỊCH VỤ THƯƠNG MẠI TỔNG HỢP WINCOMMERCE</v>
      </c>
      <c r="G272" s="16"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c r="A273" s="14" t="s">
        <v>11093</v>
      </c>
      <c r="B273" s="15" t="s">
        <v>5</v>
      </c>
      <c r="C273" s="10" t="s">
        <v>13143</v>
      </c>
      <c r="D273" s="16" t="s">
        <v>1330</v>
      </c>
      <c r="E273" s="15" t="s">
        <v>11215</v>
      </c>
      <c r="F273" s="16" t="str">
        <f>VLOOKUP(Table8[[#This Row],[Mã khách hàng]],code_khach_hang[],2,0)</f>
        <v>CHI NHÁNH HÀ NỘI - CÔNG TY CỔ PHẦN DỊCH VỤ THƯƠNG MẠI TỔNG HỢP WINCOMMERCE</v>
      </c>
      <c r="G273" s="16"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c r="A274" s="14" t="s">
        <v>11094</v>
      </c>
      <c r="B274" s="15" t="s">
        <v>5</v>
      </c>
      <c r="C274" s="10" t="s">
        <v>13144</v>
      </c>
      <c r="D274" s="16" t="s">
        <v>1333</v>
      </c>
      <c r="E274" s="15" t="s">
        <v>11215</v>
      </c>
      <c r="F274" s="16" t="str">
        <f>VLOOKUP(Table8[[#This Row],[Mã khách hàng]],code_khach_hang[],2,0)</f>
        <v>CHI NHÁNH HÀ NỘI - CÔNG TY CỔ PHẦN DỊCH VỤ THƯƠNG MẠI TỔNG HỢP WINCOMMERCE</v>
      </c>
      <c r="G274" s="16"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c r="A275" s="14" t="s">
        <v>4458</v>
      </c>
      <c r="B275" s="15" t="s">
        <v>5</v>
      </c>
      <c r="C275" s="10" t="s">
        <v>4459</v>
      </c>
      <c r="D275" s="16" t="s">
        <v>1336</v>
      </c>
      <c r="E275" s="15" t="s">
        <v>11215</v>
      </c>
      <c r="F275" s="16" t="str">
        <f>VLOOKUP(Table8[[#This Row],[Mã khách hàng]],code_khach_hang[],2,0)</f>
        <v>CHI NHÁNH HÀ NỘI - CÔNG TY CỔ PHẦN DỊCH VỤ THƯƠNG MẠI TỔNG HỢP WINCOMMERCE</v>
      </c>
      <c r="G275" s="16"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c r="A276" s="14" t="s">
        <v>4497</v>
      </c>
      <c r="B276" s="15" t="s">
        <v>5</v>
      </c>
      <c r="C276" s="10" t="s">
        <v>4498</v>
      </c>
      <c r="D276" s="16" t="s">
        <v>1339</v>
      </c>
      <c r="E276" s="15" t="s">
        <v>11215</v>
      </c>
      <c r="F276" s="16" t="str">
        <f>VLOOKUP(Table8[[#This Row],[Mã khách hàng]],code_khach_hang[],2,0)</f>
        <v>CHI NHÁNH HÀ NỘI - CÔNG TY CỔ PHẦN DỊCH VỤ THƯƠNG MẠI TỔNG HỢP WINCOMMERCE</v>
      </c>
      <c r="G276" s="16"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c r="A277" s="14" t="s">
        <v>5160</v>
      </c>
      <c r="B277" s="15" t="s">
        <v>5</v>
      </c>
      <c r="C277" s="10" t="s">
        <v>5161</v>
      </c>
      <c r="D277" s="16" t="s">
        <v>1342</v>
      </c>
      <c r="E277" s="15" t="s">
        <v>11215</v>
      </c>
      <c r="F277" s="16" t="str">
        <f>VLOOKUP(Table8[[#This Row],[Mã khách hàng]],code_khach_hang[],2,0)</f>
        <v>CHI NHÁNH HÀ NỘI - CÔNG TY CỔ PHẦN DỊCH VỤ THƯƠNG MẠI TỔNG HỢP WINCOMMERCE</v>
      </c>
      <c r="G277" s="16"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c r="A278" s="14" t="s">
        <v>6551</v>
      </c>
      <c r="B278" s="15" t="s">
        <v>5</v>
      </c>
      <c r="C278" s="10" t="s">
        <v>6552</v>
      </c>
      <c r="D278" s="16" t="s">
        <v>1345</v>
      </c>
      <c r="E278" s="15" t="s">
        <v>11215</v>
      </c>
      <c r="F278" s="16" t="str">
        <f>VLOOKUP(Table8[[#This Row],[Mã khách hàng]],code_khach_hang[],2,0)</f>
        <v>CHI NHÁNH HÀ NỘI - CÔNG TY CỔ PHẦN DỊCH VỤ THƯƠNG MẠI TỔNG HỢP WINCOMMERCE</v>
      </c>
      <c r="G278" s="16"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c r="A279" s="14" t="s">
        <v>6623</v>
      </c>
      <c r="B279" s="15" t="s">
        <v>5</v>
      </c>
      <c r="C279" s="10" t="s">
        <v>6624</v>
      </c>
      <c r="D279" s="16" t="s">
        <v>1348</v>
      </c>
      <c r="E279" s="15" t="s">
        <v>11215</v>
      </c>
      <c r="F279" s="16" t="str">
        <f>VLOOKUP(Table8[[#This Row],[Mã khách hàng]],code_khach_hang[],2,0)</f>
        <v>CHI NHÁNH HÀ NỘI - CÔNG TY CỔ PHẦN DỊCH VỤ THƯƠNG MẠI TỔNG HỢP WINCOMMERCE</v>
      </c>
      <c r="G279" s="16"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c r="A280" s="14" t="s">
        <v>6626</v>
      </c>
      <c r="B280" s="15" t="s">
        <v>5</v>
      </c>
      <c r="C280" s="10" t="s">
        <v>6627</v>
      </c>
      <c r="D280" s="16" t="s">
        <v>1351</v>
      </c>
      <c r="E280" s="15" t="s">
        <v>11215</v>
      </c>
      <c r="F280" s="16" t="str">
        <f>VLOOKUP(Table8[[#This Row],[Mã khách hàng]],code_khach_hang[],2,0)</f>
        <v>CHI NHÁNH HÀ NỘI - CÔNG TY CỔ PHẦN DỊCH VỤ THƯƠNG MẠI TỔNG HỢP WINCOMMERCE</v>
      </c>
      <c r="G280" s="16"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c r="A281" s="14" t="s">
        <v>6806</v>
      </c>
      <c r="B281" s="15" t="s">
        <v>5</v>
      </c>
      <c r="C281" s="10" t="s">
        <v>6807</v>
      </c>
      <c r="D281" s="16" t="s">
        <v>1354</v>
      </c>
      <c r="E281" s="15" t="s">
        <v>11215</v>
      </c>
      <c r="F281" s="16" t="str">
        <f>VLOOKUP(Table8[[#This Row],[Mã khách hàng]],code_khach_hang[],2,0)</f>
        <v>CHI NHÁNH HÀ NỘI - CÔNG TY CỔ PHẦN DỊCH VỤ THƯƠNG MẠI TỔNG HỢP WINCOMMERCE</v>
      </c>
      <c r="G281" s="16"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c r="A282" s="14" t="s">
        <v>6857</v>
      </c>
      <c r="B282" s="15" t="s">
        <v>5</v>
      </c>
      <c r="C282" s="10" t="s">
        <v>6858</v>
      </c>
      <c r="D282" s="16" t="s">
        <v>1357</v>
      </c>
      <c r="E282" s="15" t="s">
        <v>11215</v>
      </c>
      <c r="F282" s="16" t="str">
        <f>VLOOKUP(Table8[[#This Row],[Mã khách hàng]],code_khach_hang[],2,0)</f>
        <v>CHI NHÁNH HÀ NỘI - CÔNG TY CỔ PHẦN DỊCH VỤ THƯƠNG MẠI TỔNG HỢP WINCOMMERCE</v>
      </c>
      <c r="G282" s="16"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c r="A283" s="14" t="s">
        <v>7001</v>
      </c>
      <c r="B283" s="15" t="s">
        <v>5</v>
      </c>
      <c r="C283" s="10" t="s">
        <v>7002</v>
      </c>
      <c r="D283" s="16" t="s">
        <v>1360</v>
      </c>
      <c r="E283" s="15" t="s">
        <v>11215</v>
      </c>
      <c r="F283" s="16" t="str">
        <f>VLOOKUP(Table8[[#This Row],[Mã khách hàng]],code_khach_hang[],2,0)</f>
        <v>CHI NHÁNH HÀ NỘI - CÔNG TY CỔ PHẦN DỊCH VỤ THƯƠNG MẠI TỔNG HỢP WINCOMMERCE</v>
      </c>
      <c r="G283" s="16"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c r="A284" s="14" t="s">
        <v>1047</v>
      </c>
      <c r="B284" s="15" t="s">
        <v>5</v>
      </c>
      <c r="C284" s="10" t="s">
        <v>1048</v>
      </c>
      <c r="D284" s="16" t="s">
        <v>1364</v>
      </c>
      <c r="E284" s="15" t="s">
        <v>11215</v>
      </c>
      <c r="F284" s="16" t="str">
        <f>VLOOKUP(Table8[[#This Row],[Mã khách hàng]],code_khach_hang[],2,0)</f>
        <v>CHI NHÁNH HÀ NỘI - CÔNG TY CỔ PHẦN DỊCH VỤ THƯƠNG MẠI TỔNG HỢP WINCOMMERCE</v>
      </c>
      <c r="G284" s="16"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c r="A285" s="14" t="s">
        <v>1212</v>
      </c>
      <c r="B285" s="15" t="s">
        <v>5</v>
      </c>
      <c r="C285" s="10" t="s">
        <v>1213</v>
      </c>
      <c r="D285" s="16" t="s">
        <v>1367</v>
      </c>
      <c r="E285" s="15" t="s">
        <v>11215</v>
      </c>
      <c r="F285" s="16" t="str">
        <f>VLOOKUP(Table8[[#This Row],[Mã khách hàng]],code_khach_hang[],2,0)</f>
        <v>CHI NHÁNH HÀ NỘI - CÔNG TY CỔ PHẦN DỊCH VỤ THƯƠNG MẠI TỔNG HỢP WINCOMMERCE</v>
      </c>
      <c r="G285" s="16"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c r="A286" s="14" t="s">
        <v>8841</v>
      </c>
      <c r="B286" s="15" t="s">
        <v>5</v>
      </c>
      <c r="C286" s="10" t="s">
        <v>8842</v>
      </c>
      <c r="D286" s="16" t="s">
        <v>1371</v>
      </c>
      <c r="E286" s="15" t="s">
        <v>11215</v>
      </c>
      <c r="F286" s="16" t="str">
        <f>VLOOKUP(Table8[[#This Row],[Mã khách hàng]],code_khach_hang[],2,0)</f>
        <v>CHI NHÁNH HÀ NỘI - CÔNG TY CỔ PHẦN DỊCH VỤ THƯƠNG MẠI TỔNG HỢP WINCOMMERCE</v>
      </c>
      <c r="G286" s="16"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c r="A287" s="14" t="s">
        <v>8933</v>
      </c>
      <c r="B287" s="15" t="s">
        <v>5</v>
      </c>
      <c r="C287" s="10" t="s">
        <v>8934</v>
      </c>
      <c r="D287" s="16" t="s">
        <v>1374</v>
      </c>
      <c r="E287" s="15" t="s">
        <v>11215</v>
      </c>
      <c r="F287" s="16" t="str">
        <f>VLOOKUP(Table8[[#This Row],[Mã khách hàng]],code_khach_hang[],2,0)</f>
        <v>CHI NHÁNH HÀ NỘI - CÔNG TY CỔ PHẦN DỊCH VỤ THƯƠNG MẠI TỔNG HỢP WINCOMMERCE</v>
      </c>
      <c r="G287" s="16"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c r="A288" s="14" t="s">
        <v>9076</v>
      </c>
      <c r="B288" s="15" t="s">
        <v>5</v>
      </c>
      <c r="C288" s="10" t="s">
        <v>9077</v>
      </c>
      <c r="D288" s="16" t="s">
        <v>1377</v>
      </c>
      <c r="E288" s="15" t="s">
        <v>11215</v>
      </c>
      <c r="F288" s="16" t="str">
        <f>VLOOKUP(Table8[[#This Row],[Mã khách hàng]],code_khach_hang[],2,0)</f>
        <v>CHI NHÁNH HÀ NỘI - CÔNG TY CỔ PHẦN DỊCH VỤ THƯƠNG MẠI TỔNG HỢP WINCOMMERCE</v>
      </c>
      <c r="G288" s="16"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c r="A289" s="14" t="s">
        <v>747</v>
      </c>
      <c r="B289" s="15" t="s">
        <v>5</v>
      </c>
      <c r="C289" s="10" t="s">
        <v>748</v>
      </c>
      <c r="D289" s="16" t="s">
        <v>1379</v>
      </c>
      <c r="E289" s="15" t="s">
        <v>11215</v>
      </c>
      <c r="F289" s="16" t="str">
        <f>VLOOKUP(Table8[[#This Row],[Mã khách hàng]],code_khach_hang[],2,0)</f>
        <v>CHI NHÁNH HÀ NỘI - CÔNG TY CỔ PHẦN DỊCH VỤ THƯƠNG MẠI TỔNG HỢP WINCOMMERCE</v>
      </c>
      <c r="G289" s="16"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c r="A290" s="14" t="s">
        <v>771</v>
      </c>
      <c r="B290" s="15" t="s">
        <v>5</v>
      </c>
      <c r="C290" s="10" t="s">
        <v>772</v>
      </c>
      <c r="D290" s="16" t="s">
        <v>1382</v>
      </c>
      <c r="E290" s="15" t="s">
        <v>11215</v>
      </c>
      <c r="F290" s="16" t="str">
        <f>VLOOKUP(Table8[[#This Row],[Mã khách hàng]],code_khach_hang[],2,0)</f>
        <v>CHI NHÁNH HÀ NỘI - CÔNG TY CỔ PHẦN DỊCH VỤ THƯƠNG MẠI TỔNG HỢP WINCOMMERCE</v>
      </c>
      <c r="G290" s="16"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c r="A291" s="14" t="s">
        <v>780</v>
      </c>
      <c r="B291" s="15" t="s">
        <v>5</v>
      </c>
      <c r="C291" s="10" t="s">
        <v>781</v>
      </c>
      <c r="D291" s="16" t="s">
        <v>1386</v>
      </c>
      <c r="E291" s="15" t="s">
        <v>11215</v>
      </c>
      <c r="F291" s="16" t="str">
        <f>VLOOKUP(Table8[[#This Row],[Mã khách hàng]],code_khach_hang[],2,0)</f>
        <v>CHI NHÁNH HÀ NỘI - CÔNG TY CỔ PHẦN DỊCH VỤ THƯƠNG MẠI TỔNG HỢP WINCOMMERCE</v>
      </c>
      <c r="G291" s="16"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c r="A292" s="14" t="s">
        <v>795</v>
      </c>
      <c r="B292" s="15" t="s">
        <v>5</v>
      </c>
      <c r="C292" s="10" t="s">
        <v>796</v>
      </c>
      <c r="D292" s="16" t="s">
        <v>1390</v>
      </c>
      <c r="E292" s="15" t="s">
        <v>11215</v>
      </c>
      <c r="F292" s="16" t="str">
        <f>VLOOKUP(Table8[[#This Row],[Mã khách hàng]],code_khach_hang[],2,0)</f>
        <v>CHI NHÁNH HÀ NỘI - CÔNG TY CỔ PHẦN DỊCH VỤ THƯƠNG MẠI TỔNG HỢP WINCOMMERCE</v>
      </c>
      <c r="G292" s="16"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c r="A293" s="14" t="s">
        <v>822</v>
      </c>
      <c r="B293" s="15" t="s">
        <v>5</v>
      </c>
      <c r="C293" s="10" t="s">
        <v>823</v>
      </c>
      <c r="D293" s="16" t="s">
        <v>1394</v>
      </c>
      <c r="E293" s="15" t="s">
        <v>11215</v>
      </c>
      <c r="F293" s="16" t="str">
        <f>VLOOKUP(Table8[[#This Row],[Mã khách hàng]],code_khach_hang[],2,0)</f>
        <v>CHI NHÁNH HÀ NỘI - CÔNG TY CỔ PHẦN DỊCH VỤ THƯƠNG MẠI TỔNG HỢP WINCOMMERCE</v>
      </c>
      <c r="G293" s="16"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c r="A294" s="14" t="s">
        <v>831</v>
      </c>
      <c r="B294" s="15" t="s">
        <v>5</v>
      </c>
      <c r="C294" s="10" t="s">
        <v>832</v>
      </c>
      <c r="D294" s="16" t="s">
        <v>1396</v>
      </c>
      <c r="E294" s="15" t="s">
        <v>11215</v>
      </c>
      <c r="F294" s="16" t="str">
        <f>VLOOKUP(Table8[[#This Row],[Mã khách hàng]],code_khach_hang[],2,0)</f>
        <v>CHI NHÁNH HÀ NỘI - CÔNG TY CỔ PHẦN DỊCH VỤ THƯƠNG MẠI TỔNG HỢP WINCOMMERCE</v>
      </c>
      <c r="G294" s="16"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c r="A295" s="14" t="s">
        <v>837</v>
      </c>
      <c r="B295" s="15" t="s">
        <v>5</v>
      </c>
      <c r="C295" s="10" t="s">
        <v>838</v>
      </c>
      <c r="D295" s="16" t="s">
        <v>1400</v>
      </c>
      <c r="E295" s="15" t="s">
        <v>11215</v>
      </c>
      <c r="F295" s="16" t="str">
        <f>VLOOKUP(Table8[[#This Row],[Mã khách hàng]],code_khach_hang[],2,0)</f>
        <v>CHI NHÁNH HÀ NỘI - CÔNG TY CỔ PHẦN DỊCH VỤ THƯƠNG MẠI TỔNG HỢP WINCOMMERCE</v>
      </c>
      <c r="G295" s="16"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c r="A296" s="14" t="s">
        <v>864</v>
      </c>
      <c r="B296" s="15" t="s">
        <v>5</v>
      </c>
      <c r="C296" s="10" t="s">
        <v>865</v>
      </c>
      <c r="D296" s="16" t="s">
        <v>1403</v>
      </c>
      <c r="E296" s="15" t="s">
        <v>11215</v>
      </c>
      <c r="F296" s="16" t="str">
        <f>VLOOKUP(Table8[[#This Row],[Mã khách hàng]],code_khach_hang[],2,0)</f>
        <v>CHI NHÁNH HÀ NỘI - CÔNG TY CỔ PHẦN DỊCH VỤ THƯƠNG MẠI TỔNG HỢP WINCOMMERCE</v>
      </c>
      <c r="G296" s="16"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c r="A297" s="14" t="s">
        <v>870</v>
      </c>
      <c r="B297" s="15" t="s">
        <v>5</v>
      </c>
      <c r="C297" s="10" t="s">
        <v>871</v>
      </c>
      <c r="D297" s="16" t="s">
        <v>1406</v>
      </c>
      <c r="E297" s="15" t="s">
        <v>11215</v>
      </c>
      <c r="F297" s="16" t="str">
        <f>VLOOKUP(Table8[[#This Row],[Mã khách hàng]],code_khach_hang[],2,0)</f>
        <v>CHI NHÁNH HÀ NỘI - CÔNG TY CỔ PHẦN DỊCH VỤ THƯƠNG MẠI TỔNG HỢP WINCOMMERCE</v>
      </c>
      <c r="G297" s="16"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c r="A298" s="14" t="s">
        <v>876</v>
      </c>
      <c r="B298" s="15" t="s">
        <v>5</v>
      </c>
      <c r="C298" s="10" t="s">
        <v>877</v>
      </c>
      <c r="D298" s="16" t="s">
        <v>1409</v>
      </c>
      <c r="E298" s="15" t="s">
        <v>11215</v>
      </c>
      <c r="F298" s="16" t="str">
        <f>VLOOKUP(Table8[[#This Row],[Mã khách hàng]],code_khach_hang[],2,0)</f>
        <v>CHI NHÁNH HÀ NỘI - CÔNG TY CỔ PHẦN DỊCH VỤ THƯƠNG MẠI TỔNG HỢP WINCOMMERCE</v>
      </c>
      <c r="G298" s="16"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c r="A299" s="14" t="s">
        <v>903</v>
      </c>
      <c r="B299" s="15" t="s">
        <v>5</v>
      </c>
      <c r="C299" s="10" t="s">
        <v>904</v>
      </c>
      <c r="D299" s="16" t="s">
        <v>1412</v>
      </c>
      <c r="E299" s="15" t="s">
        <v>11215</v>
      </c>
      <c r="F299" s="16" t="str">
        <f>VLOOKUP(Table8[[#This Row],[Mã khách hàng]],code_khach_hang[],2,0)</f>
        <v>CHI NHÁNH HÀ NỘI - CÔNG TY CỔ PHẦN DỊCH VỤ THƯƠNG MẠI TỔNG HỢP WINCOMMERCE</v>
      </c>
      <c r="G299" s="16"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c r="A300" s="14" t="s">
        <v>921</v>
      </c>
      <c r="B300" s="15" t="s">
        <v>5</v>
      </c>
      <c r="C300" s="10" t="s">
        <v>922</v>
      </c>
      <c r="D300" s="16" t="s">
        <v>1416</v>
      </c>
      <c r="E300" s="15" t="s">
        <v>11215</v>
      </c>
      <c r="F300" s="16" t="str">
        <f>VLOOKUP(Table8[[#This Row],[Mã khách hàng]],code_khach_hang[],2,0)</f>
        <v>CHI NHÁNH HÀ NỘI - CÔNG TY CỔ PHẦN DỊCH VỤ THƯƠNG MẠI TỔNG HỢP WINCOMMERCE</v>
      </c>
      <c r="G300" s="16"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c r="A301" s="14" t="s">
        <v>969</v>
      </c>
      <c r="B301" s="15" t="s">
        <v>5</v>
      </c>
      <c r="C301" s="10" t="s">
        <v>970</v>
      </c>
      <c r="D301" s="16" t="s">
        <v>1419</v>
      </c>
      <c r="E301" s="15" t="s">
        <v>11215</v>
      </c>
      <c r="F301" s="16" t="str">
        <f>VLOOKUP(Table8[[#This Row],[Mã khách hàng]],code_khach_hang[],2,0)</f>
        <v>CHI NHÁNH HÀ NỘI - CÔNG TY CỔ PHẦN DỊCH VỤ THƯƠNG MẠI TỔNG HỢP WINCOMMERCE</v>
      </c>
      <c r="G301" s="16"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c r="A302" s="14" t="s">
        <v>1008</v>
      </c>
      <c r="B302" s="15" t="s">
        <v>5</v>
      </c>
      <c r="C302" s="10" t="s">
        <v>1009</v>
      </c>
      <c r="D302" s="16" t="s">
        <v>1421</v>
      </c>
      <c r="E302" s="15" t="s">
        <v>11215</v>
      </c>
      <c r="F302" s="16" t="str">
        <f>VLOOKUP(Table8[[#This Row],[Mã khách hàng]],code_khach_hang[],2,0)</f>
        <v>CHI NHÁNH HÀ NỘI - CÔNG TY CỔ PHẦN DỊCH VỤ THƯƠNG MẠI TỔNG HỢP WINCOMMERCE</v>
      </c>
      <c r="G302" s="16"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c r="A303" s="14" t="s">
        <v>1011</v>
      </c>
      <c r="B303" s="15" t="s">
        <v>5</v>
      </c>
      <c r="C303" s="10" t="s">
        <v>1012</v>
      </c>
      <c r="D303" s="16" t="s">
        <v>1424</v>
      </c>
      <c r="E303" s="15" t="s">
        <v>11215</v>
      </c>
      <c r="F303" s="16" t="str">
        <f>VLOOKUP(Table8[[#This Row],[Mã khách hàng]],code_khach_hang[],2,0)</f>
        <v>CHI NHÁNH HÀ NỘI - CÔNG TY CỔ PHẦN DỊCH VỤ THƯƠNG MẠI TỔNG HỢP WINCOMMERCE</v>
      </c>
      <c r="G303" s="16"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c r="A304" s="14" t="s">
        <v>1071</v>
      </c>
      <c r="B304" s="15" t="s">
        <v>5</v>
      </c>
      <c r="C304" s="10" t="s">
        <v>1072</v>
      </c>
      <c r="D304" s="16" t="s">
        <v>1427</v>
      </c>
      <c r="E304" s="15" t="s">
        <v>11215</v>
      </c>
      <c r="F304" s="16" t="str">
        <f>VLOOKUP(Table8[[#This Row],[Mã khách hàng]],code_khach_hang[],2,0)</f>
        <v>CHI NHÁNH HÀ NỘI - CÔNG TY CỔ PHẦN DỊCH VỤ THƯƠNG MẠI TỔNG HỢP WINCOMMERCE</v>
      </c>
      <c r="G304" s="16"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c r="A305" s="14" t="s">
        <v>1092</v>
      </c>
      <c r="B305" s="15" t="s">
        <v>5</v>
      </c>
      <c r="C305" s="10" t="s">
        <v>1093</v>
      </c>
      <c r="D305" s="16" t="s">
        <v>1431</v>
      </c>
      <c r="E305" s="15" t="s">
        <v>11215</v>
      </c>
      <c r="F305" s="16" t="str">
        <f>VLOOKUP(Table8[[#This Row],[Mã khách hàng]],code_khach_hang[],2,0)</f>
        <v>CHI NHÁNH HÀ NỘI - CÔNG TY CỔ PHẦN DỊCH VỤ THƯƠNG MẠI TỔNG HỢP WINCOMMERCE</v>
      </c>
      <c r="G305" s="16"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c r="A306" s="14" t="s">
        <v>11095</v>
      </c>
      <c r="B306" s="15" t="s">
        <v>5</v>
      </c>
      <c r="C306" s="10" t="s">
        <v>13145</v>
      </c>
      <c r="D306" s="16" t="s">
        <v>1434</v>
      </c>
      <c r="E306" s="15" t="s">
        <v>11215</v>
      </c>
      <c r="F306" s="16" t="str">
        <f>VLOOKUP(Table8[[#This Row],[Mã khách hàng]],code_khach_hang[],2,0)</f>
        <v>CHI NHÁNH HÀ NỘI - CÔNG TY CỔ PHẦN DỊCH VỤ THƯƠNG MẠI TỔNG HỢP WINCOMMERCE</v>
      </c>
      <c r="G306" s="16"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c r="A307" s="14" t="s">
        <v>1194</v>
      </c>
      <c r="B307" s="15" t="s">
        <v>5</v>
      </c>
      <c r="C307" s="10" t="s">
        <v>1195</v>
      </c>
      <c r="D307" s="16" t="s">
        <v>1437</v>
      </c>
      <c r="E307" s="15" t="s">
        <v>11215</v>
      </c>
      <c r="F307" s="16" t="str">
        <f>VLOOKUP(Table8[[#This Row],[Mã khách hàng]],code_khach_hang[],2,0)</f>
        <v>CHI NHÁNH HÀ NỘI - CÔNG TY CỔ PHẦN DỊCH VỤ THƯƠNG MẠI TỔNG HỢP WINCOMMERCE</v>
      </c>
      <c r="G307" s="16"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c r="A308" s="14" t="s">
        <v>11096</v>
      </c>
      <c r="B308" s="15" t="s">
        <v>5</v>
      </c>
      <c r="C308" s="10" t="e">
        <v>#N/A</v>
      </c>
      <c r="D308" s="16" t="s">
        <v>1440</v>
      </c>
      <c r="E308" s="15" t="s">
        <v>11215</v>
      </c>
      <c r="F308" s="16" t="str">
        <f>VLOOKUP(Table8[[#This Row],[Mã khách hàng]],code_khach_hang[],2,0)</f>
        <v>CHI NHÁNH HÀ NỘI - CÔNG TY CỔ PHẦN DỊCH VỤ THƯƠNG MẠI TỔNG HỢP WINCOMMERCE</v>
      </c>
      <c r="G308" s="16"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c r="A309" s="14" t="s">
        <v>1236</v>
      </c>
      <c r="B309" s="15" t="s">
        <v>5</v>
      </c>
      <c r="C309" s="10" t="s">
        <v>1237</v>
      </c>
      <c r="D309" s="16" t="s">
        <v>1443</v>
      </c>
      <c r="E309" s="15" t="s">
        <v>11215</v>
      </c>
      <c r="F309" s="16" t="str">
        <f>VLOOKUP(Table8[[#This Row],[Mã khách hàng]],code_khach_hang[],2,0)</f>
        <v>CHI NHÁNH HÀ NỘI - CÔNG TY CỔ PHẦN DỊCH VỤ THƯƠNG MẠI TỔNG HỢP WINCOMMERCE</v>
      </c>
      <c r="G309" s="16"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c r="A310" s="14" t="s">
        <v>4113</v>
      </c>
      <c r="B310" s="15" t="s">
        <v>5</v>
      </c>
      <c r="C310" s="10" t="s">
        <v>4114</v>
      </c>
      <c r="D310" s="16" t="s">
        <v>1446</v>
      </c>
      <c r="E310" s="15" t="s">
        <v>11215</v>
      </c>
      <c r="F310" s="16" t="str">
        <f>VLOOKUP(Table8[[#This Row],[Mã khách hàng]],code_khach_hang[],2,0)</f>
        <v>CHI NHÁNH HÀ NỘI - CÔNG TY CỔ PHẦN DỊCH VỤ THƯƠNG MẠI TỔNG HỢP WINCOMMERCE</v>
      </c>
      <c r="G310" s="16"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c r="A311" s="14" t="s">
        <v>4272</v>
      </c>
      <c r="B311" s="15" t="s">
        <v>5</v>
      </c>
      <c r="C311" s="10" t="s">
        <v>4273</v>
      </c>
      <c r="D311" s="16" t="s">
        <v>1449</v>
      </c>
      <c r="E311" s="15" t="s">
        <v>11215</v>
      </c>
      <c r="F311" s="16" t="str">
        <f>VLOOKUP(Table8[[#This Row],[Mã khách hàng]],code_khach_hang[],2,0)</f>
        <v>CHI NHÁNH HÀ NỘI - CÔNG TY CỔ PHẦN DỊCH VỤ THƯƠNG MẠI TỔNG HỢP WINCOMMERCE</v>
      </c>
      <c r="G311" s="16"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c r="A312" s="14" t="s">
        <v>4413</v>
      </c>
      <c r="B312" s="15" t="s">
        <v>5</v>
      </c>
      <c r="C312" s="10" t="s">
        <v>4414</v>
      </c>
      <c r="D312" s="16" t="s">
        <v>1452</v>
      </c>
      <c r="E312" s="15" t="s">
        <v>11215</v>
      </c>
      <c r="F312" s="16" t="str">
        <f>VLOOKUP(Table8[[#This Row],[Mã khách hàng]],code_khach_hang[],2,0)</f>
        <v>CHI NHÁNH HÀ NỘI - CÔNG TY CỔ PHẦN DỊCH VỤ THƯƠNG MẠI TỔNG HỢP WINCOMMERCE</v>
      </c>
      <c r="G312" s="16"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c r="A313" s="14" t="s">
        <v>4683</v>
      </c>
      <c r="B313" s="15" t="s">
        <v>5</v>
      </c>
      <c r="C313" s="10" t="s">
        <v>4684</v>
      </c>
      <c r="D313" s="16" t="s">
        <v>1455</v>
      </c>
      <c r="E313" s="15" t="s">
        <v>11215</v>
      </c>
      <c r="F313" s="16" t="str">
        <f>VLOOKUP(Table8[[#This Row],[Mã khách hàng]],code_khach_hang[],2,0)</f>
        <v>CHI NHÁNH HÀ NỘI - CÔNG TY CỔ PHẦN DỊCH VỤ THƯƠNG MẠI TỔNG HỢP WINCOMMERCE</v>
      </c>
      <c r="G313" s="16"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c r="A314" s="14" t="s">
        <v>5025</v>
      </c>
      <c r="B314" s="15" t="s">
        <v>5</v>
      </c>
      <c r="C314" s="10" t="s">
        <v>5026</v>
      </c>
      <c r="D314" s="16" t="s">
        <v>1458</v>
      </c>
      <c r="E314" s="15" t="s">
        <v>11215</v>
      </c>
      <c r="F314" s="16" t="str">
        <f>VLOOKUP(Table8[[#This Row],[Mã khách hàng]],code_khach_hang[],2,0)</f>
        <v>CHI NHÁNH HÀ NỘI - CÔNG TY CỔ PHẦN DỊCH VỤ THƯƠNG MẠI TỔNG HỢP WINCOMMERCE</v>
      </c>
      <c r="G314" s="16"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c r="A315" s="14" t="s">
        <v>5166</v>
      </c>
      <c r="B315" s="15" t="s">
        <v>5</v>
      </c>
      <c r="C315" s="10" t="s">
        <v>5167</v>
      </c>
      <c r="D315" s="16" t="s">
        <v>1461</v>
      </c>
      <c r="E315" s="15" t="s">
        <v>11215</v>
      </c>
      <c r="F315" s="16" t="str">
        <f>VLOOKUP(Table8[[#This Row],[Mã khách hàng]],code_khach_hang[],2,0)</f>
        <v>CHI NHÁNH HÀ NỘI - CÔNG TY CỔ PHẦN DỊCH VỤ THƯƠNG MẠI TỔNG HỢP WINCOMMERCE</v>
      </c>
      <c r="G315" s="16"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c r="A316" s="14" t="s">
        <v>5517</v>
      </c>
      <c r="B316" s="15" t="s">
        <v>5</v>
      </c>
      <c r="C316" s="10" t="s">
        <v>5518</v>
      </c>
      <c r="D316" s="16" t="s">
        <v>1465</v>
      </c>
      <c r="E316" s="15" t="s">
        <v>11215</v>
      </c>
      <c r="F316" s="16" t="str">
        <f>VLOOKUP(Table8[[#This Row],[Mã khách hàng]],code_khach_hang[],2,0)</f>
        <v>CHI NHÁNH HÀ NỘI - CÔNG TY CỔ PHẦN DỊCH VỤ THƯƠNG MẠI TỔNG HỢP WINCOMMERCE</v>
      </c>
      <c r="G316" s="16"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c r="A317" s="14" t="s">
        <v>5836</v>
      </c>
      <c r="B317" s="15" t="s">
        <v>5</v>
      </c>
      <c r="C317" s="10" t="s">
        <v>5837</v>
      </c>
      <c r="D317" s="16" t="s">
        <v>1469</v>
      </c>
      <c r="E317" s="15" t="s">
        <v>11215</v>
      </c>
      <c r="F317" s="16" t="str">
        <f>VLOOKUP(Table8[[#This Row],[Mã khách hàng]],code_khach_hang[],2,0)</f>
        <v>CHI NHÁNH HÀ NỘI - CÔNG TY CỔ PHẦN DỊCH VỤ THƯƠNG MẠI TỔNG HỢP WINCOMMERCE</v>
      </c>
      <c r="G317" s="16"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c r="A318" s="14" t="s">
        <v>5848</v>
      </c>
      <c r="B318" s="15" t="s">
        <v>5</v>
      </c>
      <c r="C318" s="10" t="s">
        <v>5849</v>
      </c>
      <c r="D318" s="16" t="s">
        <v>1472</v>
      </c>
      <c r="E318" s="15" t="s">
        <v>11215</v>
      </c>
      <c r="F318" s="16" t="str">
        <f>VLOOKUP(Table8[[#This Row],[Mã khách hàng]],code_khach_hang[],2,0)</f>
        <v>CHI NHÁNH HÀ NỘI - CÔNG TY CỔ PHẦN DỊCH VỤ THƯƠNG MẠI TỔNG HỢP WINCOMMERCE</v>
      </c>
      <c r="G318" s="16"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c r="A319" s="14" t="s">
        <v>6375</v>
      </c>
      <c r="B319" s="15" t="s">
        <v>5</v>
      </c>
      <c r="C319" s="10" t="s">
        <v>6376</v>
      </c>
      <c r="D319" s="16" t="s">
        <v>1475</v>
      </c>
      <c r="E319" s="15" t="s">
        <v>11215</v>
      </c>
      <c r="F319" s="16" t="str">
        <f>VLOOKUP(Table8[[#This Row],[Mã khách hàng]],code_khach_hang[],2,0)</f>
        <v>CHI NHÁNH HÀ NỘI - CÔNG TY CỔ PHẦN DỊCH VỤ THƯƠNG MẠI TỔNG HỢP WINCOMMERCE</v>
      </c>
      <c r="G319" s="16"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c r="A320" s="14" t="s">
        <v>6683</v>
      </c>
      <c r="B320" s="15" t="s">
        <v>5</v>
      </c>
      <c r="C320" s="10" t="s">
        <v>6684</v>
      </c>
      <c r="D320" s="16" t="s">
        <v>1478</v>
      </c>
      <c r="E320" s="15" t="s">
        <v>11215</v>
      </c>
      <c r="F320" s="16" t="str">
        <f>VLOOKUP(Table8[[#This Row],[Mã khách hàng]],code_khach_hang[],2,0)</f>
        <v>CHI NHÁNH HÀ NỘI - CÔNG TY CỔ PHẦN DỊCH VỤ THƯƠNG MẠI TỔNG HỢP WINCOMMERCE</v>
      </c>
      <c r="G320" s="16"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c r="A321" s="14" t="s">
        <v>6800</v>
      </c>
      <c r="B321" s="15" t="s">
        <v>5</v>
      </c>
      <c r="C321" s="10" t="s">
        <v>6801</v>
      </c>
      <c r="D321" s="16" t="s">
        <v>1482</v>
      </c>
      <c r="E321" s="15" t="s">
        <v>11215</v>
      </c>
      <c r="F321" s="16" t="str">
        <f>VLOOKUP(Table8[[#This Row],[Mã khách hàng]],code_khach_hang[],2,0)</f>
        <v>CHI NHÁNH HÀ NỘI - CÔNG TY CỔ PHẦN DỊCH VỤ THƯƠNG MẠI TỔNG HỢP WINCOMMERCE</v>
      </c>
      <c r="G321" s="16"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c r="A322" s="14" t="s">
        <v>7271</v>
      </c>
      <c r="B322" s="15" t="s">
        <v>5</v>
      </c>
      <c r="C322" s="10" t="s">
        <v>7272</v>
      </c>
      <c r="D322" s="16" t="s">
        <v>1485</v>
      </c>
      <c r="E322" s="15" t="s">
        <v>11215</v>
      </c>
      <c r="F322" s="16" t="str">
        <f>VLOOKUP(Table8[[#This Row],[Mã khách hàng]],code_khach_hang[],2,0)</f>
        <v>CHI NHÁNH HÀ NỘI - CÔNG TY CỔ PHẦN DỊCH VỤ THƯƠNG MẠI TỔNG HỢP WINCOMMERCE</v>
      </c>
      <c r="G322" s="16"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c r="A323" s="14" t="s">
        <v>7730</v>
      </c>
      <c r="B323" s="15" t="s">
        <v>5</v>
      </c>
      <c r="C323" s="10" t="s">
        <v>7731</v>
      </c>
      <c r="D323" s="16" t="s">
        <v>1488</v>
      </c>
      <c r="E323" s="15" t="s">
        <v>11215</v>
      </c>
      <c r="F323" s="16" t="str">
        <f>VLOOKUP(Table8[[#This Row],[Mã khách hàng]],code_khach_hang[],2,0)</f>
        <v>CHI NHÁNH HÀ NỘI - CÔNG TY CỔ PHẦN DỊCH VỤ THƯƠNG MẠI TỔNG HỢP WINCOMMERCE</v>
      </c>
      <c r="G323" s="16"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c r="A324" s="14" t="s">
        <v>8594</v>
      </c>
      <c r="B324" s="15" t="s">
        <v>5</v>
      </c>
      <c r="C324" s="10" t="s">
        <v>8595</v>
      </c>
      <c r="D324" s="16" t="s">
        <v>1490</v>
      </c>
      <c r="E324" s="15" t="s">
        <v>11215</v>
      </c>
      <c r="F324" s="16" t="str">
        <f>VLOOKUP(Table8[[#This Row],[Mã khách hàng]],code_khach_hang[],2,0)</f>
        <v>CHI NHÁNH HÀ NỘI - CÔNG TY CỔ PHẦN DỊCH VỤ THƯƠNG MẠI TỔNG HỢP WINCOMMERCE</v>
      </c>
      <c r="G324" s="16"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c r="A325" s="14" t="s">
        <v>2068</v>
      </c>
      <c r="B325" s="15" t="s">
        <v>5</v>
      </c>
      <c r="C325" s="10" t="s">
        <v>2069</v>
      </c>
      <c r="D325" s="16" t="s">
        <v>1493</v>
      </c>
      <c r="E325" s="15" t="s">
        <v>11215</v>
      </c>
      <c r="F325" s="16" t="str">
        <f>VLOOKUP(Table8[[#This Row],[Mã khách hàng]],code_khach_hang[],2,0)</f>
        <v>CHI NHÁNH HÀ NỘI - CÔNG TY CỔ PHẦN DỊCH VỤ THƯƠNG MẠI TỔNG HỢP WINCOMMERCE</v>
      </c>
      <c r="G325" s="16"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c r="A326" s="14" t="s">
        <v>544</v>
      </c>
      <c r="B326" s="15" t="s">
        <v>183</v>
      </c>
      <c r="C326" s="10" t="s">
        <v>545</v>
      </c>
      <c r="D326" s="16" t="s">
        <v>1495</v>
      </c>
      <c r="E326" s="15" t="s">
        <v>11195</v>
      </c>
      <c r="F326" s="16" t="str">
        <f>VLOOKUP(Table8[[#This Row],[Mã khách hàng]],code_khach_hang[],2,0)</f>
        <v>CHI NHÁNH HÀ NỘI - CÔNG TY CỔ PHẦN DỊCH VỤ THƯƠNG MẠI TỔNG HỢP WINCOMMERCE</v>
      </c>
      <c r="G326" s="16"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c r="A327" s="14" t="s">
        <v>607</v>
      </c>
      <c r="B327" s="15" t="s">
        <v>183</v>
      </c>
      <c r="C327" s="10" t="s">
        <v>608</v>
      </c>
      <c r="D327" s="16" t="s">
        <v>1498</v>
      </c>
      <c r="E327" s="15" t="s">
        <v>11195</v>
      </c>
      <c r="F327" s="16" t="str">
        <f>VLOOKUP(Table8[[#This Row],[Mã khách hàng]],code_khach_hang[],2,0)</f>
        <v>CHI NHÁNH HÀ NỘI - CÔNG TY CỔ PHẦN DỊCH VỤ THƯƠNG MẠI TỔNG HỢP WINCOMMERCE</v>
      </c>
      <c r="G327" s="16"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c r="A328" s="14" t="s">
        <v>634</v>
      </c>
      <c r="B328" s="15" t="s">
        <v>183</v>
      </c>
      <c r="C328" s="10" t="s">
        <v>635</v>
      </c>
      <c r="D328" s="16" t="s">
        <v>1501</v>
      </c>
      <c r="E328" s="15" t="s">
        <v>11195</v>
      </c>
      <c r="F328" s="16" t="str">
        <f>VLOOKUP(Table8[[#This Row],[Mã khách hàng]],code_khach_hang[],2,0)</f>
        <v>CHI NHÁNH HÀ NỘI - CÔNG TY CỔ PHẦN DỊCH VỤ THƯƠNG MẠI TỔNG HỢP WINCOMMERCE</v>
      </c>
      <c r="G328" s="16"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c r="A329" s="14" t="s">
        <v>741</v>
      </c>
      <c r="B329" s="15" t="s">
        <v>5</v>
      </c>
      <c r="C329" s="10" t="s">
        <v>742</v>
      </c>
      <c r="D329" s="16" t="s">
        <v>1505</v>
      </c>
      <c r="E329" s="15" t="s">
        <v>11215</v>
      </c>
      <c r="F329" s="16" t="str">
        <f>VLOOKUP(Table8[[#This Row],[Mã khách hàng]],code_khach_hang[],2,0)</f>
        <v>CHI NHÁNH HÀ NỘI - CÔNG TY CỔ PHẦN DỊCH VỤ THƯƠNG MẠI TỔNG HỢP WINCOMMERCE</v>
      </c>
      <c r="G329" s="16"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c r="A330" s="14" t="s">
        <v>786</v>
      </c>
      <c r="B330" s="15" t="s">
        <v>5</v>
      </c>
      <c r="C330" s="10" t="s">
        <v>787</v>
      </c>
      <c r="D330" s="16" t="s">
        <v>1508</v>
      </c>
      <c r="E330" s="15" t="s">
        <v>11215</v>
      </c>
      <c r="F330" s="16" t="str">
        <f>VLOOKUP(Table8[[#This Row],[Mã khách hàng]],code_khach_hang[],2,0)</f>
        <v>CHI NHÁNH HÀ NỘI - CÔNG TY CỔ PHẦN DỊCH VỤ THƯƠNG MẠI TỔNG HỢP WINCOMMERCE</v>
      </c>
      <c r="G330" s="16"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c r="A331" s="14" t="s">
        <v>909</v>
      </c>
      <c r="B331" s="15" t="s">
        <v>5</v>
      </c>
      <c r="C331" s="10" t="s">
        <v>910</v>
      </c>
      <c r="D331" s="16" t="s">
        <v>1511</v>
      </c>
      <c r="E331" s="15" t="s">
        <v>11215</v>
      </c>
      <c r="F331" s="16" t="str">
        <f>VLOOKUP(Table8[[#This Row],[Mã khách hàng]],code_khach_hang[],2,0)</f>
        <v>CHI NHÁNH HÀ NỘI - CÔNG TY CỔ PHẦN DỊCH VỤ THƯƠNG MẠI TỔNG HỢP WINCOMMERCE</v>
      </c>
      <c r="G331" s="16"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c r="A332" s="14" t="s">
        <v>11097</v>
      </c>
      <c r="B332" s="15" t="s">
        <v>5</v>
      </c>
      <c r="C332" s="10" t="s">
        <v>13146</v>
      </c>
      <c r="D332" s="16" t="s">
        <v>1514</v>
      </c>
      <c r="E332" s="15" t="s">
        <v>11215</v>
      </c>
      <c r="F332" s="16" t="str">
        <f>VLOOKUP(Table8[[#This Row],[Mã khách hàng]],code_khach_hang[],2,0)</f>
        <v>CHI NHÁNH HÀ NỘI - CÔNG TY CỔ PHẦN DỊCH VỤ THƯƠNG MẠI TỔNG HỢP WINCOMMERCE</v>
      </c>
      <c r="G332" s="16"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c r="A333" s="14" t="s">
        <v>975</v>
      </c>
      <c r="B333" s="15" t="s">
        <v>5</v>
      </c>
      <c r="C333" s="10" t="s">
        <v>976</v>
      </c>
      <c r="D333" s="16" t="s">
        <v>1517</v>
      </c>
      <c r="E333" s="15" t="s">
        <v>11215</v>
      </c>
      <c r="F333" s="16" t="str">
        <f>VLOOKUP(Table8[[#This Row],[Mã khách hàng]],code_khach_hang[],2,0)</f>
        <v>CHI NHÁNH HÀ NỘI - CÔNG TY CỔ PHẦN DỊCH VỤ THƯƠNG MẠI TỔNG HỢP WINCOMMERCE</v>
      </c>
      <c r="G333" s="16"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c r="A334" s="14" t="s">
        <v>984</v>
      </c>
      <c r="B334" s="15" t="s">
        <v>5</v>
      </c>
      <c r="C334" s="10" t="s">
        <v>985</v>
      </c>
      <c r="D334" s="16" t="s">
        <v>1521</v>
      </c>
      <c r="E334" s="15" t="s">
        <v>11215</v>
      </c>
      <c r="F334" s="16" t="str">
        <f>VLOOKUP(Table8[[#This Row],[Mã khách hàng]],code_khach_hang[],2,0)</f>
        <v>CHI NHÁNH HÀ NỘI - CÔNG TY CỔ PHẦN DỊCH VỤ THƯƠNG MẠI TỔNG HỢP WINCOMMERCE</v>
      </c>
      <c r="G334" s="16"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c r="A335" s="14" t="s">
        <v>990</v>
      </c>
      <c r="B335" s="15" t="s">
        <v>5</v>
      </c>
      <c r="C335" s="10" t="s">
        <v>991</v>
      </c>
      <c r="D335" s="16" t="s">
        <v>1524</v>
      </c>
      <c r="E335" s="15" t="s">
        <v>11215</v>
      </c>
      <c r="F335" s="16" t="str">
        <f>VLOOKUP(Table8[[#This Row],[Mã khách hàng]],code_khach_hang[],2,0)</f>
        <v>CHI NHÁNH HÀ NỘI - CÔNG TY CỔ PHẦN DỊCH VỤ THƯƠNG MẠI TỔNG HỢP WINCOMMERCE</v>
      </c>
      <c r="G335" s="16"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c r="A336" s="14" t="s">
        <v>1023</v>
      </c>
      <c r="B336" s="15" t="s">
        <v>5</v>
      </c>
      <c r="C336" s="10" t="s">
        <v>1024</v>
      </c>
      <c r="D336" s="16" t="s">
        <v>1527</v>
      </c>
      <c r="E336" s="15" t="s">
        <v>11215</v>
      </c>
      <c r="F336" s="16" t="str">
        <f>VLOOKUP(Table8[[#This Row],[Mã khách hàng]],code_khach_hang[],2,0)</f>
        <v>CHI NHÁNH HÀ NỘI - CÔNG TY CỔ PHẦN DỊCH VỤ THƯƠNG MẠI TỔNG HỢP WINCOMMERCE</v>
      </c>
      <c r="G336" s="16"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c r="A337" s="14" t="s">
        <v>1050</v>
      </c>
      <c r="B337" s="15" t="s">
        <v>5</v>
      </c>
      <c r="C337" s="10" t="s">
        <v>1051</v>
      </c>
      <c r="D337" s="16" t="s">
        <v>1530</v>
      </c>
      <c r="E337" s="15" t="s">
        <v>11215</v>
      </c>
      <c r="F337" s="16" t="str">
        <f>VLOOKUP(Table8[[#This Row],[Mã khách hàng]],code_khach_hang[],2,0)</f>
        <v>CHI NHÁNH HÀ NỘI - CÔNG TY CỔ PHẦN DỊCH VỤ THƯƠNG MẠI TỔNG HỢP WINCOMMERCE</v>
      </c>
      <c r="G337" s="16"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c r="A338" s="14" t="s">
        <v>1062</v>
      </c>
      <c r="B338" s="15" t="s">
        <v>5</v>
      </c>
      <c r="C338" s="10" t="s">
        <v>1063</v>
      </c>
      <c r="D338" s="16" t="s">
        <v>1533</v>
      </c>
      <c r="E338" s="15" t="s">
        <v>11215</v>
      </c>
      <c r="F338" s="16" t="str">
        <f>VLOOKUP(Table8[[#This Row],[Mã khách hàng]],code_khach_hang[],2,0)</f>
        <v>CHI NHÁNH HÀ NỘI - CÔNG TY CỔ PHẦN DỊCH VỤ THƯƠNG MẠI TỔNG HỢP WINCOMMERCE</v>
      </c>
      <c r="G338" s="16"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c r="A339" s="14" t="s">
        <v>1101</v>
      </c>
      <c r="B339" s="15" t="s">
        <v>5</v>
      </c>
      <c r="C339" s="10" t="s">
        <v>1102</v>
      </c>
      <c r="D339" s="16" t="s">
        <v>1536</v>
      </c>
      <c r="E339" s="15" t="s">
        <v>11215</v>
      </c>
      <c r="F339" s="16" t="str">
        <f>VLOOKUP(Table8[[#This Row],[Mã khách hàng]],code_khach_hang[],2,0)</f>
        <v>CHI NHÁNH HÀ NỘI - CÔNG TY CỔ PHẦN DỊCH VỤ THƯƠNG MẠI TỔNG HỢP WINCOMMERCE</v>
      </c>
      <c r="G339" s="16"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c r="A340" s="14" t="s">
        <v>11098</v>
      </c>
      <c r="B340" s="15" t="s">
        <v>5</v>
      </c>
      <c r="C340" s="10" t="s">
        <v>13147</v>
      </c>
      <c r="D340" s="16" t="s">
        <v>1539</v>
      </c>
      <c r="E340" s="15" t="s">
        <v>11215</v>
      </c>
      <c r="F340" s="16" t="str">
        <f>VLOOKUP(Table8[[#This Row],[Mã khách hàng]],code_khach_hang[],2,0)</f>
        <v>CHI NHÁNH HÀ NỘI - CÔNG TY CỔ PHẦN DỊCH VỤ THƯƠNG MẠI TỔNG HỢP WINCOMMERCE</v>
      </c>
      <c r="G340" s="16"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c r="A341" s="14" t="s">
        <v>1146</v>
      </c>
      <c r="B341" s="15" t="s">
        <v>5</v>
      </c>
      <c r="C341" s="10" t="s">
        <v>1147</v>
      </c>
      <c r="D341" s="16" t="s">
        <v>1542</v>
      </c>
      <c r="E341" s="15" t="s">
        <v>11215</v>
      </c>
      <c r="F341" s="16" t="str">
        <f>VLOOKUP(Table8[[#This Row],[Mã khách hàng]],code_khach_hang[],2,0)</f>
        <v>CHI NHÁNH HÀ NỘI - CÔNG TY CỔ PHẦN DỊCH VỤ THƯƠNG MẠI TỔNG HỢP WINCOMMERCE</v>
      </c>
      <c r="G341" s="16"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c r="A342" s="14" t="s">
        <v>1155</v>
      </c>
      <c r="B342" s="15" t="s">
        <v>5</v>
      </c>
      <c r="C342" s="10" t="s">
        <v>1156</v>
      </c>
      <c r="D342" s="16" t="s">
        <v>1545</v>
      </c>
      <c r="E342" s="15" t="s">
        <v>11215</v>
      </c>
      <c r="F342" s="16" t="str">
        <f>VLOOKUP(Table8[[#This Row],[Mã khách hàng]],code_khach_hang[],2,0)</f>
        <v>CHI NHÁNH HÀ NỘI - CÔNG TY CỔ PHẦN DỊCH VỤ THƯƠNG MẠI TỔNG HỢP WINCOMMERCE</v>
      </c>
      <c r="G342" s="16"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c r="A343" s="14" t="s">
        <v>1203</v>
      </c>
      <c r="B343" s="15" t="s">
        <v>5</v>
      </c>
      <c r="C343" s="10" t="s">
        <v>1204</v>
      </c>
      <c r="D343" s="16" t="s">
        <v>1548</v>
      </c>
      <c r="E343" s="15" t="s">
        <v>11215</v>
      </c>
      <c r="F343" s="16" t="str">
        <f>VLOOKUP(Table8[[#This Row],[Mã khách hàng]],code_khach_hang[],2,0)</f>
        <v>CHI NHÁNH HÀ NỘI - CÔNG TY CỔ PHẦN DỊCH VỤ THƯƠNG MẠI TỔNG HỢP WINCOMMERCE</v>
      </c>
      <c r="G343" s="16"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c r="A344" s="14" t="s">
        <v>1233</v>
      </c>
      <c r="B344" s="15" t="s">
        <v>5</v>
      </c>
      <c r="C344" s="10" t="s">
        <v>1234</v>
      </c>
      <c r="D344" s="16" t="s">
        <v>1551</v>
      </c>
      <c r="E344" s="15" t="s">
        <v>11215</v>
      </c>
      <c r="F344" s="16" t="str">
        <f>VLOOKUP(Table8[[#This Row],[Mã khách hàng]],code_khach_hang[],2,0)</f>
        <v>CHI NHÁNH HÀ NỘI - CÔNG TY CỔ PHẦN DỊCH VỤ THƯƠNG MẠI TỔNG HỢP WINCOMMERCE</v>
      </c>
      <c r="G344" s="16"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c r="A345" s="14" t="s">
        <v>1239</v>
      </c>
      <c r="B345" s="15" t="s">
        <v>5</v>
      </c>
      <c r="C345" s="10" t="s">
        <v>1240</v>
      </c>
      <c r="D345" s="16" t="s">
        <v>1554</v>
      </c>
      <c r="E345" s="15" t="s">
        <v>11215</v>
      </c>
      <c r="F345" s="16" t="str">
        <f>VLOOKUP(Table8[[#This Row],[Mã khách hàng]],code_khach_hang[],2,0)</f>
        <v>CHI NHÁNH HÀ NỘI - CÔNG TY CỔ PHẦN DỊCH VỤ THƯƠNG MẠI TỔNG HỢP WINCOMMERCE</v>
      </c>
      <c r="G345" s="16"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c r="A346" s="14" t="s">
        <v>1242</v>
      </c>
      <c r="B346" s="15" t="s">
        <v>5</v>
      </c>
      <c r="C346" s="10" t="s">
        <v>1243</v>
      </c>
      <c r="D346" s="16" t="s">
        <v>1556</v>
      </c>
      <c r="E346" s="15" t="s">
        <v>11215</v>
      </c>
      <c r="F346" s="16" t="str">
        <f>VLOOKUP(Table8[[#This Row],[Mã khách hàng]],code_khach_hang[],2,0)</f>
        <v>CHI NHÁNH HÀ NỘI - CÔNG TY CỔ PHẦN DỊCH VỤ THƯƠNG MẠI TỔNG HỢP WINCOMMERCE</v>
      </c>
      <c r="G346" s="16"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c r="A347" s="14" t="s">
        <v>1248</v>
      </c>
      <c r="B347" s="15" t="s">
        <v>5</v>
      </c>
      <c r="C347" s="10" t="s">
        <v>1249</v>
      </c>
      <c r="D347" s="16" t="s">
        <v>1559</v>
      </c>
      <c r="E347" s="15" t="s">
        <v>11215</v>
      </c>
      <c r="F347" s="16" t="str">
        <f>VLOOKUP(Table8[[#This Row],[Mã khách hàng]],code_khach_hang[],2,0)</f>
        <v>CHI NHÁNH HÀ NỘI - CÔNG TY CỔ PHẦN DỊCH VỤ THƯƠNG MẠI TỔNG HỢP WINCOMMERCE</v>
      </c>
      <c r="G347" s="16"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c r="A348" s="14" t="s">
        <v>1260</v>
      </c>
      <c r="B348" s="15" t="s">
        <v>5</v>
      </c>
      <c r="C348" s="10" t="s">
        <v>1261</v>
      </c>
      <c r="D348" s="16" t="s">
        <v>1563</v>
      </c>
      <c r="E348" s="15" t="s">
        <v>11215</v>
      </c>
      <c r="F348" s="16" t="str">
        <f>VLOOKUP(Table8[[#This Row],[Mã khách hàng]],code_khach_hang[],2,0)</f>
        <v>CHI NHÁNH HÀ NỘI - CÔNG TY CỔ PHẦN DỊCH VỤ THƯƠNG MẠI TỔNG HỢP WINCOMMERCE</v>
      </c>
      <c r="G348" s="16"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c r="A349" s="14" t="s">
        <v>1296</v>
      </c>
      <c r="B349" s="15" t="s">
        <v>5</v>
      </c>
      <c r="C349" s="10" t="s">
        <v>1297</v>
      </c>
      <c r="D349" s="16" t="s">
        <v>1566</v>
      </c>
      <c r="E349" s="15" t="s">
        <v>11215</v>
      </c>
      <c r="F349" s="16" t="str">
        <f>VLOOKUP(Table8[[#This Row],[Mã khách hàng]],code_khach_hang[],2,0)</f>
        <v>CHI NHÁNH HÀ NỘI - CÔNG TY CỔ PHẦN DỊCH VỤ THƯƠNG MẠI TỔNG HỢP WINCOMMERCE</v>
      </c>
      <c r="G349" s="16"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c r="A350" s="14" t="s">
        <v>1299</v>
      </c>
      <c r="B350" s="15" t="s">
        <v>5</v>
      </c>
      <c r="C350" s="10" t="s">
        <v>1300</v>
      </c>
      <c r="D350" s="16" t="s">
        <v>1569</v>
      </c>
      <c r="E350" s="15" t="s">
        <v>11215</v>
      </c>
      <c r="F350" s="16" t="str">
        <f>VLOOKUP(Table8[[#This Row],[Mã khách hàng]],code_khach_hang[],2,0)</f>
        <v>CHI NHÁNH HÀ NỘI - CÔNG TY CỔ PHẦN DỊCH VỤ THƯƠNG MẠI TỔNG HỢP WINCOMMERCE</v>
      </c>
      <c r="G350" s="16"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c r="A351" s="14" t="s">
        <v>1349</v>
      </c>
      <c r="B351" s="15" t="s">
        <v>5</v>
      </c>
      <c r="C351" s="10" t="s">
        <v>1350</v>
      </c>
      <c r="D351" s="16" t="s">
        <v>1572</v>
      </c>
      <c r="E351" s="15" t="s">
        <v>11215</v>
      </c>
      <c r="F351" s="16" t="str">
        <f>VLOOKUP(Table8[[#This Row],[Mã khách hàng]],code_khach_hang[],2,0)</f>
        <v>CHI NHÁNH HÀ NỘI - CÔNG TY CỔ PHẦN DỊCH VỤ THƯƠNG MẠI TỔNG HỢP WINCOMMERCE</v>
      </c>
      <c r="G351" s="16"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c r="A352" s="14" t="s">
        <v>4137</v>
      </c>
      <c r="B352" s="15" t="s">
        <v>5</v>
      </c>
      <c r="C352" s="10" t="s">
        <v>4138</v>
      </c>
      <c r="D352" s="16" t="s">
        <v>1575</v>
      </c>
      <c r="E352" s="15" t="s">
        <v>11215</v>
      </c>
      <c r="F352" s="16" t="str">
        <f>VLOOKUP(Table8[[#This Row],[Mã khách hàng]],code_khach_hang[],2,0)</f>
        <v>CHI NHÁNH HÀ NỘI - CÔNG TY CỔ PHẦN DỊCH VỤ THƯƠNG MẠI TỔNG HỢP WINCOMMERCE</v>
      </c>
      <c r="G352" s="16"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c r="A353" s="14" t="s">
        <v>4236</v>
      </c>
      <c r="B353" s="15" t="s">
        <v>5</v>
      </c>
      <c r="C353" s="10" t="s">
        <v>4237</v>
      </c>
      <c r="D353" s="16" t="s">
        <v>1578</v>
      </c>
      <c r="E353" s="15" t="s">
        <v>11215</v>
      </c>
      <c r="F353" s="16" t="str">
        <f>VLOOKUP(Table8[[#This Row],[Mã khách hàng]],code_khach_hang[],2,0)</f>
        <v>CHI NHÁNH HÀ NỘI - CÔNG TY CỔ PHẦN DỊCH VỤ THƯƠNG MẠI TỔNG HỢP WINCOMMERCE</v>
      </c>
      <c r="G353" s="16"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c r="A354" s="14" t="s">
        <v>4281</v>
      </c>
      <c r="B354" s="15" t="s">
        <v>5</v>
      </c>
      <c r="C354" s="10" t="s">
        <v>4282</v>
      </c>
      <c r="D354" s="16" t="s">
        <v>1581</v>
      </c>
      <c r="E354" s="15" t="s">
        <v>11215</v>
      </c>
      <c r="F354" s="16" t="str">
        <f>VLOOKUP(Table8[[#This Row],[Mã khách hàng]],code_khach_hang[],2,0)</f>
        <v>CHI NHÁNH HÀ NỘI - CÔNG TY CỔ PHẦN DỊCH VỤ THƯƠNG MẠI TỔNG HỢP WINCOMMERCE</v>
      </c>
      <c r="G354" s="16"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c r="A355" s="14" t="s">
        <v>4302</v>
      </c>
      <c r="B355" s="15" t="s">
        <v>5</v>
      </c>
      <c r="C355" s="10" t="s">
        <v>4303</v>
      </c>
      <c r="D355" s="16" t="s">
        <v>1584</v>
      </c>
      <c r="E355" s="15" t="s">
        <v>11215</v>
      </c>
      <c r="F355" s="16" t="str">
        <f>VLOOKUP(Table8[[#This Row],[Mã khách hàng]],code_khach_hang[],2,0)</f>
        <v>CHI NHÁNH HÀ NỘI - CÔNG TY CỔ PHẦN DỊCH VỤ THƯƠNG MẠI TỔNG HỢP WINCOMMERCE</v>
      </c>
      <c r="G355" s="16"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c r="A356" s="14" t="s">
        <v>4455</v>
      </c>
      <c r="B356" s="15" t="s">
        <v>5</v>
      </c>
      <c r="C356" s="10" t="s">
        <v>4456</v>
      </c>
      <c r="D356" s="16" t="s">
        <v>1587</v>
      </c>
      <c r="E356" s="15" t="s">
        <v>11215</v>
      </c>
      <c r="F356" s="16" t="str">
        <f>VLOOKUP(Table8[[#This Row],[Mã khách hàng]],code_khach_hang[],2,0)</f>
        <v>CHI NHÁNH HÀ NỘI - CÔNG TY CỔ PHẦN DỊCH VỤ THƯƠNG MẠI TỔNG HỢP WINCOMMERCE</v>
      </c>
      <c r="G356" s="16"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c r="A357" s="14" t="s">
        <v>4557</v>
      </c>
      <c r="B357" s="15" t="s">
        <v>5</v>
      </c>
      <c r="C357" s="10" t="s">
        <v>4558</v>
      </c>
      <c r="D357" s="16" t="s">
        <v>1590</v>
      </c>
      <c r="E357" s="15" t="s">
        <v>11215</v>
      </c>
      <c r="F357" s="16" t="str">
        <f>VLOOKUP(Table8[[#This Row],[Mã khách hàng]],code_khach_hang[],2,0)</f>
        <v>CHI NHÁNH HÀ NỘI - CÔNG TY CỔ PHẦN DỊCH VỤ THƯƠNG MẠI TỔNG HỢP WINCOMMERCE</v>
      </c>
      <c r="G357" s="16"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c r="A358" s="14" t="s">
        <v>4587</v>
      </c>
      <c r="B358" s="15" t="s">
        <v>5</v>
      </c>
      <c r="C358" s="10" t="s">
        <v>4588</v>
      </c>
      <c r="D358" s="16" t="s">
        <v>1593</v>
      </c>
      <c r="E358" s="15" t="s">
        <v>11215</v>
      </c>
      <c r="F358" s="16" t="str">
        <f>VLOOKUP(Table8[[#This Row],[Mã khách hàng]],code_khach_hang[],2,0)</f>
        <v>CHI NHÁNH HÀ NỘI - CÔNG TY CỔ PHẦN DỊCH VỤ THƯƠNG MẠI TỔNG HỢP WINCOMMERCE</v>
      </c>
      <c r="G358" s="16"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c r="A359" s="14" t="s">
        <v>4605</v>
      </c>
      <c r="B359" s="15" t="s">
        <v>5</v>
      </c>
      <c r="C359" s="10" t="s">
        <v>4606</v>
      </c>
      <c r="D359" s="16" t="s">
        <v>1596</v>
      </c>
      <c r="E359" s="15" t="s">
        <v>11215</v>
      </c>
      <c r="F359" s="16" t="str">
        <f>VLOOKUP(Table8[[#This Row],[Mã khách hàng]],code_khach_hang[],2,0)</f>
        <v>CHI NHÁNH HÀ NỘI - CÔNG TY CỔ PHẦN DỊCH VỤ THƯƠNG MẠI TỔNG HỢP WINCOMMERCE</v>
      </c>
      <c r="G359" s="16"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c r="A360" s="14" t="s">
        <v>4698</v>
      </c>
      <c r="B360" s="15" t="s">
        <v>5</v>
      </c>
      <c r="C360" s="10" t="s">
        <v>4699</v>
      </c>
      <c r="D360" s="16" t="s">
        <v>1599</v>
      </c>
      <c r="E360" s="15" t="s">
        <v>11215</v>
      </c>
      <c r="F360" s="16" t="str">
        <f>VLOOKUP(Table8[[#This Row],[Mã khách hàng]],code_khach_hang[],2,0)</f>
        <v>CHI NHÁNH HÀ NỘI - CÔNG TY CỔ PHẦN DỊCH VỤ THƯƠNG MẠI TỔNG HỢP WINCOMMERCE</v>
      </c>
      <c r="G360" s="16"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c r="A361" s="14" t="s">
        <v>4701</v>
      </c>
      <c r="B361" s="15" t="s">
        <v>5</v>
      </c>
      <c r="C361" s="10" t="s">
        <v>4702</v>
      </c>
      <c r="D361" s="16" t="s">
        <v>1602</v>
      </c>
      <c r="E361" s="15" t="s">
        <v>11215</v>
      </c>
      <c r="F361" s="16" t="str">
        <f>VLOOKUP(Table8[[#This Row],[Mã khách hàng]],code_khach_hang[],2,0)</f>
        <v>CHI NHÁNH HÀ NỘI - CÔNG TY CỔ PHẦN DỊCH VỤ THƯƠNG MẠI TỔNG HỢP WINCOMMERCE</v>
      </c>
      <c r="G361" s="16"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c r="A362" s="14" t="s">
        <v>4725</v>
      </c>
      <c r="B362" s="15" t="s">
        <v>5</v>
      </c>
      <c r="C362" s="10" t="s">
        <v>4726</v>
      </c>
      <c r="D362" s="16" t="s">
        <v>1606</v>
      </c>
      <c r="E362" s="15" t="s">
        <v>11215</v>
      </c>
      <c r="F362" s="16" t="str">
        <f>VLOOKUP(Table8[[#This Row],[Mã khách hàng]],code_khach_hang[],2,0)</f>
        <v>CHI NHÁNH HÀ NỘI - CÔNG TY CỔ PHẦN DỊCH VỤ THƯƠNG MẠI TỔNG HỢP WINCOMMERCE</v>
      </c>
      <c r="G362" s="16"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c r="A363" s="14" t="s">
        <v>4875</v>
      </c>
      <c r="B363" s="15" t="s">
        <v>5</v>
      </c>
      <c r="C363" s="10" t="s">
        <v>4876</v>
      </c>
      <c r="D363" s="16" t="s">
        <v>1609</v>
      </c>
      <c r="E363" s="15" t="s">
        <v>11215</v>
      </c>
      <c r="F363" s="16" t="str">
        <f>VLOOKUP(Table8[[#This Row],[Mã khách hàng]],code_khach_hang[],2,0)</f>
        <v>CHI NHÁNH HÀ NỘI - CÔNG TY CỔ PHẦN DỊCH VỤ THƯƠNG MẠI TỔNG HỢP WINCOMMERCE</v>
      </c>
      <c r="G363" s="16"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c r="A364" s="14" t="s">
        <v>4896</v>
      </c>
      <c r="B364" s="15" t="s">
        <v>5</v>
      </c>
      <c r="C364" s="10" t="s">
        <v>4897</v>
      </c>
      <c r="D364" s="16" t="s">
        <v>1612</v>
      </c>
      <c r="E364" s="15" t="s">
        <v>11215</v>
      </c>
      <c r="F364" s="16" t="str">
        <f>VLOOKUP(Table8[[#This Row],[Mã khách hàng]],code_khach_hang[],2,0)</f>
        <v>CHI NHÁNH HÀ NỘI - CÔNG TY CỔ PHẦN DỊCH VỤ THƯƠNG MẠI TỔNG HỢP WINCOMMERCE</v>
      </c>
      <c r="G364" s="16"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c r="A365" s="14" t="s">
        <v>4905</v>
      </c>
      <c r="B365" s="15" t="s">
        <v>5</v>
      </c>
      <c r="C365" s="10" t="s">
        <v>4906</v>
      </c>
      <c r="D365" s="16" t="s">
        <v>1614</v>
      </c>
      <c r="E365" s="15" t="s">
        <v>11215</v>
      </c>
      <c r="F365" s="16" t="str">
        <f>VLOOKUP(Table8[[#This Row],[Mã khách hàng]],code_khach_hang[],2,0)</f>
        <v>CHI NHÁNH HÀ NỘI - CÔNG TY CỔ PHẦN DỊCH VỤ THƯƠNG MẠI TỔNG HỢP WINCOMMERCE</v>
      </c>
      <c r="G365" s="16"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c r="A366" s="14" t="s">
        <v>4908</v>
      </c>
      <c r="B366" s="15" t="s">
        <v>5</v>
      </c>
      <c r="C366" s="10" t="s">
        <v>4909</v>
      </c>
      <c r="D366" s="16" t="s">
        <v>1617</v>
      </c>
      <c r="E366" s="15" t="s">
        <v>11215</v>
      </c>
      <c r="F366" s="16" t="str">
        <f>VLOOKUP(Table8[[#This Row],[Mã khách hàng]],code_khach_hang[],2,0)</f>
        <v>CHI NHÁNH HÀ NỘI - CÔNG TY CỔ PHẦN DỊCH VỤ THƯƠNG MẠI TỔNG HỢP WINCOMMERCE</v>
      </c>
      <c r="G366" s="16"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c r="A367" s="14" t="s">
        <v>4938</v>
      </c>
      <c r="B367" s="15" t="s">
        <v>5</v>
      </c>
      <c r="C367" s="10" t="s">
        <v>4939</v>
      </c>
      <c r="D367" s="16" t="s">
        <v>1620</v>
      </c>
      <c r="E367" s="15" t="s">
        <v>11215</v>
      </c>
      <c r="F367" s="16" t="str">
        <f>VLOOKUP(Table8[[#This Row],[Mã khách hàng]],code_khach_hang[],2,0)</f>
        <v>CHI NHÁNH HÀ NỘI - CÔNG TY CỔ PHẦN DỊCH VỤ THƯƠNG MẠI TỔNG HỢP WINCOMMERCE</v>
      </c>
      <c r="G367" s="16"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c r="A368" s="14" t="s">
        <v>5082</v>
      </c>
      <c r="B368" s="15" t="s">
        <v>5</v>
      </c>
      <c r="C368" s="10" t="s">
        <v>5083</v>
      </c>
      <c r="D368" s="16" t="s">
        <v>1623</v>
      </c>
      <c r="E368" s="15" t="s">
        <v>11215</v>
      </c>
      <c r="F368" s="16" t="str">
        <f>VLOOKUP(Table8[[#This Row],[Mã khách hàng]],code_khach_hang[],2,0)</f>
        <v>CHI NHÁNH HÀ NỘI - CÔNG TY CỔ PHẦN DỊCH VỤ THƯƠNG MẠI TỔNG HỢP WINCOMMERCE</v>
      </c>
      <c r="G368" s="16"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c r="A369" s="14" t="s">
        <v>5301</v>
      </c>
      <c r="B369" s="15" t="s">
        <v>5</v>
      </c>
      <c r="C369" s="10" t="s">
        <v>5302</v>
      </c>
      <c r="D369" s="16" t="s">
        <v>1626</v>
      </c>
      <c r="E369" s="15" t="s">
        <v>11215</v>
      </c>
      <c r="F369" s="16" t="str">
        <f>VLOOKUP(Table8[[#This Row],[Mã khách hàng]],code_khach_hang[],2,0)</f>
        <v>CHI NHÁNH HÀ NỘI - CÔNG TY CỔ PHẦN DỊCH VỤ THƯƠNG MẠI TỔNG HỢP WINCOMMERCE</v>
      </c>
      <c r="G369" s="16"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c r="A370" s="14" t="s">
        <v>5328</v>
      </c>
      <c r="B370" s="15" t="s">
        <v>5</v>
      </c>
      <c r="C370" s="10" t="s">
        <v>5329</v>
      </c>
      <c r="D370" s="16" t="s">
        <v>1629</v>
      </c>
      <c r="E370" s="15" t="s">
        <v>11215</v>
      </c>
      <c r="F370" s="16" t="str">
        <f>VLOOKUP(Table8[[#This Row],[Mã khách hàng]],code_khach_hang[],2,0)</f>
        <v>CHI NHÁNH HÀ NỘI - CÔNG TY CỔ PHẦN DỊCH VỤ THƯƠNG MẠI TỔNG HỢP WINCOMMERCE</v>
      </c>
      <c r="G370" s="16"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c r="A371" s="14" t="s">
        <v>5352</v>
      </c>
      <c r="B371" s="15" t="s">
        <v>5</v>
      </c>
      <c r="C371" s="10" t="s">
        <v>5353</v>
      </c>
      <c r="D371" s="16" t="s">
        <v>1632</v>
      </c>
      <c r="E371" s="15" t="s">
        <v>11215</v>
      </c>
      <c r="F371" s="16" t="str">
        <f>VLOOKUP(Table8[[#This Row],[Mã khách hàng]],code_khach_hang[],2,0)</f>
        <v>CHI NHÁNH HÀ NỘI - CÔNG TY CỔ PHẦN DỊCH VỤ THƯƠNG MẠI TỔNG HỢP WINCOMMERCE</v>
      </c>
      <c r="G371" s="16"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c r="A372" s="14" t="s">
        <v>5403</v>
      </c>
      <c r="B372" s="15" t="s">
        <v>5</v>
      </c>
      <c r="C372" s="10" t="s">
        <v>5404</v>
      </c>
      <c r="D372" s="16" t="s">
        <v>1634</v>
      </c>
      <c r="E372" s="15" t="s">
        <v>11215</v>
      </c>
      <c r="F372" s="16" t="str">
        <f>VLOOKUP(Table8[[#This Row],[Mã khách hàng]],code_khach_hang[],2,0)</f>
        <v>CHI NHÁNH HÀ NỘI - CÔNG TY CỔ PHẦN DỊCH VỤ THƯƠNG MẠI TỔNG HỢP WINCOMMERCE</v>
      </c>
      <c r="G372" s="16"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c r="A373" s="14" t="s">
        <v>5493</v>
      </c>
      <c r="B373" s="15" t="s">
        <v>5</v>
      </c>
      <c r="C373" s="10" t="s">
        <v>5494</v>
      </c>
      <c r="D373" s="16" t="s">
        <v>1637</v>
      </c>
      <c r="E373" s="15" t="s">
        <v>11215</v>
      </c>
      <c r="F373" s="16" t="str">
        <f>VLOOKUP(Table8[[#This Row],[Mã khách hàng]],code_khach_hang[],2,0)</f>
        <v>CHI NHÁNH HÀ NỘI - CÔNG TY CỔ PHẦN DỊCH VỤ THƯƠNG MẠI TỔNG HỢP WINCOMMERCE</v>
      </c>
      <c r="G373" s="16"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c r="A374" s="14" t="s">
        <v>5529</v>
      </c>
      <c r="B374" s="15" t="s">
        <v>5</v>
      </c>
      <c r="C374" s="10" t="s">
        <v>5530</v>
      </c>
      <c r="D374" s="16" t="s">
        <v>1640</v>
      </c>
      <c r="E374" s="15" t="s">
        <v>11215</v>
      </c>
      <c r="F374" s="16" t="str">
        <f>VLOOKUP(Table8[[#This Row],[Mã khách hàng]],code_khach_hang[],2,0)</f>
        <v>CHI NHÁNH HÀ NỘI - CÔNG TY CỔ PHẦN DỊCH VỤ THƯƠNG MẠI TỔNG HỢP WINCOMMERCE</v>
      </c>
      <c r="G374" s="16"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c r="A375" s="14" t="s">
        <v>5541</v>
      </c>
      <c r="B375" s="15" t="s">
        <v>5</v>
      </c>
      <c r="C375" s="10" t="s">
        <v>5542</v>
      </c>
      <c r="D375" s="16" t="s">
        <v>1644</v>
      </c>
      <c r="E375" s="15" t="s">
        <v>11215</v>
      </c>
      <c r="F375" s="16" t="str">
        <f>VLOOKUP(Table8[[#This Row],[Mã khách hàng]],code_khach_hang[],2,0)</f>
        <v>CHI NHÁNH HÀ NỘI - CÔNG TY CỔ PHẦN DỊCH VỤ THƯƠNG MẠI TỔNG HỢP WINCOMMERCE</v>
      </c>
      <c r="G375" s="16"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c r="A376" s="14" t="s">
        <v>5621</v>
      </c>
      <c r="B376" s="15" t="s">
        <v>5</v>
      </c>
      <c r="C376" s="10" t="s">
        <v>5622</v>
      </c>
      <c r="D376" s="16" t="s">
        <v>1647</v>
      </c>
      <c r="E376" s="15" t="s">
        <v>11215</v>
      </c>
      <c r="F376" s="16" t="str">
        <f>VLOOKUP(Table8[[#This Row],[Mã khách hàng]],code_khach_hang[],2,0)</f>
        <v>CHI NHÁNH HÀ NỘI - CÔNG TY CỔ PHẦN DỊCH VỤ THƯƠNG MẠI TỔNG HỢP WINCOMMERCE</v>
      </c>
      <c r="G376" s="16"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c r="A377" s="14" t="s">
        <v>5839</v>
      </c>
      <c r="B377" s="15" t="s">
        <v>5</v>
      </c>
      <c r="C377" s="10" t="s">
        <v>5840</v>
      </c>
      <c r="D377" s="16" t="s">
        <v>1651</v>
      </c>
      <c r="E377" s="15" t="s">
        <v>11215</v>
      </c>
      <c r="F377" s="16" t="str">
        <f>VLOOKUP(Table8[[#This Row],[Mã khách hàng]],code_khach_hang[],2,0)</f>
        <v>CHI NHÁNH HÀ NỘI - CÔNG TY CỔ PHẦN DỊCH VỤ THƯƠNG MẠI TỔNG HỢP WINCOMMERCE</v>
      </c>
      <c r="G377" s="16"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c r="A378" s="14" t="s">
        <v>5953</v>
      </c>
      <c r="B378" s="15" t="s">
        <v>5</v>
      </c>
      <c r="C378" s="10" t="s">
        <v>5954</v>
      </c>
      <c r="D378" s="16" t="s">
        <v>1654</v>
      </c>
      <c r="E378" s="15" t="s">
        <v>11215</v>
      </c>
      <c r="F378" s="16" t="str">
        <f>VLOOKUP(Table8[[#This Row],[Mã khách hàng]],code_khach_hang[],2,0)</f>
        <v>CHI NHÁNH HÀ NỘI - CÔNG TY CỔ PHẦN DỊCH VỤ THƯƠNG MẠI TỔNG HỢP WINCOMMERCE</v>
      </c>
      <c r="G378" s="16"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c r="A379" s="14" t="s">
        <v>6004</v>
      </c>
      <c r="B379" s="15" t="s">
        <v>5</v>
      </c>
      <c r="C379" s="10" t="s">
        <v>6005</v>
      </c>
      <c r="D379" s="16" t="s">
        <v>1658</v>
      </c>
      <c r="E379" s="15" t="s">
        <v>11215</v>
      </c>
      <c r="F379" s="16" t="str">
        <f>VLOOKUP(Table8[[#This Row],[Mã khách hàng]],code_khach_hang[],2,0)</f>
        <v>CHI NHÁNH HÀ NỘI - CÔNG TY CỔ PHẦN DỊCH VỤ THƯƠNG MẠI TỔNG HỢP WINCOMMERCE</v>
      </c>
      <c r="G379" s="16"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c r="A380" s="14" t="s">
        <v>6509</v>
      </c>
      <c r="B380" s="15" t="s">
        <v>5</v>
      </c>
      <c r="C380" s="10" t="s">
        <v>6510</v>
      </c>
      <c r="D380" s="16" t="s">
        <v>1661</v>
      </c>
      <c r="E380" s="15" t="s">
        <v>11215</v>
      </c>
      <c r="F380" s="16" t="str">
        <f>VLOOKUP(Table8[[#This Row],[Mã khách hàng]],code_khach_hang[],2,0)</f>
        <v>CHI NHÁNH HÀ NỘI - CÔNG TY CỔ PHẦN DỊCH VỤ THƯƠNG MẠI TỔNG HỢP WINCOMMERCE</v>
      </c>
      <c r="G380" s="16"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c r="A381" s="14" t="s">
        <v>6533</v>
      </c>
      <c r="B381" s="15" t="s">
        <v>5</v>
      </c>
      <c r="C381" s="10" t="s">
        <v>6534</v>
      </c>
      <c r="D381" s="16" t="s">
        <v>1664</v>
      </c>
      <c r="E381" s="15" t="s">
        <v>11215</v>
      </c>
      <c r="F381" s="16" t="str">
        <f>VLOOKUP(Table8[[#This Row],[Mã khách hàng]],code_khach_hang[],2,0)</f>
        <v>CHI NHÁNH HÀ NỘI - CÔNG TY CỔ PHẦN DỊCH VỤ THƯƠNG MẠI TỔNG HỢP WINCOMMERCE</v>
      </c>
      <c r="G381" s="16"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c r="A382" s="14" t="s">
        <v>6650</v>
      </c>
      <c r="B382" s="15" t="s">
        <v>5</v>
      </c>
      <c r="C382" s="10" t="s">
        <v>6651</v>
      </c>
      <c r="D382" s="16" t="s">
        <v>1667</v>
      </c>
      <c r="E382" s="15" t="s">
        <v>11215</v>
      </c>
      <c r="F382" s="16" t="str">
        <f>VLOOKUP(Table8[[#This Row],[Mã khách hàng]],code_khach_hang[],2,0)</f>
        <v>CHI NHÁNH HÀ NỘI - CÔNG TY CỔ PHẦN DỊCH VỤ THƯƠNG MẠI TỔNG HỢP WINCOMMERCE</v>
      </c>
      <c r="G382" s="16"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c r="A383" s="14" t="s">
        <v>6671</v>
      </c>
      <c r="B383" s="15" t="s">
        <v>5</v>
      </c>
      <c r="C383" s="10" t="s">
        <v>6672</v>
      </c>
      <c r="D383" s="16" t="s">
        <v>1670</v>
      </c>
      <c r="E383" s="15" t="s">
        <v>11215</v>
      </c>
      <c r="F383" s="16" t="str">
        <f>VLOOKUP(Table8[[#This Row],[Mã khách hàng]],code_khach_hang[],2,0)</f>
        <v>CHI NHÁNH HÀ NỘI - CÔNG TY CỔ PHẦN DỊCH VỤ THƯƠNG MẠI TỔNG HỢP WINCOMMERCE</v>
      </c>
      <c r="G383" s="16"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c r="A384" s="14" t="s">
        <v>7013</v>
      </c>
      <c r="B384" s="15" t="s">
        <v>5</v>
      </c>
      <c r="C384" s="10" t="s">
        <v>7014</v>
      </c>
      <c r="D384" s="16" t="s">
        <v>1673</v>
      </c>
      <c r="E384" s="15" t="s">
        <v>11215</v>
      </c>
      <c r="F384" s="16" t="str">
        <f>VLOOKUP(Table8[[#This Row],[Mã khách hàng]],code_khach_hang[],2,0)</f>
        <v>CHI NHÁNH HÀ NỘI - CÔNG TY CỔ PHẦN DỊCH VỤ THƯƠNG MẠI TỔNG HỢP WINCOMMERCE</v>
      </c>
      <c r="G384" s="16"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c r="A385" s="14" t="s">
        <v>7053</v>
      </c>
      <c r="B385" s="15" t="s">
        <v>5</v>
      </c>
      <c r="C385" s="10" t="s">
        <v>7054</v>
      </c>
      <c r="D385" s="16" t="s">
        <v>1675</v>
      </c>
      <c r="E385" s="15" t="s">
        <v>11215</v>
      </c>
      <c r="F385" s="16" t="str">
        <f>VLOOKUP(Table8[[#This Row],[Mã khách hàng]],code_khach_hang[],2,0)</f>
        <v>CHI NHÁNH HÀ NỘI - CÔNG TY CỔ PHẦN DỊCH VỤ THƯƠNG MẠI TỔNG HỢP WINCOMMERCE</v>
      </c>
      <c r="G385" s="16"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c r="A386" s="14" t="s">
        <v>7390</v>
      </c>
      <c r="B386" s="15" t="s">
        <v>5</v>
      </c>
      <c r="C386" s="10" t="s">
        <v>7391</v>
      </c>
      <c r="D386" s="16" t="s">
        <v>1678</v>
      </c>
      <c r="E386" s="15" t="s">
        <v>11215</v>
      </c>
      <c r="F386" s="16" t="str">
        <f>VLOOKUP(Table8[[#This Row],[Mã khách hàng]],code_khach_hang[],2,0)</f>
        <v>CHI NHÁNH HÀ NỘI - CÔNG TY CỔ PHẦN DỊCH VỤ THƯƠNG MẠI TỔNG HỢP WINCOMMERCE</v>
      </c>
      <c r="G386" s="16"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c r="A387" s="14" t="s">
        <v>7700</v>
      </c>
      <c r="B387" s="15" t="s">
        <v>5</v>
      </c>
      <c r="C387" s="10" t="s">
        <v>7701</v>
      </c>
      <c r="D387" s="16" t="s">
        <v>1682</v>
      </c>
      <c r="E387" s="15" t="s">
        <v>11215</v>
      </c>
      <c r="F387" s="16" t="str">
        <f>VLOOKUP(Table8[[#This Row],[Mã khách hàng]],code_khach_hang[],2,0)</f>
        <v>CHI NHÁNH HÀ NỘI - CÔNG TY CỔ PHẦN DỊCH VỤ THƯƠNG MẠI TỔNG HỢP WINCOMMERCE</v>
      </c>
      <c r="G387" s="16"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c r="A388" s="14" t="s">
        <v>8064</v>
      </c>
      <c r="B388" s="15" t="s">
        <v>5</v>
      </c>
      <c r="C388" s="10" t="s">
        <v>8065</v>
      </c>
      <c r="D388" s="16" t="s">
        <v>1685</v>
      </c>
      <c r="E388" s="15" t="s">
        <v>11215</v>
      </c>
      <c r="F388" s="16" t="str">
        <f>VLOOKUP(Table8[[#This Row],[Mã khách hàng]],code_khach_hang[],2,0)</f>
        <v>CHI NHÁNH HÀ NỘI - CÔNG TY CỔ PHẦN DỊCH VỤ THƯƠNG MẠI TỔNG HỢP WINCOMMERCE</v>
      </c>
      <c r="G388" s="16"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c r="A389" s="14" t="s">
        <v>5391</v>
      </c>
      <c r="B389" s="15" t="s">
        <v>5</v>
      </c>
      <c r="C389" s="10" t="s">
        <v>5392</v>
      </c>
      <c r="D389" s="16" t="s">
        <v>1688</v>
      </c>
      <c r="E389" s="15" t="s">
        <v>11215</v>
      </c>
      <c r="F389" s="16" t="str">
        <f>VLOOKUP(Table8[[#This Row],[Mã khách hàng]],code_khach_hang[],2,0)</f>
        <v>CHI NHÁNH HÀ NỘI - CÔNG TY CỔ PHẦN DỊCH VỤ THƯƠNG MẠI TỔNG HỢP WINCOMMERCE</v>
      </c>
      <c r="G389" s="16"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c r="A390" s="14" t="s">
        <v>6830</v>
      </c>
      <c r="B390" s="15" t="s">
        <v>5</v>
      </c>
      <c r="C390" s="10" t="s">
        <v>6831</v>
      </c>
      <c r="D390" s="16" t="s">
        <v>1691</v>
      </c>
      <c r="E390" s="15" t="s">
        <v>11215</v>
      </c>
      <c r="F390" s="16" t="str">
        <f>VLOOKUP(Table8[[#This Row],[Mã khách hàng]],code_khach_hang[],2,0)</f>
        <v>CHI NHÁNH HÀ NỘI - CÔNG TY CỔ PHẦN DỊCH VỤ THƯƠNG MẠI TỔNG HỢP WINCOMMERCE</v>
      </c>
      <c r="G390" s="16"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c r="A391" s="14" t="s">
        <v>8685</v>
      </c>
      <c r="B391" s="15" t="s">
        <v>5</v>
      </c>
      <c r="C391" s="10" t="s">
        <v>8686</v>
      </c>
      <c r="D391" s="16" t="s">
        <v>1694</v>
      </c>
      <c r="E391" s="15" t="s">
        <v>11215</v>
      </c>
      <c r="F391" s="16" t="str">
        <f>VLOOKUP(Table8[[#This Row],[Mã khách hàng]],code_khach_hang[],2,0)</f>
        <v>CHI NHÁNH HÀ NỘI - CÔNG TY CỔ PHẦN DỊCH VỤ THƯƠNG MẠI TỔNG HỢP WINCOMMERCE</v>
      </c>
      <c r="G391" s="16"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c r="A392" s="14" t="s">
        <v>7279</v>
      </c>
      <c r="B392" s="15" t="s">
        <v>5</v>
      </c>
      <c r="C392" s="10" t="s">
        <v>7280</v>
      </c>
      <c r="D392" s="16" t="s">
        <v>1697</v>
      </c>
      <c r="E392" s="15" t="s">
        <v>11215</v>
      </c>
      <c r="F392" s="16" t="str">
        <f>VLOOKUP(Table8[[#This Row],[Mã khách hàng]],code_khach_hang[],2,0)</f>
        <v>CHI NHÁNH HÀ NỘI - CÔNG TY CỔ PHẦN DỊCH VỤ THƯƠNG MẠI TỔNG HỢP WINCOMMERCE</v>
      </c>
      <c r="G392" s="16"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c r="A393" s="14" t="s">
        <v>8750</v>
      </c>
      <c r="B393" s="15" t="s">
        <v>5</v>
      </c>
      <c r="C393" s="10" t="s">
        <v>8751</v>
      </c>
      <c r="D393" s="16" t="s">
        <v>1700</v>
      </c>
      <c r="E393" s="15" t="s">
        <v>11215</v>
      </c>
      <c r="F393" s="16" t="str">
        <f>VLOOKUP(Table8[[#This Row],[Mã khách hàng]],code_khach_hang[],2,0)</f>
        <v>CHI NHÁNH HÀ NỘI - CÔNG TY CỔ PHẦN DỊCH VỤ THƯƠNG MẠI TỔNG HỢP WINCOMMERCE</v>
      </c>
      <c r="G393" s="16"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c r="A394" s="14" t="s">
        <v>8797</v>
      </c>
      <c r="B394" s="15" t="s">
        <v>5</v>
      </c>
      <c r="C394" s="10" t="s">
        <v>8798</v>
      </c>
      <c r="D394" s="16" t="s">
        <v>1703</v>
      </c>
      <c r="E394" s="15" t="s">
        <v>11215</v>
      </c>
      <c r="F394" s="16" t="str">
        <f>VLOOKUP(Table8[[#This Row],[Mã khách hàng]],code_khach_hang[],2,0)</f>
        <v>CHI NHÁNH HÀ NỘI - CÔNG TY CỔ PHẦN DỊCH VỤ THƯƠNG MẠI TỔNG HỢP WINCOMMERCE</v>
      </c>
      <c r="G394" s="16"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c r="A395" s="14" t="s">
        <v>2813</v>
      </c>
      <c r="B395" s="15" t="s">
        <v>5</v>
      </c>
      <c r="C395" s="10" t="s">
        <v>2814</v>
      </c>
      <c r="D395" s="16" t="s">
        <v>1706</v>
      </c>
      <c r="E395" s="15" t="s">
        <v>11215</v>
      </c>
      <c r="F395" s="16" t="str">
        <f>VLOOKUP(Table8[[#This Row],[Mã khách hàng]],code_khach_hang[],2,0)</f>
        <v>CHI NHÁNH HÀ NỘI - CÔNG TY CỔ PHẦN DỊCH VỤ THƯƠNG MẠI TỔNG HỢP WINCOMMERCE</v>
      </c>
      <c r="G395" s="16"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c r="A396" s="14" t="s">
        <v>547</v>
      </c>
      <c r="B396" s="15" t="s">
        <v>183</v>
      </c>
      <c r="C396" s="10" t="s">
        <v>548</v>
      </c>
      <c r="D396" s="16" t="s">
        <v>1709</v>
      </c>
      <c r="E396" s="15" t="s">
        <v>11195</v>
      </c>
      <c r="F396" s="16" t="str">
        <f>VLOOKUP(Table8[[#This Row],[Mã khách hàng]],code_khach_hang[],2,0)</f>
        <v>CHI NHÁNH HÀ NỘI - CÔNG TY CỔ PHẦN DỊCH VỤ THƯƠNG MẠI TỔNG HỢP WINCOMMERCE</v>
      </c>
      <c r="G396" s="16"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c r="A397" s="14" t="s">
        <v>628</v>
      </c>
      <c r="B397" s="15" t="s">
        <v>183</v>
      </c>
      <c r="C397" s="10" t="s">
        <v>629</v>
      </c>
      <c r="D397" s="16" t="s">
        <v>1712</v>
      </c>
      <c r="E397" s="15" t="s">
        <v>11195</v>
      </c>
      <c r="F397" s="16" t="str">
        <f>VLOOKUP(Table8[[#This Row],[Mã khách hàng]],code_khach_hang[],2,0)</f>
        <v>CHI NHÁNH HÀ NỘI - CÔNG TY CỔ PHẦN DỊCH VỤ THƯƠNG MẠI TỔNG HỢP WINCOMMERCE</v>
      </c>
      <c r="G397" s="16"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c r="A398" s="14" t="s">
        <v>643</v>
      </c>
      <c r="B398" s="15" t="s">
        <v>183</v>
      </c>
      <c r="C398" s="10" t="s">
        <v>644</v>
      </c>
      <c r="D398" s="16" t="s">
        <v>1715</v>
      </c>
      <c r="E398" s="15" t="s">
        <v>11195</v>
      </c>
      <c r="F398" s="16" t="str">
        <f>VLOOKUP(Table8[[#This Row],[Mã khách hàng]],code_khach_hang[],2,0)</f>
        <v>CHI NHÁNH HÀ NỘI - CÔNG TY CỔ PHẦN DỊCH VỤ THƯƠNG MẠI TỔNG HỢP WINCOMMERCE</v>
      </c>
      <c r="G398" s="16"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c r="A399" s="14" t="s">
        <v>4767</v>
      </c>
      <c r="B399" s="15" t="s">
        <v>5</v>
      </c>
      <c r="C399" s="10" t="s">
        <v>4768</v>
      </c>
      <c r="D399" s="16" t="s">
        <v>1717</v>
      </c>
      <c r="E399" s="15" t="s">
        <v>11197</v>
      </c>
      <c r="F399" s="16" t="str">
        <f>VLOOKUP(Table8[[#This Row],[Mã khách hàng]],code_khach_hang[],2,0)</f>
        <v>CHI NHÁNH QUẢNG NINH - CÔNG TY CỔ PHẦN DỊCH VỤ THƯƠNG MẠI TỔNG HỢP WINCOMMERCE</v>
      </c>
      <c r="G399" s="16"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c r="A400" s="14" t="s">
        <v>4884</v>
      </c>
      <c r="B400" s="15" t="s">
        <v>5</v>
      </c>
      <c r="C400" s="10" t="s">
        <v>4885</v>
      </c>
      <c r="D400" s="16" t="s">
        <v>1720</v>
      </c>
      <c r="E400" s="15" t="s">
        <v>11197</v>
      </c>
      <c r="F400" s="16" t="str">
        <f>VLOOKUP(Table8[[#This Row],[Mã khách hàng]],code_khach_hang[],2,0)</f>
        <v>CHI NHÁNH QUẢNG NINH - CÔNG TY CỔ PHẦN DỊCH VỤ THƯƠNG MẠI TỔNG HỢP WINCOMMERCE</v>
      </c>
      <c r="G400" s="16"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c r="A401" s="14" t="s">
        <v>4965</v>
      </c>
      <c r="B401" s="15" t="s">
        <v>5</v>
      </c>
      <c r="C401" s="10" t="s">
        <v>4966</v>
      </c>
      <c r="D401" s="16" t="s">
        <v>1723</v>
      </c>
      <c r="E401" s="15" t="s">
        <v>11197</v>
      </c>
      <c r="F401" s="16" t="str">
        <f>VLOOKUP(Table8[[#This Row],[Mã khách hàng]],code_khach_hang[],2,0)</f>
        <v>CHI NHÁNH QUẢNG NINH - CÔNG TY CỔ PHẦN DỊCH VỤ THƯƠNG MẠI TỔNG HỢP WINCOMMERCE</v>
      </c>
      <c r="G401" s="16"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c r="A402" s="14" t="s">
        <v>5052</v>
      </c>
      <c r="B402" s="15" t="s">
        <v>5</v>
      </c>
      <c r="C402" s="10" t="s">
        <v>5053</v>
      </c>
      <c r="D402" s="16" t="s">
        <v>1726</v>
      </c>
      <c r="E402" s="15" t="s">
        <v>11197</v>
      </c>
      <c r="F402" s="16" t="str">
        <f>VLOOKUP(Table8[[#This Row],[Mã khách hàng]],code_khach_hang[],2,0)</f>
        <v>CHI NHÁNH QUẢNG NINH - CÔNG TY CỔ PHẦN DỊCH VỤ THƯƠNG MẠI TỔNG HỢP WINCOMMERCE</v>
      </c>
      <c r="G402" s="16"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c r="A403" s="14" t="s">
        <v>5355</v>
      </c>
      <c r="B403" s="15" t="s">
        <v>5</v>
      </c>
      <c r="C403" s="10" t="s">
        <v>5356</v>
      </c>
      <c r="D403" s="16" t="s">
        <v>1729</v>
      </c>
      <c r="E403" s="15" t="s">
        <v>11197</v>
      </c>
      <c r="F403" s="16" t="str">
        <f>VLOOKUP(Table8[[#This Row],[Mã khách hàng]],code_khach_hang[],2,0)</f>
        <v>CHI NHÁNH QUẢNG NINH - CÔNG TY CỔ PHẦN DỊCH VỤ THƯƠNG MẠI TỔNG HỢP WINCOMMERCE</v>
      </c>
      <c r="G403" s="16"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c r="A404" s="14" t="s">
        <v>5367</v>
      </c>
      <c r="B404" s="15" t="s">
        <v>5</v>
      </c>
      <c r="C404" s="10" t="s">
        <v>5368</v>
      </c>
      <c r="D404" s="16" t="s">
        <v>1732</v>
      </c>
      <c r="E404" s="15" t="s">
        <v>11197</v>
      </c>
      <c r="F404" s="16" t="str">
        <f>VLOOKUP(Table8[[#This Row],[Mã khách hàng]],code_khach_hang[],2,0)</f>
        <v>CHI NHÁNH QUẢNG NINH - CÔNG TY CỔ PHẦN DỊCH VỤ THƯƠNG MẠI TỔNG HỢP WINCOMMERCE</v>
      </c>
      <c r="G404" s="16"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c r="A405" s="14" t="s">
        <v>5436</v>
      </c>
      <c r="B405" s="15" t="s">
        <v>5</v>
      </c>
      <c r="C405" s="10" t="s">
        <v>5437</v>
      </c>
      <c r="D405" s="16" t="s">
        <v>1735</v>
      </c>
      <c r="E405" s="15" t="s">
        <v>11197</v>
      </c>
      <c r="F405" s="16" t="str">
        <f>VLOOKUP(Table8[[#This Row],[Mã khách hàng]],code_khach_hang[],2,0)</f>
        <v>CHI NHÁNH QUẢNG NINH - CÔNG TY CỔ PHẦN DỊCH VỤ THƯƠNG MẠI TỔNG HỢP WINCOMMERCE</v>
      </c>
      <c r="G405" s="16"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c r="A406" s="14" t="s">
        <v>5496</v>
      </c>
      <c r="B406" s="15" t="s">
        <v>5</v>
      </c>
      <c r="C406" s="10" t="s">
        <v>5497</v>
      </c>
      <c r="D406" s="16" t="s">
        <v>1738</v>
      </c>
      <c r="E406" s="15" t="s">
        <v>11197</v>
      </c>
      <c r="F406" s="16" t="str">
        <f>VLOOKUP(Table8[[#This Row],[Mã khách hàng]],code_khach_hang[],2,0)</f>
        <v>CHI NHÁNH QUẢNG NINH - CÔNG TY CỔ PHẦN DỊCH VỤ THƯƠNG MẠI TỔNG HỢP WINCOMMERCE</v>
      </c>
      <c r="G406" s="16"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c r="A407" s="14" t="s">
        <v>5695</v>
      </c>
      <c r="B407" s="15" t="s">
        <v>5</v>
      </c>
      <c r="C407" s="10" t="s">
        <v>5696</v>
      </c>
      <c r="D407" s="16" t="s">
        <v>1741</v>
      </c>
      <c r="E407" s="15" t="s">
        <v>11197</v>
      </c>
      <c r="F407" s="16" t="str">
        <f>VLOOKUP(Table8[[#This Row],[Mã khách hàng]],code_khach_hang[],2,0)</f>
        <v>CHI NHÁNH QUẢNG NINH - CÔNG TY CỔ PHẦN DỊCH VỤ THƯƠNG MẠI TỔNG HỢP WINCOMMERCE</v>
      </c>
      <c r="G407" s="16"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c r="A408" s="14" t="s">
        <v>5896</v>
      </c>
      <c r="B408" s="15" t="s">
        <v>5</v>
      </c>
      <c r="C408" s="10" t="s">
        <v>5897</v>
      </c>
      <c r="D408" s="16" t="s">
        <v>1744</v>
      </c>
      <c r="E408" s="15" t="s">
        <v>11197</v>
      </c>
      <c r="F408" s="16" t="str">
        <f>VLOOKUP(Table8[[#This Row],[Mã khách hàng]],code_khach_hang[],2,0)</f>
        <v>CHI NHÁNH QUẢNG NINH - CÔNG TY CỔ PHẦN DỊCH VỤ THƯƠNG MẠI TỔNG HỢP WINCOMMERCE</v>
      </c>
      <c r="G408" s="16"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c r="A409" s="14" t="s">
        <v>5983</v>
      </c>
      <c r="B409" s="15" t="s">
        <v>5</v>
      </c>
      <c r="C409" s="10" t="s">
        <v>5984</v>
      </c>
      <c r="D409" s="16" t="s">
        <v>1747</v>
      </c>
      <c r="E409" s="15" t="s">
        <v>11197</v>
      </c>
      <c r="F409" s="16" t="str">
        <f>VLOOKUP(Table8[[#This Row],[Mã khách hàng]],code_khach_hang[],2,0)</f>
        <v>CHI NHÁNH QUẢNG NINH - CÔNG TY CỔ PHẦN DỊCH VỤ THƯƠNG MẠI TỔNG HỢP WINCOMMERCE</v>
      </c>
      <c r="G409" s="16"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c r="A410" s="14" t="s">
        <v>6055</v>
      </c>
      <c r="B410" s="15" t="s">
        <v>5</v>
      </c>
      <c r="C410" s="10" t="s">
        <v>6056</v>
      </c>
      <c r="D410" s="16" t="s">
        <v>1750</v>
      </c>
      <c r="E410" s="15" t="s">
        <v>11197</v>
      </c>
      <c r="F410" s="16" t="str">
        <f>VLOOKUP(Table8[[#This Row],[Mã khách hàng]],code_khach_hang[],2,0)</f>
        <v>CHI NHÁNH QUẢNG NINH - CÔNG TY CỔ PHẦN DỊCH VỤ THƯƠNG MẠI TỔNG HỢP WINCOMMERCE</v>
      </c>
      <c r="G410" s="16"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c r="A411" s="14" t="s">
        <v>6100</v>
      </c>
      <c r="B411" s="15" t="s">
        <v>5</v>
      </c>
      <c r="C411" s="10" t="s">
        <v>6101</v>
      </c>
      <c r="D411" s="16" t="s">
        <v>1753</v>
      </c>
      <c r="E411" s="15" t="s">
        <v>11197</v>
      </c>
      <c r="F411" s="16" t="str">
        <f>VLOOKUP(Table8[[#This Row],[Mã khách hàng]],code_khach_hang[],2,0)</f>
        <v>CHI NHÁNH QUẢNG NINH - CÔNG TY CỔ PHẦN DỊCH VỤ THƯƠNG MẠI TỔNG HỢP WINCOMMERCE</v>
      </c>
      <c r="G411" s="16"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c r="A412" s="14" t="s">
        <v>6231</v>
      </c>
      <c r="B412" s="15" t="s">
        <v>5</v>
      </c>
      <c r="C412" s="10" t="s">
        <v>6232</v>
      </c>
      <c r="D412" s="16" t="s">
        <v>1756</v>
      </c>
      <c r="E412" s="15" t="s">
        <v>11197</v>
      </c>
      <c r="F412" s="16" t="str">
        <f>VLOOKUP(Table8[[#This Row],[Mã khách hàng]],code_khach_hang[],2,0)</f>
        <v>CHI NHÁNH QUẢNG NINH - CÔNG TY CỔ PHẦN DỊCH VỤ THƯƠNG MẠI TỔNG HỢP WINCOMMERCE</v>
      </c>
      <c r="G412" s="16"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c r="A413" s="14" t="s">
        <v>6294</v>
      </c>
      <c r="B413" s="15" t="s">
        <v>5</v>
      </c>
      <c r="C413" s="10" t="s">
        <v>6295</v>
      </c>
      <c r="D413" s="16" t="s">
        <v>1759</v>
      </c>
      <c r="E413" s="15" t="s">
        <v>11197</v>
      </c>
      <c r="F413" s="16" t="str">
        <f>VLOOKUP(Table8[[#This Row],[Mã khách hàng]],code_khach_hang[],2,0)</f>
        <v>CHI NHÁNH QUẢNG NINH - CÔNG TY CỔ PHẦN DỊCH VỤ THƯƠNG MẠI TỔNG HỢP WINCOMMERCE</v>
      </c>
      <c r="G413" s="16"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c r="A414" s="14" t="s">
        <v>6384</v>
      </c>
      <c r="B414" s="15" t="s">
        <v>5</v>
      </c>
      <c r="C414" s="10" t="s">
        <v>6385</v>
      </c>
      <c r="D414" s="16" t="s">
        <v>1762</v>
      </c>
      <c r="E414" s="15" t="s">
        <v>11197</v>
      </c>
      <c r="F414" s="16" t="str">
        <f>VLOOKUP(Table8[[#This Row],[Mã khách hàng]],code_khach_hang[],2,0)</f>
        <v>CHI NHÁNH QUẢNG NINH - CÔNG TY CỔ PHẦN DỊCH VỤ THƯƠNG MẠI TỔNG HỢP WINCOMMERCE</v>
      </c>
      <c r="G414" s="16"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c r="A415" s="14" t="s">
        <v>6387</v>
      </c>
      <c r="B415" s="15" t="s">
        <v>5</v>
      </c>
      <c r="C415" s="10" t="s">
        <v>6388</v>
      </c>
      <c r="D415" s="16" t="s">
        <v>1765</v>
      </c>
      <c r="E415" s="15" t="s">
        <v>11197</v>
      </c>
      <c r="F415" s="16" t="str">
        <f>VLOOKUP(Table8[[#This Row],[Mã khách hàng]],code_khach_hang[],2,0)</f>
        <v>CHI NHÁNH QUẢNG NINH - CÔNG TY CỔ PHẦN DỊCH VỤ THƯƠNG MẠI TỔNG HỢP WINCOMMERCE</v>
      </c>
      <c r="G415" s="16"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c r="A416" s="14" t="s">
        <v>6464</v>
      </c>
      <c r="B416" s="15" t="s">
        <v>5</v>
      </c>
      <c r="C416" s="10" t="s">
        <v>6465</v>
      </c>
      <c r="D416" s="16" t="s">
        <v>1768</v>
      </c>
      <c r="E416" s="15" t="s">
        <v>11197</v>
      </c>
      <c r="F416" s="16" t="str">
        <f>VLOOKUP(Table8[[#This Row],[Mã khách hàng]],code_khach_hang[],2,0)</f>
        <v>CHI NHÁNH QUẢNG NINH - CÔNG TY CỔ PHẦN DỊCH VỤ THƯƠNG MẠI TỔNG HỢP WINCOMMERCE</v>
      </c>
      <c r="G416" s="16"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c r="A417" s="14" t="s">
        <v>6467</v>
      </c>
      <c r="B417" s="15" t="s">
        <v>5</v>
      </c>
      <c r="C417" s="10" t="s">
        <v>6468</v>
      </c>
      <c r="D417" s="16" t="s">
        <v>1770</v>
      </c>
      <c r="E417" s="15" t="s">
        <v>11197</v>
      </c>
      <c r="F417" s="16" t="str">
        <f>VLOOKUP(Table8[[#This Row],[Mã khách hàng]],code_khach_hang[],2,0)</f>
        <v>CHI NHÁNH QUẢNG NINH - CÔNG TY CỔ PHẦN DỊCH VỤ THƯƠNG MẠI TỔNG HỢP WINCOMMERCE</v>
      </c>
      <c r="G417" s="16"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c r="A418" s="14" t="s">
        <v>6491</v>
      </c>
      <c r="B418" s="15" t="s">
        <v>5</v>
      </c>
      <c r="C418" s="10" t="s">
        <v>6492</v>
      </c>
      <c r="D418" s="16" t="s">
        <v>1773</v>
      </c>
      <c r="E418" s="15" t="s">
        <v>11197</v>
      </c>
      <c r="F418" s="16" t="str">
        <f>VLOOKUP(Table8[[#This Row],[Mã khách hàng]],code_khach_hang[],2,0)</f>
        <v>CHI NHÁNH QUẢNG NINH - CÔNG TY CỔ PHẦN DỊCH VỤ THƯƠNG MẠI TỔNG HỢP WINCOMMERCE</v>
      </c>
      <c r="G418" s="16"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c r="A419" s="14" t="s">
        <v>6620</v>
      </c>
      <c r="B419" s="15" t="s">
        <v>5</v>
      </c>
      <c r="C419" s="10" t="s">
        <v>6621</v>
      </c>
      <c r="D419" s="16" t="s">
        <v>1776</v>
      </c>
      <c r="E419" s="15" t="s">
        <v>11197</v>
      </c>
      <c r="F419" s="16" t="str">
        <f>VLOOKUP(Table8[[#This Row],[Mã khách hàng]],code_khach_hang[],2,0)</f>
        <v>CHI NHÁNH QUẢNG NINH - CÔNG TY CỔ PHẦN DỊCH VỤ THƯƠNG MẠI TỔNG HỢP WINCOMMERCE</v>
      </c>
      <c r="G419" s="16"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c r="A420" s="14" t="s">
        <v>6674</v>
      </c>
      <c r="B420" s="15" t="s">
        <v>5</v>
      </c>
      <c r="C420" s="10" t="s">
        <v>6675</v>
      </c>
      <c r="D420" s="16" t="s">
        <v>1779</v>
      </c>
      <c r="E420" s="15" t="s">
        <v>11197</v>
      </c>
      <c r="F420" s="16" t="str">
        <f>VLOOKUP(Table8[[#This Row],[Mã khách hàng]],code_khach_hang[],2,0)</f>
        <v>CHI NHÁNH QUẢNG NINH - CÔNG TY CỔ PHẦN DỊCH VỤ THƯƠNG MẠI TỔNG HỢP WINCOMMERCE</v>
      </c>
      <c r="G420" s="16"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c r="A421" s="14" t="s">
        <v>6827</v>
      </c>
      <c r="B421" s="15" t="s">
        <v>5</v>
      </c>
      <c r="C421" s="10" t="s">
        <v>6828</v>
      </c>
      <c r="D421" s="16" t="s">
        <v>1782</v>
      </c>
      <c r="E421" s="15" t="s">
        <v>11197</v>
      </c>
      <c r="F421" s="16" t="str">
        <f>VLOOKUP(Table8[[#This Row],[Mã khách hàng]],code_khach_hang[],2,0)</f>
        <v>CHI NHÁNH QUẢNG NINH - CÔNG TY CỔ PHẦN DỊCH VỤ THƯƠNG MẠI TỔNG HỢP WINCOMMERCE</v>
      </c>
      <c r="G421" s="16"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c r="A422" s="14" t="s">
        <v>6932</v>
      </c>
      <c r="B422" s="15" t="s">
        <v>5</v>
      </c>
      <c r="C422" s="10" t="s">
        <v>6933</v>
      </c>
      <c r="D422" s="16" t="s">
        <v>1784</v>
      </c>
      <c r="E422" s="15" t="s">
        <v>11197</v>
      </c>
      <c r="F422" s="16" t="str">
        <f>VLOOKUP(Table8[[#This Row],[Mã khách hàng]],code_khach_hang[],2,0)</f>
        <v>CHI NHÁNH QUẢNG NINH - CÔNG TY CỔ PHẦN DỊCH VỤ THƯƠNG MẠI TỔNG HỢP WINCOMMERCE</v>
      </c>
      <c r="G422" s="16"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c r="A423" s="14" t="s">
        <v>7208</v>
      </c>
      <c r="B423" s="15" t="s">
        <v>5</v>
      </c>
      <c r="C423" s="10" t="s">
        <v>7209</v>
      </c>
      <c r="D423" s="16" t="s">
        <v>1787</v>
      </c>
      <c r="E423" s="15" t="s">
        <v>11197</v>
      </c>
      <c r="F423" s="16" t="str">
        <f>VLOOKUP(Table8[[#This Row],[Mã khách hàng]],code_khach_hang[],2,0)</f>
        <v>CHI NHÁNH QUẢNG NINH - CÔNG TY CỔ PHẦN DỊCH VỤ THƯƠNG MẠI TỔNG HỢP WINCOMMERCE</v>
      </c>
      <c r="G423" s="16"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c r="A424" s="14" t="s">
        <v>7265</v>
      </c>
      <c r="B424" s="15" t="s">
        <v>5</v>
      </c>
      <c r="C424" s="10" t="s">
        <v>7266</v>
      </c>
      <c r="D424" s="16" t="s">
        <v>1790</v>
      </c>
      <c r="E424" s="15" t="s">
        <v>11197</v>
      </c>
      <c r="F424" s="16" t="str">
        <f>VLOOKUP(Table8[[#This Row],[Mã khách hàng]],code_khach_hang[],2,0)</f>
        <v>CHI NHÁNH QUẢNG NINH - CÔNG TY CỔ PHẦN DỊCH VỤ THƯƠNG MẠI TỔNG HỢP WINCOMMERCE</v>
      </c>
      <c r="G424" s="16"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c r="A425" s="14" t="s">
        <v>4131</v>
      </c>
      <c r="B425" s="15" t="s">
        <v>5</v>
      </c>
      <c r="C425" s="10" t="s">
        <v>4132</v>
      </c>
      <c r="D425" s="16" t="s">
        <v>1793</v>
      </c>
      <c r="E425" s="15" t="s">
        <v>11197</v>
      </c>
      <c r="F425" s="16" t="str">
        <f>VLOOKUP(Table8[[#This Row],[Mã khách hàng]],code_khach_hang[],2,0)</f>
        <v>CHI NHÁNH QUẢNG NINH - CÔNG TY CỔ PHẦN DỊCH VỤ THƯƠNG MẠI TỔNG HỢP WINCOMMERCE</v>
      </c>
      <c r="G425" s="16"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c r="A426" s="14" t="s">
        <v>4155</v>
      </c>
      <c r="B426" s="15" t="s">
        <v>5</v>
      </c>
      <c r="C426" s="10" t="s">
        <v>4156</v>
      </c>
      <c r="D426" s="16" t="s">
        <v>1796</v>
      </c>
      <c r="E426" s="15" t="s">
        <v>11197</v>
      </c>
      <c r="F426" s="16" t="str">
        <f>VLOOKUP(Table8[[#This Row],[Mã khách hàng]],code_khach_hang[],2,0)</f>
        <v>CHI NHÁNH QUẢNG NINH - CÔNG TY CỔ PHẦN DỊCH VỤ THƯƠNG MẠI TỔNG HỢP WINCOMMERCE</v>
      </c>
      <c r="G426" s="16"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c r="A427" s="14" t="s">
        <v>4257</v>
      </c>
      <c r="B427" s="15" t="s">
        <v>5</v>
      </c>
      <c r="C427" s="10" t="s">
        <v>4258</v>
      </c>
      <c r="D427" s="16" t="s">
        <v>1799</v>
      </c>
      <c r="E427" s="15" t="s">
        <v>11197</v>
      </c>
      <c r="F427" s="16" t="str">
        <f>VLOOKUP(Table8[[#This Row],[Mã khách hàng]],code_khach_hang[],2,0)</f>
        <v>CHI NHÁNH QUẢNG NINH - CÔNG TY CỔ PHẦN DỊCH VỤ THƯƠNG MẠI TỔNG HỢP WINCOMMERCE</v>
      </c>
      <c r="G427" s="16"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c r="A428" s="14" t="s">
        <v>4308</v>
      </c>
      <c r="B428" s="15" t="s">
        <v>5</v>
      </c>
      <c r="C428" s="10" t="s">
        <v>4309</v>
      </c>
      <c r="D428" s="16" t="s">
        <v>1802</v>
      </c>
      <c r="E428" s="15" t="s">
        <v>11197</v>
      </c>
      <c r="F428" s="16" t="str">
        <f>VLOOKUP(Table8[[#This Row],[Mã khách hàng]],code_khach_hang[],2,0)</f>
        <v>CHI NHÁNH QUẢNG NINH - CÔNG TY CỔ PHẦN DỊCH VỤ THƯƠNG MẠI TỔNG HỢP WINCOMMERCE</v>
      </c>
      <c r="G428" s="16"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c r="A429" s="14" t="s">
        <v>4395</v>
      </c>
      <c r="B429" s="15" t="s">
        <v>5</v>
      </c>
      <c r="C429" s="10" t="s">
        <v>4396</v>
      </c>
      <c r="D429" s="16" t="s">
        <v>1805</v>
      </c>
      <c r="E429" s="15" t="s">
        <v>11197</v>
      </c>
      <c r="F429" s="16" t="str">
        <f>VLOOKUP(Table8[[#This Row],[Mã khách hàng]],code_khach_hang[],2,0)</f>
        <v>CHI NHÁNH QUẢNG NINH - CÔNG TY CỔ PHẦN DỊCH VỤ THƯƠNG MẠI TỔNG HỢP WINCOMMERCE</v>
      </c>
      <c r="G429" s="16"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c r="A430" s="14" t="s">
        <v>4422</v>
      </c>
      <c r="B430" s="15" t="s">
        <v>5</v>
      </c>
      <c r="C430" s="10" t="s">
        <v>4423</v>
      </c>
      <c r="D430" s="16" t="s">
        <v>1807</v>
      </c>
      <c r="E430" s="15" t="s">
        <v>11197</v>
      </c>
      <c r="F430" s="16" t="str">
        <f>VLOOKUP(Table8[[#This Row],[Mã khách hàng]],code_khach_hang[],2,0)</f>
        <v>CHI NHÁNH QUẢNG NINH - CÔNG TY CỔ PHẦN DỊCH VỤ THƯƠNG MẠI TỔNG HỢP WINCOMMERCE</v>
      </c>
      <c r="G430" s="16"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c r="A431" s="14" t="s">
        <v>4434</v>
      </c>
      <c r="B431" s="15" t="s">
        <v>5</v>
      </c>
      <c r="C431" s="10" t="s">
        <v>4435</v>
      </c>
      <c r="D431" s="16" t="s">
        <v>1810</v>
      </c>
      <c r="E431" s="15" t="s">
        <v>11197</v>
      </c>
      <c r="F431" s="16" t="str">
        <f>VLOOKUP(Table8[[#This Row],[Mã khách hàng]],code_khach_hang[],2,0)</f>
        <v>CHI NHÁNH QUẢNG NINH - CÔNG TY CỔ PHẦN DỊCH VỤ THƯƠNG MẠI TỔNG HỢP WINCOMMERCE</v>
      </c>
      <c r="G431" s="16"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c r="A432" s="14" t="s">
        <v>4479</v>
      </c>
      <c r="B432" s="15" t="s">
        <v>5</v>
      </c>
      <c r="C432" s="10" t="s">
        <v>4480</v>
      </c>
      <c r="D432" s="16" t="s">
        <v>1813</v>
      </c>
      <c r="E432" s="15" t="s">
        <v>11197</v>
      </c>
      <c r="F432" s="16" t="str">
        <f>VLOOKUP(Table8[[#This Row],[Mã khách hàng]],code_khach_hang[],2,0)</f>
        <v>CHI NHÁNH QUẢNG NINH - CÔNG TY CỔ PHẦN DỊCH VỤ THƯƠNG MẠI TỔNG HỢP WINCOMMERCE</v>
      </c>
      <c r="G432" s="16"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c r="A433" s="14" t="s">
        <v>4596</v>
      </c>
      <c r="B433" s="15" t="s">
        <v>5</v>
      </c>
      <c r="C433" s="10" t="s">
        <v>4597</v>
      </c>
      <c r="D433" s="16" t="s">
        <v>1816</v>
      </c>
      <c r="E433" s="15" t="s">
        <v>11197</v>
      </c>
      <c r="F433" s="16" t="str">
        <f>VLOOKUP(Table8[[#This Row],[Mã khách hàng]],code_khach_hang[],2,0)</f>
        <v>CHI NHÁNH QUẢNG NINH - CÔNG TY CỔ PHẦN DỊCH VỤ THƯƠNG MẠI TỔNG HỢP WINCOMMERCE</v>
      </c>
      <c r="G433" s="16"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c r="A434" s="14" t="s">
        <v>4755</v>
      </c>
      <c r="B434" s="15" t="s">
        <v>5</v>
      </c>
      <c r="C434" s="10" t="s">
        <v>4756</v>
      </c>
      <c r="D434" s="16" t="s">
        <v>1819</v>
      </c>
      <c r="E434" s="15" t="s">
        <v>11197</v>
      </c>
      <c r="F434" s="16" t="str">
        <f>VLOOKUP(Table8[[#This Row],[Mã khách hàng]],code_khach_hang[],2,0)</f>
        <v>CHI NHÁNH QUẢNG NINH - CÔNG TY CỔ PHẦN DỊCH VỤ THƯƠNG MẠI TỔNG HỢP WINCOMMERCE</v>
      </c>
      <c r="G434" s="16"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c r="A435" s="14" t="s">
        <v>4800</v>
      </c>
      <c r="B435" s="15" t="s">
        <v>5</v>
      </c>
      <c r="C435" s="10" t="s">
        <v>4801</v>
      </c>
      <c r="D435" s="16" t="s">
        <v>1822</v>
      </c>
      <c r="E435" s="15" t="s">
        <v>11197</v>
      </c>
      <c r="F435" s="16" t="str">
        <f>VLOOKUP(Table8[[#This Row],[Mã khách hàng]],code_khach_hang[],2,0)</f>
        <v>CHI NHÁNH QUẢNG NINH - CÔNG TY CỔ PHẦN DỊCH VỤ THƯƠNG MẠI TỔNG HỢP WINCOMMERCE</v>
      </c>
      <c r="G435" s="16"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c r="A436" s="14" t="s">
        <v>4821</v>
      </c>
      <c r="B436" s="15" t="s">
        <v>5</v>
      </c>
      <c r="C436" s="10" t="s">
        <v>4822</v>
      </c>
      <c r="D436" s="16" t="s">
        <v>1825</v>
      </c>
      <c r="E436" s="15" t="s">
        <v>11197</v>
      </c>
      <c r="F436" s="16" t="str">
        <f>VLOOKUP(Table8[[#This Row],[Mã khách hàng]],code_khach_hang[],2,0)</f>
        <v>CHI NHÁNH QUẢNG NINH - CÔNG TY CỔ PHẦN DỊCH VỤ THƯƠNG MẠI TỔNG HỢP WINCOMMERCE</v>
      </c>
      <c r="G436" s="16"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c r="A437" s="14" t="s">
        <v>4830</v>
      </c>
      <c r="B437" s="15" t="s">
        <v>5</v>
      </c>
      <c r="C437" s="10" t="s">
        <v>4831</v>
      </c>
      <c r="D437" s="16" t="s">
        <v>1828</v>
      </c>
      <c r="E437" s="15" t="s">
        <v>11197</v>
      </c>
      <c r="F437" s="16" t="str">
        <f>VLOOKUP(Table8[[#This Row],[Mã khách hàng]],code_khach_hang[],2,0)</f>
        <v>CHI NHÁNH QUẢNG NINH - CÔNG TY CỔ PHẦN DỊCH VỤ THƯƠNG MẠI TỔNG HỢP WINCOMMERCE</v>
      </c>
      <c r="G437" s="16"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c r="A438" s="14" t="s">
        <v>4851</v>
      </c>
      <c r="B438" s="15" t="s">
        <v>5</v>
      </c>
      <c r="C438" s="10" t="s">
        <v>4852</v>
      </c>
      <c r="D438" s="16" t="s">
        <v>1831</v>
      </c>
      <c r="E438" s="15" t="s">
        <v>11197</v>
      </c>
      <c r="F438" s="16" t="str">
        <f>VLOOKUP(Table8[[#This Row],[Mã khách hàng]],code_khach_hang[],2,0)</f>
        <v>CHI NHÁNH QUẢNG NINH - CÔNG TY CỔ PHẦN DỊCH VỤ THƯƠNG MẠI TỔNG HỢP WINCOMMERCE</v>
      </c>
      <c r="G438" s="16"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c r="A439" s="14" t="s">
        <v>4854</v>
      </c>
      <c r="B439" s="15" t="s">
        <v>5</v>
      </c>
      <c r="C439" s="10" t="s">
        <v>4855</v>
      </c>
      <c r="D439" s="16" t="s">
        <v>1834</v>
      </c>
      <c r="E439" s="15" t="s">
        <v>11197</v>
      </c>
      <c r="F439" s="16" t="str">
        <f>VLOOKUP(Table8[[#This Row],[Mã khách hàng]],code_khach_hang[],2,0)</f>
        <v>CHI NHÁNH QUẢNG NINH - CÔNG TY CỔ PHẦN DỊCH VỤ THƯƠNG MẠI TỔNG HỢP WINCOMMERCE</v>
      </c>
      <c r="G439" s="16"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c r="A440" s="14" t="s">
        <v>4872</v>
      </c>
      <c r="B440" s="15" t="s">
        <v>5</v>
      </c>
      <c r="C440" s="10" t="s">
        <v>4873</v>
      </c>
      <c r="D440" s="16" t="s">
        <v>1837</v>
      </c>
      <c r="E440" s="15" t="s">
        <v>11197</v>
      </c>
      <c r="F440" s="16" t="str">
        <f>VLOOKUP(Table8[[#This Row],[Mã khách hàng]],code_khach_hang[],2,0)</f>
        <v>CHI NHÁNH QUẢNG NINH - CÔNG TY CỔ PHẦN DỊCH VỤ THƯƠNG MẠI TỔNG HỢP WINCOMMERCE</v>
      </c>
      <c r="G440" s="16"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c r="A441" s="14" t="s">
        <v>4881</v>
      </c>
      <c r="B441" s="15" t="s">
        <v>5</v>
      </c>
      <c r="C441" s="10" t="s">
        <v>4882</v>
      </c>
      <c r="D441" s="16" t="s">
        <v>1840</v>
      </c>
      <c r="E441" s="15" t="s">
        <v>11197</v>
      </c>
      <c r="F441" s="16" t="str">
        <f>VLOOKUP(Table8[[#This Row],[Mã khách hàng]],code_khach_hang[],2,0)</f>
        <v>CHI NHÁNH QUẢNG NINH - CÔNG TY CỔ PHẦN DỊCH VỤ THƯƠNG MẠI TỔNG HỢP WINCOMMERCE</v>
      </c>
      <c r="G441" s="16"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c r="A442" s="14" t="s">
        <v>4893</v>
      </c>
      <c r="B442" s="15" t="s">
        <v>5</v>
      </c>
      <c r="C442" s="10" t="s">
        <v>4894</v>
      </c>
      <c r="D442" s="16" t="s">
        <v>1843</v>
      </c>
      <c r="E442" s="15" t="s">
        <v>11197</v>
      </c>
      <c r="F442" s="16" t="str">
        <f>VLOOKUP(Table8[[#This Row],[Mã khách hàng]],code_khach_hang[],2,0)</f>
        <v>CHI NHÁNH QUẢNG NINH - CÔNG TY CỔ PHẦN DỊCH VỤ THƯƠNG MẠI TỔNG HỢP WINCOMMERCE</v>
      </c>
      <c r="G442" s="16"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c r="A443" s="14" t="s">
        <v>5088</v>
      </c>
      <c r="B443" s="15" t="s">
        <v>5</v>
      </c>
      <c r="C443" s="10" t="s">
        <v>5089</v>
      </c>
      <c r="D443" s="16" t="s">
        <v>1846</v>
      </c>
      <c r="E443" s="15" t="s">
        <v>11197</v>
      </c>
      <c r="F443" s="16" t="str">
        <f>VLOOKUP(Table8[[#This Row],[Mã khách hàng]],code_khach_hang[],2,0)</f>
        <v>CHI NHÁNH QUẢNG NINH - CÔNG TY CỔ PHẦN DỊCH VỤ THƯƠNG MẠI TỔNG HỢP WINCOMMERCE</v>
      </c>
      <c r="G443" s="16"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c r="A444" s="14" t="s">
        <v>5142</v>
      </c>
      <c r="B444" s="15" t="s">
        <v>5</v>
      </c>
      <c r="C444" s="10" t="s">
        <v>5143</v>
      </c>
      <c r="D444" s="16" t="s">
        <v>1849</v>
      </c>
      <c r="E444" s="15" t="s">
        <v>11197</v>
      </c>
      <c r="F444" s="16" t="str">
        <f>VLOOKUP(Table8[[#This Row],[Mã khách hàng]],code_khach_hang[],2,0)</f>
        <v>CHI NHÁNH QUẢNG NINH - CÔNG TY CỔ PHẦN DỊCH VỤ THƯƠNG MẠI TỔNG HỢP WINCOMMERCE</v>
      </c>
      <c r="G444" s="16"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c r="A445" s="14" t="s">
        <v>5148</v>
      </c>
      <c r="B445" s="15" t="s">
        <v>5</v>
      </c>
      <c r="C445" s="10" t="s">
        <v>5149</v>
      </c>
      <c r="D445" s="16" t="s">
        <v>1852</v>
      </c>
      <c r="E445" s="15" t="s">
        <v>11197</v>
      </c>
      <c r="F445" s="16" t="str">
        <f>VLOOKUP(Table8[[#This Row],[Mã khách hàng]],code_khach_hang[],2,0)</f>
        <v>CHI NHÁNH QUẢNG NINH - CÔNG TY CỔ PHẦN DỊCH VỤ THƯƠNG MẠI TỔNG HỢP WINCOMMERCE</v>
      </c>
      <c r="G445" s="16"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c r="A446" s="14" t="s">
        <v>5265</v>
      </c>
      <c r="B446" s="15" t="s">
        <v>5</v>
      </c>
      <c r="C446" s="10" t="s">
        <v>5266</v>
      </c>
      <c r="D446" s="16" t="s">
        <v>1854</v>
      </c>
      <c r="E446" s="15" t="s">
        <v>11197</v>
      </c>
      <c r="F446" s="16" t="str">
        <f>VLOOKUP(Table8[[#This Row],[Mã khách hàng]],code_khach_hang[],2,0)</f>
        <v>CHI NHÁNH QUẢNG NINH - CÔNG TY CỔ PHẦN DỊCH VỤ THƯƠNG MẠI TỔNG HỢP WINCOMMERCE</v>
      </c>
      <c r="G446" s="16"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c r="A447" s="14" t="s">
        <v>5313</v>
      </c>
      <c r="B447" s="15" t="s">
        <v>5</v>
      </c>
      <c r="C447" s="10" t="s">
        <v>5314</v>
      </c>
      <c r="D447" s="16" t="s">
        <v>1857</v>
      </c>
      <c r="E447" s="15" t="s">
        <v>11197</v>
      </c>
      <c r="F447" s="16" t="str">
        <f>VLOOKUP(Table8[[#This Row],[Mã khách hàng]],code_khach_hang[],2,0)</f>
        <v>CHI NHÁNH QUẢNG NINH - CÔNG TY CỔ PHẦN DỊCH VỤ THƯƠNG MẠI TỔNG HỢP WINCOMMERCE</v>
      </c>
      <c r="G447" s="16"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c r="A448" s="14" t="s">
        <v>5325</v>
      </c>
      <c r="B448" s="15" t="s">
        <v>5</v>
      </c>
      <c r="C448" s="10" t="s">
        <v>5326</v>
      </c>
      <c r="D448" s="16" t="s">
        <v>1860</v>
      </c>
      <c r="E448" s="15" t="s">
        <v>11197</v>
      </c>
      <c r="F448" s="16" t="str">
        <f>VLOOKUP(Table8[[#This Row],[Mã khách hàng]],code_khach_hang[],2,0)</f>
        <v>CHI NHÁNH QUẢNG NINH - CÔNG TY CỔ PHẦN DỊCH VỤ THƯƠNG MẠI TỔNG HỢP WINCOMMERCE</v>
      </c>
      <c r="G448" s="16"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c r="A449" s="14" t="s">
        <v>5499</v>
      </c>
      <c r="B449" s="15" t="s">
        <v>5</v>
      </c>
      <c r="C449" s="10" t="s">
        <v>5500</v>
      </c>
      <c r="D449" s="16" t="s">
        <v>1863</v>
      </c>
      <c r="E449" s="15" t="s">
        <v>11197</v>
      </c>
      <c r="F449" s="16" t="str">
        <f>VLOOKUP(Table8[[#This Row],[Mã khách hàng]],code_khach_hang[],2,0)</f>
        <v>CHI NHÁNH QUẢNG NINH - CÔNG TY CỔ PHẦN DỊCH VỤ THƯƠNG MẠI TỔNG HỢP WINCOMMERCE</v>
      </c>
      <c r="G449" s="16"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c r="A450" s="14" t="s">
        <v>5535</v>
      </c>
      <c r="B450" s="15" t="s">
        <v>5</v>
      </c>
      <c r="C450" s="10" t="s">
        <v>5536</v>
      </c>
      <c r="D450" s="16" t="s">
        <v>1866</v>
      </c>
      <c r="E450" s="15" t="s">
        <v>11197</v>
      </c>
      <c r="F450" s="16" t="str">
        <f>VLOOKUP(Table8[[#This Row],[Mã khách hàng]],code_khach_hang[],2,0)</f>
        <v>CHI NHÁNH QUẢNG NINH - CÔNG TY CỔ PHẦN DỊCH VỤ THƯƠNG MẠI TỔNG HỢP WINCOMMERCE</v>
      </c>
      <c r="G450" s="16"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c r="A451" s="14" t="s">
        <v>5606</v>
      </c>
      <c r="B451" s="15" t="s">
        <v>5</v>
      </c>
      <c r="C451" s="10" t="s">
        <v>5607</v>
      </c>
      <c r="D451" s="16" t="s">
        <v>1869</v>
      </c>
      <c r="E451" s="15" t="s">
        <v>11197</v>
      </c>
      <c r="F451" s="16" t="str">
        <f>VLOOKUP(Table8[[#This Row],[Mã khách hàng]],code_khach_hang[],2,0)</f>
        <v>CHI NHÁNH QUẢNG NINH - CÔNG TY CỔ PHẦN DỊCH VỤ THƯƠNG MẠI TỔNG HỢP WINCOMMERCE</v>
      </c>
      <c r="G451" s="16"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c r="A452" s="14" t="s">
        <v>5715</v>
      </c>
      <c r="B452" s="15" t="s">
        <v>5</v>
      </c>
      <c r="C452" s="10" t="s">
        <v>5716</v>
      </c>
      <c r="D452" s="16" t="s">
        <v>1872</v>
      </c>
      <c r="E452" s="15" t="s">
        <v>11197</v>
      </c>
      <c r="F452" s="16" t="str">
        <f>VLOOKUP(Table8[[#This Row],[Mã khách hàng]],code_khach_hang[],2,0)</f>
        <v>CHI NHÁNH QUẢNG NINH - CÔNG TY CỔ PHẦN DỊCH VỤ THƯƠNG MẠI TỔNG HỢP WINCOMMERCE</v>
      </c>
      <c r="G452" s="16"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c r="A453" s="14" t="s">
        <v>5989</v>
      </c>
      <c r="B453" s="15" t="s">
        <v>5</v>
      </c>
      <c r="C453" s="10" t="s">
        <v>5990</v>
      </c>
      <c r="D453" s="16" t="s">
        <v>1875</v>
      </c>
      <c r="E453" s="15" t="s">
        <v>11197</v>
      </c>
      <c r="F453" s="16" t="str">
        <f>VLOOKUP(Table8[[#This Row],[Mã khách hàng]],code_khach_hang[],2,0)</f>
        <v>CHI NHÁNH QUẢNG NINH - CÔNG TY CỔ PHẦN DỊCH VỤ THƯƠNG MẠI TỔNG HỢP WINCOMMERCE</v>
      </c>
      <c r="G453" s="16"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c r="A454" s="14" t="s">
        <v>6234</v>
      </c>
      <c r="B454" s="15" t="s">
        <v>5</v>
      </c>
      <c r="C454" s="10" t="s">
        <v>6235</v>
      </c>
      <c r="D454" s="16" t="s">
        <v>1878</v>
      </c>
      <c r="E454" s="15" t="s">
        <v>11197</v>
      </c>
      <c r="F454" s="16" t="str">
        <f>VLOOKUP(Table8[[#This Row],[Mã khách hàng]],code_khach_hang[],2,0)</f>
        <v>CHI NHÁNH QUẢNG NINH - CÔNG TY CỔ PHẦN DỊCH VỤ THƯƠNG MẠI TỔNG HỢP WINCOMMERCE</v>
      </c>
      <c r="G454" s="16"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c r="A455" s="14" t="s">
        <v>6243</v>
      </c>
      <c r="B455" s="15" t="s">
        <v>5</v>
      </c>
      <c r="C455" s="10" t="s">
        <v>6244</v>
      </c>
      <c r="D455" s="16" t="s">
        <v>1881</v>
      </c>
      <c r="E455" s="15" t="s">
        <v>11197</v>
      </c>
      <c r="F455" s="16" t="str">
        <f>VLOOKUP(Table8[[#This Row],[Mã khách hàng]],code_khach_hang[],2,0)</f>
        <v>CHI NHÁNH QUẢNG NINH - CÔNG TY CỔ PHẦN DỊCH VỤ THƯƠNG MẠI TỔNG HỢP WINCOMMERCE</v>
      </c>
      <c r="G455" s="16"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c r="A456" s="14" t="s">
        <v>6641</v>
      </c>
      <c r="B456" s="15" t="s">
        <v>5</v>
      </c>
      <c r="C456" s="10" t="s">
        <v>6642</v>
      </c>
      <c r="D456" s="16" t="s">
        <v>1884</v>
      </c>
      <c r="E456" s="15" t="s">
        <v>11197</v>
      </c>
      <c r="F456" s="16" t="str">
        <f>VLOOKUP(Table8[[#This Row],[Mã khách hàng]],code_khach_hang[],2,0)</f>
        <v>CHI NHÁNH QUẢNG NINH - CÔNG TY CỔ PHẦN DỊCH VỤ THƯƠNG MẠI TỔNG HỢP WINCOMMERCE</v>
      </c>
      <c r="G456" s="16"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c r="A457" s="14" t="s">
        <v>6761</v>
      </c>
      <c r="B457" s="15" t="s">
        <v>5</v>
      </c>
      <c r="C457" s="10" t="s">
        <v>6762</v>
      </c>
      <c r="D457" s="16" t="s">
        <v>1887</v>
      </c>
      <c r="E457" s="15" t="s">
        <v>11197</v>
      </c>
      <c r="F457" s="16" t="str">
        <f>VLOOKUP(Table8[[#This Row],[Mã khách hàng]],code_khach_hang[],2,0)</f>
        <v>CHI NHÁNH QUẢNG NINH - CÔNG TY CỔ PHẦN DỊCH VỤ THƯƠNG MẠI TỔNG HỢP WINCOMMERCE</v>
      </c>
      <c r="G457" s="16"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c r="A458" s="14" t="s">
        <v>6824</v>
      </c>
      <c r="B458" s="15" t="s">
        <v>5</v>
      </c>
      <c r="C458" s="10" t="s">
        <v>6825</v>
      </c>
      <c r="D458" s="16" t="s">
        <v>1890</v>
      </c>
      <c r="E458" s="15" t="s">
        <v>11197</v>
      </c>
      <c r="F458" s="16" t="str">
        <f>VLOOKUP(Table8[[#This Row],[Mã khách hàng]],code_khach_hang[],2,0)</f>
        <v>CHI NHÁNH QUẢNG NINH - CÔNG TY CỔ PHẦN DỊCH VỤ THƯƠNG MẠI TỔNG HỢP WINCOMMERCE</v>
      </c>
      <c r="G458" s="16"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c r="A459" s="14" t="s">
        <v>6968</v>
      </c>
      <c r="B459" s="15" t="s">
        <v>5</v>
      </c>
      <c r="C459" s="10" t="s">
        <v>6969</v>
      </c>
      <c r="D459" s="16" t="s">
        <v>1893</v>
      </c>
      <c r="E459" s="15" t="s">
        <v>11197</v>
      </c>
      <c r="F459" s="16" t="str">
        <f>VLOOKUP(Table8[[#This Row],[Mã khách hàng]],code_khach_hang[],2,0)</f>
        <v>CHI NHÁNH QUẢNG NINH - CÔNG TY CỔ PHẦN DỊCH VỤ THƯƠNG MẠI TỔNG HỢP WINCOMMERCE</v>
      </c>
      <c r="G459" s="16"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c r="A460" s="14" t="s">
        <v>7007</v>
      </c>
      <c r="B460" s="15" t="s">
        <v>5</v>
      </c>
      <c r="C460" s="10" t="s">
        <v>7008</v>
      </c>
      <c r="D460" s="16" t="s">
        <v>1896</v>
      </c>
      <c r="E460" s="15" t="s">
        <v>11197</v>
      </c>
      <c r="F460" s="16" t="str">
        <f>VLOOKUP(Table8[[#This Row],[Mã khách hàng]],code_khach_hang[],2,0)</f>
        <v>CHI NHÁNH QUẢNG NINH - CÔNG TY CỔ PHẦN DỊCH VỤ THƯƠNG MẠI TỔNG HỢP WINCOMMERCE</v>
      </c>
      <c r="G460" s="16"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c r="A461" s="14" t="s">
        <v>7089</v>
      </c>
      <c r="B461" s="15" t="s">
        <v>5</v>
      </c>
      <c r="C461" s="10" t="s">
        <v>7090</v>
      </c>
      <c r="D461" s="16" t="s">
        <v>1898</v>
      </c>
      <c r="E461" s="15" t="s">
        <v>11197</v>
      </c>
      <c r="F461" s="16" t="str">
        <f>VLOOKUP(Table8[[#This Row],[Mã khách hàng]],code_khach_hang[],2,0)</f>
        <v>CHI NHÁNH QUẢNG NINH - CÔNG TY CỔ PHẦN DỊCH VỤ THƯƠNG MẠI TỔNG HỢP WINCOMMERCE</v>
      </c>
      <c r="G461" s="16"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c r="A462" s="14" t="s">
        <v>7372</v>
      </c>
      <c r="B462" s="15" t="s">
        <v>5</v>
      </c>
      <c r="C462" s="10" t="s">
        <v>7373</v>
      </c>
      <c r="D462" s="16" t="s">
        <v>1901</v>
      </c>
      <c r="E462" s="15" t="s">
        <v>11197</v>
      </c>
      <c r="F462" s="16" t="str">
        <f>VLOOKUP(Table8[[#This Row],[Mã khách hàng]],code_khach_hang[],2,0)</f>
        <v>CHI NHÁNH QUẢNG NINH - CÔNG TY CỔ PHẦN DỊCH VỤ THƯƠNG MẠI TỔNG HỢP WINCOMMERCE</v>
      </c>
      <c r="G462" s="16"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c r="A463" s="14" t="s">
        <v>7375</v>
      </c>
      <c r="B463" s="15" t="s">
        <v>5</v>
      </c>
      <c r="C463" s="10" t="s">
        <v>7376</v>
      </c>
      <c r="D463" s="16" t="s">
        <v>1904</v>
      </c>
      <c r="E463" s="15" t="s">
        <v>11197</v>
      </c>
      <c r="F463" s="16" t="str">
        <f>VLOOKUP(Table8[[#This Row],[Mã khách hàng]],code_khach_hang[],2,0)</f>
        <v>CHI NHÁNH QUẢNG NINH - CÔNG TY CỔ PHẦN DỊCH VỤ THƯƠNG MẠI TỔNG HỢP WINCOMMERCE</v>
      </c>
      <c r="G463" s="16"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c r="A464" s="14" t="s">
        <v>7437</v>
      </c>
      <c r="B464" s="15" t="s">
        <v>5</v>
      </c>
      <c r="C464" s="10" t="s">
        <v>7438</v>
      </c>
      <c r="D464" s="16" t="s">
        <v>1907</v>
      </c>
      <c r="E464" s="15" t="s">
        <v>11197</v>
      </c>
      <c r="F464" s="16" t="str">
        <f>VLOOKUP(Table8[[#This Row],[Mã khách hàng]],code_khach_hang[],2,0)</f>
        <v>CHI NHÁNH QUẢNG NINH - CÔNG TY CỔ PHẦN DỊCH VỤ THƯƠNG MẠI TỔNG HỢP WINCOMMERCE</v>
      </c>
      <c r="G464" s="16"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c r="A465" s="14" t="s">
        <v>7460</v>
      </c>
      <c r="B465" s="15" t="s">
        <v>5</v>
      </c>
      <c r="C465" s="10" t="s">
        <v>7461</v>
      </c>
      <c r="D465" s="16" t="s">
        <v>1910</v>
      </c>
      <c r="E465" s="15" t="s">
        <v>11197</v>
      </c>
      <c r="F465" s="16" t="str">
        <f>VLOOKUP(Table8[[#This Row],[Mã khách hàng]],code_khach_hang[],2,0)</f>
        <v>CHI NHÁNH QUẢNG NINH - CÔNG TY CỔ PHẦN DỊCH VỤ THƯƠNG MẠI TỔNG HỢP WINCOMMERCE</v>
      </c>
      <c r="G465" s="16"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c r="A466" s="14" t="s">
        <v>7709</v>
      </c>
      <c r="B466" s="15" t="s">
        <v>5</v>
      </c>
      <c r="C466" s="10" t="s">
        <v>7710</v>
      </c>
      <c r="D466" s="16" t="s">
        <v>1913</v>
      </c>
      <c r="E466" s="15" t="s">
        <v>11197</v>
      </c>
      <c r="F466" s="16" t="str">
        <f>VLOOKUP(Table8[[#This Row],[Mã khách hàng]],code_khach_hang[],2,0)</f>
        <v>CHI NHÁNH QUẢNG NINH - CÔNG TY CỔ PHẦN DỊCH VỤ THƯƠNG MẠI TỔNG HỢP WINCOMMERCE</v>
      </c>
      <c r="G466" s="16"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c r="A467" s="14" t="s">
        <v>7718</v>
      </c>
      <c r="B467" s="15" t="s">
        <v>5</v>
      </c>
      <c r="C467" s="10" t="s">
        <v>7719</v>
      </c>
      <c r="D467" s="16" t="s">
        <v>1916</v>
      </c>
      <c r="E467" s="15" t="s">
        <v>11197</v>
      </c>
      <c r="F467" s="16" t="str">
        <f>VLOOKUP(Table8[[#This Row],[Mã khách hàng]],code_khach_hang[],2,0)</f>
        <v>CHI NHÁNH QUẢNG NINH - CÔNG TY CỔ PHẦN DỊCH VỤ THƯƠNG MẠI TỔNG HỢP WINCOMMERCE</v>
      </c>
      <c r="G467" s="16"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c r="A468" s="14" t="s">
        <v>8835</v>
      </c>
      <c r="B468" s="15" t="s">
        <v>5</v>
      </c>
      <c r="C468" s="10" t="s">
        <v>8836</v>
      </c>
      <c r="D468" s="16" t="s">
        <v>1918</v>
      </c>
      <c r="E468" s="15" t="s">
        <v>11197</v>
      </c>
      <c r="F468" s="16" t="str">
        <f>VLOOKUP(Table8[[#This Row],[Mã khách hàng]],code_khach_hang[],2,0)</f>
        <v>CHI NHÁNH QUẢNG NINH - CÔNG TY CỔ PHẦN DỊCH VỤ THƯƠNG MẠI TỔNG HỢP WINCOMMERCE</v>
      </c>
      <c r="G468" s="16"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c r="A469" s="14" t="s">
        <v>8850</v>
      </c>
      <c r="B469" s="15" t="s">
        <v>5</v>
      </c>
      <c r="C469" s="10" t="s">
        <v>8851</v>
      </c>
      <c r="D469" s="16" t="s">
        <v>1921</v>
      </c>
      <c r="E469" s="15" t="s">
        <v>11197</v>
      </c>
      <c r="F469" s="16" t="str">
        <f>VLOOKUP(Table8[[#This Row],[Mã khách hàng]],code_khach_hang[],2,0)</f>
        <v>CHI NHÁNH QUẢNG NINH - CÔNG TY CỔ PHẦN DỊCH VỤ THƯƠNG MẠI TỔNG HỢP WINCOMMERCE</v>
      </c>
      <c r="G469" s="16"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c r="A470" s="14" t="s">
        <v>8980</v>
      </c>
      <c r="B470" s="15" t="s">
        <v>5</v>
      </c>
      <c r="C470" s="10" t="s">
        <v>8981</v>
      </c>
      <c r="D470" s="16" t="s">
        <v>1923</v>
      </c>
      <c r="E470" s="15" t="s">
        <v>11197</v>
      </c>
      <c r="F470" s="16" t="str">
        <f>VLOOKUP(Table8[[#This Row],[Mã khách hàng]],code_khach_hang[],2,0)</f>
        <v>CHI NHÁNH QUẢNG NINH - CÔNG TY CỔ PHẦN DỊCH VỤ THƯƠNG MẠI TỔNG HỢP WINCOMMERCE</v>
      </c>
      <c r="G470" s="16"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c r="A471" s="14" t="s">
        <v>9058</v>
      </c>
      <c r="B471" s="15" t="s">
        <v>5</v>
      </c>
      <c r="C471" s="10" t="s">
        <v>9059</v>
      </c>
      <c r="D471" s="16" t="s">
        <v>1926</v>
      </c>
      <c r="E471" s="15" t="s">
        <v>11197</v>
      </c>
      <c r="F471" s="16" t="str">
        <f>VLOOKUP(Table8[[#This Row],[Mã khách hàng]],code_khach_hang[],2,0)</f>
        <v>CHI NHÁNH QUẢNG NINH - CÔNG TY CỔ PHẦN DỊCH VỤ THƯƠNG MẠI TỔNG HỢP WINCOMMERCE</v>
      </c>
      <c r="G471" s="16"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c r="A472" s="14" t="s">
        <v>1459</v>
      </c>
      <c r="B472" s="15" t="s">
        <v>5</v>
      </c>
      <c r="C472" s="10" t="s">
        <v>1460</v>
      </c>
      <c r="D472" s="16" t="s">
        <v>1929</v>
      </c>
      <c r="E472" s="15" t="s">
        <v>11197</v>
      </c>
      <c r="F472" s="16" t="str">
        <f>VLOOKUP(Table8[[#This Row],[Mã khách hàng]],code_khach_hang[],2,0)</f>
        <v>CHI NHÁNH QUẢNG NINH - CÔNG TY CỔ PHẦN DỊCH VỤ THƯƠNG MẠI TỔNG HỢP WINCOMMERCE</v>
      </c>
      <c r="G472" s="16"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c r="A473" s="14" t="s">
        <v>2403</v>
      </c>
      <c r="B473" s="15" t="s">
        <v>5</v>
      </c>
      <c r="C473" s="10" t="s">
        <v>2404</v>
      </c>
      <c r="D473" s="16" t="s">
        <v>1932</v>
      </c>
      <c r="E473" s="15" t="s">
        <v>11197</v>
      </c>
      <c r="F473" s="16" t="str">
        <f>VLOOKUP(Table8[[#This Row],[Mã khách hàng]],code_khach_hang[],2,0)</f>
        <v>CHI NHÁNH QUẢNG NINH - CÔNG TY CỔ PHẦN DỊCH VỤ THƯƠNG MẠI TỔNG HỢP WINCOMMERCE</v>
      </c>
      <c r="G473" s="16"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c r="A474" s="14" t="s">
        <v>725</v>
      </c>
      <c r="B474" s="15" t="s">
        <v>183</v>
      </c>
      <c r="C474" s="10" t="s">
        <v>726</v>
      </c>
      <c r="D474" s="16" t="s">
        <v>1935</v>
      </c>
      <c r="E474" s="15" t="s">
        <v>11197</v>
      </c>
      <c r="F474" s="16" t="str">
        <f>VLOOKUP(Table8[[#This Row],[Mã khách hàng]],code_khach_hang[],2,0)</f>
        <v>CHI NHÁNH QUẢNG NINH - CÔNG TY CỔ PHẦN DỊCH VỤ THƯƠNG MẠI TỔNG HỢP WINCOMMERCE</v>
      </c>
      <c r="G474" s="16"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c r="A475" s="14" t="s">
        <v>655</v>
      </c>
      <c r="B475" s="15" t="s">
        <v>183</v>
      </c>
      <c r="C475" s="10" t="s">
        <v>656</v>
      </c>
      <c r="D475" s="16" t="s">
        <v>1938</v>
      </c>
      <c r="E475" s="15" t="s">
        <v>11197</v>
      </c>
      <c r="F475" s="16" t="str">
        <f>VLOOKUP(Table8[[#This Row],[Mã khách hàng]],code_khach_hang[],2,0)</f>
        <v>CHI NHÁNH QUẢNG NINH - CÔNG TY CỔ PHẦN DỊCH VỤ THƯƠNG MẠI TỔNG HỢP WINCOMMERCE</v>
      </c>
      <c r="G475" s="16"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c r="A476" s="14" t="s">
        <v>4824</v>
      </c>
      <c r="B476" s="15" t="s">
        <v>5</v>
      </c>
      <c r="C476" s="10" t="s">
        <v>4825</v>
      </c>
      <c r="D476" s="16" t="s">
        <v>1941</v>
      </c>
      <c r="E476" s="15" t="s">
        <v>11215</v>
      </c>
      <c r="F476" s="16" t="str">
        <f>VLOOKUP(Table8[[#This Row],[Mã khách hàng]],code_khach_hang[],2,0)</f>
        <v>CHI NHÁNH HÀ NỘI - CÔNG TY CỔ PHẦN DỊCH VỤ THƯƠNG MẠI TỔNG HỢP WINCOMMERCE</v>
      </c>
      <c r="G476" s="16"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c r="A477" s="14" t="s">
        <v>1245</v>
      </c>
      <c r="B477" s="15" t="s">
        <v>5</v>
      </c>
      <c r="C477" s="10" t="s">
        <v>1246</v>
      </c>
      <c r="D477" s="16" t="s">
        <v>1944</v>
      </c>
      <c r="E477" s="15" t="s">
        <v>11215</v>
      </c>
      <c r="F477" s="16" t="str">
        <f>VLOOKUP(Table8[[#This Row],[Mã khách hàng]],code_khach_hang[],2,0)</f>
        <v>CHI NHÁNH HÀ NỘI - CÔNG TY CỔ PHẦN DỊCH VỤ THƯƠNG MẠI TỔNG HỢP WINCOMMERCE</v>
      </c>
      <c r="G477" s="16"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c r="A478" s="14" t="s">
        <v>1337</v>
      </c>
      <c r="B478" s="15" t="s">
        <v>5</v>
      </c>
      <c r="C478" s="10" t="s">
        <v>1338</v>
      </c>
      <c r="D478" s="16" t="s">
        <v>1947</v>
      </c>
      <c r="E478" s="15" t="s">
        <v>11215</v>
      </c>
      <c r="F478" s="16" t="str">
        <f>VLOOKUP(Table8[[#This Row],[Mã khách hàng]],code_khach_hang[],2,0)</f>
        <v>CHI NHÁNH HÀ NỘI - CÔNG TY CỔ PHẦN DỊCH VỤ THƯƠNG MẠI TỔNG HỢP WINCOMMERCE</v>
      </c>
      <c r="G478" s="16"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c r="A479" s="14" t="s">
        <v>4224</v>
      </c>
      <c r="B479" s="15" t="s">
        <v>5</v>
      </c>
      <c r="C479" s="10" t="s">
        <v>4225</v>
      </c>
      <c r="D479" s="16" t="s">
        <v>1950</v>
      </c>
      <c r="E479" s="15" t="s">
        <v>11215</v>
      </c>
      <c r="F479" s="16" t="str">
        <f>VLOOKUP(Table8[[#This Row],[Mã khách hàng]],code_khach_hang[],2,0)</f>
        <v>CHI NHÁNH HÀ NỘI - CÔNG TY CỔ PHẦN DỊCH VỤ THƯƠNG MẠI TỔNG HỢP WINCOMMERCE</v>
      </c>
      <c r="G479" s="16"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c r="A480" s="14" t="s">
        <v>4311</v>
      </c>
      <c r="B480" s="15" t="s">
        <v>5</v>
      </c>
      <c r="C480" s="10" t="s">
        <v>4312</v>
      </c>
      <c r="D480" s="16" t="s">
        <v>1953</v>
      </c>
      <c r="E480" s="15" t="s">
        <v>11215</v>
      </c>
      <c r="F480" s="16" t="str">
        <f>VLOOKUP(Table8[[#This Row],[Mã khách hàng]],code_khach_hang[],2,0)</f>
        <v>CHI NHÁNH HÀ NỘI - CÔNG TY CỔ PHẦN DỊCH VỤ THƯƠNG MẠI TỔNG HỢP WINCOMMERCE</v>
      </c>
      <c r="G480" s="16"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c r="A481" s="14" t="s">
        <v>4335</v>
      </c>
      <c r="B481" s="15" t="s">
        <v>5</v>
      </c>
      <c r="C481" s="10" t="s">
        <v>4336</v>
      </c>
      <c r="D481" s="16" t="s">
        <v>1956</v>
      </c>
      <c r="E481" s="15" t="s">
        <v>11215</v>
      </c>
      <c r="F481" s="16" t="str">
        <f>VLOOKUP(Table8[[#This Row],[Mã khách hàng]],code_khach_hang[],2,0)</f>
        <v>CHI NHÁNH HÀ NỘI - CÔNG TY CỔ PHẦN DỊCH VỤ THƯƠNG MẠI TỔNG HỢP WINCOMMERCE</v>
      </c>
      <c r="G481" s="16"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c r="A482" s="14" t="s">
        <v>4713</v>
      </c>
      <c r="B482" s="15" t="s">
        <v>5</v>
      </c>
      <c r="C482" s="10" t="s">
        <v>4714</v>
      </c>
      <c r="D482" s="16" t="s">
        <v>1959</v>
      </c>
      <c r="E482" s="15" t="s">
        <v>11215</v>
      </c>
      <c r="F482" s="16" t="str">
        <f>VLOOKUP(Table8[[#This Row],[Mã khách hàng]],code_khach_hang[],2,0)</f>
        <v>CHI NHÁNH HÀ NỘI - CÔNG TY CỔ PHẦN DỊCH VỤ THƯƠNG MẠI TỔNG HỢP WINCOMMERCE</v>
      </c>
      <c r="G482" s="16"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c r="A483" s="14" t="s">
        <v>4848</v>
      </c>
      <c r="B483" s="15" t="s">
        <v>5</v>
      </c>
      <c r="C483" s="10" t="s">
        <v>4849</v>
      </c>
      <c r="D483" s="16" t="s">
        <v>1962</v>
      </c>
      <c r="E483" s="15" t="s">
        <v>11215</v>
      </c>
      <c r="F483" s="16" t="str">
        <f>VLOOKUP(Table8[[#This Row],[Mã khách hàng]],code_khach_hang[],2,0)</f>
        <v>CHI NHÁNH HÀ NỘI - CÔNG TY CỔ PHẦN DỊCH VỤ THƯƠNG MẠI TỔNG HỢP WINCOMMERCE</v>
      </c>
      <c r="G483" s="16"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c r="A484" s="14" t="s">
        <v>4956</v>
      </c>
      <c r="B484" s="15" t="s">
        <v>5</v>
      </c>
      <c r="C484" s="10" t="s">
        <v>4957</v>
      </c>
      <c r="D484" s="16" t="s">
        <v>1965</v>
      </c>
      <c r="E484" s="15" t="s">
        <v>11215</v>
      </c>
      <c r="F484" s="16" t="str">
        <f>VLOOKUP(Table8[[#This Row],[Mã khách hàng]],code_khach_hang[],2,0)</f>
        <v>CHI NHÁNH HÀ NỘI - CÔNG TY CỔ PHẦN DỊCH VỤ THƯƠNG MẠI TỔNG HỢP WINCOMMERCE</v>
      </c>
      <c r="G484" s="16"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c r="A485" s="14" t="s">
        <v>4995</v>
      </c>
      <c r="B485" s="15" t="s">
        <v>5</v>
      </c>
      <c r="C485" s="10" t="s">
        <v>4996</v>
      </c>
      <c r="D485" s="16" t="s">
        <v>1968</v>
      </c>
      <c r="E485" s="15" t="s">
        <v>11215</v>
      </c>
      <c r="F485" s="16" t="str">
        <f>VLOOKUP(Table8[[#This Row],[Mã khách hàng]],code_khach_hang[],2,0)</f>
        <v>CHI NHÁNH HÀ NỘI - CÔNG TY CỔ PHẦN DỊCH VỤ THƯƠNG MẠI TỔNG HỢP WINCOMMERCE</v>
      </c>
      <c r="G485" s="16"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c r="A486" s="14" t="s">
        <v>5157</v>
      </c>
      <c r="B486" s="15" t="s">
        <v>5</v>
      </c>
      <c r="C486" s="10" t="s">
        <v>5158</v>
      </c>
      <c r="D486" s="16" t="s">
        <v>1970</v>
      </c>
      <c r="E486" s="15" t="s">
        <v>11215</v>
      </c>
      <c r="F486" s="16" t="str">
        <f>VLOOKUP(Table8[[#This Row],[Mã khách hàng]],code_khach_hang[],2,0)</f>
        <v>CHI NHÁNH HÀ NỘI - CÔNG TY CỔ PHẦN DỊCH VỤ THƯƠNG MẠI TỔNG HỢP WINCOMMERCE</v>
      </c>
      <c r="G486" s="16"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c r="A487" s="14" t="s">
        <v>5226</v>
      </c>
      <c r="B487" s="15" t="s">
        <v>5</v>
      </c>
      <c r="C487" s="10" t="s">
        <v>5227</v>
      </c>
      <c r="D487" s="16" t="s">
        <v>1973</v>
      </c>
      <c r="E487" s="15" t="s">
        <v>11215</v>
      </c>
      <c r="F487" s="16" t="str">
        <f>VLOOKUP(Table8[[#This Row],[Mã khách hàng]],code_khach_hang[],2,0)</f>
        <v>CHI NHÁNH HÀ NỘI - CÔNG TY CỔ PHẦN DỊCH VỤ THƯƠNG MẠI TỔNG HỢP WINCOMMERCE</v>
      </c>
      <c r="G487" s="16"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c r="A488" s="14" t="s">
        <v>5292</v>
      </c>
      <c r="B488" s="15" t="s">
        <v>5</v>
      </c>
      <c r="C488" s="10" t="s">
        <v>5293</v>
      </c>
      <c r="D488" s="16" t="s">
        <v>1976</v>
      </c>
      <c r="E488" s="15" t="s">
        <v>11215</v>
      </c>
      <c r="F488" s="16" t="str">
        <f>VLOOKUP(Table8[[#This Row],[Mã khách hàng]],code_khach_hang[],2,0)</f>
        <v>CHI NHÁNH HÀ NỘI - CÔNG TY CỔ PHẦN DỊCH VỤ THƯƠNG MẠI TỔNG HỢP WINCOMMERCE</v>
      </c>
      <c r="G488" s="16"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c r="A489" s="14" t="s">
        <v>5364</v>
      </c>
      <c r="B489" s="15" t="s">
        <v>5</v>
      </c>
      <c r="C489" s="10" t="s">
        <v>5365</v>
      </c>
      <c r="D489" s="16" t="s">
        <v>1979</v>
      </c>
      <c r="E489" s="15" t="s">
        <v>11215</v>
      </c>
      <c r="F489" s="16" t="str">
        <f>VLOOKUP(Table8[[#This Row],[Mã khách hàng]],code_khach_hang[],2,0)</f>
        <v>CHI NHÁNH HÀ NỘI - CÔNG TY CỔ PHẦN DỊCH VỤ THƯƠNG MẠI TỔNG HỢP WINCOMMERCE</v>
      </c>
      <c r="G489" s="16"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c r="A490" s="14" t="s">
        <v>5415</v>
      </c>
      <c r="B490" s="15" t="s">
        <v>5</v>
      </c>
      <c r="C490" s="10" t="s">
        <v>5416</v>
      </c>
      <c r="D490" s="16" t="s">
        <v>1982</v>
      </c>
      <c r="E490" s="15" t="s">
        <v>11215</v>
      </c>
      <c r="F490" s="16" t="str">
        <f>VLOOKUP(Table8[[#This Row],[Mã khách hàng]],code_khach_hang[],2,0)</f>
        <v>CHI NHÁNH HÀ NỘI - CÔNG TY CỔ PHẦN DỊCH VỤ THƯƠNG MẠI TỔNG HỢP WINCOMMERCE</v>
      </c>
      <c r="G490" s="16"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c r="A491" s="14" t="s">
        <v>5469</v>
      </c>
      <c r="B491" s="15" t="s">
        <v>5</v>
      </c>
      <c r="C491" s="10" t="s">
        <v>5470</v>
      </c>
      <c r="D491" s="16" t="s">
        <v>1985</v>
      </c>
      <c r="E491" s="15" t="s">
        <v>11215</v>
      </c>
      <c r="F491" s="16" t="str">
        <f>VLOOKUP(Table8[[#This Row],[Mã khách hàng]],code_khach_hang[],2,0)</f>
        <v>CHI NHÁNH HÀ NỘI - CÔNG TY CỔ PHẦN DỊCH VỤ THƯƠNG MẠI TỔNG HỢP WINCOMMERCE</v>
      </c>
      <c r="G491" s="16"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c r="A492" s="14" t="s">
        <v>5556</v>
      </c>
      <c r="B492" s="15" t="s">
        <v>5</v>
      </c>
      <c r="C492" s="10" t="s">
        <v>5557</v>
      </c>
      <c r="D492" s="16" t="s">
        <v>1987</v>
      </c>
      <c r="E492" s="15" t="s">
        <v>11215</v>
      </c>
      <c r="F492" s="16" t="str">
        <f>VLOOKUP(Table8[[#This Row],[Mã khách hàng]],code_khach_hang[],2,0)</f>
        <v>CHI NHÁNH HÀ NỘI - CÔNG TY CỔ PHẦN DỊCH VỤ THƯƠNG MẠI TỔNG HỢP WINCOMMERCE</v>
      </c>
      <c r="G492" s="16"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c r="A493" s="14" t="s">
        <v>5842</v>
      </c>
      <c r="B493" s="15" t="s">
        <v>5</v>
      </c>
      <c r="C493" s="10" t="s">
        <v>5843</v>
      </c>
      <c r="D493" s="16" t="s">
        <v>1989</v>
      </c>
      <c r="E493" s="15" t="s">
        <v>11215</v>
      </c>
      <c r="F493" s="16" t="str">
        <f>VLOOKUP(Table8[[#This Row],[Mã khách hàng]],code_khach_hang[],2,0)</f>
        <v>CHI NHÁNH HÀ NỘI - CÔNG TY CỔ PHẦN DỊCH VỤ THƯƠNG MẠI TỔNG HỢP WINCOMMERCE</v>
      </c>
      <c r="G493" s="16"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c r="A494" s="14" t="s">
        <v>6348</v>
      </c>
      <c r="B494" s="15" t="s">
        <v>5</v>
      </c>
      <c r="C494" s="10" t="s">
        <v>6349</v>
      </c>
      <c r="D494" s="16" t="s">
        <v>1992</v>
      </c>
      <c r="E494" s="15" t="s">
        <v>11215</v>
      </c>
      <c r="F494" s="16" t="str">
        <f>VLOOKUP(Table8[[#This Row],[Mã khách hàng]],code_khach_hang[],2,0)</f>
        <v>CHI NHÁNH HÀ NỘI - CÔNG TY CỔ PHẦN DỊCH VỤ THƯƠNG MẠI TỔNG HỢP WINCOMMERCE</v>
      </c>
      <c r="G494" s="16"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c r="A495" s="14" t="s">
        <v>6425</v>
      </c>
      <c r="B495" s="15" t="s">
        <v>5</v>
      </c>
      <c r="C495" s="10" t="s">
        <v>6426</v>
      </c>
      <c r="D495" s="16" t="s">
        <v>1994</v>
      </c>
      <c r="E495" s="14" t="s">
        <v>11215</v>
      </c>
      <c r="F495" s="16" t="str">
        <f>VLOOKUP(Table8[[#This Row],[Mã khách hàng]],code_khach_hang[],2,0)</f>
        <v>CHI NHÁNH HÀ NỘI - CÔNG TY CỔ PHẦN DỊCH VỤ THƯƠNG MẠI TỔNG HỢP WINCOMMERCE</v>
      </c>
      <c r="G495" s="16"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c r="A496" s="14" t="s">
        <v>6536</v>
      </c>
      <c r="B496" s="15" t="s">
        <v>5</v>
      </c>
      <c r="C496" s="10" t="s">
        <v>6537</v>
      </c>
      <c r="D496" s="16" t="s">
        <v>1996</v>
      </c>
      <c r="E496" s="15" t="s">
        <v>11215</v>
      </c>
      <c r="F496" s="16" t="str">
        <f>VLOOKUP(Table8[[#This Row],[Mã khách hàng]],code_khach_hang[],2,0)</f>
        <v>CHI NHÁNH HÀ NỘI - CÔNG TY CỔ PHẦN DỊCH VỤ THƯƠNG MẠI TỔNG HỢP WINCOMMERCE</v>
      </c>
      <c r="G496" s="16"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c r="A497" s="14" t="s">
        <v>6731</v>
      </c>
      <c r="B497" s="15" t="s">
        <v>5</v>
      </c>
      <c r="C497" s="10" t="s">
        <v>6732</v>
      </c>
      <c r="D497" s="16" t="s">
        <v>2000</v>
      </c>
      <c r="E497" s="15" t="s">
        <v>11215</v>
      </c>
      <c r="F497" s="16" t="str">
        <f>VLOOKUP(Table8[[#This Row],[Mã khách hàng]],code_khach_hang[],2,0)</f>
        <v>CHI NHÁNH HÀ NỘI - CÔNG TY CỔ PHẦN DỊCH VỤ THƯƠNG MẠI TỔNG HỢP WINCOMMERCE</v>
      </c>
      <c r="G497" s="16"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c r="A498" s="14" t="s">
        <v>6737</v>
      </c>
      <c r="B498" s="15" t="s">
        <v>5</v>
      </c>
      <c r="C498" s="10" t="s">
        <v>6738</v>
      </c>
      <c r="D498" s="16" t="s">
        <v>2003</v>
      </c>
      <c r="E498" s="15" t="s">
        <v>11215</v>
      </c>
      <c r="F498" s="16" t="str">
        <f>VLOOKUP(Table8[[#This Row],[Mã khách hàng]],code_khach_hang[],2,0)</f>
        <v>CHI NHÁNH HÀ NỘI - CÔNG TY CỔ PHẦN DỊCH VỤ THƯƠNG MẠI TỔNG HỢP WINCOMMERCE</v>
      </c>
      <c r="G498" s="16"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c r="A499" s="14" t="s">
        <v>6791</v>
      </c>
      <c r="B499" s="15" t="s">
        <v>5</v>
      </c>
      <c r="C499" s="10" t="s">
        <v>6792</v>
      </c>
      <c r="D499" s="16" t="s">
        <v>2006</v>
      </c>
      <c r="E499" s="15" t="s">
        <v>11215</v>
      </c>
      <c r="F499" s="16" t="str">
        <f>VLOOKUP(Table8[[#This Row],[Mã khách hàng]],code_khach_hang[],2,0)</f>
        <v>CHI NHÁNH HÀ NỘI - CÔNG TY CỔ PHẦN DỊCH VỤ THƯƠNG MẠI TỔNG HỢP WINCOMMERCE</v>
      </c>
      <c r="G499" s="16"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c r="A500" s="14" t="s">
        <v>6794</v>
      </c>
      <c r="B500" s="15" t="s">
        <v>5</v>
      </c>
      <c r="C500" s="10" t="s">
        <v>6795</v>
      </c>
      <c r="D500" s="16" t="s">
        <v>2009</v>
      </c>
      <c r="E500" s="15" t="s">
        <v>11215</v>
      </c>
      <c r="F500" s="16" t="str">
        <f>VLOOKUP(Table8[[#This Row],[Mã khách hàng]],code_khach_hang[],2,0)</f>
        <v>CHI NHÁNH HÀ NỘI - CÔNG TY CỔ PHẦN DỊCH VỤ THƯƠNG MẠI TỔNG HỢP WINCOMMERCE</v>
      </c>
      <c r="G500" s="16"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c r="A501" s="14" t="s">
        <v>6809</v>
      </c>
      <c r="B501" s="15" t="s">
        <v>5</v>
      </c>
      <c r="C501" s="10" t="s">
        <v>6810</v>
      </c>
      <c r="D501" s="16" t="s">
        <v>2012</v>
      </c>
      <c r="E501" s="15" t="s">
        <v>11215</v>
      </c>
      <c r="F501" s="16" t="str">
        <f>VLOOKUP(Table8[[#This Row],[Mã khách hàng]],code_khach_hang[],2,0)</f>
        <v>CHI NHÁNH HÀ NỘI - CÔNG TY CỔ PHẦN DỊCH VỤ THƯƠNG MẠI TỔNG HỢP WINCOMMERCE</v>
      </c>
      <c r="G501" s="16"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c r="A502" s="14" t="s">
        <v>11099</v>
      </c>
      <c r="B502" s="15" t="s">
        <v>5</v>
      </c>
      <c r="C502" s="10" t="s">
        <v>13148</v>
      </c>
      <c r="D502" s="16" t="s">
        <v>2015</v>
      </c>
      <c r="E502" s="15" t="s">
        <v>11215</v>
      </c>
      <c r="F502" s="16" t="str">
        <f>VLOOKUP(Table8[[#This Row],[Mã khách hàng]],code_khach_hang[],2,0)</f>
        <v>CHI NHÁNH HÀ NỘI - CÔNG TY CỔ PHẦN DỊCH VỤ THƯƠNG MẠI TỔNG HỢP WINCOMMERCE</v>
      </c>
      <c r="G502" s="16"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c r="A503" s="14" t="s">
        <v>6818</v>
      </c>
      <c r="B503" s="15" t="s">
        <v>5</v>
      </c>
      <c r="C503" s="10" t="s">
        <v>6819</v>
      </c>
      <c r="D503" s="16" t="s">
        <v>2018</v>
      </c>
      <c r="E503" s="15" t="s">
        <v>11215</v>
      </c>
      <c r="F503" s="16" t="str">
        <f>VLOOKUP(Table8[[#This Row],[Mã khách hàng]],code_khach_hang[],2,0)</f>
        <v>CHI NHÁNH HÀ NỘI - CÔNG TY CỔ PHẦN DỊCH VỤ THƯƠNG MẠI TỔNG HỢP WINCOMMERCE</v>
      </c>
      <c r="G503" s="16"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c r="A504" s="14" t="s">
        <v>6821</v>
      </c>
      <c r="B504" s="15" t="s">
        <v>5</v>
      </c>
      <c r="C504" s="10" t="s">
        <v>6822</v>
      </c>
      <c r="D504" s="16" t="s">
        <v>2021</v>
      </c>
      <c r="E504" s="14" t="s">
        <v>11215</v>
      </c>
      <c r="F504" s="16" t="str">
        <f>VLOOKUP(Table8[[#This Row],[Mã khách hàng]],code_khach_hang[],2,0)</f>
        <v>CHI NHÁNH HÀ NỘI - CÔNG TY CỔ PHẦN DỊCH VỤ THƯƠNG MẠI TỔNG HỢP WINCOMMERCE</v>
      </c>
      <c r="G504" s="16"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c r="A505" s="14" t="s">
        <v>6839</v>
      </c>
      <c r="B505" s="15" t="s">
        <v>5</v>
      </c>
      <c r="C505" s="10" t="s">
        <v>6840</v>
      </c>
      <c r="D505" s="16" t="s">
        <v>2024</v>
      </c>
      <c r="E505" s="15" t="s">
        <v>11215</v>
      </c>
      <c r="F505" s="16" t="str">
        <f>VLOOKUP(Table8[[#This Row],[Mã khách hàng]],code_khach_hang[],2,0)</f>
        <v>CHI NHÁNH HÀ NỘI - CÔNG TY CỔ PHẦN DỊCH VỤ THƯƠNG MẠI TỔNG HỢP WINCOMMERCE</v>
      </c>
      <c r="G505" s="16"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c r="A506" s="14" t="s">
        <v>6842</v>
      </c>
      <c r="B506" s="15" t="s">
        <v>5</v>
      </c>
      <c r="C506" s="10" t="s">
        <v>6843</v>
      </c>
      <c r="D506" s="16" t="s">
        <v>2027</v>
      </c>
      <c r="E506" s="15" t="s">
        <v>11215</v>
      </c>
      <c r="F506" s="16" t="str">
        <f>VLOOKUP(Table8[[#This Row],[Mã khách hàng]],code_khach_hang[],2,0)</f>
        <v>CHI NHÁNH HÀ NỘI - CÔNG TY CỔ PHẦN DỊCH VỤ THƯƠNG MẠI TỔNG HỢP WINCOMMERCE</v>
      </c>
      <c r="G506" s="16"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c r="A507" s="14" t="s">
        <v>6890</v>
      </c>
      <c r="B507" s="15" t="s">
        <v>5</v>
      </c>
      <c r="C507" s="10" t="s">
        <v>6891</v>
      </c>
      <c r="D507" s="16" t="s">
        <v>2030</v>
      </c>
      <c r="E507" s="15" t="s">
        <v>11215</v>
      </c>
      <c r="F507" s="16" t="str">
        <f>VLOOKUP(Table8[[#This Row],[Mã khách hàng]],code_khach_hang[],2,0)</f>
        <v>CHI NHÁNH HÀ NỘI - CÔNG TY CỔ PHẦN DỊCH VỤ THƯƠNG MẠI TỔNG HỢP WINCOMMERCE</v>
      </c>
      <c r="G507" s="16"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c r="A508" s="14" t="s">
        <v>6893</v>
      </c>
      <c r="B508" s="15" t="s">
        <v>5</v>
      </c>
      <c r="C508" s="10" t="s">
        <v>6894</v>
      </c>
      <c r="D508" s="16" t="s">
        <v>2033</v>
      </c>
      <c r="E508" s="15" t="s">
        <v>11215</v>
      </c>
      <c r="F508" s="16" t="str">
        <f>VLOOKUP(Table8[[#This Row],[Mã khách hàng]],code_khach_hang[],2,0)</f>
        <v>CHI NHÁNH HÀ NỘI - CÔNG TY CỔ PHẦN DỊCH VỤ THƯƠNG MẠI TỔNG HỢP WINCOMMERCE</v>
      </c>
      <c r="G508" s="16"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c r="A509" s="14" t="s">
        <v>6896</v>
      </c>
      <c r="B509" s="15" t="s">
        <v>5</v>
      </c>
      <c r="C509" s="10" t="s">
        <v>6897</v>
      </c>
      <c r="D509" s="16" t="s">
        <v>2036</v>
      </c>
      <c r="E509" s="15" t="s">
        <v>11215</v>
      </c>
      <c r="F509" s="16" t="str">
        <f>VLOOKUP(Table8[[#This Row],[Mã khách hàng]],code_khach_hang[],2,0)</f>
        <v>CHI NHÁNH HÀ NỘI - CÔNG TY CỔ PHẦN DỊCH VỤ THƯƠNG MẠI TỔNG HỢP WINCOMMERCE</v>
      </c>
      <c r="G509" s="16"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c r="A510" s="14" t="s">
        <v>7183</v>
      </c>
      <c r="B510" s="15" t="s">
        <v>5</v>
      </c>
      <c r="C510" s="10" t="e">
        <v>#N/A</v>
      </c>
      <c r="D510" s="16" t="s">
        <v>2038</v>
      </c>
      <c r="E510" s="15" t="s">
        <v>11215</v>
      </c>
      <c r="F510" s="16" t="str">
        <f>VLOOKUP(Table8[[#This Row],[Mã khách hàng]],code_khach_hang[],2,0)</f>
        <v>CHI NHÁNH HÀ NỘI - CÔNG TY CỔ PHẦN DỊCH VỤ THƯƠNG MẠI TỔNG HỢP WINCOMMERCE</v>
      </c>
      <c r="G510" s="16"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c r="A511" s="14" t="s">
        <v>7434</v>
      </c>
      <c r="B511" s="15" t="s">
        <v>5</v>
      </c>
      <c r="C511" s="10" t="s">
        <v>7435</v>
      </c>
      <c r="D511" s="16" t="s">
        <v>2041</v>
      </c>
      <c r="E511" s="15" t="s">
        <v>11215</v>
      </c>
      <c r="F511" s="16" t="str">
        <f>VLOOKUP(Table8[[#This Row],[Mã khách hàng]],code_khach_hang[],2,0)</f>
        <v>CHI NHÁNH HÀ NỘI - CÔNG TY CỔ PHẦN DỊCH VỤ THƯƠNG MẠI TỔNG HỢP WINCOMMERCE</v>
      </c>
      <c r="G511" s="16"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c r="A512" s="14" t="s">
        <v>7927</v>
      </c>
      <c r="B512" s="15" t="s">
        <v>5</v>
      </c>
      <c r="C512" s="10" t="s">
        <v>7928</v>
      </c>
      <c r="D512" s="16" t="s">
        <v>2044</v>
      </c>
      <c r="E512" s="15" t="s">
        <v>11215</v>
      </c>
      <c r="F512" s="16" t="str">
        <f>VLOOKUP(Table8[[#This Row],[Mã khách hàng]],code_khach_hang[],2,0)</f>
        <v>CHI NHÁNH HÀ NỘI - CÔNG TY CỔ PHẦN DỊCH VỤ THƯƠNG MẠI TỔNG HỢP WINCOMMERCE</v>
      </c>
      <c r="G512" s="16"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c r="A513" s="14" t="s">
        <v>7930</v>
      </c>
      <c r="B513" s="15" t="s">
        <v>5</v>
      </c>
      <c r="C513" s="10" t="s">
        <v>7931</v>
      </c>
      <c r="D513" s="16" t="s">
        <v>2047</v>
      </c>
      <c r="E513" s="15" t="s">
        <v>11215</v>
      </c>
      <c r="F513" s="16" t="str">
        <f>VLOOKUP(Table8[[#This Row],[Mã khách hàng]],code_khach_hang[],2,0)</f>
        <v>CHI NHÁNH HÀ NỘI - CÔNG TY CỔ PHẦN DỊCH VỤ THƯƠNG MẠI TỔNG HỢP WINCOMMERCE</v>
      </c>
      <c r="G513" s="16"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c r="A514" s="14" t="s">
        <v>8355</v>
      </c>
      <c r="B514" s="15" t="s">
        <v>5</v>
      </c>
      <c r="C514" s="10" t="s">
        <v>8356</v>
      </c>
      <c r="D514" s="16" t="s">
        <v>2050</v>
      </c>
      <c r="E514" s="15" t="s">
        <v>11215</v>
      </c>
      <c r="F514" s="16" t="str">
        <f>VLOOKUP(Table8[[#This Row],[Mã khách hàng]],code_khach_hang[],2,0)</f>
        <v>CHI NHÁNH HÀ NỘI - CÔNG TY CỔ PHẦN DỊCH VỤ THƯƠNG MẠI TỔNG HỢP WINCOMMERCE</v>
      </c>
      <c r="G514" s="16"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c r="A515" s="14" t="s">
        <v>1343</v>
      </c>
      <c r="B515" s="15" t="s">
        <v>5</v>
      </c>
      <c r="C515" s="10" t="s">
        <v>1344</v>
      </c>
      <c r="D515" s="16" t="s">
        <v>2053</v>
      </c>
      <c r="E515" s="15" t="s">
        <v>11216</v>
      </c>
      <c r="F515" s="16" t="str">
        <f>VLOOKUP(Table8[[#This Row],[Mã khách hàng]],code_khach_hang[],2,0)</f>
        <v>CHI NHÁNH HƯNG YÊN - CÔNG TY CỔ PHẦN DỊCH VỤ THƯƠNG MẠI TỔNG HỢP WINCOMMERCE</v>
      </c>
      <c r="G515" s="16"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c r="A516" s="14" t="s">
        <v>4209</v>
      </c>
      <c r="B516" s="15" t="s">
        <v>5</v>
      </c>
      <c r="C516" s="10" t="s">
        <v>4210</v>
      </c>
      <c r="D516" s="16" t="s">
        <v>2056</v>
      </c>
      <c r="E516" s="15" t="s">
        <v>11216</v>
      </c>
      <c r="F516" s="16" t="str">
        <f>VLOOKUP(Table8[[#This Row],[Mã khách hàng]],code_khach_hang[],2,0)</f>
        <v>CHI NHÁNH HƯNG YÊN - CÔNG TY CỔ PHẦN DỊCH VỤ THƯƠNG MẠI TỔNG HỢP WINCOMMERCE</v>
      </c>
      <c r="G516" s="16"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c r="A517" s="14" t="s">
        <v>4212</v>
      </c>
      <c r="B517" s="15" t="s">
        <v>5</v>
      </c>
      <c r="C517" s="10" t="s">
        <v>4213</v>
      </c>
      <c r="D517" s="16" t="s">
        <v>2059</v>
      </c>
      <c r="E517" s="15" t="s">
        <v>11216</v>
      </c>
      <c r="F517" s="16" t="str">
        <f>VLOOKUP(Table8[[#This Row],[Mã khách hàng]],code_khach_hang[],2,0)</f>
        <v>CHI NHÁNH HƯNG YÊN - CÔNG TY CỔ PHẦN DỊCH VỤ THƯƠNG MẠI TỔNG HỢP WINCOMMERCE</v>
      </c>
      <c r="G517" s="16"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c r="A518" s="14" t="s">
        <v>4602</v>
      </c>
      <c r="B518" s="15" t="s">
        <v>5</v>
      </c>
      <c r="C518" s="10" t="s">
        <v>4603</v>
      </c>
      <c r="D518" s="16" t="s">
        <v>2062</v>
      </c>
      <c r="E518" s="15" t="s">
        <v>11216</v>
      </c>
      <c r="F518" s="16" t="str">
        <f>VLOOKUP(Table8[[#This Row],[Mã khách hàng]],code_khach_hang[],2,0)</f>
        <v>CHI NHÁNH HƯNG YÊN - CÔNG TY CỔ PHẦN DỊCH VỤ THƯƠNG MẠI TỔNG HỢP WINCOMMERCE</v>
      </c>
      <c r="G518" s="16"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c r="A519" s="14" t="s">
        <v>5076</v>
      </c>
      <c r="B519" s="15" t="s">
        <v>5</v>
      </c>
      <c r="C519" s="10" t="s">
        <v>5077</v>
      </c>
      <c r="D519" s="16" t="s">
        <v>2065</v>
      </c>
      <c r="E519" s="15" t="s">
        <v>11216</v>
      </c>
      <c r="F519" s="16" t="str">
        <f>VLOOKUP(Table8[[#This Row],[Mã khách hàng]],code_khach_hang[],2,0)</f>
        <v>CHI NHÁNH HƯNG YÊN - CÔNG TY CỔ PHẦN DỊCH VỤ THƯƠNG MẠI TỔNG HỢP WINCOMMERCE</v>
      </c>
      <c r="G519" s="16"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c r="A520" s="14" t="s">
        <v>5115</v>
      </c>
      <c r="B520" s="15" t="s">
        <v>5</v>
      </c>
      <c r="C520" s="10" t="s">
        <v>5116</v>
      </c>
      <c r="D520" s="16" t="s">
        <v>2067</v>
      </c>
      <c r="E520" s="15" t="s">
        <v>11216</v>
      </c>
      <c r="F520" s="16" t="str">
        <f>VLOOKUP(Table8[[#This Row],[Mã khách hàng]],code_khach_hang[],2,0)</f>
        <v>CHI NHÁNH HƯNG YÊN - CÔNG TY CỔ PHẦN DỊCH VỤ THƯƠNG MẠI TỔNG HỢP WINCOMMERCE</v>
      </c>
      <c r="G520" s="16"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c r="A521" s="14" t="s">
        <v>5920</v>
      </c>
      <c r="B521" s="15" t="s">
        <v>5</v>
      </c>
      <c r="C521" s="10" t="s">
        <v>5921</v>
      </c>
      <c r="D521" s="16" t="s">
        <v>2070</v>
      </c>
      <c r="E521" s="15" t="s">
        <v>11216</v>
      </c>
      <c r="F521" s="16" t="str">
        <f>VLOOKUP(Table8[[#This Row],[Mã khách hàng]],code_khach_hang[],2,0)</f>
        <v>CHI NHÁNH HƯNG YÊN - CÔNG TY CỔ PHẦN DỊCH VỤ THƯƠNG MẠI TỔNG HỢP WINCOMMERCE</v>
      </c>
      <c r="G521" s="16"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c r="A522" s="14" t="s">
        <v>9333</v>
      </c>
      <c r="B522" s="15" t="s">
        <v>5</v>
      </c>
      <c r="C522" s="10" t="s">
        <v>9334</v>
      </c>
      <c r="D522" s="16" t="s">
        <v>2073</v>
      </c>
      <c r="E522" s="15" t="s">
        <v>11216</v>
      </c>
      <c r="F522" s="16" t="str">
        <f>VLOOKUP(Table8[[#This Row],[Mã khách hàng]],code_khach_hang[],2,0)</f>
        <v>CHI NHÁNH HƯNG YÊN - CÔNG TY CỔ PHẦN DỊCH VỤ THƯƠNG MẠI TỔNG HỢP WINCOMMERCE</v>
      </c>
      <c r="G522" s="16"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c r="A523" s="14" t="s">
        <v>5956</v>
      </c>
      <c r="B523" s="15" t="s">
        <v>5</v>
      </c>
      <c r="C523" s="10" t="s">
        <v>5957</v>
      </c>
      <c r="D523" s="16" t="s">
        <v>2076</v>
      </c>
      <c r="E523" s="15" t="s">
        <v>11216</v>
      </c>
      <c r="F523" s="16" t="str">
        <f>VLOOKUP(Table8[[#This Row],[Mã khách hàng]],code_khach_hang[],2,0)</f>
        <v>CHI NHÁNH HƯNG YÊN - CÔNG TY CỔ PHẦN DỊCH VỤ THƯƠNG MẠI TỔNG HỢP WINCOMMERCE</v>
      </c>
      <c r="G523" s="16"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c r="A524" s="14" t="s">
        <v>6878</v>
      </c>
      <c r="B524" s="15" t="s">
        <v>5</v>
      </c>
      <c r="C524" s="10" t="s">
        <v>6879</v>
      </c>
      <c r="D524" s="16" t="s">
        <v>2078</v>
      </c>
      <c r="E524" s="15" t="s">
        <v>11216</v>
      </c>
      <c r="F524" s="16" t="str">
        <f>VLOOKUP(Table8[[#This Row],[Mã khách hàng]],code_khach_hang[],2,0)</f>
        <v>CHI NHÁNH HƯNG YÊN - CÔNG TY CỔ PHẦN DỊCH VỤ THƯƠNG MẠI TỔNG HỢP WINCOMMERCE</v>
      </c>
      <c r="G524" s="16"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c r="A525" s="14" t="s">
        <v>8868</v>
      </c>
      <c r="B525" s="15" t="s">
        <v>5</v>
      </c>
      <c r="C525" s="10" t="s">
        <v>8869</v>
      </c>
      <c r="D525" s="16" t="s">
        <v>2081</v>
      </c>
      <c r="E525" s="15" t="s">
        <v>11216</v>
      </c>
      <c r="F525" s="16" t="str">
        <f>VLOOKUP(Table8[[#This Row],[Mã khách hàng]],code_khach_hang[],2,0)</f>
        <v>CHI NHÁNH HƯNG YÊN - CÔNG TY CỔ PHẦN DỊCH VỤ THƯƠNG MẠI TỔNG HỢP WINCOMMERCE</v>
      </c>
      <c r="G525" s="16"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c r="A526" s="14" t="s">
        <v>8892</v>
      </c>
      <c r="B526" s="15" t="s">
        <v>5</v>
      </c>
      <c r="C526" s="10" t="s">
        <v>8893</v>
      </c>
      <c r="D526" s="16" t="s">
        <v>2083</v>
      </c>
      <c r="E526" s="15" t="s">
        <v>11216</v>
      </c>
      <c r="F526" s="16" t="str">
        <f>VLOOKUP(Table8[[#This Row],[Mã khách hàng]],code_khach_hang[],2,0)</f>
        <v>CHI NHÁNH HƯNG YÊN - CÔNG TY CỔ PHẦN DỊCH VỤ THƯƠNG MẠI TỔNG HỢP WINCOMMERCE</v>
      </c>
      <c r="G526" s="16"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c r="A527" s="14" t="s">
        <v>9040</v>
      </c>
      <c r="B527" s="15" t="s">
        <v>5</v>
      </c>
      <c r="C527" s="10" t="s">
        <v>9041</v>
      </c>
      <c r="D527" s="16" t="s">
        <v>2086</v>
      </c>
      <c r="E527" s="15" t="s">
        <v>11215</v>
      </c>
      <c r="F527" s="16" t="str">
        <f>VLOOKUP(Table8[[#This Row],[Mã khách hàng]],code_khach_hang[],2,0)</f>
        <v>CHI NHÁNH HÀ NỘI - CÔNG TY CỔ PHẦN DỊCH VỤ THƯƠNG MẠI TỔNG HỢP WINCOMMERCE</v>
      </c>
      <c r="G527" s="16"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c r="A528" s="14" t="s">
        <v>9108</v>
      </c>
      <c r="B528" s="15" t="s">
        <v>5</v>
      </c>
      <c r="C528" s="10" t="s">
        <v>9109</v>
      </c>
      <c r="D528" s="16" t="s">
        <v>2089</v>
      </c>
      <c r="E528" s="15" t="s">
        <v>11215</v>
      </c>
      <c r="F528" s="16" t="str">
        <f>VLOOKUP(Table8[[#This Row],[Mã khách hàng]],code_khach_hang[],2,0)</f>
        <v>CHI NHÁNH HÀ NỘI - CÔNG TY CỔ PHẦN DỊCH VỤ THƯƠNG MẠI TỔNG HỢP WINCOMMERCE</v>
      </c>
      <c r="G528" s="16"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c r="A529" s="14" t="s">
        <v>2333</v>
      </c>
      <c r="B529" s="15" t="s">
        <v>5</v>
      </c>
      <c r="C529" s="10" t="s">
        <v>2334</v>
      </c>
      <c r="D529" s="16" t="s">
        <v>2092</v>
      </c>
      <c r="E529" s="15" t="s">
        <v>11215</v>
      </c>
      <c r="F529" s="16" t="str">
        <f>VLOOKUP(Table8[[#This Row],[Mã khách hàng]],code_khach_hang[],2,0)</f>
        <v>CHI NHÁNH HÀ NỘI - CÔNG TY CỔ PHẦN DỊCH VỤ THƯƠNG MẠI TỔNG HỢP WINCOMMERCE</v>
      </c>
      <c r="G529" s="16"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c r="A530" s="14" t="s">
        <v>2625</v>
      </c>
      <c r="B530" s="15" t="s">
        <v>5</v>
      </c>
      <c r="C530" s="10" t="s">
        <v>2626</v>
      </c>
      <c r="D530" s="16" t="s">
        <v>2095</v>
      </c>
      <c r="E530" s="15" t="s">
        <v>11216</v>
      </c>
      <c r="F530" s="16" t="str">
        <f>VLOOKUP(Table8[[#This Row],[Mã khách hàng]],code_khach_hang[],2,0)</f>
        <v>CHI NHÁNH HƯNG YÊN - CÔNG TY CỔ PHẦN DỊCH VỤ THƯƠNG MẠI TỔNG HỢP WINCOMMERCE</v>
      </c>
      <c r="G530" s="16"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c r="A531" s="14" t="s">
        <v>2697</v>
      </c>
      <c r="B531" s="15" t="s">
        <v>5</v>
      </c>
      <c r="C531" s="10" t="s">
        <v>2698</v>
      </c>
      <c r="D531" s="16" t="s">
        <v>2098</v>
      </c>
      <c r="E531" s="15" t="s">
        <v>11215</v>
      </c>
      <c r="F531" s="16" t="str">
        <f>VLOOKUP(Table8[[#This Row],[Mã khách hàng]],code_khach_hang[],2,0)</f>
        <v>CHI NHÁNH HÀ NỘI - CÔNG TY CỔ PHẦN DỊCH VỤ THƯƠNG MẠI TỔNG HỢP WINCOMMERCE</v>
      </c>
      <c r="G531" s="16"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c r="A532" s="14" t="s">
        <v>640</v>
      </c>
      <c r="B532" s="15" t="s">
        <v>183</v>
      </c>
      <c r="C532" s="10" t="s">
        <v>641</v>
      </c>
      <c r="D532" s="16" t="s">
        <v>2101</v>
      </c>
      <c r="E532" s="15" t="s">
        <v>11195</v>
      </c>
      <c r="F532" s="16" t="str">
        <f>VLOOKUP(Table8[[#This Row],[Mã khách hàng]],code_khach_hang[],2,0)</f>
        <v>CHI NHÁNH HÀ NỘI - CÔNG TY CỔ PHẦN DỊCH VỤ THƯƠNG MẠI TỔNG HỢP WINCOMMERCE</v>
      </c>
      <c r="G532" s="16"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c r="A533" s="14" t="s">
        <v>6902</v>
      </c>
      <c r="B533" s="15" t="s">
        <v>5</v>
      </c>
      <c r="C533" s="10" t="s">
        <v>6903</v>
      </c>
      <c r="D533" s="16" t="s">
        <v>2104</v>
      </c>
      <c r="E533" s="15" t="s">
        <v>11217</v>
      </c>
      <c r="F533" s="16" t="str">
        <f>VLOOKUP(Table8[[#This Row],[Mã khách hàng]],code_khach_hang[],2,0)</f>
        <v>CHI NHÁNH BẮC GIANG - CÔNG TY CỔ PHẦN DỊCH VỤ THƯƠNG MẠI TỔNG HỢP WINCOMMERCE</v>
      </c>
      <c r="G533" s="16"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c r="A534" s="14" t="s">
        <v>6935</v>
      </c>
      <c r="B534" s="15" t="s">
        <v>5</v>
      </c>
      <c r="C534" s="10" t="s">
        <v>6936</v>
      </c>
      <c r="D534" s="16" t="s">
        <v>2107</v>
      </c>
      <c r="E534" s="14" t="s">
        <v>11217</v>
      </c>
      <c r="F534" s="16" t="str">
        <f>VLOOKUP(Table8[[#This Row],[Mã khách hàng]],code_khach_hang[],2,0)</f>
        <v>CHI NHÁNH BẮC GIANG - CÔNG TY CỔ PHẦN DỊCH VỤ THƯƠNG MẠI TỔNG HỢP WINCOMMERCE</v>
      </c>
      <c r="G534" s="16"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c r="A535" s="14" t="s">
        <v>7571</v>
      </c>
      <c r="B535" s="15" t="s">
        <v>5</v>
      </c>
      <c r="C535" s="10" t="s">
        <v>7572</v>
      </c>
      <c r="D535" s="16" t="s">
        <v>2110</v>
      </c>
      <c r="E535" s="15" t="s">
        <v>11217</v>
      </c>
      <c r="F535" s="16" t="str">
        <f>VLOOKUP(Table8[[#This Row],[Mã khách hàng]],code_khach_hang[],2,0)</f>
        <v>CHI NHÁNH BẮC GIANG - CÔNG TY CỔ PHẦN DỊCH VỤ THƯƠNG MẠI TỔNG HỢP WINCOMMERCE</v>
      </c>
      <c r="G535" s="16"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c r="A536" s="14" t="s">
        <v>7574</v>
      </c>
      <c r="B536" s="15" t="s">
        <v>5</v>
      </c>
      <c r="C536" s="10" t="s">
        <v>7575</v>
      </c>
      <c r="D536" s="16" t="s">
        <v>2113</v>
      </c>
      <c r="E536" s="15" t="s">
        <v>11217</v>
      </c>
      <c r="F536" s="16" t="str">
        <f>VLOOKUP(Table8[[#This Row],[Mã khách hàng]],code_khach_hang[],2,0)</f>
        <v>CHI NHÁNH BẮC GIANG - CÔNG TY CỔ PHẦN DỊCH VỤ THƯƠNG MẠI TỔNG HỢP WINCOMMERCE</v>
      </c>
      <c r="G536" s="16"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c r="A537" s="14" t="s">
        <v>7643</v>
      </c>
      <c r="B537" s="15" t="s">
        <v>5</v>
      </c>
      <c r="C537" s="10" t="s">
        <v>7644</v>
      </c>
      <c r="D537" s="16" t="s">
        <v>2115</v>
      </c>
      <c r="E537" s="15" t="s">
        <v>11217</v>
      </c>
      <c r="F537" s="16" t="str">
        <f>VLOOKUP(Table8[[#This Row],[Mã khách hàng]],code_khach_hang[],2,0)</f>
        <v>CHI NHÁNH BẮC GIANG - CÔNG TY CỔ PHẦN DỊCH VỤ THƯƠNG MẠI TỔNG HỢP WINCOMMERCE</v>
      </c>
      <c r="G537" s="16"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c r="A538" s="14" t="s">
        <v>7583</v>
      </c>
      <c r="B538" s="15" t="s">
        <v>5</v>
      </c>
      <c r="C538" s="10" t="s">
        <v>7584</v>
      </c>
      <c r="D538" s="16" t="s">
        <v>2118</v>
      </c>
      <c r="E538" s="15" t="s">
        <v>11217</v>
      </c>
      <c r="F538" s="16" t="str">
        <f>VLOOKUP(Table8[[#This Row],[Mã khách hàng]],code_khach_hang[],2,0)</f>
        <v>CHI NHÁNH BẮC GIANG - CÔNG TY CỔ PHẦN DỊCH VỤ THƯƠNG MẠI TỔNG HỢP WINCOMMERCE</v>
      </c>
      <c r="G538" s="16"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c r="A539" s="14" t="s">
        <v>8001</v>
      </c>
      <c r="B539" s="15" t="s">
        <v>5</v>
      </c>
      <c r="C539" s="10" t="s">
        <v>8002</v>
      </c>
      <c r="D539" s="16" t="s">
        <v>2120</v>
      </c>
      <c r="E539" s="15" t="s">
        <v>11217</v>
      </c>
      <c r="F539" s="16" t="str">
        <f>VLOOKUP(Table8[[#This Row],[Mã khách hàng]],code_khach_hang[],2,0)</f>
        <v>CHI NHÁNH BẮC GIANG - CÔNG TY CỔ PHẦN DỊCH VỤ THƯƠNG MẠI TỔNG HỢP WINCOMMERCE</v>
      </c>
      <c r="G539" s="16"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c r="A540" s="14" t="s">
        <v>5689</v>
      </c>
      <c r="B540" s="15" t="s">
        <v>5</v>
      </c>
      <c r="C540" s="10" t="s">
        <v>5690</v>
      </c>
      <c r="D540" s="16" t="s">
        <v>2123</v>
      </c>
      <c r="E540" s="15" t="s">
        <v>11217</v>
      </c>
      <c r="F540" s="16" t="str">
        <f>VLOOKUP(Table8[[#This Row],[Mã khách hàng]],code_khach_hang[],2,0)</f>
        <v>CHI NHÁNH BẮC GIANG - CÔNG TY CỔ PHẦN DỊCH VỤ THƯƠNG MẠI TỔNG HỢP WINCOMMERCE</v>
      </c>
      <c r="G540" s="16"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c r="A541" s="14" t="s">
        <v>5692</v>
      </c>
      <c r="B541" s="15" t="s">
        <v>5</v>
      </c>
      <c r="C541" s="10" t="s">
        <v>5693</v>
      </c>
      <c r="D541" s="16" t="s">
        <v>2126</v>
      </c>
      <c r="E541" s="15" t="s">
        <v>11217</v>
      </c>
      <c r="F541" s="16" t="str">
        <f>VLOOKUP(Table8[[#This Row],[Mã khách hàng]],code_khach_hang[],2,0)</f>
        <v>CHI NHÁNH BẮC GIANG - CÔNG TY CỔ PHẦN DỊCH VỤ THƯƠNG MẠI TỔNG HỢP WINCOMMERCE</v>
      </c>
      <c r="G541" s="16"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c r="A542" s="14" t="s">
        <v>5730</v>
      </c>
      <c r="B542" s="15" t="s">
        <v>5</v>
      </c>
      <c r="C542" s="10" t="s">
        <v>5731</v>
      </c>
      <c r="D542" s="16" t="s">
        <v>2128</v>
      </c>
      <c r="E542" s="15" t="s">
        <v>11217</v>
      </c>
      <c r="F542" s="16" t="str">
        <f>VLOOKUP(Table8[[#This Row],[Mã khách hàng]],code_khach_hang[],2,0)</f>
        <v>CHI NHÁNH BẮC GIANG - CÔNG TY CỔ PHẦN DỊCH VỤ THƯƠNG MẠI TỔNG HỢP WINCOMMERCE</v>
      </c>
      <c r="G542" s="16"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c r="A543" s="14" t="s">
        <v>5733</v>
      </c>
      <c r="B543" s="15" t="s">
        <v>5</v>
      </c>
      <c r="C543" s="10" t="s">
        <v>5734</v>
      </c>
      <c r="D543" s="16" t="s">
        <v>2131</v>
      </c>
      <c r="E543" s="15" t="s">
        <v>11217</v>
      </c>
      <c r="F543" s="16" t="str">
        <f>VLOOKUP(Table8[[#This Row],[Mã khách hàng]],code_khach_hang[],2,0)</f>
        <v>CHI NHÁNH BẮC GIANG - CÔNG TY CỔ PHẦN DỊCH VỤ THƯƠNG MẠI TỔNG HỢP WINCOMMERCE</v>
      </c>
      <c r="G543" s="16"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c r="A544" s="14" t="s">
        <v>5738</v>
      </c>
      <c r="B544" s="15" t="s">
        <v>5</v>
      </c>
      <c r="C544" s="10" t="s">
        <v>5739</v>
      </c>
      <c r="D544" s="16" t="s">
        <v>2134</v>
      </c>
      <c r="E544" s="15" t="s">
        <v>11217</v>
      </c>
      <c r="F544" s="16" t="str">
        <f>VLOOKUP(Table8[[#This Row],[Mã khách hàng]],code_khach_hang[],2,0)</f>
        <v>CHI NHÁNH BẮC GIANG - CÔNG TY CỔ PHẦN DỊCH VỤ THƯƠNG MẠI TỔNG HỢP WINCOMMERCE</v>
      </c>
      <c r="G544" s="16"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c r="A545" s="14" t="s">
        <v>5807</v>
      </c>
      <c r="B545" s="15" t="s">
        <v>5</v>
      </c>
      <c r="C545" s="10" t="s">
        <v>5808</v>
      </c>
      <c r="D545" s="16" t="s">
        <v>2137</v>
      </c>
      <c r="E545" s="15" t="s">
        <v>11217</v>
      </c>
      <c r="F545" s="16" t="str">
        <f>VLOOKUP(Table8[[#This Row],[Mã khách hàng]],code_khach_hang[],2,0)</f>
        <v>CHI NHÁNH BẮC GIANG - CÔNG TY CỔ PHẦN DỊCH VỤ THƯƠNG MẠI TỔNG HỢP WINCOMMERCE</v>
      </c>
      <c r="G545" s="16"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c r="A546" s="14" t="s">
        <v>5899</v>
      </c>
      <c r="B546" s="15" t="s">
        <v>5</v>
      </c>
      <c r="C546" s="10" t="s">
        <v>5900</v>
      </c>
      <c r="D546" s="16" t="s">
        <v>2140</v>
      </c>
      <c r="E546" s="15" t="s">
        <v>11217</v>
      </c>
      <c r="F546" s="16" t="str">
        <f>VLOOKUP(Table8[[#This Row],[Mã khách hàng]],code_khach_hang[],2,0)</f>
        <v>CHI NHÁNH BẮC GIANG - CÔNG TY CỔ PHẦN DỊCH VỤ THƯƠNG MẠI TỔNG HỢP WINCOMMERCE</v>
      </c>
      <c r="G546" s="16"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c r="A547" s="14" t="s">
        <v>5935</v>
      </c>
      <c r="B547" s="15" t="s">
        <v>5</v>
      </c>
      <c r="C547" s="10" t="s">
        <v>5936</v>
      </c>
      <c r="D547" s="16" t="s">
        <v>2142</v>
      </c>
      <c r="E547" s="14" t="s">
        <v>11217</v>
      </c>
      <c r="F547" s="16" t="str">
        <f>VLOOKUP(Table8[[#This Row],[Mã khách hàng]],code_khach_hang[],2,0)</f>
        <v>CHI NHÁNH BẮC GIANG - CÔNG TY CỔ PHẦN DỊCH VỤ THƯƠNG MẠI TỔNG HỢP WINCOMMERCE</v>
      </c>
      <c r="G547" s="16"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c r="A548" s="14" t="s">
        <v>6007</v>
      </c>
      <c r="B548" s="15" t="s">
        <v>5</v>
      </c>
      <c r="C548" s="10" t="s">
        <v>6008</v>
      </c>
      <c r="D548" s="16" t="s">
        <v>2144</v>
      </c>
      <c r="E548" s="15" t="s">
        <v>11217</v>
      </c>
      <c r="F548" s="16" t="str">
        <f>VLOOKUP(Table8[[#This Row],[Mã khách hàng]],code_khach_hang[],2,0)</f>
        <v>CHI NHÁNH BẮC GIANG - CÔNG TY CỔ PHẦN DỊCH VỤ THƯƠNG MẠI TỔNG HỢP WINCOMMERCE</v>
      </c>
      <c r="G548" s="16"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c r="A549" s="14" t="s">
        <v>6091</v>
      </c>
      <c r="B549" s="15" t="s">
        <v>5</v>
      </c>
      <c r="C549" s="10" t="s">
        <v>6092</v>
      </c>
      <c r="D549" s="16" t="s">
        <v>2147</v>
      </c>
      <c r="E549" s="15" t="s">
        <v>11217</v>
      </c>
      <c r="F549" s="16" t="str">
        <f>VLOOKUP(Table8[[#This Row],[Mã khách hàng]],code_khach_hang[],2,0)</f>
        <v>CHI NHÁNH BẮC GIANG - CÔNG TY CỔ PHẦN DỊCH VỤ THƯƠNG MẠI TỔNG HỢP WINCOMMERCE</v>
      </c>
      <c r="G549" s="16"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c r="A550" s="14" t="s">
        <v>6485</v>
      </c>
      <c r="B550" s="15" t="s">
        <v>5</v>
      </c>
      <c r="C550" s="10" t="s">
        <v>6486</v>
      </c>
      <c r="D550" s="16" t="s">
        <v>2149</v>
      </c>
      <c r="E550" s="14" t="s">
        <v>11217</v>
      </c>
      <c r="F550" s="16" t="str">
        <f>VLOOKUP(Table8[[#This Row],[Mã khách hàng]],code_khach_hang[],2,0)</f>
        <v>CHI NHÁNH BẮC GIANG - CÔNG TY CỔ PHẦN DỊCH VỤ THƯƠNG MẠI TỔNG HỢP WINCOMMERCE</v>
      </c>
      <c r="G550" s="16"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c r="A551" s="14" t="s">
        <v>6527</v>
      </c>
      <c r="B551" s="15" t="s">
        <v>5</v>
      </c>
      <c r="C551" s="10" t="s">
        <v>6528</v>
      </c>
      <c r="D551" s="16" t="s">
        <v>2152</v>
      </c>
      <c r="E551" s="15" t="s">
        <v>11217</v>
      </c>
      <c r="F551" s="16" t="str">
        <f>VLOOKUP(Table8[[#This Row],[Mã khách hàng]],code_khach_hang[],2,0)</f>
        <v>CHI NHÁNH BẮC GIANG - CÔNG TY CỔ PHẦN DỊCH VỤ THƯƠNG MẠI TỔNG HỢP WINCOMMERCE</v>
      </c>
      <c r="G551" s="16"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c r="A552" s="14" t="s">
        <v>11100</v>
      </c>
      <c r="B552" s="15" t="s">
        <v>5</v>
      </c>
      <c r="C552" s="10" t="e">
        <v>#N/A</v>
      </c>
      <c r="D552" s="16" t="s">
        <v>2155</v>
      </c>
      <c r="E552" s="15" t="s">
        <v>11217</v>
      </c>
      <c r="F552" s="16" t="str">
        <f>VLOOKUP(Table8[[#This Row],[Mã khách hàng]],code_khach_hang[],2,0)</f>
        <v>CHI NHÁNH BẮC GIANG - CÔNG TY CỔ PHẦN DỊCH VỤ THƯƠNG MẠI TỔNG HỢP WINCOMMERCE</v>
      </c>
      <c r="G552" s="16"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c r="A553" s="14" t="s">
        <v>6977</v>
      </c>
      <c r="B553" s="15" t="s">
        <v>5</v>
      </c>
      <c r="C553" s="10" t="s">
        <v>6978</v>
      </c>
      <c r="D553" s="16" t="s">
        <v>2158</v>
      </c>
      <c r="E553" s="15" t="s">
        <v>11201</v>
      </c>
      <c r="F553" s="16" t="str">
        <f>VLOOKUP(Table8[[#This Row],[Mã khách hàng]],code_khach_hang[],2,0)</f>
        <v>CHI NHÁNH HẢI DƯƠNG - CÔNG TY CỔ PHẦN DỊCH VỤ THƯƠNG MẠI TỔNG HỢP WINCOMMERCE</v>
      </c>
      <c r="G553" s="16"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c r="A554" s="14" t="s">
        <v>7237</v>
      </c>
      <c r="B554" s="15" t="s">
        <v>5</v>
      </c>
      <c r="C554" s="10" t="s">
        <v>7238</v>
      </c>
      <c r="D554" s="16" t="s">
        <v>2161</v>
      </c>
      <c r="E554" s="15" t="s">
        <v>11201</v>
      </c>
      <c r="F554" s="16" t="str">
        <f>VLOOKUP(Table8[[#This Row],[Mã khách hàng]],code_khach_hang[],2,0)</f>
        <v>CHI NHÁNH HẢI DƯƠNG - CÔNG TY CỔ PHẦN DỊCH VỤ THƯƠNG MẠI TỔNG HỢP WINCOMMERCE</v>
      </c>
      <c r="G554" s="16"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c r="A555" s="14" t="s">
        <v>7381</v>
      </c>
      <c r="B555" s="15" t="s">
        <v>5</v>
      </c>
      <c r="C555" s="10" t="s">
        <v>7382</v>
      </c>
      <c r="D555" s="16" t="s">
        <v>2164</v>
      </c>
      <c r="E555" s="15" t="s">
        <v>11201</v>
      </c>
      <c r="F555" s="16" t="str">
        <f>VLOOKUP(Table8[[#This Row],[Mã khách hàng]],code_khach_hang[],2,0)</f>
        <v>CHI NHÁNH HẢI DƯƠNG - CÔNG TY CỔ PHẦN DỊCH VỤ THƯƠNG MẠI TỔNG HỢP WINCOMMERCE</v>
      </c>
      <c r="G555" s="16"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c r="A556" s="14" t="s">
        <v>7508</v>
      </c>
      <c r="B556" s="15" t="s">
        <v>5</v>
      </c>
      <c r="C556" s="10" t="s">
        <v>7509</v>
      </c>
      <c r="D556" s="16" t="s">
        <v>2167</v>
      </c>
      <c r="E556" s="15" t="s">
        <v>11201</v>
      </c>
      <c r="F556" s="16" t="str">
        <f>VLOOKUP(Table8[[#This Row],[Mã khách hàng]],code_khach_hang[],2,0)</f>
        <v>CHI NHÁNH HẢI DƯƠNG - CÔNG TY CỔ PHẦN DỊCH VỤ THƯƠNG MẠI TỔNG HỢP WINCOMMERCE</v>
      </c>
      <c r="G556" s="16"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c r="A557" s="14" t="s">
        <v>7682</v>
      </c>
      <c r="B557" s="15" t="s">
        <v>5</v>
      </c>
      <c r="C557" s="10" t="s">
        <v>7683</v>
      </c>
      <c r="D557" s="16" t="s">
        <v>2170</v>
      </c>
      <c r="E557" s="15" t="s">
        <v>11201</v>
      </c>
      <c r="F557" s="16" t="str">
        <f>VLOOKUP(Table8[[#This Row],[Mã khách hàng]],code_khach_hang[],2,0)</f>
        <v>CHI NHÁNH HẢI DƯƠNG - CÔNG TY CỔ PHẦN DỊCH VỤ THƯƠNG MẠI TỔNG HỢP WINCOMMERCE</v>
      </c>
      <c r="G557" s="16"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c r="A558" s="14" t="s">
        <v>7059</v>
      </c>
      <c r="B558" s="15" t="s">
        <v>5</v>
      </c>
      <c r="C558" s="10" t="s">
        <v>7060</v>
      </c>
      <c r="D558" s="16" t="s">
        <v>2172</v>
      </c>
      <c r="E558" s="15" t="s">
        <v>11201</v>
      </c>
      <c r="F558" s="16" t="str">
        <f>VLOOKUP(Table8[[#This Row],[Mã khách hàng]],code_khach_hang[],2,0)</f>
        <v>CHI NHÁNH HẢI DƯƠNG - CÔNG TY CỔ PHẦN DỊCH VỤ THƯƠNG MẠI TỔNG HỢP WINCOMMERCE</v>
      </c>
      <c r="G558" s="16"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c r="A559" s="14" t="s">
        <v>7538</v>
      </c>
      <c r="B559" s="15" t="s">
        <v>5</v>
      </c>
      <c r="C559" s="10" t="s">
        <v>7539</v>
      </c>
      <c r="D559" s="16" t="s">
        <v>2175</v>
      </c>
      <c r="E559" s="15" t="s">
        <v>11201</v>
      </c>
      <c r="F559" s="16" t="str">
        <f>VLOOKUP(Table8[[#This Row],[Mã khách hàng]],code_khach_hang[],2,0)</f>
        <v>CHI NHÁNH HẢI DƯƠNG - CÔNG TY CỔ PHẦN DỊCH VỤ THƯƠNG MẠI TỔNG HỢP WINCOMMERCE</v>
      </c>
      <c r="G559" s="16"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c r="A560" s="14" t="s">
        <v>6959</v>
      </c>
      <c r="B560" s="15" t="s">
        <v>5</v>
      </c>
      <c r="C560" s="10" t="s">
        <v>6960</v>
      </c>
      <c r="D560" s="16" t="s">
        <v>2178</v>
      </c>
      <c r="E560" s="15" t="s">
        <v>11201</v>
      </c>
      <c r="F560" s="16" t="str">
        <f>VLOOKUP(Table8[[#This Row],[Mã khách hàng]],code_khach_hang[],2,0)</f>
        <v>CHI NHÁNH HẢI DƯƠNG - CÔNG TY CỔ PHẦN DỊCH VỤ THƯƠNG MẠI TỔNG HỢP WINCOMMERCE</v>
      </c>
      <c r="G560" s="16"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c r="A561" s="14" t="s">
        <v>6962</v>
      </c>
      <c r="B561" s="15" t="s">
        <v>5</v>
      </c>
      <c r="C561" s="10" t="s">
        <v>6963</v>
      </c>
      <c r="D561" s="16" t="s">
        <v>2181</v>
      </c>
      <c r="E561" s="15" t="s">
        <v>11201</v>
      </c>
      <c r="F561" s="16" t="str">
        <f>VLOOKUP(Table8[[#This Row],[Mã khách hàng]],code_khach_hang[],2,0)</f>
        <v>CHI NHÁNH HẢI DƯƠNG - CÔNG TY CỔ PHẦN DỊCH VỤ THƯƠNG MẠI TỔNG HỢP WINCOMMERCE</v>
      </c>
      <c r="G561" s="16"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c r="A562" s="14" t="s">
        <v>7425</v>
      </c>
      <c r="B562" s="15" t="s">
        <v>5</v>
      </c>
      <c r="C562" s="10" t="s">
        <v>7426</v>
      </c>
      <c r="D562" s="16" t="s">
        <v>2184</v>
      </c>
      <c r="E562" s="15" t="s">
        <v>11201</v>
      </c>
      <c r="F562" s="16" t="str">
        <f>VLOOKUP(Table8[[#This Row],[Mã khách hàng]],code_khach_hang[],2,0)</f>
        <v>CHI NHÁNH HẢI DƯƠNG - CÔNG TY CỔ PHẦN DỊCH VỤ THƯƠNG MẠI TỔNG HỢP WINCOMMERCE</v>
      </c>
      <c r="G562" s="16"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c r="A563" s="14" t="s">
        <v>7431</v>
      </c>
      <c r="B563" s="15" t="s">
        <v>5</v>
      </c>
      <c r="C563" s="10" t="s">
        <v>7432</v>
      </c>
      <c r="D563" s="16" t="s">
        <v>2187</v>
      </c>
      <c r="E563" s="15" t="s">
        <v>11201</v>
      </c>
      <c r="F563" s="16" t="str">
        <f>VLOOKUP(Table8[[#This Row],[Mã khách hàng]],code_khach_hang[],2,0)</f>
        <v>CHI NHÁNH HẢI DƯƠNG - CÔNG TY CỔ PHẦN DỊCH VỤ THƯƠNG MẠI TỔNG HỢP WINCOMMERCE</v>
      </c>
      <c r="G563" s="16"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c r="A564" s="14" t="s">
        <v>7586</v>
      </c>
      <c r="B564" s="15" t="s">
        <v>5</v>
      </c>
      <c r="C564" s="10" t="s">
        <v>7587</v>
      </c>
      <c r="D564" s="16" t="s">
        <v>2190</v>
      </c>
      <c r="E564" s="15" t="s">
        <v>11201</v>
      </c>
      <c r="F564" s="16" t="str">
        <f>VLOOKUP(Table8[[#This Row],[Mã khách hàng]],code_khach_hang[],2,0)</f>
        <v>CHI NHÁNH HẢI DƯƠNG - CÔNG TY CỔ PHẦN DỊCH VỤ THƯƠNG MẠI TỔNG HỢP WINCOMMERCE</v>
      </c>
      <c r="G564" s="16"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c r="A565" s="14" t="s">
        <v>7595</v>
      </c>
      <c r="B565" s="15" t="s">
        <v>5</v>
      </c>
      <c r="C565" s="10" t="s">
        <v>7596</v>
      </c>
      <c r="D565" s="16" t="s">
        <v>2192</v>
      </c>
      <c r="E565" s="15" t="s">
        <v>11201</v>
      </c>
      <c r="F565" s="16" t="str">
        <f>VLOOKUP(Table8[[#This Row],[Mã khách hàng]],code_khach_hang[],2,0)</f>
        <v>CHI NHÁNH HẢI DƯƠNG - CÔNG TY CỔ PHẦN DỊCH VỤ THƯƠNG MẠI TỔNG HỢP WINCOMMERCE</v>
      </c>
      <c r="G565" s="16"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c r="A566" s="14" t="s">
        <v>7652</v>
      </c>
      <c r="B566" s="15" t="s">
        <v>5</v>
      </c>
      <c r="C566" s="10" t="s">
        <v>7653</v>
      </c>
      <c r="D566" s="16" t="s">
        <v>2194</v>
      </c>
      <c r="E566" s="15" t="s">
        <v>11201</v>
      </c>
      <c r="F566" s="16" t="str">
        <f>VLOOKUP(Table8[[#This Row],[Mã khách hàng]],code_khach_hang[],2,0)</f>
        <v>CHI NHÁNH HẢI DƯƠNG - CÔNG TY CỔ PHẦN DỊCH VỤ THƯƠNG MẠI TỔNG HỢP WINCOMMERCE</v>
      </c>
      <c r="G566" s="16"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c r="A567" s="14" t="s">
        <v>7466</v>
      </c>
      <c r="B567" s="15" t="s">
        <v>5</v>
      </c>
      <c r="C567" s="10" t="s">
        <v>7467</v>
      </c>
      <c r="D567" s="16" t="s">
        <v>2197</v>
      </c>
      <c r="E567" s="15" t="s">
        <v>11201</v>
      </c>
      <c r="F567" s="16" t="str">
        <f>VLOOKUP(Table8[[#This Row],[Mã khách hàng]],code_khach_hang[],2,0)</f>
        <v>CHI NHÁNH HẢI DƯƠNG - CÔNG TY CỔ PHẦN DỊCH VỤ THƯƠNG MẠI TỔNG HỢP WINCOMMERCE</v>
      </c>
      <c r="G567" s="16"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c r="A568" s="14" t="s">
        <v>7607</v>
      </c>
      <c r="B568" s="15" t="s">
        <v>5</v>
      </c>
      <c r="C568" s="10" t="s">
        <v>7608</v>
      </c>
      <c r="D568" s="16" t="s">
        <v>2200</v>
      </c>
      <c r="E568" s="15" t="s">
        <v>11201</v>
      </c>
      <c r="F568" s="16" t="str">
        <f>VLOOKUP(Table8[[#This Row],[Mã khách hàng]],code_khach_hang[],2,0)</f>
        <v>CHI NHÁNH HẢI DƯƠNG - CÔNG TY CỔ PHẦN DỊCH VỤ THƯƠNG MẠI TỔNG HỢP WINCOMMERCE</v>
      </c>
      <c r="G568" s="16"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c r="A569" s="14" t="s">
        <v>7736</v>
      </c>
      <c r="B569" s="15" t="s">
        <v>5</v>
      </c>
      <c r="C569" s="10" t="s">
        <v>7737</v>
      </c>
      <c r="D569" s="16" t="s">
        <v>2202</v>
      </c>
      <c r="E569" s="15" t="s">
        <v>11201</v>
      </c>
      <c r="F569" s="16" t="str">
        <f>VLOOKUP(Table8[[#This Row],[Mã khách hàng]],code_khach_hang[],2,0)</f>
        <v>CHI NHÁNH HẢI DƯƠNG - CÔNG TY CỔ PHẦN DỊCH VỤ THƯƠNG MẠI TỔNG HỢP WINCOMMERCE</v>
      </c>
      <c r="G569" s="16"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c r="A570" s="14" t="s">
        <v>7062</v>
      </c>
      <c r="B570" s="15" t="s">
        <v>5</v>
      </c>
      <c r="C570" s="10" t="s">
        <v>7063</v>
      </c>
      <c r="D570" s="16" t="s">
        <v>2205</v>
      </c>
      <c r="E570" s="15" t="s">
        <v>11201</v>
      </c>
      <c r="F570" s="16" t="str">
        <f>VLOOKUP(Table8[[#This Row],[Mã khách hàng]],code_khach_hang[],2,0)</f>
        <v>CHI NHÁNH HẢI DƯƠNG - CÔNG TY CỔ PHẦN DỊCH VỤ THƯƠNG MẠI TỔNG HỢP WINCOMMERCE</v>
      </c>
      <c r="G570" s="16"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c r="A571" s="14" t="s">
        <v>7493</v>
      </c>
      <c r="B571" s="15" t="s">
        <v>5</v>
      </c>
      <c r="C571" s="10" t="s">
        <v>7494</v>
      </c>
      <c r="D571" s="16" t="s">
        <v>2207</v>
      </c>
      <c r="E571" s="15" t="s">
        <v>11201</v>
      </c>
      <c r="F571" s="16" t="str">
        <f>VLOOKUP(Table8[[#This Row],[Mã khách hàng]],code_khach_hang[],2,0)</f>
        <v>CHI NHÁNH HẢI DƯƠNG - CÔNG TY CỔ PHẦN DỊCH VỤ THƯƠNG MẠI TỔNG HỢP WINCOMMERCE</v>
      </c>
      <c r="G571" s="16"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c r="A572" s="14" t="s">
        <v>7348</v>
      </c>
      <c r="B572" s="15" t="s">
        <v>5</v>
      </c>
      <c r="C572" s="10" t="s">
        <v>7349</v>
      </c>
      <c r="D572" s="16" t="s">
        <v>2210</v>
      </c>
      <c r="E572" s="15" t="s">
        <v>11201</v>
      </c>
      <c r="F572" s="16" t="str">
        <f>VLOOKUP(Table8[[#This Row],[Mã khách hàng]],code_khach_hang[],2,0)</f>
        <v>CHI NHÁNH HẢI DƯƠNG - CÔNG TY CỔ PHẦN DỊCH VỤ THƯƠNG MẠI TỔNG HỢP WINCOMMERCE</v>
      </c>
      <c r="G572" s="16"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c r="A573" s="14" t="s">
        <v>7502</v>
      </c>
      <c r="B573" s="15" t="s">
        <v>5</v>
      </c>
      <c r="C573" s="10" t="s">
        <v>7503</v>
      </c>
      <c r="D573" s="16" t="s">
        <v>2213</v>
      </c>
      <c r="E573" s="15" t="s">
        <v>11201</v>
      </c>
      <c r="F573" s="16" t="str">
        <f>VLOOKUP(Table8[[#This Row],[Mã khách hàng]],code_khach_hang[],2,0)</f>
        <v>CHI NHÁNH HẢI DƯƠNG - CÔNG TY CỔ PHẦN DỊCH VỤ THƯƠNG MẠI TỔNG HỢP WINCOMMERCE</v>
      </c>
      <c r="G573" s="16"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c r="A574" s="14" t="s">
        <v>7532</v>
      </c>
      <c r="B574" s="15" t="s">
        <v>5</v>
      </c>
      <c r="C574" s="10" t="s">
        <v>7533</v>
      </c>
      <c r="D574" s="16" t="s">
        <v>2215</v>
      </c>
      <c r="E574" s="15" t="s">
        <v>11201</v>
      </c>
      <c r="F574" s="16" t="str">
        <f>VLOOKUP(Table8[[#This Row],[Mã khách hàng]],code_khach_hang[],2,0)</f>
        <v>CHI NHÁNH HẢI DƯƠNG - CÔNG TY CỔ PHẦN DỊCH VỤ THƯƠNG MẠI TỔNG HỢP WINCOMMERCE</v>
      </c>
      <c r="G574" s="16"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c r="A575" s="14" t="s">
        <v>7366</v>
      </c>
      <c r="B575" s="15" t="s">
        <v>5</v>
      </c>
      <c r="C575" s="10" t="s">
        <v>7367</v>
      </c>
      <c r="D575" s="16" t="s">
        <v>2222</v>
      </c>
      <c r="E575" s="15" t="s">
        <v>11201</v>
      </c>
      <c r="F575" s="16" t="str">
        <f>VLOOKUP(Table8[[#This Row],[Mã khách hàng]],code_khach_hang[],2,0)</f>
        <v>CHI NHÁNH HẢI DƯƠNG - CÔNG TY CỔ PHẦN DỊCH VỤ THƯƠNG MẠI TỔNG HỢP WINCOMMERCE</v>
      </c>
      <c r="G575" s="16"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c r="A576" s="14" t="s">
        <v>7422</v>
      </c>
      <c r="B576" s="15" t="s">
        <v>5</v>
      </c>
      <c r="C576" s="10" t="s">
        <v>7423</v>
      </c>
      <c r="D576" s="16" t="s">
        <v>2225</v>
      </c>
      <c r="E576" s="15" t="s">
        <v>11201</v>
      </c>
      <c r="F576" s="16" t="str">
        <f>VLOOKUP(Table8[[#This Row],[Mã khách hàng]],code_khach_hang[],2,0)</f>
        <v>CHI NHÁNH HẢI DƯƠNG - CÔNG TY CỔ PHẦN DỊCH VỤ THƯƠNG MẠI TỔNG HỢP WINCOMMERCE</v>
      </c>
      <c r="G576" s="16"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c r="A577" s="14" t="s">
        <v>7520</v>
      </c>
      <c r="B577" s="15" t="s">
        <v>5</v>
      </c>
      <c r="C577" s="10" t="s">
        <v>7521</v>
      </c>
      <c r="D577" s="16" t="s">
        <v>2228</v>
      </c>
      <c r="E577" s="15" t="s">
        <v>11201</v>
      </c>
      <c r="F577" s="16" t="str">
        <f>VLOOKUP(Table8[[#This Row],[Mã khách hàng]],code_khach_hang[],2,0)</f>
        <v>CHI NHÁNH HẢI DƯƠNG - CÔNG TY CỔ PHẦN DỊCH VỤ THƯƠNG MẠI TỔNG HỢP WINCOMMERCE</v>
      </c>
      <c r="G577" s="16"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c r="A578" s="14" t="s">
        <v>4353</v>
      </c>
      <c r="B578" s="15" t="s">
        <v>5</v>
      </c>
      <c r="C578" s="10" t="s">
        <v>4354</v>
      </c>
      <c r="D578" s="16" t="s">
        <v>2231</v>
      </c>
      <c r="E578" s="15" t="s">
        <v>11201</v>
      </c>
      <c r="F578" s="16" t="str">
        <f>VLOOKUP(Table8[[#This Row],[Mã khách hàng]],code_khach_hang[],2,0)</f>
        <v>CHI NHÁNH HẢI DƯƠNG - CÔNG TY CỔ PHẦN DỊCH VỤ THƯƠNG MẠI TỔNG HỢP WINCOMMERCE</v>
      </c>
      <c r="G578" s="16"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c r="A579" s="14" t="s">
        <v>4416</v>
      </c>
      <c r="B579" s="15" t="s">
        <v>5</v>
      </c>
      <c r="C579" s="10" t="s">
        <v>4417</v>
      </c>
      <c r="D579" s="16" t="s">
        <v>2234</v>
      </c>
      <c r="E579" s="15" t="s">
        <v>11201</v>
      </c>
      <c r="F579" s="16" t="str">
        <f>VLOOKUP(Table8[[#This Row],[Mã khách hàng]],code_khach_hang[],2,0)</f>
        <v>CHI NHÁNH HẢI DƯƠNG - CÔNG TY CỔ PHẦN DỊCH VỤ THƯƠNG MẠI TỔNG HỢP WINCOMMERCE</v>
      </c>
      <c r="G579" s="16"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c r="A580" s="14" t="s">
        <v>4440</v>
      </c>
      <c r="B580" s="15" t="s">
        <v>5</v>
      </c>
      <c r="C580" s="10" t="s">
        <v>4441</v>
      </c>
      <c r="D580" s="16" t="s">
        <v>2237</v>
      </c>
      <c r="E580" s="15" t="s">
        <v>11201</v>
      </c>
      <c r="F580" s="16" t="str">
        <f>VLOOKUP(Table8[[#This Row],[Mã khách hàng]],code_khach_hang[],2,0)</f>
        <v>CHI NHÁNH HẢI DƯƠNG - CÔNG TY CỔ PHẦN DỊCH VỤ THƯƠNG MẠI TỔNG HỢP WINCOMMERCE</v>
      </c>
      <c r="G580" s="16"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c r="A581" s="14" t="s">
        <v>4446</v>
      </c>
      <c r="B581" s="15" t="s">
        <v>5</v>
      </c>
      <c r="C581" s="10" t="s">
        <v>4447</v>
      </c>
      <c r="D581" s="16" t="s">
        <v>2240</v>
      </c>
      <c r="E581" s="15" t="s">
        <v>11201</v>
      </c>
      <c r="F581" s="16" t="str">
        <f>VLOOKUP(Table8[[#This Row],[Mã khách hàng]],code_khach_hang[],2,0)</f>
        <v>CHI NHÁNH HẢI DƯƠNG - CÔNG TY CỔ PHẦN DỊCH VỤ THƯƠNG MẠI TỔNG HỢP WINCOMMERCE</v>
      </c>
      <c r="G581" s="16"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c r="A582" s="14" t="s">
        <v>4488</v>
      </c>
      <c r="B582" s="15" t="s">
        <v>5</v>
      </c>
      <c r="C582" s="10" t="s">
        <v>4489</v>
      </c>
      <c r="D582" s="16" t="s">
        <v>2243</v>
      </c>
      <c r="E582" s="15" t="s">
        <v>11201</v>
      </c>
      <c r="F582" s="16" t="str">
        <f>VLOOKUP(Table8[[#This Row],[Mã khách hàng]],code_khach_hang[],2,0)</f>
        <v>CHI NHÁNH HẢI DƯƠNG - CÔNG TY CỔ PHẦN DỊCH VỤ THƯƠNG MẠI TỔNG HỢP WINCOMMERCE</v>
      </c>
      <c r="G582" s="16"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c r="A583" s="14" t="s">
        <v>4503</v>
      </c>
      <c r="B583" s="15" t="s">
        <v>5</v>
      </c>
      <c r="C583" s="10" t="s">
        <v>4504</v>
      </c>
      <c r="D583" s="16" t="s">
        <v>2245</v>
      </c>
      <c r="E583" s="15" t="s">
        <v>11201</v>
      </c>
      <c r="F583" s="16" t="str">
        <f>VLOOKUP(Table8[[#This Row],[Mã khách hàng]],code_khach_hang[],2,0)</f>
        <v>CHI NHÁNH HẢI DƯƠNG - CÔNG TY CỔ PHẦN DỊCH VỤ THƯƠNG MẠI TỔNG HỢP WINCOMMERCE</v>
      </c>
      <c r="G583" s="16"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c r="A584" s="14" t="s">
        <v>4515</v>
      </c>
      <c r="B584" s="15" t="s">
        <v>5</v>
      </c>
      <c r="C584" s="10" t="s">
        <v>4516</v>
      </c>
      <c r="D584" s="16" t="s">
        <v>2248</v>
      </c>
      <c r="E584" s="15" t="s">
        <v>11201</v>
      </c>
      <c r="F584" s="16" t="str">
        <f>VLOOKUP(Table8[[#This Row],[Mã khách hàng]],code_khach_hang[],2,0)</f>
        <v>CHI NHÁNH HẢI DƯƠNG - CÔNG TY CỔ PHẦN DỊCH VỤ THƯƠNG MẠI TỔNG HỢP WINCOMMERCE</v>
      </c>
      <c r="G584" s="16"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c r="A585" s="14" t="s">
        <v>4551</v>
      </c>
      <c r="B585" s="15" t="s">
        <v>5</v>
      </c>
      <c r="C585" s="10" t="s">
        <v>4552</v>
      </c>
      <c r="D585" s="16" t="s">
        <v>2251</v>
      </c>
      <c r="E585" s="15" t="s">
        <v>11201</v>
      </c>
      <c r="F585" s="16" t="str">
        <f>VLOOKUP(Table8[[#This Row],[Mã khách hàng]],code_khach_hang[],2,0)</f>
        <v>CHI NHÁNH HẢI DƯƠNG - CÔNG TY CỔ PHẦN DỊCH VỤ THƯƠNG MẠI TỔNG HỢP WINCOMMERCE</v>
      </c>
      <c r="G585" s="16"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c r="A586" s="14" t="s">
        <v>4554</v>
      </c>
      <c r="B586" s="15" t="s">
        <v>5</v>
      </c>
      <c r="C586" s="10" t="s">
        <v>4555</v>
      </c>
      <c r="D586" s="16" t="s">
        <v>2254</v>
      </c>
      <c r="E586" s="15" t="s">
        <v>11201</v>
      </c>
      <c r="F586" s="16" t="str">
        <f>VLOOKUP(Table8[[#This Row],[Mã khách hàng]],code_khach_hang[],2,0)</f>
        <v>CHI NHÁNH HẢI DƯƠNG - CÔNG TY CỔ PHẦN DỊCH VỤ THƯƠNG MẠI TỔNG HỢP WINCOMMERCE</v>
      </c>
      <c r="G586" s="16"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c r="A587" s="14" t="s">
        <v>4719</v>
      </c>
      <c r="B587" s="15" t="s">
        <v>5</v>
      </c>
      <c r="C587" s="10" t="s">
        <v>4720</v>
      </c>
      <c r="D587" s="16" t="s">
        <v>2257</v>
      </c>
      <c r="E587" s="15" t="s">
        <v>11201</v>
      </c>
      <c r="F587" s="16" t="str">
        <f>VLOOKUP(Table8[[#This Row],[Mã khách hàng]],code_khach_hang[],2,0)</f>
        <v>CHI NHÁNH HẢI DƯƠNG - CÔNG TY CỔ PHẦN DỊCH VỤ THƯƠNG MẠI TỔNG HỢP WINCOMMERCE</v>
      </c>
      <c r="G587" s="16"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c r="A588" s="14" t="s">
        <v>4761</v>
      </c>
      <c r="B588" s="15" t="s">
        <v>5</v>
      </c>
      <c r="C588" s="10" t="s">
        <v>4762</v>
      </c>
      <c r="D588" s="16" t="s">
        <v>2260</v>
      </c>
      <c r="E588" s="15" t="s">
        <v>11201</v>
      </c>
      <c r="F588" s="16" t="str">
        <f>VLOOKUP(Table8[[#This Row],[Mã khách hàng]],code_khach_hang[],2,0)</f>
        <v>CHI NHÁNH HẢI DƯƠNG - CÔNG TY CỔ PHẦN DỊCH VỤ THƯƠNG MẠI TỔNG HỢP WINCOMMERCE</v>
      </c>
      <c r="G588" s="16"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c r="A589" s="14" t="s">
        <v>4950</v>
      </c>
      <c r="B589" s="15" t="s">
        <v>5</v>
      </c>
      <c r="C589" s="10" t="s">
        <v>4951</v>
      </c>
      <c r="D589" s="16" t="s">
        <v>2263</v>
      </c>
      <c r="E589" s="15" t="s">
        <v>11201</v>
      </c>
      <c r="F589" s="16" t="str">
        <f>VLOOKUP(Table8[[#This Row],[Mã khách hàng]],code_khach_hang[],2,0)</f>
        <v>CHI NHÁNH HẢI DƯƠNG - CÔNG TY CỔ PHẦN DỊCH VỤ THƯƠNG MẠI TỔNG HỢP WINCOMMERCE</v>
      </c>
      <c r="G589" s="16"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c r="A590" s="14" t="s">
        <v>5040</v>
      </c>
      <c r="B590" s="15" t="s">
        <v>5</v>
      </c>
      <c r="C590" s="10" t="s">
        <v>5041</v>
      </c>
      <c r="D590" s="16" t="s">
        <v>2266</v>
      </c>
      <c r="E590" s="15" t="s">
        <v>11201</v>
      </c>
      <c r="F590" s="16" t="str">
        <f>VLOOKUP(Table8[[#This Row],[Mã khách hàng]],code_khach_hang[],2,0)</f>
        <v>CHI NHÁNH HẢI DƯƠNG - CÔNG TY CỔ PHẦN DỊCH VỤ THƯƠNG MẠI TỔNG HỢP WINCOMMERCE</v>
      </c>
      <c r="G590" s="16"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c r="A591" s="14" t="s">
        <v>6497</v>
      </c>
      <c r="B591" s="15" t="s">
        <v>5</v>
      </c>
      <c r="C591" s="10" t="s">
        <v>6498</v>
      </c>
      <c r="D591" s="16" t="s">
        <v>2269</v>
      </c>
      <c r="E591" s="15" t="s">
        <v>11201</v>
      </c>
      <c r="F591" s="16" t="str">
        <f>VLOOKUP(Table8[[#This Row],[Mã khách hàng]],code_khach_hang[],2,0)</f>
        <v>CHI NHÁNH HẢI DƯƠNG - CÔNG TY CỔ PHẦN DỊCH VỤ THƯƠNG MẠI TỔNG HỢP WINCOMMERCE</v>
      </c>
      <c r="G591" s="16"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c r="A592" s="14" t="s">
        <v>6506</v>
      </c>
      <c r="B592" s="15" t="s">
        <v>5</v>
      </c>
      <c r="C592" s="10" t="s">
        <v>6507</v>
      </c>
      <c r="D592" s="16" t="s">
        <v>2271</v>
      </c>
      <c r="E592" s="15" t="s">
        <v>11201</v>
      </c>
      <c r="F592" s="16" t="str">
        <f>VLOOKUP(Table8[[#This Row],[Mã khách hàng]],code_khach_hang[],2,0)</f>
        <v>CHI NHÁNH HẢI DƯƠNG - CÔNG TY CỔ PHẦN DỊCH VỤ THƯƠNG MẠI TỔNG HỢP WINCOMMERCE</v>
      </c>
      <c r="G592" s="16"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c r="A593" s="14" t="s">
        <v>6659</v>
      </c>
      <c r="B593" s="15" t="s">
        <v>5</v>
      </c>
      <c r="C593" s="10" t="s">
        <v>6660</v>
      </c>
      <c r="D593" s="16" t="s">
        <v>2274</v>
      </c>
      <c r="E593" s="15" t="s">
        <v>11201</v>
      </c>
      <c r="F593" s="16" t="str">
        <f>VLOOKUP(Table8[[#This Row],[Mã khách hàng]],code_khach_hang[],2,0)</f>
        <v>CHI NHÁNH HẢI DƯƠNG - CÔNG TY CỔ PHẦN DỊCH VỤ THƯƠNG MẠI TỔNG HỢP WINCOMMERCE</v>
      </c>
      <c r="G593" s="16"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c r="A594" s="14" t="s">
        <v>6662</v>
      </c>
      <c r="B594" s="15" t="s">
        <v>5</v>
      </c>
      <c r="C594" s="10" t="s">
        <v>6663</v>
      </c>
      <c r="D594" s="16" t="s">
        <v>2277</v>
      </c>
      <c r="E594" s="15" t="s">
        <v>11201</v>
      </c>
      <c r="F594" s="16" t="str">
        <f>VLOOKUP(Table8[[#This Row],[Mã khách hàng]],code_khach_hang[],2,0)</f>
        <v>CHI NHÁNH HẢI DƯƠNG - CÔNG TY CỔ PHẦN DỊCH VỤ THƯƠNG MẠI TỔNG HỢP WINCOMMERCE</v>
      </c>
      <c r="G594" s="16"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c r="A595" s="14" t="s">
        <v>6755</v>
      </c>
      <c r="B595" s="15" t="s">
        <v>5</v>
      </c>
      <c r="C595" s="10" t="s">
        <v>6756</v>
      </c>
      <c r="D595" s="16" t="s">
        <v>2280</v>
      </c>
      <c r="E595" s="15" t="s">
        <v>11201</v>
      </c>
      <c r="F595" s="16" t="str">
        <f>VLOOKUP(Table8[[#This Row],[Mã khách hàng]],code_khach_hang[],2,0)</f>
        <v>CHI NHÁNH HẢI DƯƠNG - CÔNG TY CỔ PHẦN DỊCH VỤ THƯƠNG MẠI TỔNG HỢP WINCOMMERCE</v>
      </c>
      <c r="G595" s="16"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c r="A596" s="14" t="s">
        <v>6764</v>
      </c>
      <c r="B596" s="15" t="s">
        <v>5</v>
      </c>
      <c r="C596" s="10" t="s">
        <v>6765</v>
      </c>
      <c r="D596" s="16" t="s">
        <v>2283</v>
      </c>
      <c r="E596" s="15" t="s">
        <v>11201</v>
      </c>
      <c r="F596" s="16" t="str">
        <f>VLOOKUP(Table8[[#This Row],[Mã khách hàng]],code_khach_hang[],2,0)</f>
        <v>CHI NHÁNH HẢI DƯƠNG - CÔNG TY CỔ PHẦN DỊCH VỤ THƯƠNG MẠI TỔNG HỢP WINCOMMERCE</v>
      </c>
      <c r="G596" s="16"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c r="A597" s="14" t="s">
        <v>7523</v>
      </c>
      <c r="B597" s="15" t="s">
        <v>5</v>
      </c>
      <c r="C597" s="10" t="s">
        <v>7524</v>
      </c>
      <c r="D597" s="16" t="s">
        <v>2286</v>
      </c>
      <c r="E597" s="15" t="s">
        <v>11201</v>
      </c>
      <c r="F597" s="16" t="str">
        <f>VLOOKUP(Table8[[#This Row],[Mã khách hàng]],code_khach_hang[],2,0)</f>
        <v>CHI NHÁNH HẢI DƯƠNG - CÔNG TY CỔ PHẦN DỊCH VỤ THƯƠNG MẠI TỔNG HỢP WINCOMMERCE</v>
      </c>
      <c r="G597" s="16"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c r="A598" s="14" t="s">
        <v>8124</v>
      </c>
      <c r="B598" s="15" t="s">
        <v>5</v>
      </c>
      <c r="C598" s="10" t="s">
        <v>8125</v>
      </c>
      <c r="D598" s="16" t="s">
        <v>2289</v>
      </c>
      <c r="E598" s="15" t="s">
        <v>11201</v>
      </c>
      <c r="F598" s="16" t="str">
        <f>VLOOKUP(Table8[[#This Row],[Mã khách hàng]],code_khach_hang[],2,0)</f>
        <v>CHI NHÁNH HẢI DƯƠNG - CÔNG TY CỔ PHẦN DỊCH VỤ THƯƠNG MẠI TỔNG HỢP WINCOMMERCE</v>
      </c>
      <c r="G598" s="16"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c r="A599" s="14" t="s">
        <v>8201</v>
      </c>
      <c r="B599" s="15" t="s">
        <v>5</v>
      </c>
      <c r="C599" s="10" t="s">
        <v>8202</v>
      </c>
      <c r="D599" s="16" t="s">
        <v>2292</v>
      </c>
      <c r="E599" s="15" t="s">
        <v>11201</v>
      </c>
      <c r="F599" s="16" t="str">
        <f>VLOOKUP(Table8[[#This Row],[Mã khách hàng]],code_khach_hang[],2,0)</f>
        <v>CHI NHÁNH HẢI DƯƠNG - CÔNG TY CỔ PHẦN DỊCH VỤ THƯƠNG MẠI TỔNG HỢP WINCOMMERCE</v>
      </c>
      <c r="G599" s="16"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c r="A600" s="14" t="s">
        <v>7291</v>
      </c>
      <c r="B600" s="15" t="s">
        <v>5</v>
      </c>
      <c r="C600" s="10" t="s">
        <v>7292</v>
      </c>
      <c r="D600" s="16" t="s">
        <v>2295</v>
      </c>
      <c r="E600" s="15" t="s">
        <v>11201</v>
      </c>
      <c r="F600" s="16" t="str">
        <f>VLOOKUP(Table8[[#This Row],[Mã khách hàng]],code_khach_hang[],2,0)</f>
        <v>CHI NHÁNH HẢI DƯƠNG - CÔNG TY CỔ PHẦN DỊCH VỤ THƯƠNG MẠI TỔNG HỢP WINCOMMERCE</v>
      </c>
      <c r="G600" s="16"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c r="A601" s="14" t="s">
        <v>9345</v>
      </c>
      <c r="B601" s="15" t="s">
        <v>5</v>
      </c>
      <c r="C601" s="10" t="s">
        <v>9346</v>
      </c>
      <c r="D601" s="16" t="s">
        <v>2298</v>
      </c>
      <c r="E601" s="15" t="s">
        <v>11201</v>
      </c>
      <c r="F601" s="16" t="str">
        <f>VLOOKUP(Table8[[#This Row],[Mã khách hàng]],code_khach_hang[],2,0)</f>
        <v>CHI NHÁNH HẢI DƯƠNG - CÔNG TY CỔ PHẦN DỊCH VỤ THƯƠNG MẠI TỔNG HỢP WINCOMMERCE</v>
      </c>
      <c r="G601" s="16"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c r="A602" s="14" t="s">
        <v>7357</v>
      </c>
      <c r="B602" s="15" t="s">
        <v>5</v>
      </c>
      <c r="C602" s="10" t="s">
        <v>7358</v>
      </c>
      <c r="D602" s="16" t="s">
        <v>2301</v>
      </c>
      <c r="E602" s="15" t="s">
        <v>11201</v>
      </c>
      <c r="F602" s="16" t="str">
        <f>VLOOKUP(Table8[[#This Row],[Mã khách hàng]],code_khach_hang[],2,0)</f>
        <v>CHI NHÁNH HẢI DƯƠNG - CÔNG TY CỔ PHẦN DỊCH VỤ THƯƠNG MẠI TỔNG HỢP WINCOMMERCE</v>
      </c>
      <c r="G602" s="16"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c r="A603" s="14" t="s">
        <v>7487</v>
      </c>
      <c r="B603" s="15" t="s">
        <v>5</v>
      </c>
      <c r="C603" s="10" t="s">
        <v>7488</v>
      </c>
      <c r="D603" s="16" t="s">
        <v>2304</v>
      </c>
      <c r="E603" s="15" t="s">
        <v>11201</v>
      </c>
      <c r="F603" s="16" t="str">
        <f>VLOOKUP(Table8[[#This Row],[Mã khách hàng]],code_khach_hang[],2,0)</f>
        <v>CHI NHÁNH HẢI DƯƠNG - CÔNG TY CỔ PHẦN DỊCH VỤ THƯƠNG MẠI TỔNG HỢP WINCOMMERCE</v>
      </c>
      <c r="G603" s="16"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c r="A604" s="14" t="s">
        <v>7628</v>
      </c>
      <c r="B604" s="15" t="s">
        <v>5</v>
      </c>
      <c r="C604" s="10" t="s">
        <v>7629</v>
      </c>
      <c r="D604" s="16" t="s">
        <v>2307</v>
      </c>
      <c r="E604" s="15" t="s">
        <v>11201</v>
      </c>
      <c r="F604" s="16" t="str">
        <f>VLOOKUP(Table8[[#This Row],[Mã khách hàng]],code_khach_hang[],2,0)</f>
        <v>CHI NHÁNH HẢI DƯƠNG - CÔNG TY CỔ PHẦN DỊCH VỤ THƯƠNG MẠI TỔNG HỢP WINCOMMERCE</v>
      </c>
      <c r="G604" s="16"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c r="A605" s="14" t="s">
        <v>8859</v>
      </c>
      <c r="B605" s="15" t="s">
        <v>5</v>
      </c>
      <c r="C605" s="10" t="s">
        <v>8860</v>
      </c>
      <c r="D605" s="16" t="s">
        <v>2310</v>
      </c>
      <c r="E605" s="15" t="s">
        <v>11201</v>
      </c>
      <c r="F605" s="16" t="str">
        <f>VLOOKUP(Table8[[#This Row],[Mã khách hàng]],code_khach_hang[],2,0)</f>
        <v>CHI NHÁNH HẢI DƯƠNG - CÔNG TY CỔ PHẦN DỊCH VỤ THƯƠNG MẠI TỔNG HỢP WINCOMMERCE</v>
      </c>
      <c r="G605" s="16"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c r="A606" s="14" t="s">
        <v>7378</v>
      </c>
      <c r="B606" s="15" t="s">
        <v>5</v>
      </c>
      <c r="C606" s="10" t="s">
        <v>7379</v>
      </c>
      <c r="D606" s="16" t="s">
        <v>2313</v>
      </c>
      <c r="E606" s="14" t="s">
        <v>11201</v>
      </c>
      <c r="F606" s="16" t="str">
        <f>VLOOKUP(Table8[[#This Row],[Mã khách hàng]],code_khach_hang[],2,0)</f>
        <v>CHI NHÁNH HẢI DƯƠNG - CÔNG TY CỔ PHẦN DỊCH VỤ THƯƠNG MẠI TỔNG HỢP WINCOMMERCE</v>
      </c>
      <c r="G606" s="16"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c r="A607" s="14" t="s">
        <v>7526</v>
      </c>
      <c r="B607" s="15" t="s">
        <v>5</v>
      </c>
      <c r="C607" s="10" t="s">
        <v>7527</v>
      </c>
      <c r="D607" s="16" t="s">
        <v>2316</v>
      </c>
      <c r="E607" s="15" t="s">
        <v>11201</v>
      </c>
      <c r="F607" s="16" t="str">
        <f>VLOOKUP(Table8[[#This Row],[Mã khách hàng]],code_khach_hang[],2,0)</f>
        <v>CHI NHÁNH HẢI DƯƠNG - CÔNG TY CỔ PHẦN DỊCH VỤ THƯƠNG MẠI TỔNG HỢP WINCOMMERCE</v>
      </c>
      <c r="G607" s="16"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c r="A608" s="14" t="s">
        <v>7505</v>
      </c>
      <c r="B608" s="15" t="s">
        <v>5</v>
      </c>
      <c r="C608" s="10" t="s">
        <v>7506</v>
      </c>
      <c r="D608" s="16" t="s">
        <v>2319</v>
      </c>
      <c r="E608" s="15" t="s">
        <v>11201</v>
      </c>
      <c r="F608" s="16" t="str">
        <f>VLOOKUP(Table8[[#This Row],[Mã khách hàng]],code_khach_hang[],2,0)</f>
        <v>CHI NHÁNH HẢI DƯƠNG - CÔNG TY CỔ PHẦN DỊCH VỤ THƯƠNG MẠI TỔNG HỢP WINCOMMERCE</v>
      </c>
      <c r="G608" s="16"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c r="A609" s="14" t="s">
        <v>7428</v>
      </c>
      <c r="B609" s="15" t="s">
        <v>5</v>
      </c>
      <c r="C609" s="10" t="s">
        <v>7429</v>
      </c>
      <c r="D609" s="16" t="s">
        <v>2322</v>
      </c>
      <c r="E609" s="15" t="s">
        <v>11201</v>
      </c>
      <c r="F609" s="16" t="str">
        <f>VLOOKUP(Table8[[#This Row],[Mã khách hàng]],code_khach_hang[],2,0)</f>
        <v>CHI NHÁNH HẢI DƯƠNG - CÔNG TY CỔ PHẦN DỊCH VỤ THƯƠNG MẠI TỔNG HỢP WINCOMMERCE</v>
      </c>
      <c r="G609" s="16"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c r="A610" s="14" t="s">
        <v>6920</v>
      </c>
      <c r="B610" s="15" t="s">
        <v>5</v>
      </c>
      <c r="C610" s="10" t="s">
        <v>6921</v>
      </c>
      <c r="D610" s="16" t="s">
        <v>2325</v>
      </c>
      <c r="E610" s="14" t="s">
        <v>11201</v>
      </c>
      <c r="F610" s="16" t="str">
        <f>VLOOKUP(Table8[[#This Row],[Mã khách hàng]],code_khach_hang[],2,0)</f>
        <v>CHI NHÁNH HẢI DƯƠNG - CÔNG TY CỔ PHẦN DỊCH VỤ THƯƠNG MẠI TỔNG HỢP WINCOMMERCE</v>
      </c>
      <c r="G610" s="16"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c r="A611" s="14" t="s">
        <v>7529</v>
      </c>
      <c r="B611" s="15" t="s">
        <v>5</v>
      </c>
      <c r="C611" s="10" t="s">
        <v>7530</v>
      </c>
      <c r="D611" s="16" t="s">
        <v>2328</v>
      </c>
      <c r="E611" s="15" t="s">
        <v>11201</v>
      </c>
      <c r="F611" s="16" t="str">
        <f>VLOOKUP(Table8[[#This Row],[Mã khách hàng]],code_khach_hang[],2,0)</f>
        <v>CHI NHÁNH HẢI DƯƠNG - CÔNG TY CỔ PHẦN DỊCH VỤ THƯƠNG MẠI TỔNG HỢP WINCOMMERCE</v>
      </c>
      <c r="G611" s="16"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c r="A612" s="14" t="s">
        <v>7589</v>
      </c>
      <c r="B612" s="15" t="s">
        <v>5</v>
      </c>
      <c r="C612" s="10" t="s">
        <v>7590</v>
      </c>
      <c r="D612" s="16" t="s">
        <v>2330</v>
      </c>
      <c r="E612" s="15" t="s">
        <v>11201</v>
      </c>
      <c r="F612" s="16" t="str">
        <f>VLOOKUP(Table8[[#This Row],[Mã khách hàng]],code_khach_hang[],2,0)</f>
        <v>CHI NHÁNH HẢI DƯƠNG - CÔNG TY CỔ PHẦN DỊCH VỤ THƯƠNG MẠI TỔNG HỢP WINCOMMERCE</v>
      </c>
      <c r="G612" s="16"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c r="A613" s="14" t="s">
        <v>7601</v>
      </c>
      <c r="B613" s="15" t="s">
        <v>5</v>
      </c>
      <c r="C613" s="10" t="s">
        <v>7602</v>
      </c>
      <c r="D613" s="16" t="s">
        <v>2332</v>
      </c>
      <c r="E613" s="15" t="s">
        <v>11216</v>
      </c>
      <c r="F613" s="16" t="str">
        <f>VLOOKUP(Table8[[#This Row],[Mã khách hàng]],code_khach_hang[],2,0)</f>
        <v>CHI NHÁNH HƯNG YÊN - CÔNG TY CỔ PHẦN DỊCH VỤ THƯƠNG MẠI TỔNG HỢP WINCOMMERCE</v>
      </c>
      <c r="G613" s="16"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c r="A614" s="14" t="s">
        <v>8404</v>
      </c>
      <c r="B614" s="15" t="s">
        <v>5</v>
      </c>
      <c r="C614" s="10" t="s">
        <v>8405</v>
      </c>
      <c r="D614" s="16" t="s">
        <v>2335</v>
      </c>
      <c r="E614" s="15" t="s">
        <v>11216</v>
      </c>
      <c r="F614" s="16" t="str">
        <f>VLOOKUP(Table8[[#This Row],[Mã khách hàng]],code_khach_hang[],2,0)</f>
        <v>CHI NHÁNH HƯNG YÊN - CÔNG TY CỔ PHẦN DỊCH VỤ THƯƠNG MẠI TỔNG HỢP WINCOMMERCE</v>
      </c>
      <c r="G614" s="16"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c r="A615" s="14" t="s">
        <v>5747</v>
      </c>
      <c r="B615" s="15" t="s">
        <v>5</v>
      </c>
      <c r="C615" s="10" t="s">
        <v>5748</v>
      </c>
      <c r="D615" s="16" t="s">
        <v>2337</v>
      </c>
      <c r="E615" s="15" t="s">
        <v>11216</v>
      </c>
      <c r="F615" s="16" t="str">
        <f>VLOOKUP(Table8[[#This Row],[Mã khách hàng]],code_khach_hang[],2,0)</f>
        <v>CHI NHÁNH HƯNG YÊN - CÔNG TY CỔ PHẦN DỊCH VỤ THƯƠNG MẠI TỔNG HỢP WINCOMMERCE</v>
      </c>
      <c r="G615" s="16"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c r="A616" s="14" t="s">
        <v>6983</v>
      </c>
      <c r="B616" s="15" t="s">
        <v>5</v>
      </c>
      <c r="C616" s="10" t="s">
        <v>6984</v>
      </c>
      <c r="D616" s="16" t="s">
        <v>2340</v>
      </c>
      <c r="E616" s="15" t="s">
        <v>11216</v>
      </c>
      <c r="F616" s="16" t="str">
        <f>VLOOKUP(Table8[[#This Row],[Mã khách hàng]],code_khach_hang[],2,0)</f>
        <v>CHI NHÁNH HƯNG YÊN - CÔNG TY CỔ PHẦN DỊCH VỤ THƯƠNG MẠI TỔNG HỢP WINCOMMERCE</v>
      </c>
      <c r="G616" s="16"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c r="A617" s="14" t="s">
        <v>7101</v>
      </c>
      <c r="B617" s="15" t="s">
        <v>5</v>
      </c>
      <c r="C617" s="10" t="s">
        <v>7102</v>
      </c>
      <c r="D617" s="16" t="s">
        <v>2343</v>
      </c>
      <c r="E617" s="15" t="s">
        <v>11216</v>
      </c>
      <c r="F617" s="16" t="str">
        <f>VLOOKUP(Table8[[#This Row],[Mã khách hàng]],code_khach_hang[],2,0)</f>
        <v>CHI NHÁNH HƯNG YÊN - CÔNG TY CỔ PHẦN DỊCH VỤ THƯƠNG MẠI TỔNG HỢP WINCOMMERCE</v>
      </c>
      <c r="G617" s="16"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c r="A618" s="14" t="s">
        <v>6225</v>
      </c>
      <c r="B618" s="15" t="s">
        <v>5</v>
      </c>
      <c r="C618" s="10" t="s">
        <v>6226</v>
      </c>
      <c r="D618" s="16" t="s">
        <v>2346</v>
      </c>
      <c r="E618" s="15" t="s">
        <v>11216</v>
      </c>
      <c r="F618" s="16" t="str">
        <f>VLOOKUP(Table8[[#This Row],[Mã khách hàng]],code_khach_hang[],2,0)</f>
        <v>CHI NHÁNH HƯNG YÊN - CÔNG TY CỔ PHẦN DỊCH VỤ THƯƠNG MẠI TỔNG HỢP WINCOMMERCE</v>
      </c>
      <c r="G618" s="16"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c r="A619" s="14" t="s">
        <v>7104</v>
      </c>
      <c r="B619" s="15" t="s">
        <v>5</v>
      </c>
      <c r="C619" s="10" t="s">
        <v>7105</v>
      </c>
      <c r="D619" s="16" t="s">
        <v>2349</v>
      </c>
      <c r="E619" s="15" t="s">
        <v>11216</v>
      </c>
      <c r="F619" s="16" t="str">
        <f>VLOOKUP(Table8[[#This Row],[Mã khách hàng]],code_khach_hang[],2,0)</f>
        <v>CHI NHÁNH HƯNG YÊN - CÔNG TY CỔ PHẦN DỊCH VỤ THƯƠNG MẠI TỔNG HỢP WINCOMMERCE</v>
      </c>
      <c r="G619" s="16"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c r="A620" s="14" t="s">
        <v>7256</v>
      </c>
      <c r="B620" s="15" t="s">
        <v>5</v>
      </c>
      <c r="C620" s="10" t="s">
        <v>7257</v>
      </c>
      <c r="D620" s="16" t="s">
        <v>2351</v>
      </c>
      <c r="E620" s="15" t="s">
        <v>11216</v>
      </c>
      <c r="F620" s="16" t="str">
        <f>VLOOKUP(Table8[[#This Row],[Mã khách hàng]],code_khach_hang[],2,0)</f>
        <v>CHI NHÁNH HƯNG YÊN - CÔNG TY CỔ PHẦN DỊCH VỤ THƯƠNG MẠI TỔNG HỢP WINCOMMERCE</v>
      </c>
      <c r="G620" s="16"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c r="A621" s="14" t="s">
        <v>5765</v>
      </c>
      <c r="B621" s="15" t="s">
        <v>5</v>
      </c>
      <c r="C621" s="10" t="s">
        <v>5766</v>
      </c>
      <c r="D621" s="16" t="s">
        <v>2354</v>
      </c>
      <c r="E621" s="15" t="s">
        <v>11216</v>
      </c>
      <c r="F621" s="16" t="str">
        <f>VLOOKUP(Table8[[#This Row],[Mã khách hàng]],code_khach_hang[],2,0)</f>
        <v>CHI NHÁNH HƯNG YÊN - CÔNG TY CỔ PHẦN DỊCH VỤ THƯƠNG MẠI TỔNG HỢP WINCOMMERCE</v>
      </c>
      <c r="G621" s="16"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c r="A622" s="14" t="s">
        <v>5756</v>
      </c>
      <c r="B622" s="15" t="s">
        <v>5</v>
      </c>
      <c r="C622" s="10" t="s">
        <v>5757</v>
      </c>
      <c r="D622" s="16" t="s">
        <v>2357</v>
      </c>
      <c r="E622" s="15" t="s">
        <v>11216</v>
      </c>
      <c r="F622" s="16" t="str">
        <f>VLOOKUP(Table8[[#This Row],[Mã khách hàng]],code_khach_hang[],2,0)</f>
        <v>CHI NHÁNH HƯNG YÊN - CÔNG TY CỔ PHẦN DỊCH VỤ THƯƠNG MẠI TỔNG HỢP WINCOMMERCE</v>
      </c>
      <c r="G622" s="16"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c r="A623" s="14" t="s">
        <v>6142</v>
      </c>
      <c r="B623" s="15" t="s">
        <v>5</v>
      </c>
      <c r="C623" s="10" t="s">
        <v>6143</v>
      </c>
      <c r="D623" s="16" t="s">
        <v>2360</v>
      </c>
      <c r="E623" s="15" t="s">
        <v>11216</v>
      </c>
      <c r="F623" s="16" t="str">
        <f>VLOOKUP(Table8[[#This Row],[Mã khách hàng]],code_khach_hang[],2,0)</f>
        <v>CHI NHÁNH HƯNG YÊN - CÔNG TY CỔ PHẦN DỊCH VỤ THƯƠNG MẠI TỔNG HỢP WINCOMMERCE</v>
      </c>
      <c r="G623" s="16"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c r="A624" s="14" t="s">
        <v>7262</v>
      </c>
      <c r="B624" s="15" t="s">
        <v>5</v>
      </c>
      <c r="C624" s="10" t="s">
        <v>7263</v>
      </c>
      <c r="D624" s="16" t="s">
        <v>2363</v>
      </c>
      <c r="E624" s="15" t="s">
        <v>11216</v>
      </c>
      <c r="F624" s="16" t="str">
        <f>VLOOKUP(Table8[[#This Row],[Mã khách hàng]],code_khach_hang[],2,0)</f>
        <v>CHI NHÁNH HƯNG YÊN - CÔNG TY CỔ PHẦN DỊCH VỤ THƯƠNG MẠI TỔNG HỢP WINCOMMERCE</v>
      </c>
      <c r="G624" s="16"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c r="A625" s="14" t="s">
        <v>8576</v>
      </c>
      <c r="B625" s="15" t="s">
        <v>5</v>
      </c>
      <c r="C625" s="10" t="s">
        <v>8577</v>
      </c>
      <c r="D625" s="16" t="s">
        <v>2366</v>
      </c>
      <c r="E625" s="15" t="s">
        <v>11216</v>
      </c>
      <c r="F625" s="16" t="str">
        <f>VLOOKUP(Table8[[#This Row],[Mã khách hàng]],code_khach_hang[],2,0)</f>
        <v>CHI NHÁNH HƯNG YÊN - CÔNG TY CỔ PHẦN DỊCH VỤ THƯƠNG MẠI TỔNG HỢP WINCOMMERCE</v>
      </c>
      <c r="G625" s="16"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c r="A626" s="14" t="s">
        <v>5744</v>
      </c>
      <c r="B626" s="15" t="s">
        <v>5</v>
      </c>
      <c r="C626" s="10" t="s">
        <v>5745</v>
      </c>
      <c r="D626" s="16" t="s">
        <v>2369</v>
      </c>
      <c r="E626" s="15" t="s">
        <v>11216</v>
      </c>
      <c r="F626" s="16" t="str">
        <f>VLOOKUP(Table8[[#This Row],[Mã khách hàng]],code_khach_hang[],2,0)</f>
        <v>CHI NHÁNH HƯNG YÊN - CÔNG TY CỔ PHẦN DỊCH VỤ THƯƠNG MẠI TỔNG HỢP WINCOMMERCE</v>
      </c>
      <c r="G626" s="16"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c r="A627" s="14" t="s">
        <v>5911</v>
      </c>
      <c r="B627" s="15" t="s">
        <v>5</v>
      </c>
      <c r="C627" s="10" t="s">
        <v>5912</v>
      </c>
      <c r="D627" s="16" t="s">
        <v>2372</v>
      </c>
      <c r="E627" s="15" t="s">
        <v>11216</v>
      </c>
      <c r="F627" s="16" t="str">
        <f>VLOOKUP(Table8[[#This Row],[Mã khách hàng]],code_khach_hang[],2,0)</f>
        <v>CHI NHÁNH HƯNG YÊN - CÔNG TY CỔ PHẦN DỊCH VỤ THƯƠNG MẠI TỔNG HỢP WINCOMMERCE</v>
      </c>
      <c r="G627" s="16"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c r="A628" s="14" t="s">
        <v>6145</v>
      </c>
      <c r="B628" s="15" t="s">
        <v>5</v>
      </c>
      <c r="C628" s="10" t="s">
        <v>6146</v>
      </c>
      <c r="D628" s="16" t="s">
        <v>2375</v>
      </c>
      <c r="E628" s="15" t="s">
        <v>11216</v>
      </c>
      <c r="F628" s="16" t="str">
        <f>VLOOKUP(Table8[[#This Row],[Mã khách hàng]],code_khach_hang[],2,0)</f>
        <v>CHI NHÁNH HƯNG YÊN - CÔNG TY CỔ PHẦN DỊCH VỤ THƯƠNG MẠI TỔNG HỢP WINCOMMERCE</v>
      </c>
      <c r="G628" s="16"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c r="A629" s="14" t="s">
        <v>7547</v>
      </c>
      <c r="B629" s="15" t="s">
        <v>5</v>
      </c>
      <c r="C629" s="10" t="s">
        <v>7548</v>
      </c>
      <c r="D629" s="16" t="s">
        <v>2378</v>
      </c>
      <c r="E629" s="15" t="s">
        <v>11216</v>
      </c>
      <c r="F629" s="16" t="str">
        <f>VLOOKUP(Table8[[#This Row],[Mã khách hàng]],code_khach_hang[],2,0)</f>
        <v>CHI NHÁNH HƯNG YÊN - CÔNG TY CỔ PHẦN DỊCH VỤ THƯƠNG MẠI TỔNG HỢP WINCOMMERCE</v>
      </c>
      <c r="G629" s="16"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c r="A630" s="14" t="s">
        <v>7649</v>
      </c>
      <c r="B630" s="15" t="s">
        <v>5</v>
      </c>
      <c r="C630" s="10" t="s">
        <v>7650</v>
      </c>
      <c r="D630" s="16" t="s">
        <v>2381</v>
      </c>
      <c r="E630" s="15" t="s">
        <v>11216</v>
      </c>
      <c r="F630" s="16" t="str">
        <f>VLOOKUP(Table8[[#This Row],[Mã khách hàng]],code_khach_hang[],2,0)</f>
        <v>CHI NHÁNH HƯNG YÊN - CÔNG TY CỔ PHẦN DỊCH VỤ THƯƠNG MẠI TỔNG HỢP WINCOMMERCE</v>
      </c>
      <c r="G630" s="16"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c r="A631" s="14" t="s">
        <v>7878</v>
      </c>
      <c r="B631" s="15" t="s">
        <v>5</v>
      </c>
      <c r="C631" s="10" t="s">
        <v>7879</v>
      </c>
      <c r="D631" s="16" t="s">
        <v>2384</v>
      </c>
      <c r="E631" s="15" t="s">
        <v>11216</v>
      </c>
      <c r="F631" s="16" t="str">
        <f>VLOOKUP(Table8[[#This Row],[Mã khách hàng]],code_khach_hang[],2,0)</f>
        <v>CHI NHÁNH HƯNG YÊN - CÔNG TY CỔ PHẦN DỊCH VỤ THƯƠNG MẠI TỔNG HỢP WINCOMMERCE</v>
      </c>
      <c r="G631" s="16"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c r="A632" s="14" t="s">
        <v>8160</v>
      </c>
      <c r="B632" s="15" t="s">
        <v>5</v>
      </c>
      <c r="C632" s="10" t="s">
        <v>8161</v>
      </c>
      <c r="D632" s="16" t="s">
        <v>2387</v>
      </c>
      <c r="E632" s="15" t="s">
        <v>11216</v>
      </c>
      <c r="F632" s="16" t="str">
        <f>VLOOKUP(Table8[[#This Row],[Mã khách hàng]],code_khach_hang[],2,0)</f>
        <v>CHI NHÁNH HƯNG YÊN - CÔNG TY CỔ PHẦN DỊCH VỤ THƯƠNG MẠI TỔNG HỢP WINCOMMERCE</v>
      </c>
      <c r="G632" s="16"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c r="A633" s="14" t="s">
        <v>8245</v>
      </c>
      <c r="B633" s="15" t="s">
        <v>5</v>
      </c>
      <c r="C633" s="10" t="s">
        <v>8246</v>
      </c>
      <c r="D633" s="16" t="s">
        <v>2390</v>
      </c>
      <c r="E633" s="15" t="s">
        <v>11216</v>
      </c>
      <c r="F633" s="16" t="str">
        <f>VLOOKUP(Table8[[#This Row],[Mã khách hàng]],code_khach_hang[],2,0)</f>
        <v>CHI NHÁNH HƯNG YÊN - CÔNG TY CỔ PHẦN DỊCH VỤ THƯƠNG MẠI TỔNG HỢP WINCOMMERCE</v>
      </c>
      <c r="G633" s="16"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c r="A634" s="14" t="s">
        <v>8439</v>
      </c>
      <c r="B634" s="15" t="s">
        <v>5</v>
      </c>
      <c r="C634" s="10" t="s">
        <v>8440</v>
      </c>
      <c r="D634" s="16" t="s">
        <v>2393</v>
      </c>
      <c r="E634" s="15" t="s">
        <v>11216</v>
      </c>
      <c r="F634" s="16" t="str">
        <f>VLOOKUP(Table8[[#This Row],[Mã khách hàng]],code_khach_hang[],2,0)</f>
        <v>CHI NHÁNH HƯNG YÊN - CÔNG TY CỔ PHẦN DỊCH VỤ THƯƠNG MẠI TỔNG HỢP WINCOMMERCE</v>
      </c>
      <c r="G634" s="16"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c r="A635" s="14" t="s">
        <v>5624</v>
      </c>
      <c r="B635" s="15" t="s">
        <v>5</v>
      </c>
      <c r="C635" s="10" t="s">
        <v>5625</v>
      </c>
      <c r="D635" s="16" t="s">
        <v>2396</v>
      </c>
      <c r="E635" s="15" t="s">
        <v>11216</v>
      </c>
      <c r="F635" s="16" t="str">
        <f>VLOOKUP(Table8[[#This Row],[Mã khách hàng]],code_khach_hang[],2,0)</f>
        <v>CHI NHÁNH HƯNG YÊN - CÔNG TY CỔ PHẦN DỊCH VỤ THƯƠNG MẠI TỔNG HỢP WINCOMMERCE</v>
      </c>
      <c r="G635" s="16"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c r="A636" s="14" t="s">
        <v>5914</v>
      </c>
      <c r="B636" s="15" t="s">
        <v>5</v>
      </c>
      <c r="C636" s="10" t="s">
        <v>5915</v>
      </c>
      <c r="D636" s="16" t="s">
        <v>2399</v>
      </c>
      <c r="E636" s="15" t="s">
        <v>11216</v>
      </c>
      <c r="F636" s="16" t="str">
        <f>VLOOKUP(Table8[[#This Row],[Mã khách hàng]],code_khach_hang[],2,0)</f>
        <v>CHI NHÁNH HƯNG YÊN - CÔNG TY CỔ PHẦN DỊCH VỤ THƯƠNG MẠI TỔNG HỢP WINCOMMERCE</v>
      </c>
      <c r="G636" s="16"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c r="A637" s="14" t="s">
        <v>5923</v>
      </c>
      <c r="B637" s="15" t="s">
        <v>5</v>
      </c>
      <c r="C637" s="10" t="s">
        <v>5924</v>
      </c>
      <c r="D637" s="16" t="s">
        <v>2402</v>
      </c>
      <c r="E637" s="15" t="s">
        <v>11216</v>
      </c>
      <c r="F637" s="16" t="str">
        <f>VLOOKUP(Table8[[#This Row],[Mã khách hàng]],code_khach_hang[],2,0)</f>
        <v>CHI NHÁNH HƯNG YÊN - CÔNG TY CỔ PHẦN DỊCH VỤ THƯƠNG MẠI TỔNG HỢP WINCOMMERCE</v>
      </c>
      <c r="G637" s="16"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c r="A638" s="14" t="s">
        <v>6196</v>
      </c>
      <c r="B638" s="15" t="s">
        <v>5</v>
      </c>
      <c r="C638" s="10" t="s">
        <v>6197</v>
      </c>
      <c r="D638" s="16" t="s">
        <v>2405</v>
      </c>
      <c r="E638" s="15" t="s">
        <v>11216</v>
      </c>
      <c r="F638" s="16" t="str">
        <f>VLOOKUP(Table8[[#This Row],[Mã khách hàng]],code_khach_hang[],2,0)</f>
        <v>CHI NHÁNH HƯNG YÊN - CÔNG TY CỔ PHẦN DỊCH VỤ THƯƠNG MẠI TỔNG HỢP WINCOMMERCE</v>
      </c>
      <c r="G638" s="16"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c r="A639" s="14" t="s">
        <v>6758</v>
      </c>
      <c r="B639" s="15" t="s">
        <v>5</v>
      </c>
      <c r="C639" s="10" t="s">
        <v>6759</v>
      </c>
      <c r="D639" s="16" t="s">
        <v>2408</v>
      </c>
      <c r="E639" s="15" t="s">
        <v>11216</v>
      </c>
      <c r="F639" s="16" t="str">
        <f>VLOOKUP(Table8[[#This Row],[Mã khách hàng]],code_khach_hang[],2,0)</f>
        <v>CHI NHÁNH HƯNG YÊN - CÔNG TY CỔ PHẦN DỊCH VỤ THƯƠNG MẠI TỔNG HỢP WINCOMMERCE</v>
      </c>
      <c r="G639" s="16"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c r="A640" s="14" t="s">
        <v>7259</v>
      </c>
      <c r="B640" s="15" t="s">
        <v>5</v>
      </c>
      <c r="C640" s="10" t="s">
        <v>7260</v>
      </c>
      <c r="D640" s="16" t="s">
        <v>2411</v>
      </c>
      <c r="E640" s="15" t="s">
        <v>11216</v>
      </c>
      <c r="F640" s="16" t="str">
        <f>VLOOKUP(Table8[[#This Row],[Mã khách hàng]],code_khach_hang[],2,0)</f>
        <v>CHI NHÁNH HƯNG YÊN - CÔNG TY CỔ PHẦN DỊCH VỤ THƯƠNG MẠI TỔNG HỢP WINCOMMERCE</v>
      </c>
      <c r="G640" s="16"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c r="A641" s="14" t="s">
        <v>7903</v>
      </c>
      <c r="B641" s="15" t="s">
        <v>5</v>
      </c>
      <c r="C641" s="10" t="s">
        <v>7904</v>
      </c>
      <c r="D641" s="16" t="s">
        <v>2414</v>
      </c>
      <c r="E641" s="15" t="s">
        <v>11216</v>
      </c>
      <c r="F641" s="16" t="str">
        <f>VLOOKUP(Table8[[#This Row],[Mã khách hàng]],code_khach_hang[],2,0)</f>
        <v>CHI NHÁNH HƯNG YÊN - CÔNG TY CỔ PHẦN DỊCH VỤ THƯƠNG MẠI TỔNG HỢP WINCOMMERCE</v>
      </c>
      <c r="G641" s="16"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c r="A642" s="14" t="s">
        <v>6653</v>
      </c>
      <c r="B642" s="15" t="s">
        <v>5</v>
      </c>
      <c r="C642" s="10" t="s">
        <v>6654</v>
      </c>
      <c r="D642" s="16" t="s">
        <v>2417</v>
      </c>
      <c r="E642" s="15" t="s">
        <v>11216</v>
      </c>
      <c r="F642" s="16" t="str">
        <f>VLOOKUP(Table8[[#This Row],[Mã khách hàng]],code_khach_hang[],2,0)</f>
        <v>CHI NHÁNH HƯNG YÊN - CÔNG TY CỔ PHẦN DỊCH VỤ THƯƠNG MẠI TỔNG HỢP WINCOMMERCE</v>
      </c>
      <c r="G642" s="16"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c r="A643" s="14" t="s">
        <v>6845</v>
      </c>
      <c r="B643" s="15" t="s">
        <v>5</v>
      </c>
      <c r="C643" s="10" t="s">
        <v>6846</v>
      </c>
      <c r="D643" s="16" t="s">
        <v>2420</v>
      </c>
      <c r="E643" s="15" t="s">
        <v>11216</v>
      </c>
      <c r="F643" s="16" t="str">
        <f>VLOOKUP(Table8[[#This Row],[Mã khách hàng]],code_khach_hang[],2,0)</f>
        <v>CHI NHÁNH HƯNG YÊN - CÔNG TY CỔ PHẦN DỊCH VỤ THƯƠNG MẠI TỔNG HỢP WINCOMMERCE</v>
      </c>
      <c r="G643" s="16"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c r="A644" s="14" t="s">
        <v>8224</v>
      </c>
      <c r="B644" s="15" t="s">
        <v>5</v>
      </c>
      <c r="C644" s="10" t="s">
        <v>8225</v>
      </c>
      <c r="D644" s="16" t="s">
        <v>2423</v>
      </c>
      <c r="E644" s="15" t="s">
        <v>11216</v>
      </c>
      <c r="F644" s="16" t="str">
        <f>VLOOKUP(Table8[[#This Row],[Mã khách hàng]],code_khach_hang[],2,0)</f>
        <v>CHI NHÁNH HƯNG YÊN - CÔNG TY CỔ PHẦN DỊCH VỤ THƯƠNG MẠI TỔNG HỢP WINCOMMERCE</v>
      </c>
      <c r="G644" s="16"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c r="A645" s="14" t="s">
        <v>8506</v>
      </c>
      <c r="B645" s="15" t="s">
        <v>5</v>
      </c>
      <c r="C645" s="10" t="s">
        <v>8507</v>
      </c>
      <c r="D645" s="16" t="s">
        <v>2426</v>
      </c>
      <c r="E645" s="15" t="s">
        <v>11216</v>
      </c>
      <c r="F645" s="16" t="str">
        <f>VLOOKUP(Table8[[#This Row],[Mã khách hàng]],code_khach_hang[],2,0)</f>
        <v>CHI NHÁNH HƯNG YÊN - CÔNG TY CỔ PHẦN DỊCH VỤ THƯƠNG MẠI TỔNG HỢP WINCOMMERCE</v>
      </c>
      <c r="G645" s="16"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c r="A646" s="14" t="s">
        <v>8844</v>
      </c>
      <c r="B646" s="15" t="s">
        <v>5</v>
      </c>
      <c r="C646" s="10" t="s">
        <v>8845</v>
      </c>
      <c r="D646" s="16" t="s">
        <v>2429</v>
      </c>
      <c r="E646" s="15" t="s">
        <v>11216</v>
      </c>
      <c r="F646" s="16" t="str">
        <f>VLOOKUP(Table8[[#This Row],[Mã khách hàng]],code_khach_hang[],2,0)</f>
        <v>CHI NHÁNH HƯNG YÊN - CÔNG TY CỔ PHẦN DỊCH VỤ THƯƠNG MẠI TỔNG HỢP WINCOMMERCE</v>
      </c>
      <c r="G646" s="16"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c r="A647" s="14" t="s">
        <v>7297</v>
      </c>
      <c r="B647" s="15" t="s">
        <v>5</v>
      </c>
      <c r="C647" s="10" t="s">
        <v>7298</v>
      </c>
      <c r="D647" s="16" t="s">
        <v>2432</v>
      </c>
      <c r="E647" s="15" t="s">
        <v>11208</v>
      </c>
      <c r="F647" s="16" t="str">
        <f>VLOOKUP(Table8[[#This Row],[Mã khách hàng]],code_khach_hang[],2,0)</f>
        <v>CHI NHÁNH LẠNG SƠN - CÔNG TY CỔ PHẦN DỊCH VỤ THƯƠNG MẠI TỔNG HỢP WINCOMMERCE</v>
      </c>
      <c r="G647" s="16"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c r="A648" s="14" t="s">
        <v>7446</v>
      </c>
      <c r="B648" s="15" t="s">
        <v>5</v>
      </c>
      <c r="C648" s="10" t="s">
        <v>7447</v>
      </c>
      <c r="D648" s="16" t="s">
        <v>2435</v>
      </c>
      <c r="E648" s="15" t="s">
        <v>11208</v>
      </c>
      <c r="F648" s="16" t="str">
        <f>VLOOKUP(Table8[[#This Row],[Mã khách hàng]],code_khach_hang[],2,0)</f>
        <v>CHI NHÁNH LẠNG SƠN - CÔNG TY CỔ PHẦN DỊCH VỤ THƯƠNG MẠI TỔNG HỢP WINCOMMERCE</v>
      </c>
      <c r="G648" s="16"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c r="A649" s="14" t="s">
        <v>5707</v>
      </c>
      <c r="B649" s="15" t="s">
        <v>5</v>
      </c>
      <c r="C649" s="10" t="e">
        <v>#N/A</v>
      </c>
      <c r="D649" s="16" t="s">
        <v>2438</v>
      </c>
      <c r="E649" s="15" t="s">
        <v>11208</v>
      </c>
      <c r="F649" s="16" t="str">
        <f>VLOOKUP(Table8[[#This Row],[Mã khách hàng]],code_khach_hang[],2,0)</f>
        <v>CHI NHÁNH LẠNG SƠN - CÔNG TY CỔ PHẦN DỊCH VỤ THƯƠNG MẠI TỔNG HỢP WINCOMMERCE</v>
      </c>
      <c r="G649" s="16"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c r="A650" s="14" t="s">
        <v>5718</v>
      </c>
      <c r="B650" s="15" t="s">
        <v>5</v>
      </c>
      <c r="C650" s="10" t="s">
        <v>5719</v>
      </c>
      <c r="D650" s="16" t="s">
        <v>2441</v>
      </c>
      <c r="E650" s="15" t="s">
        <v>11208</v>
      </c>
      <c r="F650" s="16" t="str">
        <f>VLOOKUP(Table8[[#This Row],[Mã khách hàng]],code_khach_hang[],2,0)</f>
        <v>CHI NHÁNH LẠNG SƠN - CÔNG TY CỔ PHẦN DỊCH VỤ THƯƠNG MẠI TỔNG HỢP WINCOMMERCE</v>
      </c>
      <c r="G650" s="16"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c r="A651" s="14" t="s">
        <v>5721</v>
      </c>
      <c r="B651" s="15" t="s">
        <v>5</v>
      </c>
      <c r="C651" s="10" t="s">
        <v>5722</v>
      </c>
      <c r="D651" s="16" t="s">
        <v>2444</v>
      </c>
      <c r="E651" s="15" t="s">
        <v>11208</v>
      </c>
      <c r="F651" s="16" t="str">
        <f>VLOOKUP(Table8[[#This Row],[Mã khách hàng]],code_khach_hang[],2,0)</f>
        <v>CHI NHÁNH LẠNG SƠN - CÔNG TY CỔ PHẦN DỊCH VỤ THƯƠNG MẠI TỔNG HỢP WINCOMMERCE</v>
      </c>
      <c r="G651" s="16"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c r="A652" s="14" t="s">
        <v>5736</v>
      </c>
      <c r="B652" s="15" t="s">
        <v>5</v>
      </c>
      <c r="C652" s="10" t="e">
        <v>#N/A</v>
      </c>
      <c r="D652" s="16" t="s">
        <v>2448</v>
      </c>
      <c r="E652" s="15" t="s">
        <v>11208</v>
      </c>
      <c r="F652" s="16" t="str">
        <f>VLOOKUP(Table8[[#This Row],[Mã khách hàng]],code_khach_hang[],2,0)</f>
        <v>CHI NHÁNH LẠNG SƠN - CÔNG TY CỔ PHẦN DỊCH VỤ THƯƠNG MẠI TỔNG HỢP WINCOMMERCE</v>
      </c>
      <c r="G652" s="16"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c r="A653" s="14" t="s">
        <v>5777</v>
      </c>
      <c r="B653" s="15" t="s">
        <v>5</v>
      </c>
      <c r="C653" s="10" t="s">
        <v>5778</v>
      </c>
      <c r="D653" s="16" t="s">
        <v>2451</v>
      </c>
      <c r="E653" s="15" t="s">
        <v>11208</v>
      </c>
      <c r="F653" s="16" t="str">
        <f>VLOOKUP(Table8[[#This Row],[Mã khách hàng]],code_khach_hang[],2,0)</f>
        <v>CHI NHÁNH LẠNG SƠN - CÔNG TY CỔ PHẦN DỊCH VỤ THƯƠNG MẠI TỔNG HỢP WINCOMMERCE</v>
      </c>
      <c r="G653" s="16"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c r="A654" s="14" t="s">
        <v>5893</v>
      </c>
      <c r="B654" s="15" t="s">
        <v>5</v>
      </c>
      <c r="C654" s="10" t="s">
        <v>5894</v>
      </c>
      <c r="D654" s="16" t="s">
        <v>2454</v>
      </c>
      <c r="E654" s="15" t="s">
        <v>11208</v>
      </c>
      <c r="F654" s="16" t="str">
        <f>VLOOKUP(Table8[[#This Row],[Mã khách hàng]],code_khach_hang[],2,0)</f>
        <v>CHI NHÁNH LẠNG SƠN - CÔNG TY CỔ PHẦN DỊCH VỤ THƯƠNG MẠI TỔNG HỢP WINCOMMERCE</v>
      </c>
      <c r="G654" s="16"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c r="A655" s="14" t="s">
        <v>5950</v>
      </c>
      <c r="B655" s="15" t="s">
        <v>5</v>
      </c>
      <c r="C655" s="10" t="s">
        <v>5951</v>
      </c>
      <c r="D655" s="16" t="s">
        <v>2457</v>
      </c>
      <c r="E655" s="15" t="s">
        <v>11208</v>
      </c>
      <c r="F655" s="16" t="str">
        <f>VLOOKUP(Table8[[#This Row],[Mã khách hàng]],code_khach_hang[],2,0)</f>
        <v>CHI NHÁNH LẠNG SƠN - CÔNG TY CỔ PHẦN DỊCH VỤ THƯƠNG MẠI TỔNG HỢP WINCOMMERCE</v>
      </c>
      <c r="G655" s="16"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c r="A656" s="14" t="s">
        <v>5986</v>
      </c>
      <c r="B656" s="15" t="s">
        <v>5</v>
      </c>
      <c r="C656" s="10" t="s">
        <v>5987</v>
      </c>
      <c r="D656" s="16" t="s">
        <v>2460</v>
      </c>
      <c r="E656" s="15" t="s">
        <v>11208</v>
      </c>
      <c r="F656" s="16" t="str">
        <f>VLOOKUP(Table8[[#This Row],[Mã khách hàng]],code_khach_hang[],2,0)</f>
        <v>CHI NHÁNH LẠNG SƠN - CÔNG TY CỔ PHẦN DỊCH VỤ THƯƠNG MẠI TỔNG HỢP WINCOMMERCE</v>
      </c>
      <c r="G656" s="16"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c r="A657" s="14" t="s">
        <v>6112</v>
      </c>
      <c r="B657" s="15" t="s">
        <v>5</v>
      </c>
      <c r="C657" s="10" t="s">
        <v>6113</v>
      </c>
      <c r="D657" s="16" t="s">
        <v>2463</v>
      </c>
      <c r="E657" s="15" t="s">
        <v>11208</v>
      </c>
      <c r="F657" s="16" t="str">
        <f>VLOOKUP(Table8[[#This Row],[Mã khách hàng]],code_khach_hang[],2,0)</f>
        <v>CHI NHÁNH LẠNG SƠN - CÔNG TY CỔ PHẦN DỊCH VỤ THƯƠNG MẠI TỔNG HỢP WINCOMMERCE</v>
      </c>
      <c r="G657" s="16"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c r="A658" s="14" t="s">
        <v>6458</v>
      </c>
      <c r="B658" s="15" t="s">
        <v>5</v>
      </c>
      <c r="C658" s="10" t="s">
        <v>6459</v>
      </c>
      <c r="D658" s="16" t="s">
        <v>2466</v>
      </c>
      <c r="E658" s="14" t="s">
        <v>11208</v>
      </c>
      <c r="F658" s="16" t="str">
        <f>VLOOKUP(Table8[[#This Row],[Mã khách hàng]],code_khach_hang[],2,0)</f>
        <v>CHI NHÁNH LẠNG SƠN - CÔNG TY CỔ PHẦN DỊCH VỤ THƯƠNG MẠI TỔNG HỢP WINCOMMERCE</v>
      </c>
      <c r="G658" s="16"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c r="A659" s="14" t="s">
        <v>5822</v>
      </c>
      <c r="B659" s="15" t="s">
        <v>5</v>
      </c>
      <c r="C659" s="10" t="e">
        <v>#N/A</v>
      </c>
      <c r="D659" s="16" t="s">
        <v>2468</v>
      </c>
      <c r="E659" s="15" t="s">
        <v>11208</v>
      </c>
      <c r="F659" s="16" t="str">
        <f>VLOOKUP(Table8[[#This Row],[Mã khách hàng]],code_khach_hang[],2,0)</f>
        <v>CHI NHÁNH LẠNG SƠN - CÔNG TY CỔ PHẦN DỊCH VỤ THƯƠNG MẠI TỔNG HỢP WINCOMMERCE</v>
      </c>
      <c r="G659" s="16"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c r="A660" s="14" t="s">
        <v>8886</v>
      </c>
      <c r="B660" s="15" t="s">
        <v>5</v>
      </c>
      <c r="C660" s="10" t="s">
        <v>8887</v>
      </c>
      <c r="D660" s="16" t="s">
        <v>2471</v>
      </c>
      <c r="E660" s="15" t="s">
        <v>11217</v>
      </c>
      <c r="F660" s="16" t="str">
        <f>VLOOKUP(Table8[[#This Row],[Mã khách hàng]],code_khach_hang[],2,0)</f>
        <v>CHI NHÁNH BẮC GIANG - CÔNG TY CỔ PHẦN DỊCH VỤ THƯƠNG MẠI TỔNG HỢP WINCOMMERCE</v>
      </c>
      <c r="G660" s="16"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c r="A661" s="14" t="s">
        <v>8904</v>
      </c>
      <c r="B661" s="15" t="s">
        <v>5</v>
      </c>
      <c r="C661" s="10" t="s">
        <v>8905</v>
      </c>
      <c r="D661" s="16" t="s">
        <v>2474</v>
      </c>
      <c r="E661" s="15" t="s">
        <v>11217</v>
      </c>
      <c r="F661" s="16" t="str">
        <f>VLOOKUP(Table8[[#This Row],[Mã khách hàng]],code_khach_hang[],2,0)</f>
        <v>CHI NHÁNH BẮC GIANG - CÔNG TY CỔ PHẦN DỊCH VỤ THƯƠNG MẠI TỔNG HỢP WINCOMMERCE</v>
      </c>
      <c r="G661" s="16"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c r="A662" s="14" t="s">
        <v>8922</v>
      </c>
      <c r="B662" s="15" t="s">
        <v>5</v>
      </c>
      <c r="C662" s="10" t="e">
        <v>#N/A</v>
      </c>
      <c r="D662" s="16" t="s">
        <v>2477</v>
      </c>
      <c r="E662" s="15" t="s">
        <v>11217</v>
      </c>
      <c r="F662" s="16" t="str">
        <f>VLOOKUP(Table8[[#This Row],[Mã khách hàng]],code_khach_hang[],2,0)</f>
        <v>CHI NHÁNH BẮC GIANG - CÔNG TY CỔ PHẦN DỊCH VỤ THƯƠNG MẠI TỔNG HỢP WINCOMMERCE</v>
      </c>
      <c r="G662" s="16"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c r="A663" s="14" t="s">
        <v>8986</v>
      </c>
      <c r="B663" s="15" t="s">
        <v>5</v>
      </c>
      <c r="C663" s="10" t="s">
        <v>8987</v>
      </c>
      <c r="D663" s="16" t="s">
        <v>2479</v>
      </c>
      <c r="E663" s="15" t="s">
        <v>11217</v>
      </c>
      <c r="F663" s="16" t="str">
        <f>VLOOKUP(Table8[[#This Row],[Mã khách hàng]],code_khach_hang[],2,0)</f>
        <v>CHI NHÁNH BẮC GIANG - CÔNG TY CỔ PHẦN DỊCH VỤ THƯƠNG MẠI TỔNG HỢP WINCOMMERCE</v>
      </c>
      <c r="G663" s="16"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c r="A664" s="14" t="s">
        <v>9037</v>
      </c>
      <c r="B664" s="15" t="s">
        <v>5</v>
      </c>
      <c r="C664" s="10" t="s">
        <v>9038</v>
      </c>
      <c r="D664" s="16" t="s">
        <v>2482</v>
      </c>
      <c r="E664" s="15" t="s">
        <v>11217</v>
      </c>
      <c r="F664" s="16" t="str">
        <f>VLOOKUP(Table8[[#This Row],[Mã khách hàng]],code_khach_hang[],2,0)</f>
        <v>CHI NHÁNH BẮC GIANG - CÔNG TY CỔ PHẦN DỊCH VỤ THƯƠNG MẠI TỔNG HỢP WINCOMMERCE</v>
      </c>
      <c r="G664" s="16"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c r="A665" s="14" t="s">
        <v>9064</v>
      </c>
      <c r="B665" s="15" t="s">
        <v>5</v>
      </c>
      <c r="C665" s="10" t="s">
        <v>9065</v>
      </c>
      <c r="D665" s="16" t="s">
        <v>2485</v>
      </c>
      <c r="E665" s="15" t="s">
        <v>11201</v>
      </c>
      <c r="F665" s="16" t="str">
        <f>VLOOKUP(Table8[[#This Row],[Mã khách hàng]],code_khach_hang[],2,0)</f>
        <v>CHI NHÁNH HẢI DƯƠNG - CÔNG TY CỔ PHẦN DỊCH VỤ THƯƠNG MẠI TỔNG HỢP WINCOMMERCE</v>
      </c>
      <c r="G665" s="16"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c r="A666" s="14" t="s">
        <v>9001</v>
      </c>
      <c r="B666" s="15" t="s">
        <v>5</v>
      </c>
      <c r="C666" s="10" t="s">
        <v>9002</v>
      </c>
      <c r="D666" s="16" t="s">
        <v>2487</v>
      </c>
      <c r="E666" s="15" t="s">
        <v>11217</v>
      </c>
      <c r="F666" s="16" t="str">
        <f>VLOOKUP(Table8[[#This Row],[Mã khách hàng]],code_khach_hang[],2,0)</f>
        <v>CHI NHÁNH BẮC GIANG - CÔNG TY CỔ PHẦN DỊCH VỤ THƯƠNG MẠI TỔNG HỢP WINCOMMERCE</v>
      </c>
      <c r="G666" s="16"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c r="A667" s="14" t="s">
        <v>9061</v>
      </c>
      <c r="B667" s="15" t="s">
        <v>5</v>
      </c>
      <c r="C667" s="10" t="s">
        <v>9062</v>
      </c>
      <c r="D667" s="16" t="s">
        <v>2490</v>
      </c>
      <c r="E667" s="15" t="s">
        <v>11201</v>
      </c>
      <c r="F667" s="16" t="str">
        <f>VLOOKUP(Table8[[#This Row],[Mã khách hàng]],code_khach_hang[],2,0)</f>
        <v>CHI NHÁNH HẢI DƯƠNG - CÔNG TY CỔ PHẦN DỊCH VỤ THƯƠNG MẠI TỔNG HỢP WINCOMMERCE</v>
      </c>
      <c r="G667" s="16"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c r="A668" s="14" t="s">
        <v>9105</v>
      </c>
      <c r="B668" s="15" t="s">
        <v>5</v>
      </c>
      <c r="C668" s="10" t="s">
        <v>9106</v>
      </c>
      <c r="D668" s="16" t="s">
        <v>2492</v>
      </c>
      <c r="E668" s="15" t="s">
        <v>11201</v>
      </c>
      <c r="F668" s="16" t="str">
        <f>VLOOKUP(Table8[[#This Row],[Mã khách hàng]],code_khach_hang[],2,0)</f>
        <v>CHI NHÁNH HẢI DƯƠNG - CÔNG TY CỔ PHẦN DỊCH VỤ THƯƠNG MẠI TỔNG HỢP WINCOMMERCE</v>
      </c>
      <c r="G668" s="16"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c r="A669" s="14" t="s">
        <v>1425</v>
      </c>
      <c r="B669" s="15" t="s">
        <v>5</v>
      </c>
      <c r="C669" s="10" t="s">
        <v>1426</v>
      </c>
      <c r="D669" s="16" t="s">
        <v>2494</v>
      </c>
      <c r="E669" s="15" t="s">
        <v>11201</v>
      </c>
      <c r="F669" s="16" t="str">
        <f>VLOOKUP(Table8[[#This Row],[Mã khách hàng]],code_khach_hang[],2,0)</f>
        <v>CHI NHÁNH HẢI DƯƠNG - CÔNG TY CỔ PHẦN DỊCH VỤ THƯƠNG MẠI TỔNG HỢP WINCOMMERCE</v>
      </c>
      <c r="G669" s="16"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c r="A670" s="14" t="s">
        <v>1388</v>
      </c>
      <c r="B670" s="15" t="s">
        <v>5</v>
      </c>
      <c r="C670" s="10" t="s">
        <v>1389</v>
      </c>
      <c r="D670" s="16" t="s">
        <v>2497</v>
      </c>
      <c r="E670" s="15" t="s">
        <v>11217</v>
      </c>
      <c r="F670" s="16" t="str">
        <f>VLOOKUP(Table8[[#This Row],[Mã khách hàng]],code_khach_hang[],2,0)</f>
        <v>CHI NHÁNH BẮC GIANG - CÔNG TY CỔ PHẦN DỊCH VỤ THƯƠNG MẠI TỔNG HỢP WINCOMMERCE</v>
      </c>
      <c r="G670" s="16"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c r="A671" s="14" t="s">
        <v>1441</v>
      </c>
      <c r="B671" s="15" t="s">
        <v>5</v>
      </c>
      <c r="C671" s="10" t="s">
        <v>1442</v>
      </c>
      <c r="D671" s="16" t="s">
        <v>2500</v>
      </c>
      <c r="E671" s="15" t="s">
        <v>11216</v>
      </c>
      <c r="F671" s="16" t="str">
        <f>VLOOKUP(Table8[[#This Row],[Mã khách hàng]],code_khach_hang[],2,0)</f>
        <v>CHI NHÁNH HƯNG YÊN - CÔNG TY CỔ PHẦN DỊCH VỤ THƯƠNG MẠI TỔNG HỢP WINCOMMERCE</v>
      </c>
      <c r="G671" s="16"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c r="A672" s="14" t="s">
        <v>1633</v>
      </c>
      <c r="B672" s="15" t="s">
        <v>5</v>
      </c>
      <c r="C672" s="10" t="e">
        <v>#N/A</v>
      </c>
      <c r="D672" s="16" t="s">
        <v>2503</v>
      </c>
      <c r="E672" s="15" t="s">
        <v>11217</v>
      </c>
      <c r="F672" s="16" t="str">
        <f>VLOOKUP(Table8[[#This Row],[Mã khách hàng]],code_khach_hang[],2,0)</f>
        <v>CHI NHÁNH BẮC GIANG - CÔNG TY CỔ PHẦN DỊCH VỤ THƯƠNG MẠI TỔNG HỢP WINCOMMERCE</v>
      </c>
      <c r="G672" s="16"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c r="A673" s="14" t="s">
        <v>8677</v>
      </c>
      <c r="B673" s="15" t="s">
        <v>5</v>
      </c>
      <c r="C673" s="10" t="s">
        <v>8678</v>
      </c>
      <c r="D673" s="16" t="s">
        <v>2506</v>
      </c>
      <c r="E673" s="15" t="s">
        <v>11201</v>
      </c>
      <c r="F673" s="16" t="str">
        <f>VLOOKUP(Table8[[#This Row],[Mã khách hàng]],code_khach_hang[],2,0)</f>
        <v>CHI NHÁNH HẢI DƯƠNG - CÔNG TY CỔ PHẦN DỊCH VỤ THƯƠNG MẠI TỔNG HỢP WINCOMMERCE</v>
      </c>
      <c r="G673" s="16"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c r="A674" s="14" t="s">
        <v>2057</v>
      </c>
      <c r="B674" s="15" t="s">
        <v>5</v>
      </c>
      <c r="C674" s="10" t="s">
        <v>2058</v>
      </c>
      <c r="D674" s="16" t="s">
        <v>2509</v>
      </c>
      <c r="E674" s="15" t="s">
        <v>11216</v>
      </c>
      <c r="F674" s="16" t="str">
        <f>VLOOKUP(Table8[[#This Row],[Mã khách hàng]],code_khach_hang[],2,0)</f>
        <v>CHI NHÁNH HƯNG YÊN - CÔNG TY CỔ PHẦN DỊCH VỤ THƯƠNG MẠI TỔNG HỢP WINCOMMERCE</v>
      </c>
      <c r="G674" s="16"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c r="A675" s="14" t="s">
        <v>2480</v>
      </c>
      <c r="B675" s="15" t="s">
        <v>5</v>
      </c>
      <c r="C675" s="10" t="s">
        <v>2481</v>
      </c>
      <c r="D675" s="16" t="s">
        <v>2511</v>
      </c>
      <c r="E675" s="15" t="s">
        <v>11217</v>
      </c>
      <c r="F675" s="16" t="str">
        <f>VLOOKUP(Table8[[#This Row],[Mã khách hàng]],code_khach_hang[],2,0)</f>
        <v>CHI NHÁNH BẮC GIANG - CÔNG TY CỔ PHẦN DỊCH VỤ THƯƠNG MẠI TỔNG HỢP WINCOMMERCE</v>
      </c>
      <c r="G675" s="16"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c r="A676" s="14" t="s">
        <v>1995</v>
      </c>
      <c r="B676" s="15" t="s">
        <v>5</v>
      </c>
      <c r="C676" s="10" t="e">
        <v>#N/A</v>
      </c>
      <c r="D676" s="16" t="s">
        <v>2514</v>
      </c>
      <c r="E676" s="15" t="s">
        <v>11208</v>
      </c>
      <c r="F676" s="16" t="str">
        <f>VLOOKUP(Table8[[#This Row],[Mã khách hàng]],code_khach_hang[],2,0)</f>
        <v>CHI NHÁNH LẠNG SƠN - CÔNG TY CỔ PHẦN DỊCH VỤ THƯƠNG MẠI TỔNG HỢP WINCOMMERCE</v>
      </c>
      <c r="G676" s="16"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c r="A677" s="14" t="s">
        <v>1561</v>
      </c>
      <c r="B677" s="15" t="s">
        <v>5</v>
      </c>
      <c r="C677" s="10" t="s">
        <v>1562</v>
      </c>
      <c r="D677" s="16" t="s">
        <v>2517</v>
      </c>
      <c r="E677" s="15" t="s">
        <v>11217</v>
      </c>
      <c r="F677" s="16" t="str">
        <f>VLOOKUP(Table8[[#This Row],[Mã khách hàng]],code_khach_hang[],2,0)</f>
        <v>CHI NHÁNH BẮC GIANG - CÔNG TY CỔ PHẦN DỊCH VỤ THƯƠNG MẠI TỔNG HỢP WINCOMMERCE</v>
      </c>
      <c r="G677" s="16"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c r="A678" s="14" t="s">
        <v>1528</v>
      </c>
      <c r="B678" s="15" t="s">
        <v>5</v>
      </c>
      <c r="C678" s="10" t="s">
        <v>1529</v>
      </c>
      <c r="D678" s="16" t="s">
        <v>2520</v>
      </c>
      <c r="E678" s="15" t="s">
        <v>11217</v>
      </c>
      <c r="F678" s="16" t="str">
        <f>VLOOKUP(Table8[[#This Row],[Mã khách hàng]],code_khach_hang[],2,0)</f>
        <v>CHI NHÁNH BẮC GIANG - CÔNG TY CỔ PHẦN DỊCH VỤ THƯƠNG MẠI TỔNG HỢP WINCOMMERCE</v>
      </c>
      <c r="G678" s="16"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c r="A679" s="14" t="s">
        <v>1610</v>
      </c>
      <c r="B679" s="15" t="s">
        <v>5</v>
      </c>
      <c r="C679" s="10" t="s">
        <v>1611</v>
      </c>
      <c r="D679" s="16" t="s">
        <v>2523</v>
      </c>
      <c r="E679" s="14" t="s">
        <v>11215</v>
      </c>
      <c r="F679" s="16" t="str">
        <f>VLOOKUP(Table8[[#This Row],[Mã khách hàng]],code_khach_hang[],2,0)</f>
        <v>CHI NHÁNH HÀ NỘI - CÔNG TY CỔ PHẦN DỊCH VỤ THƯƠNG MẠI TỔNG HỢP WINCOMMERCE</v>
      </c>
      <c r="G679" s="16"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c r="A680" s="14" t="s">
        <v>1662</v>
      </c>
      <c r="B680" s="15" t="s">
        <v>5</v>
      </c>
      <c r="C680" s="10" t="s">
        <v>1663</v>
      </c>
      <c r="D680" s="16" t="s">
        <v>2526</v>
      </c>
      <c r="E680" s="15" t="s">
        <v>11193</v>
      </c>
      <c r="F680" s="16" t="str">
        <f>VLOOKUP(Table8[[#This Row],[Mã khách hàng]],code_khach_hang[],2,0)</f>
        <v>CHI NHÁNH BẮC NINH - CÔNG TY CỔ PHẦN DỊCH VỤ THƯƠNG MẠI TỔNG HỢP WINCOMMERCE</v>
      </c>
      <c r="G680" s="16"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c r="A681" s="14" t="s">
        <v>1763</v>
      </c>
      <c r="B681" s="15" t="s">
        <v>5</v>
      </c>
      <c r="C681" s="10" t="s">
        <v>1764</v>
      </c>
      <c r="D681" s="16" t="s">
        <v>2529</v>
      </c>
      <c r="E681" s="15" t="s">
        <v>11198</v>
      </c>
      <c r="F681" s="16" t="str">
        <f>VLOOKUP(Table8[[#This Row],[Mã khách hàng]],code_khach_hang[],2,0)</f>
        <v>CHI NHÁNH HẢI PHÒNG - CÔNG TY CỔ PHẦN DỊCH VỤ THƯƠNG MẠI TỔNG HỢP WINCOMMERCE</v>
      </c>
      <c r="G681" s="16"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c r="A682" s="14" t="s">
        <v>1771</v>
      </c>
      <c r="B682" s="15" t="s">
        <v>5</v>
      </c>
      <c r="C682" s="10" t="s">
        <v>1772</v>
      </c>
      <c r="D682" s="16" t="s">
        <v>2532</v>
      </c>
      <c r="E682" s="15" t="s">
        <v>11193</v>
      </c>
      <c r="F682" s="16" t="str">
        <f>VLOOKUP(Table8[[#This Row],[Mã khách hàng]],code_khach_hang[],2,0)</f>
        <v>CHI NHÁNH BẮC NINH - CÔNG TY CỔ PHẦN DỊCH VỤ THƯƠNG MẠI TỔNG HỢP WINCOMMERCE</v>
      </c>
      <c r="G682" s="16"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c r="A683" s="14" t="s">
        <v>1721</v>
      </c>
      <c r="B683" s="15" t="s">
        <v>5</v>
      </c>
      <c r="C683" s="10" t="s">
        <v>1722</v>
      </c>
      <c r="D683" s="16" t="s">
        <v>2535</v>
      </c>
      <c r="E683" s="15" t="s">
        <v>11198</v>
      </c>
      <c r="F683" s="16" t="str">
        <f>VLOOKUP(Table8[[#This Row],[Mã khách hàng]],code_khach_hang[],2,0)</f>
        <v>CHI NHÁNH HẢI PHÒNG - CÔNG TY CỔ PHẦN DỊCH VỤ THƯƠNG MẠI TỔNG HỢP WINCOMMERCE</v>
      </c>
      <c r="G683" s="16"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c r="A684" s="14" t="s">
        <v>1730</v>
      </c>
      <c r="B684" s="15" t="s">
        <v>5</v>
      </c>
      <c r="C684" s="10" t="s">
        <v>1731</v>
      </c>
      <c r="D684" s="16" t="s">
        <v>2538</v>
      </c>
      <c r="E684" s="15" t="s">
        <v>11198</v>
      </c>
      <c r="F684" s="16" t="str">
        <f>VLOOKUP(Table8[[#This Row],[Mã khách hàng]],code_khach_hang[],2,0)</f>
        <v>CHI NHÁNH HẢI PHÒNG - CÔNG TY CỔ PHẦN DỊCH VỤ THƯƠNG MẠI TỔNG HỢP WINCOMMERCE</v>
      </c>
      <c r="G684" s="16"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c r="A685" s="14" t="s">
        <v>1757</v>
      </c>
      <c r="B685" s="15" t="s">
        <v>5</v>
      </c>
      <c r="C685" s="10" t="s">
        <v>1758</v>
      </c>
      <c r="D685" s="16" t="s">
        <v>2541</v>
      </c>
      <c r="E685" s="15" t="s">
        <v>11193</v>
      </c>
      <c r="F685" s="16" t="str">
        <f>VLOOKUP(Table8[[#This Row],[Mã khách hàng]],code_khach_hang[],2,0)</f>
        <v>CHI NHÁNH BẮC NINH - CÔNG TY CỔ PHẦN DỊCH VỤ THƯƠNG MẠI TỔNG HỢP WINCOMMERCE</v>
      </c>
      <c r="G685" s="16"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c r="A686" s="14" t="s">
        <v>1724</v>
      </c>
      <c r="B686" s="15" t="s">
        <v>5</v>
      </c>
      <c r="C686" s="10" t="s">
        <v>1725</v>
      </c>
      <c r="D686" s="16" t="s">
        <v>2544</v>
      </c>
      <c r="E686" s="15" t="s">
        <v>11201</v>
      </c>
      <c r="F686" s="16" t="str">
        <f>VLOOKUP(Table8[[#This Row],[Mã khách hàng]],code_khach_hang[],2,0)</f>
        <v>CHI NHÁNH HẢI DƯƠNG - CÔNG TY CỔ PHẦN DỊCH VỤ THƯƠNG MẠI TỔNG HỢP WINCOMMERCE</v>
      </c>
      <c r="G686" s="16"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c r="A687" s="14" t="s">
        <v>1659</v>
      </c>
      <c r="B687" s="15" t="s">
        <v>5</v>
      </c>
      <c r="C687" s="10" t="s">
        <v>1660</v>
      </c>
      <c r="D687" s="16" t="s">
        <v>2547</v>
      </c>
      <c r="E687" s="15" t="s">
        <v>11216</v>
      </c>
      <c r="F687" s="16" t="str">
        <f>VLOOKUP(Table8[[#This Row],[Mã khách hàng]],code_khach_hang[],2,0)</f>
        <v>CHI NHÁNH HƯNG YÊN - CÔNG TY CỔ PHẦN DỊCH VỤ THƯƠNG MẠI TỔNG HỢP WINCOMMERCE</v>
      </c>
      <c r="G687" s="16"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c r="A688" s="14" t="s">
        <v>2751</v>
      </c>
      <c r="B688" s="15" t="s">
        <v>5</v>
      </c>
      <c r="C688" s="10" t="s">
        <v>2752</v>
      </c>
      <c r="D688" s="16" t="s">
        <v>2550</v>
      </c>
      <c r="E688" s="15" t="s">
        <v>11216</v>
      </c>
      <c r="F688" s="16" t="str">
        <f>VLOOKUP(Table8[[#This Row],[Mã khách hàng]],code_khach_hang[],2,0)</f>
        <v>CHI NHÁNH HƯNG YÊN - CÔNG TY CỔ PHẦN DỊCH VỤ THƯƠNG MẠI TỔNG HỢP WINCOMMERCE</v>
      </c>
      <c r="G688" s="16"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c r="A689" s="14" t="s">
        <v>667</v>
      </c>
      <c r="B689" s="15" t="s">
        <v>183</v>
      </c>
      <c r="C689" s="10" t="s">
        <v>668</v>
      </c>
      <c r="D689" s="16" t="s">
        <v>2553</v>
      </c>
      <c r="E689" s="15" t="s">
        <v>11201</v>
      </c>
      <c r="F689" s="16" t="str">
        <f>VLOOKUP(Table8[[#This Row],[Mã khách hàng]],code_khach_hang[],2,0)</f>
        <v>CHI NHÁNH HẢI DƯƠNG - CÔNG TY CỔ PHẦN DỊCH VỤ THƯƠNG MẠI TỔNG HỢP WINCOMMERCE</v>
      </c>
      <c r="G689" s="16"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c r="A690" s="14" t="s">
        <v>690</v>
      </c>
      <c r="B690" s="15" t="s">
        <v>183</v>
      </c>
      <c r="C690" s="10" t="s">
        <v>691</v>
      </c>
      <c r="D690" s="16" t="s">
        <v>2556</v>
      </c>
      <c r="E690" s="15" t="s">
        <v>11208</v>
      </c>
      <c r="F690" s="16" t="str">
        <f>VLOOKUP(Table8[[#This Row],[Mã khách hàng]],code_khach_hang[],2,0)</f>
        <v>CHI NHÁNH LẠNG SƠN - CÔNG TY CỔ PHẦN DỊCH VỤ THƯƠNG MẠI TỔNG HỢP WINCOMMERCE</v>
      </c>
      <c r="G690" s="16"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c r="A691" s="14" t="s">
        <v>6076</v>
      </c>
      <c r="B691" s="15" t="s">
        <v>5</v>
      </c>
      <c r="C691" s="10" t="s">
        <v>6077</v>
      </c>
      <c r="D691" s="16" t="s">
        <v>2559</v>
      </c>
      <c r="E691" s="15" t="s">
        <v>11198</v>
      </c>
      <c r="F691" s="16" t="str">
        <f>VLOOKUP(Table8[[#This Row],[Mã khách hàng]],code_khach_hang[],2,0)</f>
        <v>CHI NHÁNH HẢI PHÒNG - CÔNG TY CỔ PHẦN DỊCH VỤ THƯƠNG MẠI TỔNG HỢP WINCOMMERCE</v>
      </c>
      <c r="G691" s="16"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c r="A692" s="14" t="s">
        <v>6237</v>
      </c>
      <c r="B692" s="15" t="s">
        <v>5</v>
      </c>
      <c r="C692" s="10" t="s">
        <v>6238</v>
      </c>
      <c r="D692" s="16" t="s">
        <v>2562</v>
      </c>
      <c r="E692" s="15" t="s">
        <v>11198</v>
      </c>
      <c r="F692" s="16" t="str">
        <f>VLOOKUP(Table8[[#This Row],[Mã khách hàng]],code_khach_hang[],2,0)</f>
        <v>CHI NHÁNH HẢI PHÒNG - CÔNG TY CỔ PHẦN DỊCH VỤ THƯƠNG MẠI TỔNG HỢP WINCOMMERCE</v>
      </c>
      <c r="G692" s="16"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c r="A693" s="14" t="s">
        <v>6264</v>
      </c>
      <c r="B693" s="15" t="s">
        <v>5</v>
      </c>
      <c r="C693" s="10" t="s">
        <v>6265</v>
      </c>
      <c r="D693" s="16" t="s">
        <v>2565</v>
      </c>
      <c r="E693" s="15" t="s">
        <v>11198</v>
      </c>
      <c r="F693" s="16" t="str">
        <f>VLOOKUP(Table8[[#This Row],[Mã khách hàng]],code_khach_hang[],2,0)</f>
        <v>CHI NHÁNH HẢI PHÒNG - CÔNG TY CỔ PHẦN DỊCH VỤ THƯƠNG MẠI TỔNG HỢP WINCOMMERCE</v>
      </c>
      <c r="G693" s="16"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c r="A694" s="14" t="s">
        <v>6315</v>
      </c>
      <c r="B694" s="15" t="s">
        <v>5</v>
      </c>
      <c r="C694" s="10" t="s">
        <v>6316</v>
      </c>
      <c r="D694" s="16" t="s">
        <v>2568</v>
      </c>
      <c r="E694" s="15" t="s">
        <v>11198</v>
      </c>
      <c r="F694" s="16" t="str">
        <f>VLOOKUP(Table8[[#This Row],[Mã khách hàng]],code_khach_hang[],2,0)</f>
        <v>CHI NHÁNH HẢI PHÒNG - CÔNG TY CỔ PHẦN DỊCH VỤ THƯƠNG MẠI TỔNG HỢP WINCOMMERCE</v>
      </c>
      <c r="G694" s="16"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c r="A695" s="14" t="s">
        <v>7312</v>
      </c>
      <c r="B695" s="15" t="s">
        <v>5</v>
      </c>
      <c r="C695" s="10" t="s">
        <v>7313</v>
      </c>
      <c r="D695" s="16" t="s">
        <v>2571</v>
      </c>
      <c r="E695" s="15" t="s">
        <v>11198</v>
      </c>
      <c r="F695" s="16" t="str">
        <f>VLOOKUP(Table8[[#This Row],[Mã khách hàng]],code_khach_hang[],2,0)</f>
        <v>CHI NHÁNH HẢI PHÒNG - CÔNG TY CỔ PHẦN DỊCH VỤ THƯƠNG MẠI TỔNG HỢP WINCOMMERCE</v>
      </c>
      <c r="G695" s="16"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c r="A696" s="14" t="s">
        <v>7688</v>
      </c>
      <c r="B696" s="15" t="s">
        <v>5</v>
      </c>
      <c r="C696" s="10" t="s">
        <v>7689</v>
      </c>
      <c r="D696" s="16" t="s">
        <v>2574</v>
      </c>
      <c r="E696" s="15" t="s">
        <v>11198</v>
      </c>
      <c r="F696" s="16" t="str">
        <f>VLOOKUP(Table8[[#This Row],[Mã khách hàng]],code_khach_hang[],2,0)</f>
        <v>CHI NHÁNH HẢI PHÒNG - CÔNG TY CỔ PHẦN DỊCH VỤ THƯƠNG MẠI TỔNG HỢP WINCOMMERCE</v>
      </c>
      <c r="G696" s="16"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c r="A697" s="14" t="s">
        <v>5418</v>
      </c>
      <c r="B697" s="15" t="s">
        <v>5</v>
      </c>
      <c r="C697" s="10" t="s">
        <v>5419</v>
      </c>
      <c r="D697" s="16" t="s">
        <v>2577</v>
      </c>
      <c r="E697" s="15" t="s">
        <v>11198</v>
      </c>
      <c r="F697" s="16" t="str">
        <f>VLOOKUP(Table8[[#This Row],[Mã khách hàng]],code_khach_hang[],2,0)</f>
        <v>CHI NHÁNH HẢI PHÒNG - CÔNG TY CỔ PHẦN DỊCH VỤ THƯƠNG MẠI TỔNG HỢP WINCOMMERCE</v>
      </c>
      <c r="G697" s="16"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c r="A698" s="14" t="s">
        <v>5665</v>
      </c>
      <c r="B698" s="15" t="s">
        <v>5</v>
      </c>
      <c r="C698" s="10" t="s">
        <v>5666</v>
      </c>
      <c r="D698" s="16" t="s">
        <v>2580</v>
      </c>
      <c r="E698" s="15" t="s">
        <v>11198</v>
      </c>
      <c r="F698" s="16" t="str">
        <f>VLOOKUP(Table8[[#This Row],[Mã khách hàng]],code_khach_hang[],2,0)</f>
        <v>CHI NHÁNH HẢI PHÒNG - CÔNG TY CỔ PHẦN DỊCH VỤ THƯƠNG MẠI TỔNG HỢP WINCOMMERCE</v>
      </c>
      <c r="G698" s="16"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c r="A699" s="14" t="s">
        <v>5724</v>
      </c>
      <c r="B699" s="15" t="s">
        <v>5</v>
      </c>
      <c r="C699" s="10" t="s">
        <v>5725</v>
      </c>
      <c r="D699" s="16" t="s">
        <v>2583</v>
      </c>
      <c r="E699" s="15" t="s">
        <v>11198</v>
      </c>
      <c r="F699" s="16" t="str">
        <f>VLOOKUP(Table8[[#This Row],[Mã khách hàng]],code_khach_hang[],2,0)</f>
        <v>CHI NHÁNH HẢI PHÒNG - CÔNG TY CỔ PHẦN DỊCH VỤ THƯƠNG MẠI TỔNG HỢP WINCOMMERCE</v>
      </c>
      <c r="G699" s="16"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c r="A700" s="14" t="s">
        <v>6207</v>
      </c>
      <c r="B700" s="15" t="s">
        <v>5</v>
      </c>
      <c r="C700" s="10" t="s">
        <v>6208</v>
      </c>
      <c r="D700" s="16" t="s">
        <v>2586</v>
      </c>
      <c r="E700" s="15" t="s">
        <v>11198</v>
      </c>
      <c r="F700" s="16" t="str">
        <f>VLOOKUP(Table8[[#This Row],[Mã khách hàng]],code_khach_hang[],2,0)</f>
        <v>CHI NHÁNH HẢI PHÒNG - CÔNG TY CỔ PHẦN DỊCH VỤ THƯƠNG MẠI TỔNG HỢP WINCOMMERCE</v>
      </c>
      <c r="G700" s="16"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c r="A701" s="14" t="s">
        <v>7342</v>
      </c>
      <c r="B701" s="15" t="s">
        <v>5</v>
      </c>
      <c r="C701" s="10" t="s">
        <v>7343</v>
      </c>
      <c r="D701" s="16" t="s">
        <v>2589</v>
      </c>
      <c r="E701" s="15" t="s">
        <v>11198</v>
      </c>
      <c r="F701" s="16" t="str">
        <f>VLOOKUP(Table8[[#This Row],[Mã khách hàng]],code_khach_hang[],2,0)</f>
        <v>CHI NHÁNH HẢI PHÒNG - CÔNG TY CỔ PHẦN DỊCH VỤ THƯƠNG MẠI TỔNG HỢP WINCOMMERCE</v>
      </c>
      <c r="G701" s="16"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c r="A702" s="14" t="s">
        <v>7454</v>
      </c>
      <c r="B702" s="15" t="s">
        <v>5</v>
      </c>
      <c r="C702" s="10" t="s">
        <v>7455</v>
      </c>
      <c r="D702" s="16" t="s">
        <v>2592</v>
      </c>
      <c r="E702" s="15" t="s">
        <v>11198</v>
      </c>
      <c r="F702" s="16" t="str">
        <f>VLOOKUP(Table8[[#This Row],[Mã khách hàng]],code_khach_hang[],2,0)</f>
        <v>CHI NHÁNH HẢI PHÒNG - CÔNG TY CỔ PHẦN DỊCH VỤ THƯƠNG MẠI TỔNG HỢP WINCOMMERCE</v>
      </c>
      <c r="G702" s="16"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c r="A703" s="14" t="s">
        <v>7568</v>
      </c>
      <c r="B703" s="15" t="s">
        <v>5</v>
      </c>
      <c r="C703" s="10" t="s">
        <v>7569</v>
      </c>
      <c r="D703" s="16" t="s">
        <v>2595</v>
      </c>
      <c r="E703" s="15" t="s">
        <v>11198</v>
      </c>
      <c r="F703" s="16" t="str">
        <f>VLOOKUP(Table8[[#This Row],[Mã khách hàng]],code_khach_hang[],2,0)</f>
        <v>CHI NHÁNH HẢI PHÒNG - CÔNG TY CỔ PHẦN DỊCH VỤ THƯƠNG MẠI TỔNG HỢP WINCOMMERCE</v>
      </c>
      <c r="G703" s="16"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c r="A704" s="14" t="s">
        <v>7619</v>
      </c>
      <c r="B704" s="15" t="s">
        <v>5</v>
      </c>
      <c r="C704" s="10" t="s">
        <v>7620</v>
      </c>
      <c r="D704" s="16" t="s">
        <v>2598</v>
      </c>
      <c r="E704" s="15" t="s">
        <v>11198</v>
      </c>
      <c r="F704" s="16" t="str">
        <f>VLOOKUP(Table8[[#This Row],[Mã khách hàng]],code_khach_hang[],2,0)</f>
        <v>CHI NHÁNH HẢI PHÒNG - CÔNG TY CỔ PHẦN DỊCH VỤ THƯƠNG MẠI TỔNG HỢP WINCOMMERCE</v>
      </c>
      <c r="G704" s="16"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c r="A705" s="14" t="s">
        <v>7691</v>
      </c>
      <c r="B705" s="15" t="s">
        <v>5</v>
      </c>
      <c r="C705" s="10" t="s">
        <v>7692</v>
      </c>
      <c r="D705" s="16" t="s">
        <v>2601</v>
      </c>
      <c r="E705" s="15" t="s">
        <v>11198</v>
      </c>
      <c r="F705" s="16" t="str">
        <f>VLOOKUP(Table8[[#This Row],[Mã khách hàng]],code_khach_hang[],2,0)</f>
        <v>CHI NHÁNH HẢI PHÒNG - CÔNG TY CỔ PHẦN DỊCH VỤ THƯƠNG MẠI TỔNG HỢP WINCOMMERCE</v>
      </c>
      <c r="G705" s="16"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c r="A706" s="14" t="s">
        <v>5792</v>
      </c>
      <c r="B706" s="15" t="s">
        <v>5</v>
      </c>
      <c r="C706" s="10" t="s">
        <v>5793</v>
      </c>
      <c r="D706" s="16" t="s">
        <v>2604</v>
      </c>
      <c r="E706" s="15" t="s">
        <v>11198</v>
      </c>
      <c r="F706" s="16" t="str">
        <f>VLOOKUP(Table8[[#This Row],[Mã khách hàng]],code_khach_hang[],2,0)</f>
        <v>CHI NHÁNH HẢI PHÒNG - CÔNG TY CỔ PHẦN DỊCH VỤ THƯƠNG MẠI TỔNG HỢP WINCOMMERCE</v>
      </c>
      <c r="G706" s="16"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c r="A707" s="14" t="s">
        <v>5851</v>
      </c>
      <c r="B707" s="15" t="s">
        <v>5</v>
      </c>
      <c r="C707" s="10" t="s">
        <v>5852</v>
      </c>
      <c r="D707" s="16" t="s">
        <v>2607</v>
      </c>
      <c r="E707" s="15" t="s">
        <v>11198</v>
      </c>
      <c r="F707" s="16" t="str">
        <f>VLOOKUP(Table8[[#This Row],[Mã khách hàng]],code_khach_hang[],2,0)</f>
        <v>CHI NHÁNH HẢI PHÒNG - CÔNG TY CỔ PHẦN DỊCH VỤ THƯƠNG MẠI TỔNG HỢP WINCOMMERCE</v>
      </c>
      <c r="G707" s="16"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c r="A708" s="14" t="s">
        <v>7339</v>
      </c>
      <c r="B708" s="15" t="s">
        <v>5</v>
      </c>
      <c r="C708" s="10" t="s">
        <v>7340</v>
      </c>
      <c r="D708" s="16" t="s">
        <v>2610</v>
      </c>
      <c r="E708" s="15" t="s">
        <v>11198</v>
      </c>
      <c r="F708" s="16" t="str">
        <f>VLOOKUP(Table8[[#This Row],[Mã khách hàng]],code_khach_hang[],2,0)</f>
        <v>CHI NHÁNH HẢI PHÒNG - CÔNG TY CỔ PHẦN DỊCH VỤ THƯƠNG MẠI TỔNG HỢP WINCOMMERCE</v>
      </c>
      <c r="G708" s="16"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c r="A709" s="14" t="s">
        <v>7396</v>
      </c>
      <c r="B709" s="15" t="s">
        <v>5</v>
      </c>
      <c r="C709" s="10" t="s">
        <v>7397</v>
      </c>
      <c r="D709" s="16" t="s">
        <v>2612</v>
      </c>
      <c r="E709" s="15" t="s">
        <v>11198</v>
      </c>
      <c r="F709" s="16" t="str">
        <f>VLOOKUP(Table8[[#This Row],[Mã khách hàng]],code_khach_hang[],2,0)</f>
        <v>CHI NHÁNH HẢI PHÒNG - CÔNG TY CỔ PHẦN DỊCH VỤ THƯƠNG MẠI TỔNG HỢP WINCOMMERCE</v>
      </c>
      <c r="G709" s="16"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c r="A710" s="14" t="s">
        <v>7634</v>
      </c>
      <c r="B710" s="15" t="s">
        <v>5</v>
      </c>
      <c r="C710" s="10" t="s">
        <v>7635</v>
      </c>
      <c r="D710" s="16" t="s">
        <v>2615</v>
      </c>
      <c r="E710" s="15" t="s">
        <v>11198</v>
      </c>
      <c r="F710" s="16" t="str">
        <f>VLOOKUP(Table8[[#This Row],[Mã khách hàng]],code_khach_hang[],2,0)</f>
        <v>CHI NHÁNH HẢI PHÒNG - CÔNG TY CỔ PHẦN DỊCH VỤ THƯƠNG MẠI TỔNG HỢP WINCOMMERCE</v>
      </c>
      <c r="G710" s="16"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c r="A711" s="14" t="s">
        <v>6647</v>
      </c>
      <c r="B711" s="15" t="s">
        <v>5</v>
      </c>
      <c r="C711" s="10" t="s">
        <v>6648</v>
      </c>
      <c r="D711" s="16" t="s">
        <v>2618</v>
      </c>
      <c r="E711" s="15" t="s">
        <v>11198</v>
      </c>
      <c r="F711" s="16" t="str">
        <f>VLOOKUP(Table8[[#This Row],[Mã khách hàng]],code_khach_hang[],2,0)</f>
        <v>CHI NHÁNH HẢI PHÒNG - CÔNG TY CỔ PHẦN DỊCH VỤ THƯƠNG MẠI TỔNG HỢP WINCOMMERCE</v>
      </c>
      <c r="G711" s="16"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c r="A712" s="14" t="s">
        <v>7745</v>
      </c>
      <c r="B712" s="15" t="s">
        <v>5</v>
      </c>
      <c r="C712" s="10" t="s">
        <v>7746</v>
      </c>
      <c r="D712" s="16" t="s">
        <v>2621</v>
      </c>
      <c r="E712" s="15" t="s">
        <v>11198</v>
      </c>
      <c r="F712" s="16" t="str">
        <f>VLOOKUP(Table8[[#This Row],[Mã khách hàng]],code_khach_hang[],2,0)</f>
        <v>CHI NHÁNH HẢI PHÒNG - CÔNG TY CỔ PHẦN DỊCH VỤ THƯƠNG MẠI TỔNG HỢP WINCOMMERCE</v>
      </c>
      <c r="G712" s="16"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c r="A713" s="14" t="s">
        <v>5358</v>
      </c>
      <c r="B713" s="15" t="s">
        <v>5</v>
      </c>
      <c r="C713" s="10" t="s">
        <v>5359</v>
      </c>
      <c r="D713" s="16" t="s">
        <v>2624</v>
      </c>
      <c r="E713" s="15" t="s">
        <v>11198</v>
      </c>
      <c r="F713" s="16" t="str">
        <f>VLOOKUP(Table8[[#This Row],[Mã khách hàng]],code_khach_hang[],2,0)</f>
        <v>CHI NHÁNH HẢI PHÒNG - CÔNG TY CỔ PHẦN DỊCH VỤ THƯƠNG MẠI TỔNG HỢP WINCOMMERCE</v>
      </c>
      <c r="G713" s="16"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c r="A714" s="14" t="s">
        <v>6291</v>
      </c>
      <c r="B714" s="15" t="s">
        <v>5</v>
      </c>
      <c r="C714" s="10" t="s">
        <v>6292</v>
      </c>
      <c r="D714" s="16" t="s">
        <v>2627</v>
      </c>
      <c r="E714" s="15" t="s">
        <v>11198</v>
      </c>
      <c r="F714" s="16" t="str">
        <f>VLOOKUP(Table8[[#This Row],[Mã khách hàng]],code_khach_hang[],2,0)</f>
        <v>CHI NHÁNH HẢI PHÒNG - CÔNG TY CỔ PHẦN DỊCH VỤ THƯƠNG MẠI TỔNG HỢP WINCOMMERCE</v>
      </c>
      <c r="G714" s="16"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c r="A715" s="14" t="s">
        <v>7142</v>
      </c>
      <c r="B715" s="15" t="s">
        <v>5</v>
      </c>
      <c r="C715" s="10" t="s">
        <v>7143</v>
      </c>
      <c r="D715" s="16" t="s">
        <v>2629</v>
      </c>
      <c r="E715" s="15" t="s">
        <v>11198</v>
      </c>
      <c r="F715" s="16" t="str">
        <f>VLOOKUP(Table8[[#This Row],[Mã khách hàng]],code_khach_hang[],2,0)</f>
        <v>CHI NHÁNH HẢI PHÒNG - CÔNG TY CỔ PHẦN DỊCH VỤ THƯƠNG MẠI TỔNG HỢP WINCOMMERCE</v>
      </c>
      <c r="G715" s="16"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c r="A716" s="14" t="s">
        <v>8198</v>
      </c>
      <c r="B716" s="15" t="s">
        <v>5</v>
      </c>
      <c r="C716" s="10" t="s">
        <v>8199</v>
      </c>
      <c r="D716" s="16" t="s">
        <v>2631</v>
      </c>
      <c r="E716" s="15" t="s">
        <v>11198</v>
      </c>
      <c r="F716" s="16" t="str">
        <f>VLOOKUP(Table8[[#This Row],[Mã khách hàng]],code_khach_hang[],2,0)</f>
        <v>CHI NHÁNH HẢI PHÒNG - CÔNG TY CỔ PHẦN DỊCH VỤ THƯƠNG MẠI TỔNG HỢP WINCOMMERCE</v>
      </c>
      <c r="G716" s="16"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c r="A717" s="14" t="s">
        <v>4185</v>
      </c>
      <c r="B717" s="15" t="s">
        <v>5</v>
      </c>
      <c r="C717" s="10" t="s">
        <v>4186</v>
      </c>
      <c r="D717" s="16" t="s">
        <v>2634</v>
      </c>
      <c r="E717" s="15" t="s">
        <v>11198</v>
      </c>
      <c r="F717" s="16" t="str">
        <f>VLOOKUP(Table8[[#This Row],[Mã khách hàng]],code_khach_hang[],2,0)</f>
        <v>CHI NHÁNH HẢI PHÒNG - CÔNG TY CỔ PHẦN DỊCH VỤ THƯƠNG MẠI TỔNG HỢP WINCOMMERCE</v>
      </c>
      <c r="G717" s="16"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c r="A718" s="14" t="s">
        <v>4491</v>
      </c>
      <c r="B718" s="15" t="s">
        <v>5</v>
      </c>
      <c r="C718" s="10" t="s">
        <v>4492</v>
      </c>
      <c r="D718" s="16" t="s">
        <v>2636</v>
      </c>
      <c r="E718" s="15" t="s">
        <v>11198</v>
      </c>
      <c r="F718" s="16" t="str">
        <f>VLOOKUP(Table8[[#This Row],[Mã khách hàng]],code_khach_hang[],2,0)</f>
        <v>CHI NHÁNH HẢI PHÒNG - CÔNG TY CỔ PHẦN DỊCH VỤ THƯƠNG MẠI TỔNG HỢP WINCOMMERCE</v>
      </c>
      <c r="G718" s="16"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c r="A719" s="14" t="s">
        <v>4539</v>
      </c>
      <c r="B719" s="15" t="s">
        <v>5</v>
      </c>
      <c r="C719" s="10" t="s">
        <v>4540</v>
      </c>
      <c r="D719" s="16" t="s">
        <v>2639</v>
      </c>
      <c r="E719" s="15" t="s">
        <v>11198</v>
      </c>
      <c r="F719" s="16" t="str">
        <f>VLOOKUP(Table8[[#This Row],[Mã khách hàng]],code_khach_hang[],2,0)</f>
        <v>CHI NHÁNH HẢI PHÒNG - CÔNG TY CỔ PHẦN DỊCH VỤ THƯƠNG MẠI TỔNG HỢP WINCOMMERCE</v>
      </c>
      <c r="G719" s="16"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c r="A720" s="14" t="s">
        <v>4548</v>
      </c>
      <c r="B720" s="15" t="s">
        <v>5</v>
      </c>
      <c r="C720" s="10" t="s">
        <v>4549</v>
      </c>
      <c r="D720" s="16" t="s">
        <v>2642</v>
      </c>
      <c r="E720" s="15" t="s">
        <v>11198</v>
      </c>
      <c r="F720" s="16" t="str">
        <f>VLOOKUP(Table8[[#This Row],[Mã khách hàng]],code_khach_hang[],2,0)</f>
        <v>CHI NHÁNH HẢI PHÒNG - CÔNG TY CỔ PHẦN DỊCH VỤ THƯƠNG MẠI TỔNG HỢP WINCOMMERCE</v>
      </c>
      <c r="G720" s="16"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c r="A721" s="14" t="s">
        <v>4617</v>
      </c>
      <c r="B721" s="15" t="s">
        <v>5</v>
      </c>
      <c r="C721" s="10" t="s">
        <v>4618</v>
      </c>
      <c r="D721" s="16" t="s">
        <v>2645</v>
      </c>
      <c r="E721" s="14" t="s">
        <v>11198</v>
      </c>
      <c r="F721" s="16" t="str">
        <f>VLOOKUP(Table8[[#This Row],[Mã khách hàng]],code_khach_hang[],2,0)</f>
        <v>CHI NHÁNH HẢI PHÒNG - CÔNG TY CỔ PHẦN DỊCH VỤ THƯƠNG MẠI TỔNG HỢP WINCOMMERCE</v>
      </c>
      <c r="G721" s="16"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c r="A722" s="14" t="s">
        <v>4776</v>
      </c>
      <c r="B722" s="15" t="s">
        <v>5</v>
      </c>
      <c r="C722" s="10" t="s">
        <v>4777</v>
      </c>
      <c r="D722" s="16" t="s">
        <v>2648</v>
      </c>
      <c r="E722" s="15" t="s">
        <v>11198</v>
      </c>
      <c r="F722" s="16" t="str">
        <f>VLOOKUP(Table8[[#This Row],[Mã khách hàng]],code_khach_hang[],2,0)</f>
        <v>CHI NHÁNH HẢI PHÒNG - CÔNG TY CỔ PHẦN DỊCH VỤ THƯƠNG MẠI TỔNG HỢP WINCOMMERCE</v>
      </c>
      <c r="G722" s="16"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c r="A723" s="14" t="s">
        <v>4818</v>
      </c>
      <c r="B723" s="15" t="s">
        <v>5</v>
      </c>
      <c r="C723" s="10" t="s">
        <v>4819</v>
      </c>
      <c r="D723" s="16" t="s">
        <v>2651</v>
      </c>
      <c r="E723" s="15" t="s">
        <v>11198</v>
      </c>
      <c r="F723" s="16" t="str">
        <f>VLOOKUP(Table8[[#This Row],[Mã khách hàng]],code_khach_hang[],2,0)</f>
        <v>CHI NHÁNH HẢI PHÒNG - CÔNG TY CỔ PHẦN DỊCH VỤ THƯƠNG MẠI TỔNG HỢP WINCOMMERCE</v>
      </c>
      <c r="G723" s="16"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c r="A724" s="14" t="s">
        <v>4968</v>
      </c>
      <c r="B724" s="15" t="s">
        <v>5</v>
      </c>
      <c r="C724" s="10" t="s">
        <v>4969</v>
      </c>
      <c r="D724" s="16" t="s">
        <v>2654</v>
      </c>
      <c r="E724" s="15" t="s">
        <v>11198</v>
      </c>
      <c r="F724" s="16" t="str">
        <f>VLOOKUP(Table8[[#This Row],[Mã khách hàng]],code_khach_hang[],2,0)</f>
        <v>CHI NHÁNH HẢI PHÒNG - CÔNG TY CỔ PHẦN DỊCH VỤ THƯƠNG MẠI TỔNG HỢP WINCOMMERCE</v>
      </c>
      <c r="G724" s="16"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c r="A725" s="14" t="s">
        <v>5232</v>
      </c>
      <c r="B725" s="15" t="s">
        <v>5</v>
      </c>
      <c r="C725" s="10" t="s">
        <v>5233</v>
      </c>
      <c r="D725" s="16" t="s">
        <v>2657</v>
      </c>
      <c r="E725" s="15" t="s">
        <v>11198</v>
      </c>
      <c r="F725" s="16" t="str">
        <f>VLOOKUP(Table8[[#This Row],[Mã khách hàng]],code_khach_hang[],2,0)</f>
        <v>CHI NHÁNH HẢI PHÒNG - CÔNG TY CỔ PHẦN DỊCH VỤ THƯƠNG MẠI TỔNG HỢP WINCOMMERCE</v>
      </c>
      <c r="G725" s="16"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c r="A726" s="14" t="s">
        <v>5310</v>
      </c>
      <c r="B726" s="15" t="s">
        <v>5</v>
      </c>
      <c r="C726" s="10" t="s">
        <v>5311</v>
      </c>
      <c r="D726" s="16" t="s">
        <v>2660</v>
      </c>
      <c r="E726" s="15" t="s">
        <v>11198</v>
      </c>
      <c r="F726" s="16" t="str">
        <f>VLOOKUP(Table8[[#This Row],[Mã khách hàng]],code_khach_hang[],2,0)</f>
        <v>CHI NHÁNH HẢI PHÒNG - CÔNG TY CỔ PHẦN DỊCH VỤ THƯƠNG MẠI TỔNG HỢP WINCOMMERCE</v>
      </c>
      <c r="G726" s="16"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c r="A727" s="14" t="s">
        <v>5373</v>
      </c>
      <c r="B727" s="15" t="s">
        <v>5</v>
      </c>
      <c r="C727" s="10" t="s">
        <v>5374</v>
      </c>
      <c r="D727" s="16" t="s">
        <v>2663</v>
      </c>
      <c r="E727" s="15" t="s">
        <v>11198</v>
      </c>
      <c r="F727" s="16" t="str">
        <f>VLOOKUP(Table8[[#This Row],[Mã khách hàng]],code_khach_hang[],2,0)</f>
        <v>CHI NHÁNH HẢI PHÒNG - CÔNG TY CỔ PHẦN DỊCH VỤ THƯƠNG MẠI TỔNG HỢP WINCOMMERCE</v>
      </c>
      <c r="G727" s="16"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c r="A728" s="14" t="s">
        <v>5594</v>
      </c>
      <c r="B728" s="15" t="s">
        <v>5</v>
      </c>
      <c r="C728" s="10" t="s">
        <v>5595</v>
      </c>
      <c r="D728" s="16" t="s">
        <v>2666</v>
      </c>
      <c r="E728" s="15" t="s">
        <v>11198</v>
      </c>
      <c r="F728" s="16" t="str">
        <f>VLOOKUP(Table8[[#This Row],[Mã khách hàng]],code_khach_hang[],2,0)</f>
        <v>CHI NHÁNH HẢI PHÒNG - CÔNG TY CỔ PHẦN DỊCH VỤ THƯƠNG MẠI TỔNG HỢP WINCOMMERCE</v>
      </c>
      <c r="G728" s="16"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c r="A729" s="14" t="s">
        <v>5890</v>
      </c>
      <c r="B729" s="15" t="s">
        <v>5</v>
      </c>
      <c r="C729" s="10" t="s">
        <v>5891</v>
      </c>
      <c r="D729" s="16" t="s">
        <v>2669</v>
      </c>
      <c r="E729" s="15" t="s">
        <v>11198</v>
      </c>
      <c r="F729" s="16" t="str">
        <f>VLOOKUP(Table8[[#This Row],[Mã khách hàng]],code_khach_hang[],2,0)</f>
        <v>CHI NHÁNH HẢI PHÒNG - CÔNG TY CỔ PHẦN DỊCH VỤ THƯƠNG MẠI TỔNG HỢP WINCOMMERCE</v>
      </c>
      <c r="G729" s="16"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c r="A730" s="14" t="s">
        <v>6255</v>
      </c>
      <c r="B730" s="15" t="s">
        <v>5</v>
      </c>
      <c r="C730" s="10" t="s">
        <v>6256</v>
      </c>
      <c r="D730" s="16" t="s">
        <v>2672</v>
      </c>
      <c r="E730" s="15" t="s">
        <v>11198</v>
      </c>
      <c r="F730" s="16" t="str">
        <f>VLOOKUP(Table8[[#This Row],[Mã khách hàng]],code_khach_hang[],2,0)</f>
        <v>CHI NHÁNH HẢI PHÒNG - CÔNG TY CỔ PHẦN DỊCH VỤ THƯƠNG MẠI TỔNG HỢP WINCOMMERCE</v>
      </c>
      <c r="G730" s="16"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c r="A731" s="14" t="s">
        <v>6494</v>
      </c>
      <c r="B731" s="15" t="s">
        <v>5</v>
      </c>
      <c r="C731" s="10" t="s">
        <v>6495</v>
      </c>
      <c r="D731" s="16" t="s">
        <v>2675</v>
      </c>
      <c r="E731" s="15" t="s">
        <v>11198</v>
      </c>
      <c r="F731" s="16" t="str">
        <f>VLOOKUP(Table8[[#This Row],[Mã khách hàng]],code_khach_hang[],2,0)</f>
        <v>CHI NHÁNH HẢI PHÒNG - CÔNG TY CỔ PHẦN DỊCH VỤ THƯƠNG MẠI TỔNG HỢP WINCOMMERCE</v>
      </c>
      <c r="G731" s="16"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c r="A732" s="14" t="s">
        <v>6500</v>
      </c>
      <c r="B732" s="15" t="s">
        <v>5</v>
      </c>
      <c r="C732" s="10" t="s">
        <v>6501</v>
      </c>
      <c r="D732" s="16" t="s">
        <v>2678</v>
      </c>
      <c r="E732" s="15" t="s">
        <v>11198</v>
      </c>
      <c r="F732" s="16" t="str">
        <f>VLOOKUP(Table8[[#This Row],[Mã khách hàng]],code_khach_hang[],2,0)</f>
        <v>CHI NHÁNH HẢI PHÒNG - CÔNG TY CỔ PHẦN DỊCH VỤ THƯƠNG MẠI TỔNG HỢP WINCOMMERCE</v>
      </c>
      <c r="G732" s="16"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c r="A733" s="14" t="s">
        <v>6539</v>
      </c>
      <c r="B733" s="15" t="s">
        <v>5</v>
      </c>
      <c r="C733" s="10" t="s">
        <v>6540</v>
      </c>
      <c r="D733" s="16" t="s">
        <v>2681</v>
      </c>
      <c r="E733" s="15" t="s">
        <v>11198</v>
      </c>
      <c r="F733" s="16" t="str">
        <f>VLOOKUP(Table8[[#This Row],[Mã khách hàng]],code_khach_hang[],2,0)</f>
        <v>CHI NHÁNH HẢI PHÒNG - CÔNG TY CỔ PHẦN DỊCH VỤ THƯƠNG MẠI TỔNG HỢP WINCOMMERCE</v>
      </c>
      <c r="G733" s="16"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c r="A734" s="14" t="s">
        <v>6644</v>
      </c>
      <c r="B734" s="15" t="s">
        <v>5</v>
      </c>
      <c r="C734" s="10" t="s">
        <v>6645</v>
      </c>
      <c r="D734" s="16" t="s">
        <v>2684</v>
      </c>
      <c r="E734" s="15" t="s">
        <v>11198</v>
      </c>
      <c r="F734" s="16" t="str">
        <f>VLOOKUP(Table8[[#This Row],[Mã khách hàng]],code_khach_hang[],2,0)</f>
        <v>CHI NHÁNH HẢI PHÒNG - CÔNG TY CỔ PHẦN DỊCH VỤ THƯƠNG MẠI TỔNG HỢP WINCOMMERCE</v>
      </c>
      <c r="G734" s="16"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c r="A735" s="14" t="s">
        <v>7050</v>
      </c>
      <c r="B735" s="15" t="s">
        <v>5</v>
      </c>
      <c r="C735" s="10" t="s">
        <v>7051</v>
      </c>
      <c r="D735" s="16" t="s">
        <v>2687</v>
      </c>
      <c r="E735" s="15" t="s">
        <v>11198</v>
      </c>
      <c r="F735" s="16" t="str">
        <f>VLOOKUP(Table8[[#This Row],[Mã khách hàng]],code_khach_hang[],2,0)</f>
        <v>CHI NHÁNH HẢI PHÒNG - CÔNG TY CỔ PHẦN DỊCH VỤ THƯƠNG MẠI TỔNG HỢP WINCOMMERCE</v>
      </c>
      <c r="G735" s="16"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c r="A736" s="14" t="s">
        <v>7936</v>
      </c>
      <c r="B736" s="15" t="s">
        <v>5</v>
      </c>
      <c r="C736" s="10" t="s">
        <v>7937</v>
      </c>
      <c r="D736" s="16" t="s">
        <v>2690</v>
      </c>
      <c r="E736" s="15" t="s">
        <v>11198</v>
      </c>
      <c r="F736" s="16" t="str">
        <f>VLOOKUP(Table8[[#This Row],[Mã khách hàng]],code_khach_hang[],2,0)</f>
        <v>CHI NHÁNH HẢI PHÒNG - CÔNG TY CỔ PHẦN DỊCH VỤ THƯƠNG MẠI TỔNG HỢP WINCOMMERCE</v>
      </c>
      <c r="G736" s="16"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c r="A737" s="14" t="s">
        <v>8862</v>
      </c>
      <c r="B737" s="15" t="s">
        <v>5</v>
      </c>
      <c r="C737" s="10" t="s">
        <v>8863</v>
      </c>
      <c r="D737" s="16" t="s">
        <v>2693</v>
      </c>
      <c r="E737" s="15" t="s">
        <v>11198</v>
      </c>
      <c r="F737" s="16" t="str">
        <f>VLOOKUP(Table8[[#This Row],[Mã khách hàng]],code_khach_hang[],2,0)</f>
        <v>CHI NHÁNH HẢI PHÒNG - CÔNG TY CỔ PHẦN DỊCH VỤ THƯƠNG MẠI TỔNG HỢP WINCOMMERCE</v>
      </c>
      <c r="G737" s="16"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c r="A738" s="14" t="s">
        <v>8907</v>
      </c>
      <c r="B738" s="15" t="s">
        <v>5</v>
      </c>
      <c r="C738" s="10" t="s">
        <v>8908</v>
      </c>
      <c r="D738" s="16" t="s">
        <v>2696</v>
      </c>
      <c r="E738" s="15" t="s">
        <v>11198</v>
      </c>
      <c r="F738" s="16" t="str">
        <f>VLOOKUP(Table8[[#This Row],[Mã khách hàng]],code_khach_hang[],2,0)</f>
        <v>CHI NHÁNH HẢI PHÒNG - CÔNG TY CỔ PHẦN DỊCH VỤ THƯƠNG MẠI TỔNG HỢP WINCOMMERCE</v>
      </c>
      <c r="G738" s="16"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c r="A739" s="14" t="s">
        <v>1435</v>
      </c>
      <c r="B739" s="15" t="s">
        <v>5</v>
      </c>
      <c r="C739" s="10" t="s">
        <v>1436</v>
      </c>
      <c r="D739" s="16" t="s">
        <v>2699</v>
      </c>
      <c r="E739" s="15" t="s">
        <v>11198</v>
      </c>
      <c r="F739" s="16" t="str">
        <f>VLOOKUP(Table8[[#This Row],[Mã khách hàng]],code_khach_hang[],2,0)</f>
        <v>CHI NHÁNH HẢI PHÒNG - CÔNG TY CỔ PHẦN DỊCH VỤ THƯƠNG MẠI TỔNG HỢP WINCOMMERCE</v>
      </c>
      <c r="G739" s="16"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c r="A740" s="14" t="s">
        <v>1543</v>
      </c>
      <c r="B740" s="15" t="s">
        <v>5</v>
      </c>
      <c r="C740" s="10" t="s">
        <v>1544</v>
      </c>
      <c r="D740" s="16" t="s">
        <v>2702</v>
      </c>
      <c r="E740" s="15" t="s">
        <v>11198</v>
      </c>
      <c r="F740" s="16" t="str">
        <f>VLOOKUP(Table8[[#This Row],[Mã khách hàng]],code_khach_hang[],2,0)</f>
        <v>CHI NHÁNH HẢI PHÒNG - CÔNG TY CỔ PHẦN DỊCH VỤ THƯƠNG MẠI TỔNG HỢP WINCOMMERCE</v>
      </c>
      <c r="G740" s="16"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c r="A741" s="14" t="s">
        <v>707</v>
      </c>
      <c r="B741" s="15" t="s">
        <v>183</v>
      </c>
      <c r="C741" s="10" t="s">
        <v>708</v>
      </c>
      <c r="D741" s="16" t="s">
        <v>2705</v>
      </c>
      <c r="E741" s="14" t="s">
        <v>11198</v>
      </c>
      <c r="F741" s="16" t="str">
        <f>VLOOKUP(Table8[[#This Row],[Mã khách hàng]],code_khach_hang[],2,0)</f>
        <v>CHI NHÁNH HẢI PHÒNG - CÔNG TY CỔ PHẦN DỊCH VỤ THƯƠNG MẠI TỔNG HỢP WINCOMMERCE</v>
      </c>
      <c r="G741" s="16"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c r="A742" s="14" t="s">
        <v>9150</v>
      </c>
      <c r="B742" s="15" t="s">
        <v>5</v>
      </c>
      <c r="C742" s="10" t="s">
        <v>9151</v>
      </c>
      <c r="D742" s="16" t="s">
        <v>2708</v>
      </c>
      <c r="E742" s="15" t="s">
        <v>11205</v>
      </c>
      <c r="F742" s="16" t="str">
        <f>VLOOKUP(Table8[[#This Row],[Mã khách hàng]],code_khach_hang[],2,0)</f>
        <v>CHI NHÁNH HÀ TĨNH - CÔNG TY CỔ PHẦN DỊCH VỤ THƯƠNG MẠI TỔNG HỢP WINCOMMERCE</v>
      </c>
      <c r="G742" s="16"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c r="A743" s="14" t="s">
        <v>9159</v>
      </c>
      <c r="B743" s="15" t="s">
        <v>5</v>
      </c>
      <c r="C743" s="10" t="s">
        <v>9160</v>
      </c>
      <c r="D743" s="16" t="s">
        <v>2711</v>
      </c>
      <c r="E743" s="15" t="s">
        <v>11205</v>
      </c>
      <c r="F743" s="16" t="str">
        <f>VLOOKUP(Table8[[#This Row],[Mã khách hàng]],code_khach_hang[],2,0)</f>
        <v>CHI NHÁNH HÀ TĨNH - CÔNG TY CỔ PHẦN DỊCH VỤ THƯƠNG MẠI TỔNG HỢP WINCOMMERCE</v>
      </c>
      <c r="G743" s="16"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c r="A744" s="14" t="s">
        <v>6797</v>
      </c>
      <c r="B744" s="15" t="s">
        <v>5</v>
      </c>
      <c r="C744" s="10" t="s">
        <v>6798</v>
      </c>
      <c r="D744" s="16" t="s">
        <v>2714</v>
      </c>
      <c r="E744" s="15" t="s">
        <v>11205</v>
      </c>
      <c r="F744" s="16" t="str">
        <f>VLOOKUP(Table8[[#This Row],[Mã khách hàng]],code_khach_hang[],2,0)</f>
        <v>CHI NHÁNH HÀ TĨNH - CÔNG TY CỔ PHẦN DỊCH VỤ THƯƠNG MẠI TỔNG HỢP WINCOMMERCE</v>
      </c>
      <c r="G744" s="16"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c r="A745" s="14" t="s">
        <v>9153</v>
      </c>
      <c r="B745" s="15" t="s">
        <v>5</v>
      </c>
      <c r="C745" s="10" t="s">
        <v>9154</v>
      </c>
      <c r="D745" s="16" t="s">
        <v>2717</v>
      </c>
      <c r="E745" s="15" t="s">
        <v>11205</v>
      </c>
      <c r="F745" s="16" t="str">
        <f>VLOOKUP(Table8[[#This Row],[Mã khách hàng]],code_khach_hang[],2,0)</f>
        <v>CHI NHÁNH HÀ TĨNH - CÔNG TY CỔ PHẦN DỊCH VỤ THƯƠNG MẠI TỔNG HỢP WINCOMMERCE</v>
      </c>
      <c r="G745" s="16"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c r="A746" s="14" t="s">
        <v>7140</v>
      </c>
      <c r="B746" s="15" t="s">
        <v>5</v>
      </c>
      <c r="C746" s="10" t="e">
        <v>#N/A</v>
      </c>
      <c r="D746" s="16" t="s">
        <v>2720</v>
      </c>
      <c r="E746" s="15" t="s">
        <v>11205</v>
      </c>
      <c r="F746" s="16" t="str">
        <f>VLOOKUP(Table8[[#This Row],[Mã khách hàng]],code_khach_hang[],2,0)</f>
        <v>CHI NHÁNH HÀ TĨNH - CÔNG TY CỔ PHẦN DỊCH VỤ THƯƠNG MẠI TỔNG HỢP WINCOMMERCE</v>
      </c>
      <c r="G746" s="16"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c r="A747" s="14" t="s">
        <v>9133</v>
      </c>
      <c r="B747" s="15" t="s">
        <v>5</v>
      </c>
      <c r="C747" s="10" t="s">
        <v>9134</v>
      </c>
      <c r="D747" s="16" t="s">
        <v>2723</v>
      </c>
      <c r="E747" s="15" t="s">
        <v>11205</v>
      </c>
      <c r="F747" s="16" t="str">
        <f>VLOOKUP(Table8[[#This Row],[Mã khách hàng]],code_khach_hang[],2,0)</f>
        <v>CHI NHÁNH HÀ TĨNH - CÔNG TY CỔ PHẦN DỊCH VỤ THƯƠNG MẠI TỔNG HỢP WINCOMMERCE</v>
      </c>
      <c r="G747" s="16"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c r="A748" s="14" t="s">
        <v>7019</v>
      </c>
      <c r="B748" s="15" t="s">
        <v>5</v>
      </c>
      <c r="C748" s="10" t="e">
        <v>#N/A</v>
      </c>
      <c r="D748" s="16" t="s">
        <v>2726</v>
      </c>
      <c r="E748" s="15" t="s">
        <v>11205</v>
      </c>
      <c r="F748" s="16" t="str">
        <f>VLOOKUP(Table8[[#This Row],[Mã khách hàng]],code_khach_hang[],2,0)</f>
        <v>CHI NHÁNH HÀ TĨNH - CÔNG TY CỔ PHẦN DỊCH VỤ THƯƠNG MẠI TỔNG HỢP WINCOMMERCE</v>
      </c>
      <c r="G748" s="16"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c r="A749" s="14" t="s">
        <v>9168</v>
      </c>
      <c r="B749" s="15" t="s">
        <v>5</v>
      </c>
      <c r="C749" s="10" t="s">
        <v>9169</v>
      </c>
      <c r="D749" s="16" t="s">
        <v>2729</v>
      </c>
      <c r="E749" s="15" t="s">
        <v>11205</v>
      </c>
      <c r="F749" s="16" t="str">
        <f>VLOOKUP(Table8[[#This Row],[Mã khách hàng]],code_khach_hang[],2,0)</f>
        <v>CHI NHÁNH HÀ TĨNH - CÔNG TY CỔ PHẦN DỊCH VỤ THƯƠNG MẠI TỔNG HỢP WINCOMMERCE</v>
      </c>
      <c r="G749" s="16"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c r="A750" s="14" t="s">
        <v>9136</v>
      </c>
      <c r="B750" s="15" t="s">
        <v>5</v>
      </c>
      <c r="C750" s="10" t="s">
        <v>9137</v>
      </c>
      <c r="D750" s="16" t="s">
        <v>2732</v>
      </c>
      <c r="E750" s="15" t="s">
        <v>11205</v>
      </c>
      <c r="F750" s="16" t="str">
        <f>VLOOKUP(Table8[[#This Row],[Mã khách hàng]],code_khach_hang[],2,0)</f>
        <v>CHI NHÁNH HÀ TĨNH - CÔNG TY CỔ PHẦN DỊCH VỤ THƯƠNG MẠI TỔNG HỢP WINCOMMERCE</v>
      </c>
      <c r="G750" s="16"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c r="A751" s="14" t="s">
        <v>7045</v>
      </c>
      <c r="B751" s="15" t="s">
        <v>5</v>
      </c>
      <c r="C751" s="10" t="e">
        <v>#N/A</v>
      </c>
      <c r="D751" s="16" t="s">
        <v>2735</v>
      </c>
      <c r="E751" s="15" t="s">
        <v>11205</v>
      </c>
      <c r="F751" s="16" t="str">
        <f>VLOOKUP(Table8[[#This Row],[Mã khách hàng]],code_khach_hang[],2,0)</f>
        <v>CHI NHÁNH HÀ TĨNH - CÔNG TY CỔ PHẦN DỊCH VỤ THƯƠNG MẠI TỔNG HỢP WINCOMMERCE</v>
      </c>
      <c r="G751" s="16"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c r="A752" s="14" t="s">
        <v>9174</v>
      </c>
      <c r="B752" s="15" t="s">
        <v>5</v>
      </c>
      <c r="C752" s="10" t="s">
        <v>9175</v>
      </c>
      <c r="D752" s="16" t="s">
        <v>2738</v>
      </c>
      <c r="E752" s="15" t="s">
        <v>11205</v>
      </c>
      <c r="F752" s="16" t="str">
        <f>VLOOKUP(Table8[[#This Row],[Mã khách hàng]],code_khach_hang[],2,0)</f>
        <v>CHI NHÁNH HÀ TĨNH - CÔNG TY CỔ PHẦN DỊCH VỤ THƯƠNG MẠI TỔNG HỢP WINCOMMERCE</v>
      </c>
      <c r="G752" s="16"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c r="A753" s="14" t="s">
        <v>9165</v>
      </c>
      <c r="B753" s="15" t="s">
        <v>5</v>
      </c>
      <c r="C753" s="10" t="s">
        <v>9166</v>
      </c>
      <c r="D753" s="16" t="s">
        <v>2741</v>
      </c>
      <c r="E753" s="15" t="s">
        <v>11205</v>
      </c>
      <c r="F753" s="16" t="str">
        <f>VLOOKUP(Table8[[#This Row],[Mã khách hàng]],code_khach_hang[],2,0)</f>
        <v>CHI NHÁNH HÀ TĨNH - CÔNG TY CỔ PHẦN DỊCH VỤ THƯƠNG MẠI TỔNG HỢP WINCOMMERCE</v>
      </c>
      <c r="G753" s="16"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c r="A754" s="14" t="s">
        <v>6148</v>
      </c>
      <c r="B754" s="15" t="s">
        <v>5</v>
      </c>
      <c r="C754" s="10" t="s">
        <v>6149</v>
      </c>
      <c r="D754" s="16" t="s">
        <v>2744</v>
      </c>
      <c r="E754" s="15" t="s">
        <v>11205</v>
      </c>
      <c r="F754" s="16" t="str">
        <f>VLOOKUP(Table8[[#This Row],[Mã khách hàng]],code_khach_hang[],2,0)</f>
        <v>CHI NHÁNH HÀ TĨNH - CÔNG TY CỔ PHẦN DỊCH VỤ THƯƠNG MẠI TỔNG HỢP WINCOMMERCE</v>
      </c>
      <c r="G754" s="16"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c r="A755" s="14" t="s">
        <v>9183</v>
      </c>
      <c r="B755" s="15" t="s">
        <v>5</v>
      </c>
      <c r="C755" s="10" t="s">
        <v>9184</v>
      </c>
      <c r="D755" s="16" t="s">
        <v>2747</v>
      </c>
      <c r="E755" s="15" t="s">
        <v>11205</v>
      </c>
      <c r="F755" s="16" t="str">
        <f>VLOOKUP(Table8[[#This Row],[Mã khách hàng]],code_khach_hang[],2,0)</f>
        <v>CHI NHÁNH HÀ TĨNH - CÔNG TY CỔ PHẦN DỊCH VỤ THƯƠNG MẠI TỔNG HỢP WINCOMMERCE</v>
      </c>
      <c r="G755" s="16"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c r="A756" s="14" t="s">
        <v>9144</v>
      </c>
      <c r="B756" s="15" t="s">
        <v>5</v>
      </c>
      <c r="C756" s="10" t="s">
        <v>9145</v>
      </c>
      <c r="D756" s="16" t="s">
        <v>2750</v>
      </c>
      <c r="E756" s="15" t="s">
        <v>11205</v>
      </c>
      <c r="F756" s="16" t="str">
        <f>VLOOKUP(Table8[[#This Row],[Mã khách hàng]],code_khach_hang[],2,0)</f>
        <v>CHI NHÁNH HÀ TĨNH - CÔNG TY CỔ PHẦN DỊCH VỤ THƯƠNG MẠI TỔNG HỢP WINCOMMERCE</v>
      </c>
      <c r="G756" s="16"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c r="A757" s="14" t="s">
        <v>6327</v>
      </c>
      <c r="B757" s="15" t="s">
        <v>5</v>
      </c>
      <c r="C757" s="10" t="s">
        <v>6328</v>
      </c>
      <c r="D757" s="16" t="s">
        <v>2753</v>
      </c>
      <c r="E757" s="15" t="s">
        <v>11205</v>
      </c>
      <c r="F757" s="16" t="str">
        <f>VLOOKUP(Table8[[#This Row],[Mã khách hàng]],code_khach_hang[],2,0)</f>
        <v>CHI NHÁNH HÀ TĨNH - CÔNG TY CỔ PHẦN DỊCH VỤ THƯƠNG MẠI TỔNG HỢP WINCOMMERCE</v>
      </c>
      <c r="G757" s="16"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c r="A758" s="14" t="s">
        <v>9177</v>
      </c>
      <c r="B758" s="15" t="s">
        <v>5</v>
      </c>
      <c r="C758" s="10" t="s">
        <v>9178</v>
      </c>
      <c r="D758" s="16" t="s">
        <v>2755</v>
      </c>
      <c r="E758" s="15" t="s">
        <v>11205</v>
      </c>
      <c r="F758" s="16" t="str">
        <f>VLOOKUP(Table8[[#This Row],[Mã khách hàng]],code_khach_hang[],2,0)</f>
        <v>CHI NHÁNH HÀ TĨNH - CÔNG TY CỔ PHẦN DỊCH VỤ THƯƠNG MẠI TỔNG HỢP WINCOMMERCE</v>
      </c>
      <c r="G758" s="16"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c r="A759" s="14" t="s">
        <v>9162</v>
      </c>
      <c r="B759" s="15" t="s">
        <v>5</v>
      </c>
      <c r="C759" s="10" t="s">
        <v>9163</v>
      </c>
      <c r="D759" s="16" t="s">
        <v>2758</v>
      </c>
      <c r="E759" s="15" t="s">
        <v>11205</v>
      </c>
      <c r="F759" s="16" t="str">
        <f>VLOOKUP(Table8[[#This Row],[Mã khách hàng]],code_khach_hang[],2,0)</f>
        <v>CHI NHÁNH HÀ TĨNH - CÔNG TY CỔ PHẦN DỊCH VỤ THƯƠNG MẠI TỔNG HỢP WINCOMMERCE</v>
      </c>
      <c r="G759" s="16"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c r="A760" s="14" t="s">
        <v>6411</v>
      </c>
      <c r="B760" s="15" t="s">
        <v>5</v>
      </c>
      <c r="C760" s="10" t="e">
        <v>#N/A</v>
      </c>
      <c r="D760" s="16" t="s">
        <v>2761</v>
      </c>
      <c r="E760" s="15" t="s">
        <v>11205</v>
      </c>
      <c r="F760" s="16" t="str">
        <f>VLOOKUP(Table8[[#This Row],[Mã khách hàng]],code_khach_hang[],2,0)</f>
        <v>CHI NHÁNH HÀ TĨNH - CÔNG TY CỔ PHẦN DỊCH VỤ THƯƠNG MẠI TỔNG HỢP WINCOMMERCE</v>
      </c>
      <c r="G760" s="16"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c r="A761" s="14" t="s">
        <v>9147</v>
      </c>
      <c r="B761" s="15" t="s">
        <v>5</v>
      </c>
      <c r="C761" s="10" t="s">
        <v>9148</v>
      </c>
      <c r="D761" s="16" t="s">
        <v>2764</v>
      </c>
      <c r="E761" s="15" t="s">
        <v>11205</v>
      </c>
      <c r="F761" s="16" t="str">
        <f>VLOOKUP(Table8[[#This Row],[Mã khách hàng]],code_khach_hang[],2,0)</f>
        <v>CHI NHÁNH HÀ TĨNH - CÔNG TY CỔ PHẦN DỊCH VỤ THƯƠNG MẠI TỔNG HỢP WINCOMMERCE</v>
      </c>
      <c r="G761" s="16"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c r="A762" s="14" t="s">
        <v>9325</v>
      </c>
      <c r="B762" s="15" t="s">
        <v>5</v>
      </c>
      <c r="C762" s="10" t="s">
        <v>9326</v>
      </c>
      <c r="D762" s="16" t="s">
        <v>2767</v>
      </c>
      <c r="E762" s="15" t="s">
        <v>11205</v>
      </c>
      <c r="F762" s="16" t="str">
        <f>VLOOKUP(Table8[[#This Row],[Mã khách hàng]],code_khach_hang[],2,0)</f>
        <v>CHI NHÁNH HÀ TĨNH - CÔNG TY CỔ PHẦN DỊCH VỤ THƯƠNG MẠI TỔNG HỢP WINCOMMERCE</v>
      </c>
      <c r="G762" s="16"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c r="A763" s="14" t="s">
        <v>7975</v>
      </c>
      <c r="B763" s="15" t="s">
        <v>5</v>
      </c>
      <c r="C763" s="10" t="s">
        <v>7976</v>
      </c>
      <c r="D763" s="16" t="s">
        <v>2770</v>
      </c>
      <c r="E763" s="15" t="s">
        <v>11205</v>
      </c>
      <c r="F763" s="16" t="str">
        <f>VLOOKUP(Table8[[#This Row],[Mã khách hàng]],code_khach_hang[],2,0)</f>
        <v>CHI NHÁNH HÀ TĨNH - CÔNG TY CỔ PHẦN DỊCH VỤ THƯƠNG MẠI TỔNG HỢP WINCOMMERCE</v>
      </c>
      <c r="G763" s="16"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c r="A764" s="14" t="s">
        <v>7897</v>
      </c>
      <c r="B764" s="15" t="s">
        <v>5</v>
      </c>
      <c r="C764" s="10" t="s">
        <v>7898</v>
      </c>
      <c r="D764" s="16" t="s">
        <v>2773</v>
      </c>
      <c r="E764" s="15" t="s">
        <v>11205</v>
      </c>
      <c r="F764" s="16" t="str">
        <f>VLOOKUP(Table8[[#This Row],[Mã khách hàng]],code_khach_hang[],2,0)</f>
        <v>CHI NHÁNH HÀ TĨNH - CÔNG TY CỔ PHẦN DỊCH VỤ THƯƠNG MẠI TỔNG HỢP WINCOMMERCE</v>
      </c>
      <c r="G764" s="16"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c r="A765" s="14" t="s">
        <v>9156</v>
      </c>
      <c r="B765" s="15" t="s">
        <v>5</v>
      </c>
      <c r="C765" s="10" t="s">
        <v>9157</v>
      </c>
      <c r="D765" s="16" t="s">
        <v>2776</v>
      </c>
      <c r="E765" s="15" t="s">
        <v>11205</v>
      </c>
      <c r="F765" s="16" t="str">
        <f>VLOOKUP(Table8[[#This Row],[Mã khách hàng]],code_khach_hang[],2,0)</f>
        <v>CHI NHÁNH HÀ TĨNH - CÔNG TY CỔ PHẦN DỊCH VỤ THƯƠNG MẠI TỔNG HỢP WINCOMMERCE</v>
      </c>
      <c r="G765" s="16"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c r="A766" s="14" t="s">
        <v>8121</v>
      </c>
      <c r="B766" s="15" t="s">
        <v>5</v>
      </c>
      <c r="C766" s="10" t="s">
        <v>8122</v>
      </c>
      <c r="D766" s="16" t="s">
        <v>2779</v>
      </c>
      <c r="E766" s="15" t="s">
        <v>11205</v>
      </c>
      <c r="F766" s="16" t="str">
        <f>VLOOKUP(Table8[[#This Row],[Mã khách hàng]],code_khach_hang[],2,0)</f>
        <v>CHI NHÁNH HÀ TĨNH - CÔNG TY CỔ PHẦN DỊCH VỤ THƯƠNG MẠI TỔNG HỢP WINCOMMERCE</v>
      </c>
      <c r="G766" s="16"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c r="A767" s="14" t="s">
        <v>9171</v>
      </c>
      <c r="B767" s="15" t="s">
        <v>5</v>
      </c>
      <c r="C767" s="10" t="s">
        <v>9172</v>
      </c>
      <c r="D767" s="16" t="s">
        <v>2782</v>
      </c>
      <c r="E767" s="15" t="s">
        <v>11205</v>
      </c>
      <c r="F767" s="16" t="str">
        <f>VLOOKUP(Table8[[#This Row],[Mã khách hàng]],code_khach_hang[],2,0)</f>
        <v>CHI NHÁNH HÀ TĨNH - CÔNG TY CỔ PHẦN DỊCH VỤ THƯƠNG MẠI TỔNG HỢP WINCOMMERCE</v>
      </c>
      <c r="G767" s="16"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c r="A768" s="14" t="s">
        <v>8184</v>
      </c>
      <c r="B768" s="15" t="s">
        <v>5</v>
      </c>
      <c r="C768" s="10" t="s">
        <v>8185</v>
      </c>
      <c r="D768" s="16" t="s">
        <v>2785</v>
      </c>
      <c r="E768" s="15" t="s">
        <v>11205</v>
      </c>
      <c r="F768" s="16" t="str">
        <f>VLOOKUP(Table8[[#This Row],[Mã khách hàng]],code_khach_hang[],2,0)</f>
        <v>CHI NHÁNH HÀ TĨNH - CÔNG TY CỔ PHẦN DỊCH VỤ THƯƠNG MẠI TỔNG HỢP WINCOMMERCE</v>
      </c>
      <c r="G768" s="16"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c r="A769" s="14" t="s">
        <v>8213</v>
      </c>
      <c r="B769" s="15" t="s">
        <v>5</v>
      </c>
      <c r="C769" s="10" t="e">
        <v>#N/A</v>
      </c>
      <c r="D769" s="16" t="s">
        <v>2788</v>
      </c>
      <c r="E769" s="15" t="s">
        <v>11205</v>
      </c>
      <c r="F769" s="16" t="str">
        <f>VLOOKUP(Table8[[#This Row],[Mã khách hàng]],code_khach_hang[],2,0)</f>
        <v>CHI NHÁNH HÀ TĨNH - CÔNG TY CỔ PHẦN DỊCH VỤ THƯƠNG MẠI TỔNG HỢP WINCOMMERCE</v>
      </c>
      <c r="G769" s="16"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c r="A770" s="14" t="s">
        <v>9180</v>
      </c>
      <c r="B770" s="15" t="s">
        <v>5</v>
      </c>
      <c r="C770" s="10" t="s">
        <v>9181</v>
      </c>
      <c r="D770" s="16" t="s">
        <v>2791</v>
      </c>
      <c r="E770" s="15" t="s">
        <v>11205</v>
      </c>
      <c r="F770" s="16" t="str">
        <f>VLOOKUP(Table8[[#This Row],[Mã khách hàng]],code_khach_hang[],2,0)</f>
        <v>CHI NHÁNH HÀ TĨNH - CÔNG TY CỔ PHẦN DỊCH VỤ THƯƠNG MẠI TỔNG HỢP WINCOMMERCE</v>
      </c>
      <c r="G770" s="16"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c r="A771" s="14" t="s">
        <v>8289</v>
      </c>
      <c r="B771" s="15" t="s">
        <v>5</v>
      </c>
      <c r="C771" s="10" t="s">
        <v>8290</v>
      </c>
      <c r="D771" s="16" t="s">
        <v>2794</v>
      </c>
      <c r="E771" s="15" t="s">
        <v>11205</v>
      </c>
      <c r="F771" s="16" t="str">
        <f>VLOOKUP(Table8[[#This Row],[Mã khách hàng]],code_khach_hang[],2,0)</f>
        <v>CHI NHÁNH HÀ TĨNH - CÔNG TY CỔ PHẦN DỊCH VỤ THƯƠNG MẠI TỔNG HỢP WINCOMMERCE</v>
      </c>
      <c r="G771" s="16"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c r="A772" s="14" t="s">
        <v>8463</v>
      </c>
      <c r="B772" s="15" t="s">
        <v>5</v>
      </c>
      <c r="C772" s="10" t="s">
        <v>8464</v>
      </c>
      <c r="D772" s="16" t="s">
        <v>2797</v>
      </c>
      <c r="E772" s="15" t="s">
        <v>11205</v>
      </c>
      <c r="F772" s="16" t="str">
        <f>VLOOKUP(Table8[[#This Row],[Mã khách hàng]],code_khach_hang[],2,0)</f>
        <v>CHI NHÁNH HÀ TĨNH - CÔNG TY CỔ PHẦN DỊCH VỤ THƯƠNG MẠI TỔNG HỢP WINCOMMERCE</v>
      </c>
      <c r="G772" s="16"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c r="A773" s="14" t="s">
        <v>8469</v>
      </c>
      <c r="B773" s="15" t="s">
        <v>5</v>
      </c>
      <c r="C773" s="10" t="e">
        <v>#N/A</v>
      </c>
      <c r="D773" s="16" t="s">
        <v>2800</v>
      </c>
      <c r="E773" s="15" t="s">
        <v>11205</v>
      </c>
      <c r="F773" s="16" t="str">
        <f>VLOOKUP(Table8[[#This Row],[Mã khách hàng]],code_khach_hang[],2,0)</f>
        <v>CHI NHÁNH HÀ TĨNH - CÔNG TY CỔ PHẦN DỊCH VỤ THƯƠNG MẠI TỔNG HỢP WINCOMMERCE</v>
      </c>
      <c r="G773" s="16"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c r="A774" s="14" t="s">
        <v>8466</v>
      </c>
      <c r="B774" s="15" t="s">
        <v>5</v>
      </c>
      <c r="C774" s="10" t="s">
        <v>8467</v>
      </c>
      <c r="D774" s="16" t="s">
        <v>2803</v>
      </c>
      <c r="E774" s="15" t="s">
        <v>11205</v>
      </c>
      <c r="F774" s="16" t="str">
        <f>VLOOKUP(Table8[[#This Row],[Mã khách hàng]],code_khach_hang[],2,0)</f>
        <v>CHI NHÁNH HÀ TĨNH - CÔNG TY CỔ PHẦN DỊCH VỤ THƯƠNG MẠI TỔNG HỢP WINCOMMERCE</v>
      </c>
      <c r="G774" s="16"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c r="A775" s="14" t="s">
        <v>8402</v>
      </c>
      <c r="B775" s="15" t="s">
        <v>5</v>
      </c>
      <c r="C775" s="10" t="e">
        <v>#N/A</v>
      </c>
      <c r="D775" s="16" t="s">
        <v>2806</v>
      </c>
      <c r="E775" s="15" t="s">
        <v>11205</v>
      </c>
      <c r="F775" s="16" t="str">
        <f>VLOOKUP(Table8[[#This Row],[Mã khách hàng]],code_khach_hang[],2,0)</f>
        <v>CHI NHÁNH HÀ TĨNH - CÔNG TY CỔ PHẦN DỊCH VỤ THƯƠNG MẠI TỔNG HỢP WINCOMMERCE</v>
      </c>
      <c r="G775" s="16"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c r="A776" s="14" t="s">
        <v>9186</v>
      </c>
      <c r="B776" s="15" t="s">
        <v>5</v>
      </c>
      <c r="C776" s="10" t="s">
        <v>9187</v>
      </c>
      <c r="D776" s="16" t="s">
        <v>2809</v>
      </c>
      <c r="E776" s="15" t="s">
        <v>11205</v>
      </c>
      <c r="F776" s="16" t="str">
        <f>VLOOKUP(Table8[[#This Row],[Mã khách hàng]],code_khach_hang[],2,0)</f>
        <v>CHI NHÁNH HÀ TĨNH - CÔNG TY CỔ PHẦN DỊCH VỤ THƯƠNG MẠI TỔNG HỢP WINCOMMERCE</v>
      </c>
      <c r="G776" s="16"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c r="A777" s="14" t="s">
        <v>8425</v>
      </c>
      <c r="B777" s="15" t="s">
        <v>5</v>
      </c>
      <c r="C777" s="10" t="s">
        <v>8426</v>
      </c>
      <c r="D777" s="16" t="s">
        <v>2812</v>
      </c>
      <c r="E777" s="15" t="s">
        <v>11205</v>
      </c>
      <c r="F777" s="16" t="str">
        <f>VLOOKUP(Table8[[#This Row],[Mã khách hàng]],code_khach_hang[],2,0)</f>
        <v>CHI NHÁNH HÀ TĨNH - CÔNG TY CỔ PHẦN DỊCH VỤ THƯƠNG MẠI TỔNG HỢP WINCOMMERCE</v>
      </c>
      <c r="G777" s="16"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c r="A778" s="14" t="s">
        <v>8806</v>
      </c>
      <c r="B778" s="15" t="s">
        <v>5</v>
      </c>
      <c r="C778" s="10" t="s">
        <v>8807</v>
      </c>
      <c r="D778" s="16" t="s">
        <v>2815</v>
      </c>
      <c r="E778" s="15" t="s">
        <v>11205</v>
      </c>
      <c r="F778" s="16" t="str">
        <f>VLOOKUP(Table8[[#This Row],[Mã khách hàng]],code_khach_hang[],2,0)</f>
        <v>CHI NHÁNH HÀ TĨNH - CÔNG TY CỔ PHẦN DỊCH VỤ THƯƠNG MẠI TỔNG HỢP WINCOMMERCE</v>
      </c>
      <c r="G778" s="16"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c r="A779" s="14" t="s">
        <v>6160</v>
      </c>
      <c r="B779" s="15" t="s">
        <v>5</v>
      </c>
      <c r="C779" s="10" t="s">
        <v>6161</v>
      </c>
      <c r="D779" s="16" t="s">
        <v>2818</v>
      </c>
      <c r="E779" s="15" t="s">
        <v>11209</v>
      </c>
      <c r="F779" s="16" t="str">
        <f>VLOOKUP(Table8[[#This Row],[Mã khách hàng]],code_khach_hang[],2,0)</f>
        <v>CHI NHÁNH QUẢNG BÌNH - CÔNG TY CỔ PHẦN DỊCH VỤ THƯƠNG MẠI TỔNG HỢP WINCOMMERCE</v>
      </c>
      <c r="G779" s="16"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c r="A780" s="14" t="s">
        <v>8656</v>
      </c>
      <c r="B780" s="15" t="s">
        <v>5</v>
      </c>
      <c r="C780" s="10" t="s">
        <v>8657</v>
      </c>
      <c r="D780" s="16" t="s">
        <v>2821</v>
      </c>
      <c r="E780" s="15" t="s">
        <v>11205</v>
      </c>
      <c r="F780" s="16" t="str">
        <f>VLOOKUP(Table8[[#This Row],[Mã khách hàng]],code_khach_hang[],2,0)</f>
        <v>CHI NHÁNH HÀ TĨNH - CÔNG TY CỔ PHẦN DỊCH VỤ THƯƠNG MẠI TỔNG HỢP WINCOMMERCE</v>
      </c>
      <c r="G780" s="16"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c r="A781" s="14" t="s">
        <v>8631</v>
      </c>
      <c r="B781" s="15" t="s">
        <v>5</v>
      </c>
      <c r="C781" s="10" t="e">
        <v>#N/A</v>
      </c>
      <c r="D781" s="16" t="s">
        <v>2824</v>
      </c>
      <c r="E781" s="15" t="s">
        <v>11205</v>
      </c>
      <c r="F781" s="16" t="str">
        <f>VLOOKUP(Table8[[#This Row],[Mã khách hàng]],code_khach_hang[],2,0)</f>
        <v>CHI NHÁNH HÀ TĨNH - CÔNG TY CỔ PHẦN DỊCH VỤ THƯƠNG MẠI TỔNG HỢP WINCOMMERCE</v>
      </c>
      <c r="G781" s="16"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c r="A782" s="14" t="s">
        <v>702</v>
      </c>
      <c r="B782" s="15" t="s">
        <v>183</v>
      </c>
      <c r="C782" s="10" t="s">
        <v>703</v>
      </c>
      <c r="D782" s="16" t="s">
        <v>2827</v>
      </c>
      <c r="E782" s="15" t="s">
        <v>11205</v>
      </c>
      <c r="F782" s="16" t="str">
        <f>VLOOKUP(Table8[[#This Row],[Mã khách hàng]],code_khach_hang[],2,0)</f>
        <v>CHI NHÁNH HÀ TĨNH - CÔNG TY CỔ PHẦN DỊCH VỤ THƯƠNG MẠI TỔNG HỢP WINCOMMERCE</v>
      </c>
      <c r="G782" s="16"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c r="A783" s="14" t="s">
        <v>679</v>
      </c>
      <c r="B783" s="15" t="s">
        <v>183</v>
      </c>
      <c r="C783" s="10" t="s">
        <v>13149</v>
      </c>
      <c r="D783" s="16" t="s">
        <v>2830</v>
      </c>
      <c r="E783" s="15" t="s">
        <v>11205</v>
      </c>
      <c r="F783" s="16" t="str">
        <f>VLOOKUP(Table8[[#This Row],[Mã khách hàng]],code_khach_hang[],2,0)</f>
        <v>CHI NHÁNH HÀ TĨNH - CÔNG TY CỔ PHẦN DỊCH VỤ THƯƠNG MẠI TỔNG HỢP WINCOMMERCE</v>
      </c>
      <c r="G783" s="16"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c r="A784" s="14" t="s">
        <v>693</v>
      </c>
      <c r="B784" s="15" t="s">
        <v>183</v>
      </c>
      <c r="C784" s="10" t="s">
        <v>694</v>
      </c>
      <c r="D784" s="16" t="s">
        <v>2833</v>
      </c>
      <c r="E784" s="15" t="s">
        <v>11209</v>
      </c>
      <c r="F784" s="16" t="str">
        <f>VLOOKUP(Table8[[#This Row],[Mã khách hàng]],code_khach_hang[],2,0)</f>
        <v>CHI NHÁNH QUẢNG BÌNH - CÔNG TY CỔ PHẦN DỊCH VỤ THƯƠNG MẠI TỔNG HỢP WINCOMMERCE</v>
      </c>
      <c r="G784" s="16"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c r="A785" s="14" t="s">
        <v>7757</v>
      </c>
      <c r="B785" s="15" t="s">
        <v>5</v>
      </c>
      <c r="C785" s="10" t="e">
        <v>#N/A</v>
      </c>
      <c r="D785" s="16" t="s">
        <v>2836</v>
      </c>
      <c r="E785" s="15" t="s">
        <v>11211</v>
      </c>
      <c r="F785" s="16" t="str">
        <f>VLOOKUP(Table8[[#This Row],[Mã khách hàng]],code_khach_hang[],2,0)</f>
        <v>CHI NHÁNH NGHỆ AN - CÔNG TY CỔ PHẦN DỊCH VỤ THƯƠNG MẠI TỔNG HỢP WINCOMMERCE</v>
      </c>
      <c r="G785" s="16"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c r="A786" s="14" t="s">
        <v>7822</v>
      </c>
      <c r="B786" s="15" t="s">
        <v>5</v>
      </c>
      <c r="C786" s="10" t="s">
        <v>7823</v>
      </c>
      <c r="D786" s="16" t="s">
        <v>2839</v>
      </c>
      <c r="E786" s="15" t="s">
        <v>11211</v>
      </c>
      <c r="F786" s="16" t="str">
        <f>VLOOKUP(Table8[[#This Row],[Mã khách hàng]],code_khach_hang[],2,0)</f>
        <v>CHI NHÁNH NGHỆ AN - CÔNG TY CỔ PHẦN DỊCH VỤ THƯƠNG MẠI TỔNG HỢP WINCOMMERCE</v>
      </c>
      <c r="G786" s="16"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c r="A787" s="14" t="s">
        <v>5618</v>
      </c>
      <c r="B787" s="15" t="s">
        <v>5</v>
      </c>
      <c r="C787" s="10" t="s">
        <v>5619</v>
      </c>
      <c r="D787" s="16" t="s">
        <v>2842</v>
      </c>
      <c r="E787" s="15" t="s">
        <v>11211</v>
      </c>
      <c r="F787" s="16" t="str">
        <f>VLOOKUP(Table8[[#This Row],[Mã khách hàng]],code_khach_hang[],2,0)</f>
        <v>CHI NHÁNH NGHỆ AN - CÔNG TY CỔ PHẦN DỊCH VỤ THƯƠNG MẠI TỔNG HỢP WINCOMMERCE</v>
      </c>
      <c r="G787" s="16"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c r="A788" s="14" t="s">
        <v>7033</v>
      </c>
      <c r="B788" s="15" t="s">
        <v>5</v>
      </c>
      <c r="C788" s="10" t="s">
        <v>7034</v>
      </c>
      <c r="D788" s="16" t="s">
        <v>2845</v>
      </c>
      <c r="E788" s="15" t="s">
        <v>11211</v>
      </c>
      <c r="F788" s="16" t="str">
        <f>VLOOKUP(Table8[[#This Row],[Mã khách hàng]],code_khach_hang[],2,0)</f>
        <v>CHI NHÁNH NGHỆ AN - CÔNG TY CỔ PHẦN DỊCH VỤ THƯƠNG MẠI TỔNG HỢP WINCOMMERCE</v>
      </c>
      <c r="G788" s="16"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c r="A789" s="14" t="s">
        <v>5630</v>
      </c>
      <c r="B789" s="15" t="s">
        <v>5</v>
      </c>
      <c r="C789" s="10" t="s">
        <v>5631</v>
      </c>
      <c r="D789" s="16" t="s">
        <v>2847</v>
      </c>
      <c r="E789" s="15" t="s">
        <v>11211</v>
      </c>
      <c r="F789" s="16" t="str">
        <f>VLOOKUP(Table8[[#This Row],[Mã khách hàng]],code_khach_hang[],2,0)</f>
        <v>CHI NHÁNH NGHỆ AN - CÔNG TY CỔ PHẦN DỊCH VỤ THƯƠNG MẠI TỔNG HỢP WINCOMMERCE</v>
      </c>
      <c r="G789" s="16"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c r="A790" s="14" t="s">
        <v>5633</v>
      </c>
      <c r="B790" s="15" t="s">
        <v>5</v>
      </c>
      <c r="C790" s="10" t="e">
        <v>#N/A</v>
      </c>
      <c r="D790" s="16" t="s">
        <v>2850</v>
      </c>
      <c r="E790" s="15" t="s">
        <v>11211</v>
      </c>
      <c r="F790" s="16" t="str">
        <f>VLOOKUP(Table8[[#This Row],[Mã khách hàng]],code_khach_hang[],2,0)</f>
        <v>CHI NHÁNH NGHỆ AN - CÔNG TY CỔ PHẦN DỊCH VỤ THƯƠNG MẠI TỔNG HỢP WINCOMMERCE</v>
      </c>
      <c r="G790" s="16"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c r="A791" s="14" t="s">
        <v>11101</v>
      </c>
      <c r="B791" s="15" t="s">
        <v>5</v>
      </c>
      <c r="C791" s="10" t="e">
        <v>#N/A</v>
      </c>
      <c r="D791" s="16" t="s">
        <v>2853</v>
      </c>
      <c r="E791" s="15" t="s">
        <v>11211</v>
      </c>
      <c r="F791" s="16" t="str">
        <f>VLOOKUP(Table8[[#This Row],[Mã khách hàng]],code_khach_hang[],2,0)</f>
        <v>CHI NHÁNH NGHỆ AN - CÔNG TY CỔ PHẦN DỊCH VỤ THƯƠNG MẠI TỔNG HỢP WINCOMMERCE</v>
      </c>
      <c r="G791" s="16"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c r="A792" s="14" t="s">
        <v>5753</v>
      </c>
      <c r="B792" s="15" t="s">
        <v>5</v>
      </c>
      <c r="C792" s="10" t="s">
        <v>5754</v>
      </c>
      <c r="D792" s="16" t="s">
        <v>2856</v>
      </c>
      <c r="E792" s="15" t="s">
        <v>11211</v>
      </c>
      <c r="F792" s="16" t="str">
        <f>VLOOKUP(Table8[[#This Row],[Mã khách hàng]],code_khach_hang[],2,0)</f>
        <v>CHI NHÁNH NGHỆ AN - CÔNG TY CỔ PHẦN DỊCH VỤ THƯƠNG MẠI TỔNG HỢP WINCOMMERCE</v>
      </c>
      <c r="G792" s="16"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c r="A793" s="14" t="s">
        <v>6001</v>
      </c>
      <c r="B793" s="15" t="s">
        <v>5</v>
      </c>
      <c r="C793" s="10" t="s">
        <v>6002</v>
      </c>
      <c r="D793" s="16" t="s">
        <v>2859</v>
      </c>
      <c r="E793" s="15" t="s">
        <v>11211</v>
      </c>
      <c r="F793" s="16" t="str">
        <f>VLOOKUP(Table8[[#This Row],[Mã khách hàng]],code_khach_hang[],2,0)</f>
        <v>CHI NHÁNH NGHỆ AN - CÔNG TY CỔ PHẦN DỊCH VỤ THƯƠNG MẠI TỔNG HỢP WINCOMMERCE</v>
      </c>
      <c r="G793" s="16"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c r="A794" s="14" t="s">
        <v>5562</v>
      </c>
      <c r="B794" s="15" t="s">
        <v>5</v>
      </c>
      <c r="C794" s="10" t="e">
        <v>#N/A</v>
      </c>
      <c r="D794" s="16" t="s">
        <v>2862</v>
      </c>
      <c r="E794" s="15" t="s">
        <v>11211</v>
      </c>
      <c r="F794" s="16" t="str">
        <f>VLOOKUP(Table8[[#This Row],[Mã khách hàng]],code_khach_hang[],2,0)</f>
        <v>CHI NHÁNH NGHỆ AN - CÔNG TY CỔ PHẦN DỊCH VỤ THƯƠNG MẠI TỔNG HỢP WINCOMMERCE</v>
      </c>
      <c r="G794" s="16"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c r="A795" s="14" t="s">
        <v>5567</v>
      </c>
      <c r="B795" s="15" t="s">
        <v>5</v>
      </c>
      <c r="C795" s="10" t="s">
        <v>5568</v>
      </c>
      <c r="D795" s="16" t="s">
        <v>2865</v>
      </c>
      <c r="E795" s="15" t="s">
        <v>11211</v>
      </c>
      <c r="F795" s="16" t="str">
        <f>VLOOKUP(Table8[[#This Row],[Mã khách hàng]],code_khach_hang[],2,0)</f>
        <v>CHI NHÁNH NGHỆ AN - CÔNG TY CỔ PHẦN DỊCH VỤ THƯƠNG MẠI TỔNG HỢP WINCOMMERCE</v>
      </c>
      <c r="G795" s="16"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c r="A796" s="14" t="s">
        <v>6405</v>
      </c>
      <c r="B796" s="15" t="s">
        <v>5</v>
      </c>
      <c r="C796" s="10" t="s">
        <v>6406</v>
      </c>
      <c r="D796" s="16" t="s">
        <v>2868</v>
      </c>
      <c r="E796" s="15" t="s">
        <v>11211</v>
      </c>
      <c r="F796" s="16" t="str">
        <f>VLOOKUP(Table8[[#This Row],[Mã khách hàng]],code_khach_hang[],2,0)</f>
        <v>CHI NHÁNH NGHỆ AN - CÔNG TY CỔ PHẦN DỊCH VỤ THƯƠNG MẠI TỔNG HỢP WINCOMMERCE</v>
      </c>
      <c r="G796" s="16"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c r="A797" s="14" t="s">
        <v>5627</v>
      </c>
      <c r="B797" s="15" t="s">
        <v>5</v>
      </c>
      <c r="C797" s="10" t="s">
        <v>5628</v>
      </c>
      <c r="D797" s="16" t="s">
        <v>2871</v>
      </c>
      <c r="E797" s="15" t="s">
        <v>11211</v>
      </c>
      <c r="F797" s="16" t="str">
        <f>VLOOKUP(Table8[[#This Row],[Mã khách hàng]],code_khach_hang[],2,0)</f>
        <v>CHI NHÁNH NGHỆ AN - CÔNG TY CỔ PHẦN DỊCH VỤ THƯƠNG MẠI TỔNG HỢP WINCOMMERCE</v>
      </c>
      <c r="G797" s="16"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c r="A798" s="14" t="s">
        <v>6851</v>
      </c>
      <c r="B798" s="15" t="s">
        <v>5</v>
      </c>
      <c r="C798" s="10" t="s">
        <v>6852</v>
      </c>
      <c r="D798" s="16" t="s">
        <v>2874</v>
      </c>
      <c r="E798" s="15" t="s">
        <v>11211</v>
      </c>
      <c r="F798" s="16" t="str">
        <f>VLOOKUP(Table8[[#This Row],[Mã khách hàng]],code_khach_hang[],2,0)</f>
        <v>CHI NHÁNH NGHỆ AN - CÔNG TY CỔ PHẦN DỊCH VỤ THƯƠNG MẠI TỔNG HỢP WINCOMMERCE</v>
      </c>
      <c r="G798" s="16"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c r="A799" s="14" t="s">
        <v>5603</v>
      </c>
      <c r="B799" s="15" t="s">
        <v>5</v>
      </c>
      <c r="C799" s="10" t="s">
        <v>5604</v>
      </c>
      <c r="D799" s="16" t="s">
        <v>2877</v>
      </c>
      <c r="E799" s="15" t="s">
        <v>11211</v>
      </c>
      <c r="F799" s="16" t="str">
        <f>VLOOKUP(Table8[[#This Row],[Mã khách hàng]],code_khach_hang[],2,0)</f>
        <v>CHI NHÁNH NGHỆ AN - CÔNG TY CỔ PHẦN DỊCH VỤ THƯƠNG MẠI TỔNG HỢP WINCOMMERCE</v>
      </c>
      <c r="G799" s="16"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c r="A800" s="14" t="s">
        <v>6154</v>
      </c>
      <c r="B800" s="15" t="s">
        <v>5</v>
      </c>
      <c r="C800" s="10" t="s">
        <v>6155</v>
      </c>
      <c r="D800" s="16" t="s">
        <v>2880</v>
      </c>
      <c r="E800" s="15" t="s">
        <v>11211</v>
      </c>
      <c r="F800" s="16" t="str">
        <f>VLOOKUP(Table8[[#This Row],[Mã khách hàng]],code_khach_hang[],2,0)</f>
        <v>CHI NHÁNH NGHỆ AN - CÔNG TY CỔ PHẦN DỊCH VỤ THƯƠNG MẠI TỔNG HỢP WINCOMMERCE</v>
      </c>
      <c r="G800" s="16"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c r="A801" s="14" t="s">
        <v>6300</v>
      </c>
      <c r="B801" s="15" t="s">
        <v>5</v>
      </c>
      <c r="C801" s="10" t="s">
        <v>6301</v>
      </c>
      <c r="D801" s="16" t="s">
        <v>2883</v>
      </c>
      <c r="E801" s="15" t="s">
        <v>11211</v>
      </c>
      <c r="F801" s="16" t="str">
        <f>VLOOKUP(Table8[[#This Row],[Mã khách hàng]],code_khach_hang[],2,0)</f>
        <v>CHI NHÁNH NGHỆ AN - CÔNG TY CỔ PHẦN DỊCH VỤ THƯƠNG MẠI TỔNG HỢP WINCOMMERCE</v>
      </c>
      <c r="G801" s="16"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c r="A802" s="14" t="s">
        <v>5671</v>
      </c>
      <c r="B802" s="15" t="s">
        <v>5</v>
      </c>
      <c r="C802" s="10" t="s">
        <v>5672</v>
      </c>
      <c r="D802" s="16" t="s">
        <v>2886</v>
      </c>
      <c r="E802" s="15" t="s">
        <v>11211</v>
      </c>
      <c r="F802" s="16" t="str">
        <f>VLOOKUP(Table8[[#This Row],[Mã khách hàng]],code_khach_hang[],2,0)</f>
        <v>CHI NHÁNH NGHỆ AN - CÔNG TY CỔ PHẦN DỊCH VỤ THƯƠNG MẠI TỔNG HỢP WINCOMMERCE</v>
      </c>
      <c r="G802" s="16"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c r="A803" s="14" t="s">
        <v>5635</v>
      </c>
      <c r="B803" s="15" t="s">
        <v>5</v>
      </c>
      <c r="C803" s="10" t="s">
        <v>5636</v>
      </c>
      <c r="D803" s="16" t="s">
        <v>2889</v>
      </c>
      <c r="E803" s="15" t="s">
        <v>11211</v>
      </c>
      <c r="F803" s="16" t="str">
        <f>VLOOKUP(Table8[[#This Row],[Mã khách hàng]],code_khach_hang[],2,0)</f>
        <v>CHI NHÁNH NGHỆ AN - CÔNG TY CỔ PHẦN DỊCH VỤ THƯƠNG MẠI TỔNG HỢP WINCOMMERCE</v>
      </c>
      <c r="G803" s="16"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c r="A804" s="14" t="s">
        <v>5573</v>
      </c>
      <c r="B804" s="15" t="s">
        <v>5</v>
      </c>
      <c r="C804" s="10" t="s">
        <v>5574</v>
      </c>
      <c r="D804" s="16" t="s">
        <v>2892</v>
      </c>
      <c r="E804" s="15" t="s">
        <v>11211</v>
      </c>
      <c r="F804" s="16" t="str">
        <f>VLOOKUP(Table8[[#This Row],[Mã khách hàng]],code_khach_hang[],2,0)</f>
        <v>CHI NHÁNH NGHỆ AN - CÔNG TY CỔ PHẦN DỊCH VỤ THƯƠNG MẠI TỔNG HỢP WINCOMMERCE</v>
      </c>
      <c r="G804" s="16"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c r="A805" s="14" t="s">
        <v>5641</v>
      </c>
      <c r="B805" s="15" t="s">
        <v>5</v>
      </c>
      <c r="C805" s="10" t="e">
        <v>#N/A</v>
      </c>
      <c r="D805" s="16" t="s">
        <v>2895</v>
      </c>
      <c r="E805" s="15" t="s">
        <v>11211</v>
      </c>
      <c r="F805" s="16" t="str">
        <f>VLOOKUP(Table8[[#This Row],[Mã khách hàng]],code_khach_hang[],2,0)</f>
        <v>CHI NHÁNH NGHỆ AN - CÔNG TY CỔ PHẦN DỊCH VỤ THƯƠNG MẠI TỔNG HỢP WINCOMMERCE</v>
      </c>
      <c r="G805" s="16"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c r="A806" s="14" t="s">
        <v>5965</v>
      </c>
      <c r="B806" s="15" t="s">
        <v>5</v>
      </c>
      <c r="C806" s="10" t="s">
        <v>5966</v>
      </c>
      <c r="D806" s="16" t="s">
        <v>2898</v>
      </c>
      <c r="E806" s="15" t="s">
        <v>11211</v>
      </c>
      <c r="F806" s="16" t="str">
        <f>VLOOKUP(Table8[[#This Row],[Mã khách hàng]],code_khach_hang[],2,0)</f>
        <v>CHI NHÁNH NGHỆ AN - CÔNG TY CỔ PHẦN DỊCH VỤ THƯƠNG MẠI TỔNG HỢP WINCOMMERCE</v>
      </c>
      <c r="G806" s="16"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c r="A807" s="14" t="s">
        <v>11102</v>
      </c>
      <c r="B807" s="15" t="s">
        <v>5</v>
      </c>
      <c r="C807" s="10" t="s">
        <v>13150</v>
      </c>
      <c r="D807" s="16" t="s">
        <v>2901</v>
      </c>
      <c r="E807" s="15" t="s">
        <v>11211</v>
      </c>
      <c r="F807" s="16" t="str">
        <f>VLOOKUP(Table8[[#This Row],[Mã khách hàng]],code_khach_hang[],2,0)</f>
        <v>CHI NHÁNH NGHỆ AN - CÔNG TY CỔ PHẦN DỊCH VỤ THƯƠNG MẠI TỔNG HỢP WINCOMMERCE</v>
      </c>
      <c r="G807" s="16"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c r="A808" s="14" t="s">
        <v>6956</v>
      </c>
      <c r="B808" s="15" t="s">
        <v>5</v>
      </c>
      <c r="C808" s="10" t="s">
        <v>6957</v>
      </c>
      <c r="D808" s="16" t="s">
        <v>2904</v>
      </c>
      <c r="E808" s="15" t="s">
        <v>11211</v>
      </c>
      <c r="F808" s="16" t="str">
        <f>VLOOKUP(Table8[[#This Row],[Mã khách hàng]],code_khach_hang[],2,0)</f>
        <v>CHI NHÁNH NGHỆ AN - CÔNG TY CỔ PHẦN DỊCH VỤ THƯƠNG MẠI TỔNG HỢP WINCOMMERCE</v>
      </c>
      <c r="G808" s="16"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c r="A809" s="14" t="s">
        <v>7393</v>
      </c>
      <c r="B809" s="15" t="s">
        <v>5</v>
      </c>
      <c r="C809" s="10" t="s">
        <v>7394</v>
      </c>
      <c r="D809" s="16" t="s">
        <v>2907</v>
      </c>
      <c r="E809" s="15" t="s">
        <v>11211</v>
      </c>
      <c r="F809" s="16" t="str">
        <f>VLOOKUP(Table8[[#This Row],[Mã khách hàng]],code_khach_hang[],2,0)</f>
        <v>CHI NHÁNH NGHỆ AN - CÔNG TY CỔ PHẦN DỊCH VỤ THƯƠNG MẠI TỔNG HỢP WINCOMMERCE</v>
      </c>
      <c r="G809" s="16"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c r="A810" s="14" t="s">
        <v>7900</v>
      </c>
      <c r="B810" s="15" t="s">
        <v>5</v>
      </c>
      <c r="C810" s="10" t="s">
        <v>7901</v>
      </c>
      <c r="D810" s="16" t="s">
        <v>2910</v>
      </c>
      <c r="E810" s="15" t="s">
        <v>11211</v>
      </c>
      <c r="F810" s="16" t="str">
        <f>VLOOKUP(Table8[[#This Row],[Mã khách hàng]],code_khach_hang[],2,0)</f>
        <v>CHI NHÁNH NGHỆ AN - CÔNG TY CỔ PHẦN DỊCH VỤ THƯƠNG MẠI TỔNG HỢP WINCOMMERCE</v>
      </c>
      <c r="G810" s="16"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c r="A811" s="14" t="s">
        <v>7963</v>
      </c>
      <c r="B811" s="15" t="s">
        <v>5</v>
      </c>
      <c r="C811" s="10" t="s">
        <v>7964</v>
      </c>
      <c r="D811" s="16" t="s">
        <v>2913</v>
      </c>
      <c r="E811" s="15" t="s">
        <v>11211</v>
      </c>
      <c r="F811" s="16" t="str">
        <f>VLOOKUP(Table8[[#This Row],[Mã khách hàng]],code_khach_hang[],2,0)</f>
        <v>CHI NHÁNH NGHỆ AN - CÔNG TY CỔ PHẦN DỊCH VỤ THƯƠNG MẠI TỔNG HỢP WINCOMMERCE</v>
      </c>
      <c r="G811" s="16"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c r="A812" s="14" t="s">
        <v>6668</v>
      </c>
      <c r="B812" s="15" t="s">
        <v>5</v>
      </c>
      <c r="C812" s="10" t="s">
        <v>6669</v>
      </c>
      <c r="D812" s="16" t="s">
        <v>2916</v>
      </c>
      <c r="E812" s="15" t="s">
        <v>11211</v>
      </c>
      <c r="F812" s="16" t="str">
        <f>VLOOKUP(Table8[[#This Row],[Mã khách hàng]],code_khach_hang[],2,0)</f>
        <v>CHI NHÁNH NGHỆ AN - CÔNG TY CỔ PHẦN DỊCH VỤ THƯƠNG MẠI TỔNG HỢP WINCOMMERCE</v>
      </c>
      <c r="G812" s="16"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c r="A813" s="14" t="s">
        <v>6716</v>
      </c>
      <c r="B813" s="15" t="s">
        <v>5</v>
      </c>
      <c r="C813" s="10" t="s">
        <v>6717</v>
      </c>
      <c r="D813" s="16" t="s">
        <v>2919</v>
      </c>
      <c r="E813" s="15" t="s">
        <v>11211</v>
      </c>
      <c r="F813" s="16" t="str">
        <f>VLOOKUP(Table8[[#This Row],[Mã khách hàng]],code_khach_hang[],2,0)</f>
        <v>CHI NHÁNH NGHỆ AN - CÔNG TY CỔ PHẦN DỊCH VỤ THƯƠNG MẠI TỔNG HỢP WINCOMMERCE</v>
      </c>
      <c r="G813" s="16"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c r="A814" s="14" t="s">
        <v>5570</v>
      </c>
      <c r="B814" s="15" t="s">
        <v>5</v>
      </c>
      <c r="C814" s="10" t="s">
        <v>5571</v>
      </c>
      <c r="D814" s="16" t="s">
        <v>2922</v>
      </c>
      <c r="E814" s="15" t="s">
        <v>11211</v>
      </c>
      <c r="F814" s="16" t="str">
        <f>VLOOKUP(Table8[[#This Row],[Mã khách hàng]],code_khach_hang[],2,0)</f>
        <v>CHI NHÁNH NGHỆ AN - CÔNG TY CỔ PHẦN DỊCH VỤ THƯƠNG MẠI TỔNG HỢP WINCOMMERCE</v>
      </c>
      <c r="G814" s="16"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c r="A815" s="14" t="s">
        <v>5643</v>
      </c>
      <c r="B815" s="15" t="s">
        <v>5</v>
      </c>
      <c r="C815" s="10" t="e">
        <v>#N/A</v>
      </c>
      <c r="D815" s="16" t="s">
        <v>2925</v>
      </c>
      <c r="E815" s="15" t="s">
        <v>11211</v>
      </c>
      <c r="F815" s="16" t="str">
        <f>VLOOKUP(Table8[[#This Row],[Mã khách hàng]],code_khach_hang[],2,0)</f>
        <v>CHI NHÁNH NGHỆ AN - CÔNG TY CỔ PHẦN DỊCH VỤ THƯƠNG MẠI TỔNG HỢP WINCOMMERCE</v>
      </c>
      <c r="G815" s="16"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c r="A816" s="14" t="s">
        <v>6276</v>
      </c>
      <c r="B816" s="15" t="s">
        <v>5</v>
      </c>
      <c r="C816" s="10" t="s">
        <v>6277</v>
      </c>
      <c r="D816" s="16" t="s">
        <v>2927</v>
      </c>
      <c r="E816" s="15" t="s">
        <v>11211</v>
      </c>
      <c r="F816" s="16" t="str">
        <f>VLOOKUP(Table8[[#This Row],[Mã khách hàng]],code_khach_hang[],2,0)</f>
        <v>CHI NHÁNH NGHỆ AN - CÔNG TY CỔ PHẦN DỊCH VỤ THƯƠNG MẠI TỔNG HỢP WINCOMMERCE</v>
      </c>
      <c r="G816" s="16"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c r="A817" s="14" t="s">
        <v>5559</v>
      </c>
      <c r="B817" s="15" t="s">
        <v>5</v>
      </c>
      <c r="C817" s="10" t="s">
        <v>5560</v>
      </c>
      <c r="D817" s="16" t="s">
        <v>2930</v>
      </c>
      <c r="E817" s="15" t="s">
        <v>11211</v>
      </c>
      <c r="F817" s="16" t="str">
        <f>VLOOKUP(Table8[[#This Row],[Mã khách hàng]],code_khach_hang[],2,0)</f>
        <v>CHI NHÁNH NGHỆ AN - CÔNG TY CỔ PHẦN DỊCH VỤ THƯƠNG MẠI TỔNG HỢP WINCOMMERCE</v>
      </c>
      <c r="G817" s="16"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c r="A818" s="14" t="s">
        <v>5932</v>
      </c>
      <c r="B818" s="15" t="s">
        <v>5</v>
      </c>
      <c r="C818" s="10" t="s">
        <v>5933</v>
      </c>
      <c r="D818" s="16" t="s">
        <v>2933</v>
      </c>
      <c r="E818" s="15" t="s">
        <v>11211</v>
      </c>
      <c r="F818" s="16" t="str">
        <f>VLOOKUP(Table8[[#This Row],[Mã khách hàng]],code_khach_hang[],2,0)</f>
        <v>CHI NHÁNH NGHỆ AN - CÔNG TY CỔ PHẦN DỊCH VỤ THƯƠNG MẠI TỔNG HỢP WINCOMMERCE</v>
      </c>
      <c r="G818" s="16"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c r="A819" s="14" t="s">
        <v>6025</v>
      </c>
      <c r="B819" s="15" t="s">
        <v>5</v>
      </c>
      <c r="C819" s="10" t="s">
        <v>6026</v>
      </c>
      <c r="D819" s="16" t="s">
        <v>2936</v>
      </c>
      <c r="E819" s="15" t="s">
        <v>11211</v>
      </c>
      <c r="F819" s="16" t="str">
        <f>VLOOKUP(Table8[[#This Row],[Mã khách hàng]],code_khach_hang[],2,0)</f>
        <v>CHI NHÁNH NGHỆ AN - CÔNG TY CỔ PHẦN DỊCH VỤ THƯƠNG MẠI TỔNG HỢP WINCOMMERCE</v>
      </c>
      <c r="G819" s="16"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c r="A820" s="14" t="s">
        <v>6779</v>
      </c>
      <c r="B820" s="15" t="s">
        <v>5</v>
      </c>
      <c r="C820" s="10" t="s">
        <v>6780</v>
      </c>
      <c r="D820" s="16" t="s">
        <v>2939</v>
      </c>
      <c r="E820" s="15" t="s">
        <v>11211</v>
      </c>
      <c r="F820" s="16" t="str">
        <f>VLOOKUP(Table8[[#This Row],[Mã khách hàng]],code_khach_hang[],2,0)</f>
        <v>CHI NHÁNH NGHỆ AN - CÔNG TY CỔ PHẦN DỊCH VỤ THƯƠNG MẠI TỔNG HỢP WINCOMMERCE</v>
      </c>
      <c r="G820" s="16"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c r="A821" s="14" t="s">
        <v>5615</v>
      </c>
      <c r="B821" s="15" t="s">
        <v>5</v>
      </c>
      <c r="C821" s="10" t="s">
        <v>5616</v>
      </c>
      <c r="D821" s="16" t="s">
        <v>2942</v>
      </c>
      <c r="E821" s="15" t="s">
        <v>11211</v>
      </c>
      <c r="F821" s="16" t="str">
        <f>VLOOKUP(Table8[[#This Row],[Mã khách hàng]],code_khach_hang[],2,0)</f>
        <v>CHI NHÁNH NGHỆ AN - CÔNG TY CỔ PHẦN DỊCH VỤ THƯƠNG MẠI TỔNG HỢP WINCOMMERCE</v>
      </c>
      <c r="G821" s="16"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c r="A822" s="14" t="s">
        <v>6345</v>
      </c>
      <c r="B822" s="15" t="s">
        <v>5</v>
      </c>
      <c r="C822" s="10" t="s">
        <v>6346</v>
      </c>
      <c r="D822" s="16" t="s">
        <v>2945</v>
      </c>
      <c r="E822" s="15" t="s">
        <v>11211</v>
      </c>
      <c r="F822" s="16" t="str">
        <f>VLOOKUP(Table8[[#This Row],[Mã khách hàng]],code_khach_hang[],2,0)</f>
        <v>CHI NHÁNH NGHỆ AN - CÔNG TY CỔ PHẦN DỊCH VỤ THƯƠNG MẠI TỔNG HỢP WINCOMMERCE</v>
      </c>
      <c r="G822" s="16"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c r="A823" s="14" t="s">
        <v>5980</v>
      </c>
      <c r="B823" s="15" t="s">
        <v>5</v>
      </c>
      <c r="C823" s="10" t="s">
        <v>5981</v>
      </c>
      <c r="D823" s="16" t="s">
        <v>2948</v>
      </c>
      <c r="E823" s="15" t="s">
        <v>11211</v>
      </c>
      <c r="F823" s="16" t="str">
        <f>VLOOKUP(Table8[[#This Row],[Mã khách hàng]],code_khach_hang[],2,0)</f>
        <v>CHI NHÁNH NGHỆ AN - CÔNG TY CỔ PHẦN DỊCH VỤ THƯƠNG MẠI TỔNG HỢP WINCOMMERCE</v>
      </c>
      <c r="G823" s="16"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c r="A824" s="14" t="s">
        <v>7759</v>
      </c>
      <c r="B824" s="15" t="s">
        <v>5</v>
      </c>
      <c r="C824" s="10" t="s">
        <v>7760</v>
      </c>
      <c r="D824" s="16" t="s">
        <v>2951</v>
      </c>
      <c r="E824" s="15" t="s">
        <v>11211</v>
      </c>
      <c r="F824" s="16" t="str">
        <f>VLOOKUP(Table8[[#This Row],[Mã khách hàng]],code_khach_hang[],2,0)</f>
        <v>CHI NHÁNH NGHỆ AN - CÔNG TY CỔ PHẦN DỊCH VỤ THƯƠNG MẠI TỔNG HỢP WINCOMMERCE</v>
      </c>
      <c r="G824" s="16"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c r="A825" s="14" t="s">
        <v>5564</v>
      </c>
      <c r="B825" s="15" t="s">
        <v>5</v>
      </c>
      <c r="C825" s="10" t="s">
        <v>5565</v>
      </c>
      <c r="D825" s="16" t="s">
        <v>2954</v>
      </c>
      <c r="E825" s="15" t="s">
        <v>11211</v>
      </c>
      <c r="F825" s="16" t="str">
        <f>VLOOKUP(Table8[[#This Row],[Mã khách hàng]],code_khach_hang[],2,0)</f>
        <v>CHI NHÁNH NGHỆ AN - CÔNG TY CỔ PHẦN DỊCH VỤ THƯƠNG MẠI TỔNG HỢP WINCOMMERCE</v>
      </c>
      <c r="G825" s="16"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c r="A826" s="14" t="s">
        <v>6040</v>
      </c>
      <c r="B826" s="15" t="s">
        <v>5</v>
      </c>
      <c r="C826" s="10" t="s">
        <v>6041</v>
      </c>
      <c r="D826" s="16" t="s">
        <v>2957</v>
      </c>
      <c r="E826" s="15" t="s">
        <v>11211</v>
      </c>
      <c r="F826" s="16" t="str">
        <f>VLOOKUP(Table8[[#This Row],[Mã khách hàng]],code_khach_hang[],2,0)</f>
        <v>CHI NHÁNH NGHỆ AN - CÔNG TY CỔ PHẦN DỊCH VỤ THƯƠNG MẠI TỔNG HỢP WINCOMMERCE</v>
      </c>
      <c r="G826" s="16"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c r="A827" s="14" t="s">
        <v>6342</v>
      </c>
      <c r="B827" s="15" t="s">
        <v>5</v>
      </c>
      <c r="C827" s="10" t="s">
        <v>6343</v>
      </c>
      <c r="D827" s="16" t="s">
        <v>2960</v>
      </c>
      <c r="E827" s="15" t="s">
        <v>11211</v>
      </c>
      <c r="F827" s="16" t="str">
        <f>VLOOKUP(Table8[[#This Row],[Mã khách hàng]],code_khach_hang[],2,0)</f>
        <v>CHI NHÁNH NGHỆ AN - CÔNG TY CỔ PHẦN DỊCH VỤ THƯƠNG MẠI TỔNG HỢP WINCOMMERCE</v>
      </c>
      <c r="G827" s="16"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c r="A828" s="14" t="s">
        <v>8154</v>
      </c>
      <c r="B828" s="15" t="s">
        <v>5</v>
      </c>
      <c r="C828" s="10" t="s">
        <v>8155</v>
      </c>
      <c r="D828" s="16" t="s">
        <v>2963</v>
      </c>
      <c r="E828" s="15" t="s">
        <v>11211</v>
      </c>
      <c r="F828" s="16" t="str">
        <f>VLOOKUP(Table8[[#This Row],[Mã khách hàng]],code_khach_hang[],2,0)</f>
        <v>CHI NHÁNH NGHỆ AN - CÔNG TY CỔ PHẦN DỊCH VỤ THƯƠNG MẠI TỔNG HỢP WINCOMMERCE</v>
      </c>
      <c r="G828" s="16"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c r="A829" s="14" t="s">
        <v>7951</v>
      </c>
      <c r="B829" s="15" t="s">
        <v>5</v>
      </c>
      <c r="C829" s="10" t="s">
        <v>7952</v>
      </c>
      <c r="D829" s="16" t="s">
        <v>2966</v>
      </c>
      <c r="E829" s="15" t="s">
        <v>11211</v>
      </c>
      <c r="F829" s="16" t="str">
        <f>VLOOKUP(Table8[[#This Row],[Mã khách hàng]],code_khach_hang[],2,0)</f>
        <v>CHI NHÁNH NGHỆ AN - CÔNG TY CỔ PHẦN DỊCH VỤ THƯƠNG MẠI TỔNG HỢP WINCOMMERCE</v>
      </c>
      <c r="G829" s="16"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c r="A830" s="14" t="s">
        <v>7831</v>
      </c>
      <c r="B830" s="15" t="s">
        <v>5</v>
      </c>
      <c r="C830" s="10" t="s">
        <v>7832</v>
      </c>
      <c r="D830" s="16" t="s">
        <v>2969</v>
      </c>
      <c r="E830" s="15" t="s">
        <v>11211</v>
      </c>
      <c r="F830" s="16" t="str">
        <f>VLOOKUP(Table8[[#This Row],[Mã khách hàng]],code_khach_hang[],2,0)</f>
        <v>CHI NHÁNH NGHỆ AN - CÔNG TY CỔ PHẦN DỊCH VỤ THƯƠNG MẠI TỔNG HỢP WINCOMMERCE</v>
      </c>
      <c r="G830" s="16"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c r="A831" s="14" t="s">
        <v>7866</v>
      </c>
      <c r="B831" s="15" t="s">
        <v>5</v>
      </c>
      <c r="C831" s="10" t="s">
        <v>7867</v>
      </c>
      <c r="D831" s="16" t="s">
        <v>2972</v>
      </c>
      <c r="E831" s="15" t="s">
        <v>11211</v>
      </c>
      <c r="F831" s="16" t="str">
        <f>VLOOKUP(Table8[[#This Row],[Mã khách hàng]],code_khach_hang[],2,0)</f>
        <v>CHI NHÁNH NGHỆ AN - CÔNG TY CỔ PHẦN DỊCH VỤ THƯƠNG MẠI TỔNG HỢP WINCOMMERCE</v>
      </c>
      <c r="G831" s="16"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c r="A832" s="14" t="s">
        <v>7886</v>
      </c>
      <c r="B832" s="15" t="s">
        <v>5</v>
      </c>
      <c r="C832" s="10" t="s">
        <v>7887</v>
      </c>
      <c r="D832" s="16" t="s">
        <v>2975</v>
      </c>
      <c r="E832" s="15" t="s">
        <v>11211</v>
      </c>
      <c r="F832" s="16" t="str">
        <f>VLOOKUP(Table8[[#This Row],[Mã khách hàng]],code_khach_hang[],2,0)</f>
        <v>CHI NHÁNH NGHỆ AN - CÔNG TY CỔ PHẦN DỊCH VỤ THƯƠNG MẠI TỔNG HỢP WINCOMMERCE</v>
      </c>
      <c r="G832" s="16"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c r="A833" s="14" t="s">
        <v>8163</v>
      </c>
      <c r="B833" s="15" t="s">
        <v>5</v>
      </c>
      <c r="C833" s="10" t="s">
        <v>8164</v>
      </c>
      <c r="D833" s="16" t="s">
        <v>2978</v>
      </c>
      <c r="E833" s="15" t="s">
        <v>11211</v>
      </c>
      <c r="F833" s="16" t="str">
        <f>VLOOKUP(Table8[[#This Row],[Mã khách hàng]],code_khach_hang[],2,0)</f>
        <v>CHI NHÁNH NGHỆ AN - CÔNG TY CỔ PHẦN DỊCH VỤ THƯƠNG MẠI TỔNG HỢP WINCOMMERCE</v>
      </c>
      <c r="G833" s="16"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c r="A834" s="14" t="s">
        <v>8204</v>
      </c>
      <c r="B834" s="15" t="s">
        <v>5</v>
      </c>
      <c r="C834" s="10" t="s">
        <v>8205</v>
      </c>
      <c r="D834" s="16" t="s">
        <v>2981</v>
      </c>
      <c r="E834" s="15" t="s">
        <v>11211</v>
      </c>
      <c r="F834" s="16" t="str">
        <f>VLOOKUP(Table8[[#This Row],[Mã khách hàng]],code_khach_hang[],2,0)</f>
        <v>CHI NHÁNH NGHỆ AN - CÔNG TY CỔ PHẦN DỊCH VỤ THƯƠNG MẠI TỔNG HỢP WINCOMMERCE</v>
      </c>
      <c r="G834" s="16"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c r="A835" s="14" t="s">
        <v>8166</v>
      </c>
      <c r="B835" s="15" t="s">
        <v>5</v>
      </c>
      <c r="C835" s="10" t="s">
        <v>8167</v>
      </c>
      <c r="D835" s="16" t="s">
        <v>2984</v>
      </c>
      <c r="E835" s="15" t="s">
        <v>11211</v>
      </c>
      <c r="F835" s="16" t="str">
        <f>VLOOKUP(Table8[[#This Row],[Mã khách hàng]],code_khach_hang[],2,0)</f>
        <v>CHI NHÁNH NGHỆ AN - CÔNG TY CỔ PHẦN DỊCH VỤ THƯƠNG MẠI TỔNG HỢP WINCOMMERCE</v>
      </c>
      <c r="G835" s="16"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c r="A836" s="14" t="s">
        <v>8269</v>
      </c>
      <c r="B836" s="15" t="s">
        <v>5</v>
      </c>
      <c r="C836" s="10" t="s">
        <v>8270</v>
      </c>
      <c r="D836" s="16" t="s">
        <v>2987</v>
      </c>
      <c r="E836" s="15" t="s">
        <v>11211</v>
      </c>
      <c r="F836" s="16" t="str">
        <f>VLOOKUP(Table8[[#This Row],[Mã khách hàng]],code_khach_hang[],2,0)</f>
        <v>CHI NHÁNH NGHỆ AN - CÔNG TY CỔ PHẦN DỊCH VỤ THƯƠNG MẠI TỔNG HỢP WINCOMMERCE</v>
      </c>
      <c r="G836" s="16"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c r="A837" s="14" t="s">
        <v>7861</v>
      </c>
      <c r="B837" s="15" t="s">
        <v>5</v>
      </c>
      <c r="C837" s="10" t="e">
        <v>#N/A</v>
      </c>
      <c r="D837" s="16" t="s">
        <v>2990</v>
      </c>
      <c r="E837" s="15" t="s">
        <v>11211</v>
      </c>
      <c r="F837" s="16" t="str">
        <f>VLOOKUP(Table8[[#This Row],[Mã khách hàng]],code_khach_hang[],2,0)</f>
        <v>CHI NHÁNH NGHỆ AN - CÔNG TY CỔ PHẦN DỊCH VỤ THƯƠNG MẠI TỔNG HỢP WINCOMMERCE</v>
      </c>
      <c r="G837" s="16"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c r="A838" s="14" t="s">
        <v>8370</v>
      </c>
      <c r="B838" s="15" t="s">
        <v>5</v>
      </c>
      <c r="C838" s="10" t="s">
        <v>8371</v>
      </c>
      <c r="D838" s="16" t="s">
        <v>2993</v>
      </c>
      <c r="E838" s="15" t="s">
        <v>11211</v>
      </c>
      <c r="F838" s="16" t="str">
        <f>VLOOKUP(Table8[[#This Row],[Mã khách hàng]],code_khach_hang[],2,0)</f>
        <v>CHI NHÁNH NGHỆ AN - CÔNG TY CỔ PHẦN DỊCH VỤ THƯƠNG MẠI TỔNG HỢP WINCOMMERCE</v>
      </c>
      <c r="G838" s="16"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c r="A839" s="14" t="s">
        <v>8292</v>
      </c>
      <c r="B839" s="15" t="s">
        <v>5</v>
      </c>
      <c r="C839" s="10" t="s">
        <v>8293</v>
      </c>
      <c r="D839" s="16" t="s">
        <v>2996</v>
      </c>
      <c r="E839" s="15" t="s">
        <v>11211</v>
      </c>
      <c r="F839" s="16" t="str">
        <f>VLOOKUP(Table8[[#This Row],[Mã khách hàng]],code_khach_hang[],2,0)</f>
        <v>CHI NHÁNH NGHỆ AN - CÔNG TY CỔ PHẦN DỊCH VỤ THƯƠNG MẠI TỔNG HỢP WINCOMMERCE</v>
      </c>
      <c r="G839" s="16"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c r="A840" s="14" t="s">
        <v>8379</v>
      </c>
      <c r="B840" s="15" t="s">
        <v>5</v>
      </c>
      <c r="C840" s="10" t="e">
        <v>#N/A</v>
      </c>
      <c r="D840" s="16" t="s">
        <v>2999</v>
      </c>
      <c r="E840" s="15" t="s">
        <v>11211</v>
      </c>
      <c r="F840" s="16" t="str">
        <f>VLOOKUP(Table8[[#This Row],[Mã khách hàng]],code_khach_hang[],2,0)</f>
        <v>CHI NHÁNH NGHỆ AN - CÔNG TY CỔ PHẦN DỊCH VỤ THƯƠNG MẠI TỔNG HỢP WINCOMMERCE</v>
      </c>
      <c r="G840" s="16"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c r="A841" s="14" t="s">
        <v>8390</v>
      </c>
      <c r="B841" s="15" t="s">
        <v>5</v>
      </c>
      <c r="C841" s="10" t="s">
        <v>8391</v>
      </c>
      <c r="D841" s="16" t="s">
        <v>3002</v>
      </c>
      <c r="E841" s="15" t="s">
        <v>11211</v>
      </c>
      <c r="F841" s="16" t="str">
        <f>VLOOKUP(Table8[[#This Row],[Mã khách hàng]],code_khach_hang[],2,0)</f>
        <v>CHI NHÁNH NGHỆ AN - CÔNG TY CỔ PHẦN DỊCH VỤ THƯƠNG MẠI TỔNG HỢP WINCOMMERCE</v>
      </c>
      <c r="G841" s="16"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c r="A842" s="14" t="s">
        <v>8396</v>
      </c>
      <c r="B842" s="15" t="s">
        <v>5</v>
      </c>
      <c r="C842" s="10" t="s">
        <v>8397</v>
      </c>
      <c r="D842" s="16" t="s">
        <v>3005</v>
      </c>
      <c r="E842" s="15" t="s">
        <v>11211</v>
      </c>
      <c r="F842" s="16" t="str">
        <f>VLOOKUP(Table8[[#This Row],[Mã khách hàng]],code_khach_hang[],2,0)</f>
        <v>CHI NHÁNH NGHỆ AN - CÔNG TY CỔ PHẦN DỊCH VỤ THƯƠNG MẠI TỔNG HỢP WINCOMMERCE</v>
      </c>
      <c r="G842" s="16"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c r="A843" s="14" t="s">
        <v>8454</v>
      </c>
      <c r="B843" s="15" t="s">
        <v>5</v>
      </c>
      <c r="C843" s="10" t="s">
        <v>8455</v>
      </c>
      <c r="D843" s="16" t="s">
        <v>3008</v>
      </c>
      <c r="E843" s="15" t="s">
        <v>11211</v>
      </c>
      <c r="F843" s="16" t="str">
        <f>VLOOKUP(Table8[[#This Row],[Mã khách hàng]],code_khach_hang[],2,0)</f>
        <v>CHI NHÁNH NGHỆ AN - CÔNG TY CỔ PHẦN DỊCH VỤ THƯƠNG MẠI TỔNG HỢP WINCOMMERCE</v>
      </c>
      <c r="G843" s="16"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c r="A844" s="14" t="s">
        <v>8492</v>
      </c>
      <c r="B844" s="15" t="s">
        <v>5</v>
      </c>
      <c r="C844" s="10" t="e">
        <v>#N/A</v>
      </c>
      <c r="D844" s="16" t="s">
        <v>3011</v>
      </c>
      <c r="E844" s="15" t="s">
        <v>11211</v>
      </c>
      <c r="F844" s="16" t="str">
        <f>VLOOKUP(Table8[[#This Row],[Mã khách hàng]],code_khach_hang[],2,0)</f>
        <v>CHI NHÁNH NGHỆ AN - CÔNG TY CỔ PHẦN DỊCH VỤ THƯƠNG MẠI TỔNG HỢP WINCOMMERCE</v>
      </c>
      <c r="G844" s="16"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c r="A845" s="14" t="s">
        <v>8384</v>
      </c>
      <c r="B845" s="15" t="s">
        <v>5</v>
      </c>
      <c r="C845" s="10" t="s">
        <v>8385</v>
      </c>
      <c r="D845" s="16" t="s">
        <v>3014</v>
      </c>
      <c r="E845" s="15" t="s">
        <v>11211</v>
      </c>
      <c r="F845" s="16" t="str">
        <f>VLOOKUP(Table8[[#This Row],[Mã khách hàng]],code_khach_hang[],2,0)</f>
        <v>CHI NHÁNH NGHỆ AN - CÔNG TY CỔ PHẦN DỊCH VỤ THƯƠNG MẠI TỔNG HỢP WINCOMMERCE</v>
      </c>
      <c r="G845" s="16"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c r="A846" s="14" t="s">
        <v>8416</v>
      </c>
      <c r="B846" s="15" t="s">
        <v>5</v>
      </c>
      <c r="C846" s="10" t="s">
        <v>8417</v>
      </c>
      <c r="D846" s="16" t="s">
        <v>3016</v>
      </c>
      <c r="E846" s="15" t="s">
        <v>11211</v>
      </c>
      <c r="F846" s="16" t="str">
        <f>VLOOKUP(Table8[[#This Row],[Mã khách hàng]],code_khach_hang[],2,0)</f>
        <v>CHI NHÁNH NGHỆ AN - CÔNG TY CỔ PHẦN DỊCH VỤ THƯƠNG MẠI TỔNG HỢP WINCOMMERCE</v>
      </c>
      <c r="G846" s="16"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c r="A847" s="14" t="s">
        <v>8541</v>
      </c>
      <c r="B847" s="15" t="s">
        <v>5</v>
      </c>
      <c r="C847" s="10" t="s">
        <v>8542</v>
      </c>
      <c r="D847" s="16" t="s">
        <v>3019</v>
      </c>
      <c r="E847" s="15" t="s">
        <v>11211</v>
      </c>
      <c r="F847" s="16" t="str">
        <f>VLOOKUP(Table8[[#This Row],[Mã khách hàng]],code_khach_hang[],2,0)</f>
        <v>CHI NHÁNH NGHỆ AN - CÔNG TY CỔ PHẦN DỊCH VỤ THƯƠNG MẠI TỔNG HỢP WINCOMMERCE</v>
      </c>
      <c r="G847" s="16"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c r="A848" s="14" t="s">
        <v>8565</v>
      </c>
      <c r="B848" s="15" t="s">
        <v>5</v>
      </c>
      <c r="C848" s="10" t="e">
        <v>#N/A</v>
      </c>
      <c r="D848" s="16" t="s">
        <v>3022</v>
      </c>
      <c r="E848" s="15" t="s">
        <v>11211</v>
      </c>
      <c r="F848" s="16" t="str">
        <f>VLOOKUP(Table8[[#This Row],[Mã khách hàng]],code_khach_hang[],2,0)</f>
        <v>CHI NHÁNH NGHỆ AN - CÔNG TY CỔ PHẦN DỊCH VỤ THƯƠNG MẠI TỔNG HỢP WINCOMMERCE</v>
      </c>
      <c r="G848" s="16"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c r="A849" s="14" t="s">
        <v>8567</v>
      </c>
      <c r="B849" s="15" t="s">
        <v>5</v>
      </c>
      <c r="C849" s="10" t="s">
        <v>8568</v>
      </c>
      <c r="D849" s="16" t="s">
        <v>3025</v>
      </c>
      <c r="E849" s="15" t="s">
        <v>11211</v>
      </c>
      <c r="F849" s="16" t="str">
        <f>VLOOKUP(Table8[[#This Row],[Mã khách hàng]],code_khach_hang[],2,0)</f>
        <v>CHI NHÁNH NGHỆ AN - CÔNG TY CỔ PHẦN DỊCH VỤ THƯƠNG MẠI TỔNG HỢP WINCOMMERCE</v>
      </c>
      <c r="G849" s="16"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c r="A850" s="14" t="s">
        <v>8570</v>
      </c>
      <c r="B850" s="15" t="s">
        <v>5</v>
      </c>
      <c r="C850" s="10" t="s">
        <v>8571</v>
      </c>
      <c r="D850" s="16" t="s">
        <v>3028</v>
      </c>
      <c r="E850" s="15" t="s">
        <v>11211</v>
      </c>
      <c r="F850" s="16" t="str">
        <f>VLOOKUP(Table8[[#This Row],[Mã khách hàng]],code_khach_hang[],2,0)</f>
        <v>CHI NHÁNH NGHỆ AN - CÔNG TY CỔ PHẦN DỊCH VỤ THƯƠNG MẠI TỔNG HỢP WINCOMMERCE</v>
      </c>
      <c r="G850" s="16"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c r="A851" s="14" t="s">
        <v>8674</v>
      </c>
      <c r="B851" s="15" t="s">
        <v>5</v>
      </c>
      <c r="C851" s="10" t="s">
        <v>8675</v>
      </c>
      <c r="D851" s="16" t="s">
        <v>3031</v>
      </c>
      <c r="E851" s="15" t="s">
        <v>11211</v>
      </c>
      <c r="F851" s="16" t="str">
        <f>VLOOKUP(Table8[[#This Row],[Mã khách hàng]],code_khach_hang[],2,0)</f>
        <v>CHI NHÁNH NGHỆ AN - CÔNG TY CỔ PHẦN DỊCH VỤ THƯƠNG MẠI TỔNG HỢP WINCOMMERCE</v>
      </c>
      <c r="G851" s="16"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c r="A852" s="14" t="s">
        <v>8683</v>
      </c>
      <c r="B852" s="15" t="s">
        <v>5</v>
      </c>
      <c r="C852" s="10" t="e">
        <v>#N/A</v>
      </c>
      <c r="D852" s="16" t="s">
        <v>3034</v>
      </c>
      <c r="E852" s="15" t="s">
        <v>11211</v>
      </c>
      <c r="F852" s="16" t="str">
        <f>VLOOKUP(Table8[[#This Row],[Mã khách hàng]],code_khach_hang[],2,0)</f>
        <v>CHI NHÁNH NGHỆ AN - CÔNG TY CỔ PHẦN DỊCH VỤ THƯƠNG MẠI TỔNG HỢP WINCOMMERCE</v>
      </c>
      <c r="G852" s="16"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c r="A853" s="14" t="s">
        <v>8706</v>
      </c>
      <c r="B853" s="15" t="s">
        <v>5</v>
      </c>
      <c r="C853" s="10" t="e">
        <v>#N/A</v>
      </c>
      <c r="D853" s="16" t="s">
        <v>3037</v>
      </c>
      <c r="E853" s="15" t="s">
        <v>11211</v>
      </c>
      <c r="F853" s="16" t="str">
        <f>VLOOKUP(Table8[[#This Row],[Mã khách hàng]],code_khach_hang[],2,0)</f>
        <v>CHI NHÁNH NGHỆ AN - CÔNG TY CỔ PHẦN DỊCH VỤ THƯƠNG MẠI TỔNG HỢP WINCOMMERCE</v>
      </c>
      <c r="G853" s="16"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c r="A854" s="14" t="s">
        <v>8668</v>
      </c>
      <c r="B854" s="15" t="s">
        <v>5</v>
      </c>
      <c r="C854" s="10" t="s">
        <v>8669</v>
      </c>
      <c r="D854" s="16" t="s">
        <v>3040</v>
      </c>
      <c r="E854" s="15" t="s">
        <v>11211</v>
      </c>
      <c r="F854" s="16" t="str">
        <f>VLOOKUP(Table8[[#This Row],[Mã khách hàng]],code_khach_hang[],2,0)</f>
        <v>CHI NHÁNH NGHỆ AN - CÔNG TY CỔ PHẦN DỊCH VỤ THƯƠNG MẠI TỔNG HỢP WINCOMMERCE</v>
      </c>
      <c r="G854" s="16"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c r="A855" s="14" t="s">
        <v>8747</v>
      </c>
      <c r="B855" s="15" t="s">
        <v>5</v>
      </c>
      <c r="C855" s="10" t="s">
        <v>8748</v>
      </c>
      <c r="D855" s="16" t="s">
        <v>3043</v>
      </c>
      <c r="E855" s="15" t="s">
        <v>11211</v>
      </c>
      <c r="F855" s="16" t="str">
        <f>VLOOKUP(Table8[[#This Row],[Mã khách hàng]],code_khach_hang[],2,0)</f>
        <v>CHI NHÁNH NGHỆ AN - CÔNG TY CỔ PHẦN DỊCH VỤ THƯƠNG MẠI TỔNG HỢP WINCOMMERCE</v>
      </c>
      <c r="G855" s="16"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c r="A856" s="14" t="s">
        <v>8830</v>
      </c>
      <c r="B856" s="15" t="s">
        <v>5</v>
      </c>
      <c r="C856" s="10" t="s">
        <v>8831</v>
      </c>
      <c r="D856" s="16" t="s">
        <v>3046</v>
      </c>
      <c r="E856" s="15" t="s">
        <v>11211</v>
      </c>
      <c r="F856" s="16" t="str">
        <f>VLOOKUP(Table8[[#This Row],[Mã khách hàng]],code_khach_hang[],2,0)</f>
        <v>CHI NHÁNH NGHỆ AN - CÔNG TY CỔ PHẦN DỊCH VỤ THƯƠNG MẠI TỔNG HỢP WINCOMMERCE</v>
      </c>
      <c r="G856" s="16"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c r="A857" s="14" t="s">
        <v>8726</v>
      </c>
      <c r="B857" s="15" t="s">
        <v>5</v>
      </c>
      <c r="C857" s="10" t="s">
        <v>8727</v>
      </c>
      <c r="D857" s="16" t="s">
        <v>3049</v>
      </c>
      <c r="E857" s="15" t="s">
        <v>11211</v>
      </c>
      <c r="F857" s="16" t="str">
        <f>VLOOKUP(Table8[[#This Row],[Mã khách hàng]],code_khach_hang[],2,0)</f>
        <v>CHI NHÁNH NGHỆ AN - CÔNG TY CỔ PHẦN DỊCH VỤ THƯƠNG MẠI TỔNG HỢP WINCOMMERCE</v>
      </c>
      <c r="G857" s="16"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c r="A858" s="14" t="s">
        <v>8941</v>
      </c>
      <c r="B858" s="15" t="s">
        <v>5</v>
      </c>
      <c r="C858" s="10" t="s">
        <v>8942</v>
      </c>
      <c r="D858" s="16" t="s">
        <v>3052</v>
      </c>
      <c r="E858" s="15" t="s">
        <v>11211</v>
      </c>
      <c r="F858" s="16" t="str">
        <f>VLOOKUP(Table8[[#This Row],[Mã khách hàng]],code_khach_hang[],2,0)</f>
        <v>CHI NHÁNH NGHỆ AN - CÔNG TY CỔ PHẦN DỊCH VỤ THƯƠNG MẠI TỔNG HỢP WINCOMMERCE</v>
      </c>
      <c r="G858" s="16"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c r="A859" s="14" t="s">
        <v>705</v>
      </c>
      <c r="B859" s="15" t="s">
        <v>183</v>
      </c>
      <c r="C859" s="10" t="s">
        <v>13151</v>
      </c>
      <c r="D859" s="16" t="s">
        <v>3055</v>
      </c>
      <c r="E859" s="15" t="s">
        <v>11211</v>
      </c>
      <c r="F859" s="16" t="str">
        <f>VLOOKUP(Table8[[#This Row],[Mã khách hàng]],code_khach_hang[],2,0)</f>
        <v>CHI NHÁNH NGHỆ AN - CÔNG TY CỔ PHẦN DỊCH VỤ THƯƠNG MẠI TỔNG HỢP WINCOMMERCE</v>
      </c>
      <c r="G859" s="16"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c r="A860" s="14" t="s">
        <v>736</v>
      </c>
      <c r="B860" s="15" t="s">
        <v>183</v>
      </c>
      <c r="C860" s="10" t="s">
        <v>737</v>
      </c>
      <c r="D860" s="16" t="s">
        <v>3058</v>
      </c>
      <c r="E860" s="15" t="s">
        <v>11211</v>
      </c>
      <c r="F860" s="16" t="str">
        <f>VLOOKUP(Table8[[#This Row],[Mã khách hàng]],code_khach_hang[],2,0)</f>
        <v>CHI NHÁNH NGHỆ AN - CÔNG TY CỔ PHẦN DỊCH VỤ THƯƠNG MẠI TỔNG HỢP WINCOMMERCE</v>
      </c>
      <c r="G860" s="16"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c r="A861" s="14" t="s">
        <v>728</v>
      </c>
      <c r="B861" s="15" t="s">
        <v>183</v>
      </c>
      <c r="C861" s="10" t="s">
        <v>13152</v>
      </c>
      <c r="D861" s="16" t="s">
        <v>3061</v>
      </c>
      <c r="E861" s="15" t="s">
        <v>11211</v>
      </c>
      <c r="F861" s="16" t="str">
        <f>VLOOKUP(Table8[[#This Row],[Mã khách hàng]],code_khach_hang[],2,0)</f>
        <v>CHI NHÁNH NGHỆ AN - CÔNG TY CỔ PHẦN DỊCH VỤ THƯƠNG MẠI TỔNG HỢP WINCOMMERCE</v>
      </c>
      <c r="G861" s="16"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c r="A862" s="14" t="s">
        <v>733</v>
      </c>
      <c r="B862" s="15" t="s">
        <v>183</v>
      </c>
      <c r="C862" s="10" t="s">
        <v>734</v>
      </c>
      <c r="D862" s="16" t="s">
        <v>3064</v>
      </c>
      <c r="E862" s="15" t="s">
        <v>11211</v>
      </c>
      <c r="F862" s="16" t="str">
        <f>VLOOKUP(Table8[[#This Row],[Mã khách hàng]],code_khach_hang[],2,0)</f>
        <v>CHI NHÁNH NGHỆ AN - CÔNG TY CỔ PHẦN DỊCH VỤ THƯƠNG MẠI TỔNG HỢP WINCOMMERCE</v>
      </c>
      <c r="G862" s="16"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c r="A863" s="14" t="s">
        <v>4134</v>
      </c>
      <c r="B863" s="15" t="s">
        <v>5</v>
      </c>
      <c r="C863" s="10" t="s">
        <v>4135</v>
      </c>
      <c r="D863" s="16" t="s">
        <v>3067</v>
      </c>
      <c r="E863" s="15" t="s">
        <v>11215</v>
      </c>
      <c r="F863" s="16" t="str">
        <f>VLOOKUP(Table8[[#This Row],[Mã khách hàng]],code_khach_hang[],2,0)</f>
        <v>CHI NHÁNH HÀ NỘI - CÔNG TY CỔ PHẦN DỊCH VỤ THƯƠNG MẠI TỔNG HỢP WINCOMMERCE</v>
      </c>
      <c r="G863" s="16"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c r="A864" s="14" t="s">
        <v>4296</v>
      </c>
      <c r="B864" s="15" t="s">
        <v>5</v>
      </c>
      <c r="C864" s="10" t="s">
        <v>4297</v>
      </c>
      <c r="D864" s="16" t="s">
        <v>3070</v>
      </c>
      <c r="E864" s="14" t="s">
        <v>11215</v>
      </c>
      <c r="F864" s="16" t="str">
        <f>VLOOKUP(Table8[[#This Row],[Mã khách hàng]],code_khach_hang[],2,0)</f>
        <v>CHI NHÁNH HÀ NỘI - CÔNG TY CỔ PHẦN DỊCH VỤ THƯƠNG MẠI TỔNG HỢP WINCOMMERCE</v>
      </c>
      <c r="G864" s="16"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c r="A865" s="14" t="s">
        <v>4485</v>
      </c>
      <c r="B865" s="15" t="s">
        <v>5</v>
      </c>
      <c r="C865" s="10" t="s">
        <v>4486</v>
      </c>
      <c r="D865" s="16" t="s">
        <v>3073</v>
      </c>
      <c r="E865" s="15" t="s">
        <v>11215</v>
      </c>
      <c r="F865" s="16" t="str">
        <f>VLOOKUP(Table8[[#This Row],[Mã khách hàng]],code_khach_hang[],2,0)</f>
        <v>CHI NHÁNH HÀ NỘI - CÔNG TY CỔ PHẦN DỊCH VỤ THƯƠNG MẠI TỔNG HỢP WINCOMMERCE</v>
      </c>
      <c r="G865" s="16"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c r="A866" s="14" t="s">
        <v>4740</v>
      </c>
      <c r="B866" s="15" t="s">
        <v>5</v>
      </c>
      <c r="C866" s="10" t="s">
        <v>4741</v>
      </c>
      <c r="D866" s="16" t="s">
        <v>3076</v>
      </c>
      <c r="E866" s="15" t="s">
        <v>11215</v>
      </c>
      <c r="F866" s="16" t="str">
        <f>VLOOKUP(Table8[[#This Row],[Mã khách hàng]],code_khach_hang[],2,0)</f>
        <v>CHI NHÁNH HÀ NỘI - CÔNG TY CỔ PHẦN DỊCH VỤ THƯƠNG MẠI TỔNG HỢP WINCOMMERCE</v>
      </c>
      <c r="G866" s="16"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c r="A867" s="14" t="s">
        <v>4764</v>
      </c>
      <c r="B867" s="15" t="s">
        <v>5</v>
      </c>
      <c r="C867" s="10" t="s">
        <v>4765</v>
      </c>
      <c r="D867" s="16" t="s">
        <v>3079</v>
      </c>
      <c r="E867" s="15" t="s">
        <v>11215</v>
      </c>
      <c r="F867" s="16" t="str">
        <f>VLOOKUP(Table8[[#This Row],[Mã khách hàng]],code_khach_hang[],2,0)</f>
        <v>CHI NHÁNH HÀ NỘI - CÔNG TY CỔ PHẦN DỊCH VỤ THƯƠNG MẠI TỔNG HỢP WINCOMMERCE</v>
      </c>
      <c r="G867" s="16"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c r="A868" s="14" t="s">
        <v>7875</v>
      </c>
      <c r="B868" s="15" t="s">
        <v>5</v>
      </c>
      <c r="C868" s="10" t="s">
        <v>7876</v>
      </c>
      <c r="D868" s="16" t="s">
        <v>3082</v>
      </c>
      <c r="E868" s="15" t="s">
        <v>11215</v>
      </c>
      <c r="F868" s="16" t="str">
        <f>VLOOKUP(Table8[[#This Row],[Mã khách hàng]],code_khach_hang[],2,0)</f>
        <v>CHI NHÁNH HÀ NỘI - CÔNG TY CỔ PHẦN DỊCH VỤ THƯƠNG MẠI TỔNG HỢP WINCOMMERCE</v>
      </c>
      <c r="G868" s="16"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c r="A869" s="14" t="s">
        <v>7972</v>
      </c>
      <c r="B869" s="15" t="s">
        <v>5</v>
      </c>
      <c r="C869" s="10" t="s">
        <v>7973</v>
      </c>
      <c r="D869" s="16" t="s">
        <v>3085</v>
      </c>
      <c r="E869" s="15" t="s">
        <v>11215</v>
      </c>
      <c r="F869" s="16" t="str">
        <f>VLOOKUP(Table8[[#This Row],[Mã khách hàng]],code_khach_hang[],2,0)</f>
        <v>CHI NHÁNH HÀ NỘI - CÔNG TY CỔ PHẦN DỊCH VỤ THƯƠNG MẠI TỔNG HỢP WINCOMMERCE</v>
      </c>
      <c r="G869" s="16"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c r="A870" s="14" t="s">
        <v>981</v>
      </c>
      <c r="B870" s="15" t="s">
        <v>5</v>
      </c>
      <c r="C870" s="10" t="s">
        <v>982</v>
      </c>
      <c r="D870" s="16" t="s">
        <v>3087</v>
      </c>
      <c r="E870" s="14" t="s">
        <v>11215</v>
      </c>
      <c r="F870" s="16" t="str">
        <f>VLOOKUP(Table8[[#This Row],[Mã khách hàng]],code_khach_hang[],2,0)</f>
        <v>CHI NHÁNH HÀ NỘI - CÔNG TY CỔ PHẦN DỊCH VỤ THƯƠNG MẠI TỔNG HỢP WINCOMMERCE</v>
      </c>
      <c r="G870" s="16"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c r="A871" s="14" t="s">
        <v>11103</v>
      </c>
      <c r="B871" s="15" t="s">
        <v>5</v>
      </c>
      <c r="C871" s="10" t="s">
        <v>13153</v>
      </c>
      <c r="D871" s="16" t="s">
        <v>3090</v>
      </c>
      <c r="E871" s="15" t="s">
        <v>11215</v>
      </c>
      <c r="F871" s="16" t="str">
        <f>VLOOKUP(Table8[[#This Row],[Mã khách hàng]],code_khach_hang[],2,0)</f>
        <v>CHI NHÁNH HÀ NỘI - CÔNG TY CỔ PHẦN DỊCH VỤ THƯƠNG MẠI TỔNG HỢP WINCOMMERCE</v>
      </c>
      <c r="G871" s="16"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c r="A872" s="14" t="s">
        <v>1173</v>
      </c>
      <c r="B872" s="15" t="s">
        <v>5</v>
      </c>
      <c r="C872" s="10" t="s">
        <v>1174</v>
      </c>
      <c r="D872" s="16" t="s">
        <v>3093</v>
      </c>
      <c r="E872" s="15" t="s">
        <v>11215</v>
      </c>
      <c r="F872" s="16" t="str">
        <f>VLOOKUP(Table8[[#This Row],[Mã khách hàng]],code_khach_hang[],2,0)</f>
        <v>CHI NHÁNH HÀ NỘI - CÔNG TY CỔ PHẦN DỊCH VỤ THƯƠNG MẠI TỔNG HỢP WINCOMMERCE</v>
      </c>
      <c r="G872" s="16"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c r="A873" s="14" t="s">
        <v>4215</v>
      </c>
      <c r="B873" s="15" t="s">
        <v>5</v>
      </c>
      <c r="C873" s="10" t="s">
        <v>4216</v>
      </c>
      <c r="D873" s="16" t="s">
        <v>3096</v>
      </c>
      <c r="E873" s="15" t="s">
        <v>11215</v>
      </c>
      <c r="F873" s="16" t="str">
        <f>VLOOKUP(Table8[[#This Row],[Mã khách hàng]],code_khach_hang[],2,0)</f>
        <v>CHI NHÁNH HÀ NỘI - CÔNG TY CỔ PHẦN DỊCH VỤ THƯƠNG MẠI TỔNG HỢP WINCOMMERCE</v>
      </c>
      <c r="G873" s="16"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c r="A874" s="14" t="s">
        <v>4218</v>
      </c>
      <c r="B874" s="15" t="s">
        <v>5</v>
      </c>
      <c r="C874" s="10" t="s">
        <v>4219</v>
      </c>
      <c r="D874" s="16" t="s">
        <v>3099</v>
      </c>
      <c r="E874" s="15" t="s">
        <v>11215</v>
      </c>
      <c r="F874" s="16" t="str">
        <f>VLOOKUP(Table8[[#This Row],[Mã khách hàng]],code_khach_hang[],2,0)</f>
        <v>CHI NHÁNH HÀ NỘI - CÔNG TY CỔ PHẦN DỊCH VỤ THƯƠNG MẠI TỔNG HỢP WINCOMMERCE</v>
      </c>
      <c r="G874" s="16"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c r="A875" s="14" t="s">
        <v>4467</v>
      </c>
      <c r="B875" s="15" t="s">
        <v>5</v>
      </c>
      <c r="C875" s="10" t="s">
        <v>4468</v>
      </c>
      <c r="D875" s="16" t="s">
        <v>3102</v>
      </c>
      <c r="E875" s="15" t="s">
        <v>11215</v>
      </c>
      <c r="F875" s="16" t="str">
        <f>VLOOKUP(Table8[[#This Row],[Mã khách hàng]],code_khach_hang[],2,0)</f>
        <v>CHI NHÁNH HÀ NỘI - CÔNG TY CỔ PHẦN DỊCH VỤ THƯƠNG MẠI TỔNG HỢP WINCOMMERCE</v>
      </c>
      <c r="G875" s="16"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c r="A876" s="14" t="s">
        <v>4482</v>
      </c>
      <c r="B876" s="15" t="s">
        <v>5</v>
      </c>
      <c r="C876" s="10" t="s">
        <v>4483</v>
      </c>
      <c r="D876" s="16" t="s">
        <v>3105</v>
      </c>
      <c r="E876" s="14" t="s">
        <v>11215</v>
      </c>
      <c r="F876" s="16" t="str">
        <f>VLOOKUP(Table8[[#This Row],[Mã khách hàng]],code_khach_hang[],2,0)</f>
        <v>CHI NHÁNH HÀ NỘI - CÔNG TY CỔ PHẦN DỊCH VỤ THƯƠNG MẠI TỔNG HỢP WINCOMMERCE</v>
      </c>
      <c r="G876" s="16"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c r="A877" s="14" t="s">
        <v>4656</v>
      </c>
      <c r="B877" s="15" t="s">
        <v>5</v>
      </c>
      <c r="C877" s="10" t="s">
        <v>4657</v>
      </c>
      <c r="D877" s="16" t="s">
        <v>3108</v>
      </c>
      <c r="E877" s="15" t="s">
        <v>11215</v>
      </c>
      <c r="F877" s="16" t="str">
        <f>VLOOKUP(Table8[[#This Row],[Mã khách hàng]],code_khach_hang[],2,0)</f>
        <v>CHI NHÁNH HÀ NỘI - CÔNG TY CỔ PHẦN DỊCH VỤ THƯƠNG MẠI TỔNG HỢP WINCOMMERCE</v>
      </c>
      <c r="G877" s="16"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c r="A878" s="14" t="s">
        <v>4704</v>
      </c>
      <c r="B878" s="15" t="s">
        <v>5</v>
      </c>
      <c r="C878" s="10" t="s">
        <v>4705</v>
      </c>
      <c r="D878" s="16" t="s">
        <v>3111</v>
      </c>
      <c r="E878" s="15" t="s">
        <v>11215</v>
      </c>
      <c r="F878" s="16" t="str">
        <f>VLOOKUP(Table8[[#This Row],[Mã khách hàng]],code_khach_hang[],2,0)</f>
        <v>CHI NHÁNH HÀ NỘI - CÔNG TY CỔ PHẦN DỊCH VỤ THƯƠNG MẠI TỔNG HỢP WINCOMMERCE</v>
      </c>
      <c r="G878" s="16"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c r="A879" s="14" t="s">
        <v>4785</v>
      </c>
      <c r="B879" s="15" t="s">
        <v>5</v>
      </c>
      <c r="C879" s="10" t="s">
        <v>4786</v>
      </c>
      <c r="D879" s="16" t="s">
        <v>3114</v>
      </c>
      <c r="E879" s="15" t="s">
        <v>11215</v>
      </c>
      <c r="F879" s="16" t="str">
        <f>VLOOKUP(Table8[[#This Row],[Mã khách hàng]],code_khach_hang[],2,0)</f>
        <v>CHI NHÁNH HÀ NỘI - CÔNG TY CỔ PHẦN DỊCH VỤ THƯƠNG MẠI TỔNG HỢP WINCOMMERCE</v>
      </c>
      <c r="G879" s="16"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c r="A880" s="14" t="s">
        <v>4935</v>
      </c>
      <c r="B880" s="15" t="s">
        <v>5</v>
      </c>
      <c r="C880" s="10" t="s">
        <v>4936</v>
      </c>
      <c r="D880" s="16" t="s">
        <v>3117</v>
      </c>
      <c r="E880" s="15" t="s">
        <v>11215</v>
      </c>
      <c r="F880" s="16" t="str">
        <f>VLOOKUP(Table8[[#This Row],[Mã khách hàng]],code_khach_hang[],2,0)</f>
        <v>CHI NHÁNH HÀ NỘI - CÔNG TY CỔ PHẦN DỊCH VỤ THƯƠNG MẠI TỔNG HỢP WINCOMMERCE</v>
      </c>
      <c r="G880" s="16"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c r="A881" s="14" t="s">
        <v>5064</v>
      </c>
      <c r="B881" s="15" t="s">
        <v>5</v>
      </c>
      <c r="C881" s="10" t="s">
        <v>5065</v>
      </c>
      <c r="D881" s="16" t="s">
        <v>3120</v>
      </c>
      <c r="E881" s="15" t="s">
        <v>11215</v>
      </c>
      <c r="F881" s="16" t="str">
        <f>VLOOKUP(Table8[[#This Row],[Mã khách hàng]],code_khach_hang[],2,0)</f>
        <v>CHI NHÁNH HÀ NỘI - CÔNG TY CỔ PHẦN DỊCH VỤ THƯƠNG MẠI TỔNG HỢP WINCOMMERCE</v>
      </c>
      <c r="G881" s="16"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c r="A882" s="14" t="s">
        <v>5307</v>
      </c>
      <c r="B882" s="15" t="s">
        <v>5</v>
      </c>
      <c r="C882" s="10" t="s">
        <v>5308</v>
      </c>
      <c r="D882" s="16" t="s">
        <v>3123</v>
      </c>
      <c r="E882" s="15" t="s">
        <v>11215</v>
      </c>
      <c r="F882" s="16" t="str">
        <f>VLOOKUP(Table8[[#This Row],[Mã khách hàng]],code_khach_hang[],2,0)</f>
        <v>CHI NHÁNH HÀ NỘI - CÔNG TY CỔ PHẦN DỊCH VỤ THƯƠNG MẠI TỔNG HỢP WINCOMMERCE</v>
      </c>
      <c r="G882" s="16"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c r="A883" s="14" t="s">
        <v>5424</v>
      </c>
      <c r="B883" s="15" t="s">
        <v>5</v>
      </c>
      <c r="C883" s="10" t="s">
        <v>5425</v>
      </c>
      <c r="D883" s="16" t="s">
        <v>3126</v>
      </c>
      <c r="E883" s="15" t="s">
        <v>11215</v>
      </c>
      <c r="F883" s="16" t="str">
        <f>VLOOKUP(Table8[[#This Row],[Mã khách hàng]],code_khach_hang[],2,0)</f>
        <v>CHI NHÁNH HÀ NỘI - CÔNG TY CỔ PHẦN DỊCH VỤ THƯƠNG MẠI TỔNG HỢP WINCOMMERCE</v>
      </c>
      <c r="G883" s="16"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c r="A884" s="14" t="s">
        <v>5520</v>
      </c>
      <c r="B884" s="15" t="s">
        <v>5</v>
      </c>
      <c r="C884" s="10" t="s">
        <v>5521</v>
      </c>
      <c r="D884" s="16" t="s">
        <v>3129</v>
      </c>
      <c r="E884" s="15" t="s">
        <v>11215</v>
      </c>
      <c r="F884" s="16" t="str">
        <f>VLOOKUP(Table8[[#This Row],[Mã khách hàng]],code_khach_hang[],2,0)</f>
        <v>CHI NHÁNH HÀ NỘI - CÔNG TY CỔ PHẦN DỊCH VỤ THƯƠNG MẠI TỔNG HỢP WINCOMMERCE</v>
      </c>
      <c r="G884" s="16"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c r="A885" s="14" t="s">
        <v>5813</v>
      </c>
      <c r="B885" s="15" t="s">
        <v>5</v>
      </c>
      <c r="C885" s="10" t="s">
        <v>5814</v>
      </c>
      <c r="D885" s="16" t="s">
        <v>3132</v>
      </c>
      <c r="E885" s="15" t="s">
        <v>11215</v>
      </c>
      <c r="F885" s="16" t="str">
        <f>VLOOKUP(Table8[[#This Row],[Mã khách hàng]],code_khach_hang[],2,0)</f>
        <v>CHI NHÁNH HÀ NỘI - CÔNG TY CỔ PHẦN DỊCH VỤ THƯƠNG MẠI TỔNG HỢP WINCOMMERCE</v>
      </c>
      <c r="G885" s="16"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c r="A886" s="14" t="s">
        <v>6184</v>
      </c>
      <c r="B886" s="15" t="s">
        <v>5</v>
      </c>
      <c r="C886" s="10" t="s">
        <v>6185</v>
      </c>
      <c r="D886" s="16" t="s">
        <v>3135</v>
      </c>
      <c r="E886" s="15" t="s">
        <v>11215</v>
      </c>
      <c r="F886" s="16" t="str">
        <f>VLOOKUP(Table8[[#This Row],[Mã khách hàng]],code_khach_hang[],2,0)</f>
        <v>CHI NHÁNH HÀ NỘI - CÔNG TY CỔ PHẦN DỊCH VỤ THƯƠNG MẠI TỔNG HỢP WINCOMMERCE</v>
      </c>
      <c r="G886" s="16"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c r="A887" s="14" t="s">
        <v>6363</v>
      </c>
      <c r="B887" s="15" t="s">
        <v>5</v>
      </c>
      <c r="C887" s="10" t="s">
        <v>6364</v>
      </c>
      <c r="D887" s="16" t="s">
        <v>3138</v>
      </c>
      <c r="E887" s="15" t="s">
        <v>11215</v>
      </c>
      <c r="F887" s="16" t="str">
        <f>VLOOKUP(Table8[[#This Row],[Mã khách hàng]],code_khach_hang[],2,0)</f>
        <v>CHI NHÁNH HÀ NỘI - CÔNG TY CỔ PHẦN DỊCH VỤ THƯƠNG MẠI TỔNG HỢP WINCOMMERCE</v>
      </c>
      <c r="G887" s="16"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c r="A888" s="14" t="s">
        <v>6911</v>
      </c>
      <c r="B888" s="15" t="s">
        <v>5</v>
      </c>
      <c r="C888" s="10" t="s">
        <v>6912</v>
      </c>
      <c r="D888" s="16" t="s">
        <v>3141</v>
      </c>
      <c r="E888" s="15" t="s">
        <v>11215</v>
      </c>
      <c r="F888" s="16" t="str">
        <f>VLOOKUP(Table8[[#This Row],[Mã khách hàng]],code_khach_hang[],2,0)</f>
        <v>CHI NHÁNH HÀ NỘI - CÔNG TY CỔ PHẦN DỊCH VỤ THƯƠNG MẠI TỔNG HỢP WINCOMMERCE</v>
      </c>
      <c r="G888" s="16"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c r="A889" s="14" t="s">
        <v>6971</v>
      </c>
      <c r="B889" s="15" t="s">
        <v>5</v>
      </c>
      <c r="C889" s="10" t="s">
        <v>6972</v>
      </c>
      <c r="D889" s="16" t="s">
        <v>3144</v>
      </c>
      <c r="E889" s="15" t="s">
        <v>11215</v>
      </c>
      <c r="F889" s="16" t="str">
        <f>VLOOKUP(Table8[[#This Row],[Mã khách hàng]],code_khach_hang[],2,0)</f>
        <v>CHI NHÁNH HÀ NỘI - CÔNG TY CỔ PHẦN DỊCH VỤ THƯƠNG MẠI TỔNG HỢP WINCOMMERCE</v>
      </c>
      <c r="G889" s="16"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c r="A890" s="14" t="s">
        <v>6992</v>
      </c>
      <c r="B890" s="15" t="s">
        <v>5</v>
      </c>
      <c r="C890" s="10" t="s">
        <v>6993</v>
      </c>
      <c r="D890" s="16" t="s">
        <v>3147</v>
      </c>
      <c r="E890" s="14" t="s">
        <v>11215</v>
      </c>
      <c r="F890" s="16" t="str">
        <f>VLOOKUP(Table8[[#This Row],[Mã khách hàng]],code_khach_hang[],2,0)</f>
        <v>CHI NHÁNH HÀ NỘI - CÔNG TY CỔ PHẦN DỊCH VỤ THƯƠNG MẠI TỔNG HỢP WINCOMMERCE</v>
      </c>
      <c r="G890" s="16"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c r="A891" s="14" t="s">
        <v>7156</v>
      </c>
      <c r="B891" s="15" t="s">
        <v>5</v>
      </c>
      <c r="C891" s="10" t="s">
        <v>7157</v>
      </c>
      <c r="D891" s="16" t="s">
        <v>3150</v>
      </c>
      <c r="E891" s="14" t="s">
        <v>11215</v>
      </c>
      <c r="F891" s="16" t="str">
        <f>VLOOKUP(Table8[[#This Row],[Mã khách hàng]],code_khach_hang[],2,0)</f>
        <v>CHI NHÁNH HÀ NỘI - CÔNG TY CỔ PHẦN DỊCH VỤ THƯƠNG MẠI TỔNG HỢP WINCOMMERCE</v>
      </c>
      <c r="G891" s="16"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c r="A892" s="14" t="s">
        <v>7739</v>
      </c>
      <c r="B892" s="15" t="s">
        <v>5</v>
      </c>
      <c r="C892" s="10" t="s">
        <v>7740</v>
      </c>
      <c r="D892" s="16" t="s">
        <v>3153</v>
      </c>
      <c r="E892" s="15" t="s">
        <v>11215</v>
      </c>
      <c r="F892" s="16" t="str">
        <f>VLOOKUP(Table8[[#This Row],[Mã khách hàng]],code_khach_hang[],2,0)</f>
        <v>CHI NHÁNH HÀ NỘI - CÔNG TY CỔ PHẦN DỊCH VỤ THƯƠNG MẠI TỔNG HỢP WINCOMMERCE</v>
      </c>
      <c r="G892" s="16"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c r="A893" s="14" t="s">
        <v>7748</v>
      </c>
      <c r="B893" s="15" t="s">
        <v>5</v>
      </c>
      <c r="C893" s="10" t="s">
        <v>7749</v>
      </c>
      <c r="D893" s="16" t="s">
        <v>3156</v>
      </c>
      <c r="E893" s="15" t="s">
        <v>11215</v>
      </c>
      <c r="F893" s="16" t="str">
        <f>VLOOKUP(Table8[[#This Row],[Mã khách hàng]],code_khach_hang[],2,0)</f>
        <v>CHI NHÁNH HÀ NỘI - CÔNG TY CỔ PHẦN DỊCH VỤ THƯƠNG MẠI TỔNG HỢP WINCOMMERCE</v>
      </c>
      <c r="G893" s="16"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c r="A894" s="14" t="s">
        <v>7762</v>
      </c>
      <c r="B894" s="15" t="s">
        <v>5</v>
      </c>
      <c r="C894" s="10" t="s">
        <v>7763</v>
      </c>
      <c r="D894" s="16" t="s">
        <v>3159</v>
      </c>
      <c r="E894" s="15" t="s">
        <v>11215</v>
      </c>
      <c r="F894" s="16" t="str">
        <f>VLOOKUP(Table8[[#This Row],[Mã khách hàng]],code_khach_hang[],2,0)</f>
        <v>CHI NHÁNH HÀ NỘI - CÔNG TY CỔ PHẦN DỊCH VỤ THƯƠNG MẠI TỔNG HỢP WINCOMMERCE</v>
      </c>
      <c r="G894" s="16"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c r="A895" s="14" t="s">
        <v>4374</v>
      </c>
      <c r="B895" s="15" t="s">
        <v>5</v>
      </c>
      <c r="C895" s="10" t="s">
        <v>4375</v>
      </c>
      <c r="D895" s="16" t="s">
        <v>3162</v>
      </c>
      <c r="E895" s="15" t="s">
        <v>11215</v>
      </c>
      <c r="F895" s="16" t="str">
        <f>VLOOKUP(Table8[[#This Row],[Mã khách hàng]],code_khach_hang[],2,0)</f>
        <v>CHI NHÁNH HÀ NỘI - CÔNG TY CỔ PHẦN DỊCH VỤ THƯƠNG MẠI TỔNG HỢP WINCOMMERCE</v>
      </c>
      <c r="G895" s="16"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c r="A896" s="14" t="s">
        <v>4980</v>
      </c>
      <c r="B896" s="15" t="s">
        <v>5</v>
      </c>
      <c r="C896" s="10" t="s">
        <v>4981</v>
      </c>
      <c r="D896" s="16" t="s">
        <v>3165</v>
      </c>
      <c r="E896" s="15" t="s">
        <v>11215</v>
      </c>
      <c r="F896" s="16" t="str">
        <f>VLOOKUP(Table8[[#This Row],[Mã khách hàng]],code_khach_hang[],2,0)</f>
        <v>CHI NHÁNH HÀ NỘI - CÔNG TY CỔ PHẦN DỊCH VỤ THƯƠNG MẠI TỔNG HỢP WINCOMMERCE</v>
      </c>
      <c r="G896" s="16"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c r="A897" s="14" t="s">
        <v>5067</v>
      </c>
      <c r="B897" s="15" t="s">
        <v>5</v>
      </c>
      <c r="C897" s="10" t="s">
        <v>5068</v>
      </c>
      <c r="D897" s="16" t="s">
        <v>3168</v>
      </c>
      <c r="E897" s="14" t="s">
        <v>11215</v>
      </c>
      <c r="F897" s="16" t="str">
        <f>VLOOKUP(Table8[[#This Row],[Mã khách hàng]],code_khach_hang[],2,0)</f>
        <v>CHI NHÁNH HÀ NỘI - CÔNG TY CỔ PHẦN DỊCH VỤ THƯƠNG MẠI TỔNG HỢP WINCOMMERCE</v>
      </c>
      <c r="G897" s="16"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c r="A898" s="14" t="s">
        <v>5136</v>
      </c>
      <c r="B898" s="15" t="s">
        <v>5</v>
      </c>
      <c r="C898" s="10" t="s">
        <v>5137</v>
      </c>
      <c r="D898" s="16" t="s">
        <v>3171</v>
      </c>
      <c r="E898" s="15" t="s">
        <v>11215</v>
      </c>
      <c r="F898" s="16" t="str">
        <f>VLOOKUP(Table8[[#This Row],[Mã khách hàng]],code_khach_hang[],2,0)</f>
        <v>CHI NHÁNH HÀ NỘI - CÔNG TY CỔ PHẦN DỊCH VỤ THƯƠNG MẠI TỔNG HỢP WINCOMMERCE</v>
      </c>
      <c r="G898" s="16"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c r="A899" s="14" t="s">
        <v>6725</v>
      </c>
      <c r="B899" s="15" t="s">
        <v>5</v>
      </c>
      <c r="C899" s="10" t="s">
        <v>6726</v>
      </c>
      <c r="D899" s="16" t="s">
        <v>3174</v>
      </c>
      <c r="E899" s="15" t="s">
        <v>11215</v>
      </c>
      <c r="F899" s="16" t="str">
        <f>VLOOKUP(Table8[[#This Row],[Mã khách hàng]],code_khach_hang[],2,0)</f>
        <v>CHI NHÁNH HÀ NỘI - CÔNG TY CỔ PHẦN DỊCH VỤ THƯƠNG MẠI TỔNG HỢP WINCOMMERCE</v>
      </c>
      <c r="G899" s="16"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c r="A900" s="14" t="s">
        <v>7231</v>
      </c>
      <c r="B900" s="15" t="s">
        <v>5</v>
      </c>
      <c r="C900" s="10" t="s">
        <v>7232</v>
      </c>
      <c r="D900" s="16" t="s">
        <v>3177</v>
      </c>
      <c r="E900" s="15" t="s">
        <v>11215</v>
      </c>
      <c r="F900" s="16" t="str">
        <f>VLOOKUP(Table8[[#This Row],[Mã khách hàng]],code_khach_hang[],2,0)</f>
        <v>CHI NHÁNH HÀ NỘI - CÔNG TY CỔ PHẦN DỊCH VỤ THƯƠNG MẠI TỔNG HỢP WINCOMMERCE</v>
      </c>
      <c r="G900" s="16"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c r="A901" s="14" t="s">
        <v>5016</v>
      </c>
      <c r="B901" s="15" t="s">
        <v>5</v>
      </c>
      <c r="C901" s="10" t="s">
        <v>5017</v>
      </c>
      <c r="D901" s="16" t="s">
        <v>3180</v>
      </c>
      <c r="E901" s="15" t="s">
        <v>11215</v>
      </c>
      <c r="F901" s="16" t="str">
        <f>VLOOKUP(Table8[[#This Row],[Mã khách hàng]],code_khach_hang[],2,0)</f>
        <v>CHI NHÁNH HÀ NỘI - CÔNG TY CỔ PHẦN DỊCH VỤ THƯƠNG MẠI TỔNG HỢP WINCOMMERCE</v>
      </c>
      <c r="G901" s="16"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c r="A902" s="14" t="s">
        <v>7027</v>
      </c>
      <c r="B902" s="15" t="s">
        <v>5</v>
      </c>
      <c r="C902" s="10" t="s">
        <v>7028</v>
      </c>
      <c r="D902" s="16" t="s">
        <v>3183</v>
      </c>
      <c r="E902" s="15" t="s">
        <v>11215</v>
      </c>
      <c r="F902" s="16" t="str">
        <f>VLOOKUP(Table8[[#This Row],[Mã khách hàng]],code_khach_hang[],2,0)</f>
        <v>CHI NHÁNH HÀ NỘI - CÔNG TY CỔ PHẦN DỊCH VỤ THƯƠNG MẠI TỔNG HỢP WINCOMMERCE</v>
      </c>
      <c r="G902" s="16"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c r="A903" s="14" t="s">
        <v>7122</v>
      </c>
      <c r="B903" s="15" t="s">
        <v>5</v>
      </c>
      <c r="C903" s="10" t="s">
        <v>7123</v>
      </c>
      <c r="D903" s="16" t="s">
        <v>3186</v>
      </c>
      <c r="E903" s="15" t="s">
        <v>11215</v>
      </c>
      <c r="F903" s="16" t="str">
        <f>VLOOKUP(Table8[[#This Row],[Mã khách hàng]],code_khach_hang[],2,0)</f>
        <v>CHI NHÁNH HÀ NỘI - CÔNG TY CỔ PHẦN DỊCH VỤ THƯƠNG MẠI TỔNG HỢP WINCOMMERCE</v>
      </c>
      <c r="G903" s="16"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c r="A904" s="14" t="s">
        <v>6163</v>
      </c>
      <c r="B904" s="15" t="s">
        <v>5</v>
      </c>
      <c r="C904" s="10" t="s">
        <v>6164</v>
      </c>
      <c r="D904" s="16" t="s">
        <v>3189</v>
      </c>
      <c r="E904" s="15" t="s">
        <v>11215</v>
      </c>
      <c r="F904" s="16" t="str">
        <f>VLOOKUP(Table8[[#This Row],[Mã khách hàng]],code_khach_hang[],2,0)</f>
        <v>CHI NHÁNH HÀ NỘI - CÔNG TY CỔ PHẦN DỊCH VỤ THƯƠNG MẠI TỔNG HỢP WINCOMMERCE</v>
      </c>
      <c r="G904" s="16"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c r="A905" s="14" t="s">
        <v>637</v>
      </c>
      <c r="B905" s="15" t="s">
        <v>183</v>
      </c>
      <c r="C905" s="10" t="s">
        <v>638</v>
      </c>
      <c r="D905" s="16" t="s">
        <v>3192</v>
      </c>
      <c r="E905" s="15" t="s">
        <v>11195</v>
      </c>
      <c r="F905" s="16" t="str">
        <f>VLOOKUP(Table8[[#This Row],[Mã khách hàng]],code_khach_hang[],2,0)</f>
        <v>CHI NHÁNH HÀ NỘI - CÔNG TY CỔ PHẦN DỊCH VỤ THƯƠNG MẠI TỔNG HỢP WINCOMMERCE</v>
      </c>
      <c r="G905" s="16"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c r="A906" s="14" t="s">
        <v>577</v>
      </c>
      <c r="B906" s="15" t="s">
        <v>183</v>
      </c>
      <c r="C906" s="10" t="s">
        <v>578</v>
      </c>
      <c r="D906" s="16" t="s">
        <v>3195</v>
      </c>
      <c r="E906" s="15" t="s">
        <v>11195</v>
      </c>
      <c r="F906" s="16" t="str">
        <f>VLOOKUP(Table8[[#This Row],[Mã khách hàng]],code_khach_hang[],2,0)</f>
        <v>CHI NHÁNH HÀ NỘI - CÔNG TY CỔ PHẦN DỊCH VỤ THƯƠNG MẠI TỔNG HỢP WINCOMMERCE</v>
      </c>
      <c r="G906" s="16"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c r="A907" s="14" t="s">
        <v>604</v>
      </c>
      <c r="B907" s="15" t="s">
        <v>183</v>
      </c>
      <c r="C907" s="10" t="s">
        <v>605</v>
      </c>
      <c r="D907" s="16" t="s">
        <v>3198</v>
      </c>
      <c r="E907" s="15" t="s">
        <v>11195</v>
      </c>
      <c r="F907" s="16" t="str">
        <f>VLOOKUP(Table8[[#This Row],[Mã khách hàng]],code_khach_hang[],2,0)</f>
        <v>CHI NHÁNH HÀ NỘI - CÔNG TY CỔ PHẦN DỊCH VỤ THƯƠNG MẠI TỔNG HỢP WINCOMMERCE</v>
      </c>
      <c r="G907" s="16"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c r="A908" s="14" t="s">
        <v>849</v>
      </c>
      <c r="B908" s="15" t="s">
        <v>5</v>
      </c>
      <c r="C908" s="10" t="s">
        <v>850</v>
      </c>
      <c r="D908" s="16" t="s">
        <v>3201</v>
      </c>
      <c r="E908" s="15" t="s">
        <v>11215</v>
      </c>
      <c r="F908" s="16" t="str">
        <f>VLOOKUP(Table8[[#This Row],[Mã khách hàng]],code_khach_hang[],2,0)</f>
        <v>CHI NHÁNH HÀ NỘI - CÔNG TY CỔ PHẦN DỊCH VỤ THƯƠNG MẠI TỔNG HỢP WINCOMMERCE</v>
      </c>
      <c r="G908" s="16"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c r="A909" s="14" t="s">
        <v>867</v>
      </c>
      <c r="B909" s="15" t="s">
        <v>5</v>
      </c>
      <c r="C909" s="10" t="s">
        <v>868</v>
      </c>
      <c r="D909" s="16" t="s">
        <v>3204</v>
      </c>
      <c r="E909" s="15" t="s">
        <v>11215</v>
      </c>
      <c r="F909" s="16" t="str">
        <f>VLOOKUP(Table8[[#This Row],[Mã khách hàng]],code_khach_hang[],2,0)</f>
        <v>CHI NHÁNH HÀ NỘI - CÔNG TY CỔ PHẦN DỊCH VỤ THƯƠNG MẠI TỔNG HỢP WINCOMMERCE</v>
      </c>
      <c r="G909" s="16"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c r="A910" s="14" t="s">
        <v>939</v>
      </c>
      <c r="B910" s="15" t="s">
        <v>5</v>
      </c>
      <c r="C910" s="10" t="s">
        <v>940</v>
      </c>
      <c r="D910" s="16" t="s">
        <v>3207</v>
      </c>
      <c r="E910" s="15" t="s">
        <v>11215</v>
      </c>
      <c r="F910" s="16" t="str">
        <f>VLOOKUP(Table8[[#This Row],[Mã khách hàng]],code_khach_hang[],2,0)</f>
        <v>CHI NHÁNH HÀ NỘI - CÔNG TY CỔ PHẦN DỊCH VỤ THƯƠNG MẠI TỔNG HỢP WINCOMMERCE</v>
      </c>
      <c r="G910" s="16"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c r="A911" s="14" t="s">
        <v>1074</v>
      </c>
      <c r="B911" s="15" t="s">
        <v>5</v>
      </c>
      <c r="C911" s="10" t="s">
        <v>1075</v>
      </c>
      <c r="D911" s="16" t="s">
        <v>3210</v>
      </c>
      <c r="E911" s="15" t="s">
        <v>11215</v>
      </c>
      <c r="F911" s="16" t="str">
        <f>VLOOKUP(Table8[[#This Row],[Mã khách hàng]],code_khach_hang[],2,0)</f>
        <v>CHI NHÁNH HÀ NỘI - CÔNG TY CỔ PHẦN DỊCH VỤ THƯƠNG MẠI TỔNG HỢP WINCOMMERCE</v>
      </c>
      <c r="G911" s="16"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c r="A912" s="14" t="s">
        <v>1086</v>
      </c>
      <c r="B912" s="15" t="s">
        <v>5</v>
      </c>
      <c r="C912" s="10" t="s">
        <v>1087</v>
      </c>
      <c r="D912" s="16" t="s">
        <v>3213</v>
      </c>
      <c r="E912" s="15" t="s">
        <v>11215</v>
      </c>
      <c r="F912" s="16" t="str">
        <f>VLOOKUP(Table8[[#This Row],[Mã khách hàng]],code_khach_hang[],2,0)</f>
        <v>CHI NHÁNH HÀ NỘI - CÔNG TY CỔ PHẦN DỊCH VỤ THƯƠNG MẠI TỔNG HỢP WINCOMMERCE</v>
      </c>
      <c r="G912" s="16"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c r="A913" s="14" t="s">
        <v>11104</v>
      </c>
      <c r="B913" s="15" t="s">
        <v>5</v>
      </c>
      <c r="C913" s="10" t="s">
        <v>13154</v>
      </c>
      <c r="D913" s="16" t="s">
        <v>3216</v>
      </c>
      <c r="E913" s="15" t="s">
        <v>11215</v>
      </c>
      <c r="F913" s="16" t="str">
        <f>VLOOKUP(Table8[[#This Row],[Mã khách hàng]],code_khach_hang[],2,0)</f>
        <v>CHI NHÁNH HÀ NỘI - CÔNG TY CỔ PHẦN DỊCH VỤ THƯƠNG MẠI TỔNG HỢP WINCOMMERCE</v>
      </c>
      <c r="G913" s="16"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c r="A914" s="14" t="s">
        <v>1230</v>
      </c>
      <c r="B914" s="15" t="s">
        <v>5</v>
      </c>
      <c r="C914" s="10" t="s">
        <v>1231</v>
      </c>
      <c r="D914" s="16" t="s">
        <v>3219</v>
      </c>
      <c r="E914" s="15" t="s">
        <v>11215</v>
      </c>
      <c r="F914" s="16" t="str">
        <f>VLOOKUP(Table8[[#This Row],[Mã khách hàng]],code_khach_hang[],2,0)</f>
        <v>CHI NHÁNH HÀ NỘI - CÔNG TY CỔ PHẦN DỊCH VỤ THƯƠNG MẠI TỔNG HỢP WINCOMMERCE</v>
      </c>
      <c r="G914" s="16"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c r="A915" s="14" t="s">
        <v>1257</v>
      </c>
      <c r="B915" s="15" t="s">
        <v>5</v>
      </c>
      <c r="C915" s="10" t="s">
        <v>1258</v>
      </c>
      <c r="D915" s="16" t="s">
        <v>3222</v>
      </c>
      <c r="E915" s="15" t="s">
        <v>11215</v>
      </c>
      <c r="F915" s="16" t="str">
        <f>VLOOKUP(Table8[[#This Row],[Mã khách hàng]],code_khach_hang[],2,0)</f>
        <v>CHI NHÁNH HÀ NỘI - CÔNG TY CỔ PHẦN DỊCH VỤ THƯƠNG MẠI TỔNG HỢP WINCOMMERCE</v>
      </c>
      <c r="G915" s="16"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c r="A916" s="14" t="s">
        <v>4152</v>
      </c>
      <c r="B916" s="15" t="s">
        <v>5</v>
      </c>
      <c r="C916" s="10" t="s">
        <v>4153</v>
      </c>
      <c r="D916" s="16" t="s">
        <v>3225</v>
      </c>
      <c r="E916" s="15" t="s">
        <v>11215</v>
      </c>
      <c r="F916" s="16" t="str">
        <f>VLOOKUP(Table8[[#This Row],[Mã khách hàng]],code_khach_hang[],2,0)</f>
        <v>CHI NHÁNH HÀ NỘI - CÔNG TY CỔ PHẦN DỊCH VỤ THƯƠNG MẠI TỔNG HỢP WINCOMMERCE</v>
      </c>
      <c r="G916" s="16"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c r="A917" s="14" t="s">
        <v>4191</v>
      </c>
      <c r="B917" s="15" t="s">
        <v>5</v>
      </c>
      <c r="C917" s="10" t="s">
        <v>4192</v>
      </c>
      <c r="D917" s="16" t="s">
        <v>3228</v>
      </c>
      <c r="E917" s="15" t="s">
        <v>11215</v>
      </c>
      <c r="F917" s="16" t="str">
        <f>VLOOKUP(Table8[[#This Row],[Mã khách hàng]],code_khach_hang[],2,0)</f>
        <v>CHI NHÁNH HÀ NỘI - CÔNG TY CỔ PHẦN DỊCH VỤ THƯƠNG MẠI TỔNG HỢP WINCOMMERCE</v>
      </c>
      <c r="G917" s="16"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c r="A918" s="14" t="s">
        <v>4194</v>
      </c>
      <c r="B918" s="15" t="s">
        <v>5</v>
      </c>
      <c r="C918" s="10" t="s">
        <v>4195</v>
      </c>
      <c r="D918" s="16" t="s">
        <v>3231</v>
      </c>
      <c r="E918" s="15" t="s">
        <v>11215</v>
      </c>
      <c r="F918" s="16" t="str">
        <f>VLOOKUP(Table8[[#This Row],[Mã khách hàng]],code_khach_hang[],2,0)</f>
        <v>CHI NHÁNH HÀ NỘI - CÔNG TY CỔ PHẦN DỊCH VỤ THƯƠNG MẠI TỔNG HỢP WINCOMMERCE</v>
      </c>
      <c r="G918" s="16"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c r="A919" s="14" t="s">
        <v>4305</v>
      </c>
      <c r="B919" s="15" t="s">
        <v>5</v>
      </c>
      <c r="C919" s="10" t="s">
        <v>4306</v>
      </c>
      <c r="D919" s="16" t="s">
        <v>3234</v>
      </c>
      <c r="E919" s="15" t="s">
        <v>11215</v>
      </c>
      <c r="F919" s="16" t="str">
        <f>VLOOKUP(Table8[[#This Row],[Mã khách hàng]],code_khach_hang[],2,0)</f>
        <v>CHI NHÁNH HÀ NỘI - CÔNG TY CỔ PHẦN DỊCH VỤ THƯƠNG MẠI TỔNG HỢP WINCOMMERCE</v>
      </c>
      <c r="G919" s="16"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c r="A920" s="14" t="s">
        <v>4530</v>
      </c>
      <c r="B920" s="15" t="s">
        <v>5</v>
      </c>
      <c r="C920" s="10" t="s">
        <v>4531</v>
      </c>
      <c r="D920" s="16" t="s">
        <v>3237</v>
      </c>
      <c r="E920" s="15" t="s">
        <v>11215</v>
      </c>
      <c r="F920" s="16" t="str">
        <f>VLOOKUP(Table8[[#This Row],[Mã khách hàng]],code_khach_hang[],2,0)</f>
        <v>CHI NHÁNH HÀ NỘI - CÔNG TY CỔ PHẦN DỊCH VỤ THƯƠNG MẠI TỔNG HỢP WINCOMMERCE</v>
      </c>
      <c r="G920" s="16"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c r="A921" s="14" t="s">
        <v>5112</v>
      </c>
      <c r="B921" s="15" t="s">
        <v>5</v>
      </c>
      <c r="C921" s="10" t="s">
        <v>5113</v>
      </c>
      <c r="D921" s="16" t="s">
        <v>3240</v>
      </c>
      <c r="E921" s="15" t="s">
        <v>11215</v>
      </c>
      <c r="F921" s="16" t="str">
        <f>VLOOKUP(Table8[[#This Row],[Mã khách hàng]],code_khach_hang[],2,0)</f>
        <v>CHI NHÁNH HÀ NỘI - CÔNG TY CỔ PHẦN DỊCH VỤ THƯƠNG MẠI TỔNG HỢP WINCOMMERCE</v>
      </c>
      <c r="G921" s="16"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c r="A922" s="14" t="s">
        <v>11105</v>
      </c>
      <c r="B922" s="15" t="s">
        <v>5</v>
      </c>
      <c r="C922" s="10" t="e">
        <v>#N/A</v>
      </c>
      <c r="D922" s="16" t="s">
        <v>3243</v>
      </c>
      <c r="E922" s="15" t="s">
        <v>11215</v>
      </c>
      <c r="F922" s="16" t="str">
        <f>VLOOKUP(Table8[[#This Row],[Mã khách hàng]],code_khach_hang[],2,0)</f>
        <v>CHI NHÁNH HÀ NỘI - CÔNG TY CỔ PHẦN DỊCH VỤ THƯƠNG MẠI TỔNG HỢP WINCOMMERCE</v>
      </c>
      <c r="G922" s="16"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c r="A923" s="14" t="s">
        <v>6584</v>
      </c>
      <c r="B923" s="15" t="s">
        <v>5</v>
      </c>
      <c r="C923" s="10" t="s">
        <v>6585</v>
      </c>
      <c r="D923" s="16" t="s">
        <v>3245</v>
      </c>
      <c r="E923" s="15" t="s">
        <v>11215</v>
      </c>
      <c r="F923" s="16" t="str">
        <f>VLOOKUP(Table8[[#This Row],[Mã khách hàng]],code_khach_hang[],2,0)</f>
        <v>CHI NHÁNH HÀ NỘI - CÔNG TY CỔ PHẦN DỊCH VỤ THƯƠNG MẠI TỔNG HỢP WINCOMMERCE</v>
      </c>
      <c r="G923" s="16"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c r="A924" s="14" t="s">
        <v>6767</v>
      </c>
      <c r="B924" s="15" t="s">
        <v>5</v>
      </c>
      <c r="C924" s="10" t="s">
        <v>6768</v>
      </c>
      <c r="D924" s="16" t="s">
        <v>3248</v>
      </c>
      <c r="E924" s="14" t="s">
        <v>11215</v>
      </c>
      <c r="F924" s="16" t="str">
        <f>VLOOKUP(Table8[[#This Row],[Mã khách hàng]],code_khach_hang[],2,0)</f>
        <v>CHI NHÁNH HÀ NỘI - CÔNG TY CỔ PHẦN DỊCH VỤ THƯƠNG MẠI TỔNG HỢP WINCOMMERCE</v>
      </c>
      <c r="G924" s="16"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c r="A925" s="14" t="s">
        <v>6887</v>
      </c>
      <c r="B925" s="15" t="s">
        <v>5</v>
      </c>
      <c r="C925" s="10" t="s">
        <v>6888</v>
      </c>
      <c r="D925" s="16" t="s">
        <v>3251</v>
      </c>
      <c r="E925" s="15" t="s">
        <v>11215</v>
      </c>
      <c r="F925" s="16" t="str">
        <f>VLOOKUP(Table8[[#This Row],[Mã khách hàng]],code_khach_hang[],2,0)</f>
        <v>CHI NHÁNH HÀ NỘI - CÔNG TY CỔ PHẦN DỊCH VỤ THƯƠNG MẠI TỔNG HỢP WINCOMMERCE</v>
      </c>
      <c r="G925" s="16"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c r="A926" s="14" t="s">
        <v>631</v>
      </c>
      <c r="B926" s="15" t="s">
        <v>183</v>
      </c>
      <c r="C926" s="10" t="s">
        <v>632</v>
      </c>
      <c r="D926" s="16" t="s">
        <v>3254</v>
      </c>
      <c r="E926" s="15" t="s">
        <v>11195</v>
      </c>
      <c r="F926" s="16" t="str">
        <f>VLOOKUP(Table8[[#This Row],[Mã khách hàng]],code_khach_hang[],2,0)</f>
        <v>CHI NHÁNH HÀ NỘI - CÔNG TY CỔ PHẦN DỊCH VỤ THƯƠNG MẠI TỔNG HỢP WINCOMMERCE</v>
      </c>
      <c r="G926" s="16"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c r="A927" s="14" t="s">
        <v>574</v>
      </c>
      <c r="B927" s="15" t="s">
        <v>183</v>
      </c>
      <c r="C927" s="10" t="s">
        <v>575</v>
      </c>
      <c r="D927" s="16" t="s">
        <v>3257</v>
      </c>
      <c r="E927" s="15" t="s">
        <v>11195</v>
      </c>
      <c r="F927" s="16" t="str">
        <f>VLOOKUP(Table8[[#This Row],[Mã khách hàng]],code_khach_hang[],2,0)</f>
        <v>CHI NHÁNH HÀ NỘI - CÔNG TY CỔ PHẦN DỊCH VỤ THƯƠNG MẠI TỔNG HỢP WINCOMMERCE</v>
      </c>
      <c r="G927" s="16"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c r="A928" s="14" t="s">
        <v>6881</v>
      </c>
      <c r="B928" s="15" t="s">
        <v>5</v>
      </c>
      <c r="C928" s="10" t="s">
        <v>6882</v>
      </c>
      <c r="D928" s="16" t="s">
        <v>3260</v>
      </c>
      <c r="E928" s="15" t="s">
        <v>11215</v>
      </c>
      <c r="F928" s="16" t="str">
        <f>VLOOKUP(Table8[[#This Row],[Mã khách hàng]],code_khach_hang[],2,0)</f>
        <v>CHI NHÁNH HÀ NỘI - CÔNG TY CỔ PHẦN DỊCH VỤ THƯƠNG MẠI TỔNG HỢP WINCOMMERCE</v>
      </c>
      <c r="G928" s="16"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c r="A929" s="14" t="s">
        <v>7056</v>
      </c>
      <c r="B929" s="15" t="s">
        <v>5</v>
      </c>
      <c r="C929" s="10" t="s">
        <v>7057</v>
      </c>
      <c r="D929" s="16" t="s">
        <v>3263</v>
      </c>
      <c r="E929" s="15" t="s">
        <v>11215</v>
      </c>
      <c r="F929" s="16" t="str">
        <f>VLOOKUP(Table8[[#This Row],[Mã khách hàng]],code_khach_hang[],2,0)</f>
        <v>CHI NHÁNH HÀ NỘI - CÔNG TY CỔ PHẦN DỊCH VỤ THƯƠNG MẠI TỔNG HỢP WINCOMMERCE</v>
      </c>
      <c r="G929" s="16"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c r="A930" s="14" t="s">
        <v>7496</v>
      </c>
      <c r="B930" s="15" t="s">
        <v>5</v>
      </c>
      <c r="C930" s="10" t="s">
        <v>7497</v>
      </c>
      <c r="D930" s="16" t="s">
        <v>3266</v>
      </c>
      <c r="E930" s="15" t="s">
        <v>11215</v>
      </c>
      <c r="F930" s="16" t="str">
        <f>VLOOKUP(Table8[[#This Row],[Mã khách hàng]],code_khach_hang[],2,0)</f>
        <v>CHI NHÁNH HÀ NỘI - CÔNG TY CỔ PHẦN DỊCH VỤ THƯƠNG MẠI TỔNG HỢP WINCOMMERCE</v>
      </c>
      <c r="G930" s="16"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c r="A931" s="14" t="s">
        <v>7667</v>
      </c>
      <c r="B931" s="15" t="s">
        <v>5</v>
      </c>
      <c r="C931" s="10" t="s">
        <v>7668</v>
      </c>
      <c r="D931" s="16" t="s">
        <v>3269</v>
      </c>
      <c r="E931" s="15" t="s">
        <v>11215</v>
      </c>
      <c r="F931" s="16" t="str">
        <f>VLOOKUP(Table8[[#This Row],[Mã khách hàng]],code_khach_hang[],2,0)</f>
        <v>CHI NHÁNH HÀ NỘI - CÔNG TY CỔ PHẦN DỊCH VỤ THƯƠNG MẠI TỔNG HỢP WINCOMMERCE</v>
      </c>
      <c r="G931" s="16"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c r="A932" s="14" t="s">
        <v>7694</v>
      </c>
      <c r="B932" s="15" t="s">
        <v>5</v>
      </c>
      <c r="C932" s="10" t="s">
        <v>7695</v>
      </c>
      <c r="D932" s="16" t="s">
        <v>3272</v>
      </c>
      <c r="E932" s="15" t="s">
        <v>11215</v>
      </c>
      <c r="F932" s="16" t="str">
        <f>VLOOKUP(Table8[[#This Row],[Mã khách hàng]],code_khach_hang[],2,0)</f>
        <v>CHI NHÁNH HÀ NỘI - CÔNG TY CỔ PHẦN DỊCH VỤ THƯƠNG MẠI TỔNG HỢP WINCOMMERCE</v>
      </c>
      <c r="G932" s="16"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c r="A933" s="14" t="s">
        <v>7706</v>
      </c>
      <c r="B933" s="15" t="s">
        <v>5</v>
      </c>
      <c r="C933" s="10" t="s">
        <v>7707</v>
      </c>
      <c r="D933" s="16" t="s">
        <v>3275</v>
      </c>
      <c r="E933" s="15" t="s">
        <v>11215</v>
      </c>
      <c r="F933" s="16" t="str">
        <f>VLOOKUP(Table8[[#This Row],[Mã khách hàng]],code_khach_hang[],2,0)</f>
        <v>CHI NHÁNH HÀ NỘI - CÔNG TY CỔ PHẦN DỊCH VỤ THƯƠNG MẠI TỔNG HỢP WINCOMMERCE</v>
      </c>
      <c r="G933" s="16"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c r="A934" s="14" t="s">
        <v>8028</v>
      </c>
      <c r="B934" s="15" t="s">
        <v>5</v>
      </c>
      <c r="C934" s="10" t="s">
        <v>8029</v>
      </c>
      <c r="D934" s="16" t="s">
        <v>3278</v>
      </c>
      <c r="E934" s="15" t="s">
        <v>11215</v>
      </c>
      <c r="F934" s="16" t="str">
        <f>VLOOKUP(Table8[[#This Row],[Mã khách hàng]],code_khach_hang[],2,0)</f>
        <v>CHI NHÁNH HÀ NỘI - CÔNG TY CỔ PHẦN DỊCH VỤ THƯƠNG MẠI TỔNG HỢP WINCOMMERCE</v>
      </c>
      <c r="G934" s="16"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c r="A935" s="14" t="s">
        <v>6136</v>
      </c>
      <c r="B935" s="15" t="s">
        <v>5</v>
      </c>
      <c r="C935" s="10" t="s">
        <v>6137</v>
      </c>
      <c r="D935" s="16" t="s">
        <v>3281</v>
      </c>
      <c r="E935" s="15" t="s">
        <v>11215</v>
      </c>
      <c r="F935" s="16" t="str">
        <f>VLOOKUP(Table8[[#This Row],[Mã khách hàng]],code_khach_hang[],2,0)</f>
        <v>CHI NHÁNH HÀ NỘI - CÔNG TY CỔ PHẦN DỊCH VỤ THƯƠNG MẠI TỔNG HỢP WINCOMMERCE</v>
      </c>
      <c r="G935" s="16"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c r="A936" s="14" t="s">
        <v>7165</v>
      </c>
      <c r="B936" s="15" t="s">
        <v>5</v>
      </c>
      <c r="C936" s="10" t="s">
        <v>7166</v>
      </c>
      <c r="D936" s="16" t="s">
        <v>3284</v>
      </c>
      <c r="E936" s="15" t="s">
        <v>11215</v>
      </c>
      <c r="F936" s="16" t="str">
        <f>VLOOKUP(Table8[[#This Row],[Mã khách hàng]],code_khach_hang[],2,0)</f>
        <v>CHI NHÁNH HÀ NỘI - CÔNG TY CỔ PHẦN DỊCH VỤ THƯƠNG MẠI TỔNG HỢP WINCOMMERCE</v>
      </c>
      <c r="G936" s="16"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c r="A937" s="14" t="s">
        <v>7196</v>
      </c>
      <c r="B937" s="15" t="s">
        <v>5</v>
      </c>
      <c r="C937" s="10" t="s">
        <v>7197</v>
      </c>
      <c r="D937" s="16" t="s">
        <v>3287</v>
      </c>
      <c r="E937" s="15" t="s">
        <v>11215</v>
      </c>
      <c r="F937" s="16" t="str">
        <f>VLOOKUP(Table8[[#This Row],[Mã khách hàng]],code_khach_hang[],2,0)</f>
        <v>CHI NHÁNH HÀ NỘI - CÔNG TY CỔ PHẦN DỊCH VỤ THƯƠNG MẠI TỔNG HỢP WINCOMMERCE</v>
      </c>
      <c r="G937" s="16"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c r="A938" s="14" t="s">
        <v>7786</v>
      </c>
      <c r="B938" s="15" t="s">
        <v>5</v>
      </c>
      <c r="C938" s="10" t="s">
        <v>7787</v>
      </c>
      <c r="D938" s="16" t="s">
        <v>3290</v>
      </c>
      <c r="E938" s="15" t="s">
        <v>11215</v>
      </c>
      <c r="F938" s="16" t="str">
        <f>VLOOKUP(Table8[[#This Row],[Mã khách hàng]],code_khach_hang[],2,0)</f>
        <v>CHI NHÁNH HÀ NỘI - CÔNG TY CỔ PHẦN DỊCH VỤ THƯƠNG MẠI TỔNG HỢP WINCOMMERCE</v>
      </c>
      <c r="G938" s="16"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c r="A939" s="14" t="s">
        <v>7828</v>
      </c>
      <c r="B939" s="15" t="s">
        <v>5</v>
      </c>
      <c r="C939" s="10" t="s">
        <v>7829</v>
      </c>
      <c r="D939" s="16" t="s">
        <v>3293</v>
      </c>
      <c r="E939" s="15" t="s">
        <v>11215</v>
      </c>
      <c r="F939" s="16" t="str">
        <f>VLOOKUP(Table8[[#This Row],[Mã khách hàng]],code_khach_hang[],2,0)</f>
        <v>CHI NHÁNH HÀ NỘI - CÔNG TY CỔ PHẦN DỊCH VỤ THƯƠNG MẠI TỔNG HỢP WINCOMMERCE</v>
      </c>
      <c r="G939" s="16"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c r="A940" s="14" t="s">
        <v>7855</v>
      </c>
      <c r="B940" s="15" t="s">
        <v>5</v>
      </c>
      <c r="C940" s="10" t="s">
        <v>7856</v>
      </c>
      <c r="D940" s="16" t="s">
        <v>3296</v>
      </c>
      <c r="E940" s="15" t="s">
        <v>11215</v>
      </c>
      <c r="F940" s="16" t="str">
        <f>VLOOKUP(Table8[[#This Row],[Mã khách hàng]],code_khach_hang[],2,0)</f>
        <v>CHI NHÁNH HÀ NỘI - CÔNG TY CỔ PHẦN DỊCH VỤ THƯƠNG MẠI TỔNG HỢP WINCOMMERCE</v>
      </c>
      <c r="G940" s="16"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c r="A941" s="14" t="s">
        <v>7884</v>
      </c>
      <c r="B941" s="15" t="s">
        <v>5</v>
      </c>
      <c r="C941" s="10" t="e">
        <v>#N/A</v>
      </c>
      <c r="D941" s="16" t="s">
        <v>3299</v>
      </c>
      <c r="E941" s="15" t="s">
        <v>11215</v>
      </c>
      <c r="F941" s="16" t="str">
        <f>VLOOKUP(Table8[[#This Row],[Mã khách hàng]],code_khach_hang[],2,0)</f>
        <v>CHI NHÁNH HÀ NỘI - CÔNG TY CỔ PHẦN DỊCH VỤ THƯƠNG MẠI TỔNG HỢP WINCOMMERCE</v>
      </c>
      <c r="G941" s="16"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c r="A942" s="14" t="s">
        <v>7957</v>
      </c>
      <c r="B942" s="15" t="s">
        <v>5</v>
      </c>
      <c r="C942" s="10" t="s">
        <v>7958</v>
      </c>
      <c r="D942" s="16" t="s">
        <v>3302</v>
      </c>
      <c r="E942" s="15" t="s">
        <v>11215</v>
      </c>
      <c r="F942" s="16" t="str">
        <f>VLOOKUP(Table8[[#This Row],[Mã khách hàng]],code_khach_hang[],2,0)</f>
        <v>CHI NHÁNH HÀ NỘI - CÔNG TY CỔ PHẦN DỊCH VỤ THƯƠNG MẠI TỔNG HỢP WINCOMMERCE</v>
      </c>
      <c r="G942" s="16"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c r="A943" s="14" t="s">
        <v>8230</v>
      </c>
      <c r="B943" s="15" t="s">
        <v>5</v>
      </c>
      <c r="C943" s="10" t="s">
        <v>8231</v>
      </c>
      <c r="D943" s="16" t="s">
        <v>3305</v>
      </c>
      <c r="E943" s="15" t="s">
        <v>11215</v>
      </c>
      <c r="F943" s="16" t="str">
        <f>VLOOKUP(Table8[[#This Row],[Mã khách hàng]],code_khach_hang[],2,0)</f>
        <v>CHI NHÁNH HÀ NỘI - CÔNG TY CỔ PHẦN DỊCH VỤ THƯƠNG MẠI TỔNG HỢP WINCOMMERCE</v>
      </c>
      <c r="G943" s="16"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c r="A944" s="14" t="s">
        <v>8073</v>
      </c>
      <c r="B944" s="15" t="s">
        <v>5</v>
      </c>
      <c r="C944" s="10" t="s">
        <v>8074</v>
      </c>
      <c r="D944" s="16" t="s">
        <v>3308</v>
      </c>
      <c r="E944" s="15" t="s">
        <v>11215</v>
      </c>
      <c r="F944" s="16" t="str">
        <f>VLOOKUP(Table8[[#This Row],[Mã khách hàng]],code_khach_hang[],2,0)</f>
        <v>CHI NHÁNH HÀ NỘI - CÔNG TY CỔ PHẦN DỊCH VỤ THƯƠNG MẠI TỔNG HỢP WINCOMMERCE</v>
      </c>
      <c r="G944" s="16"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c r="A945" s="14" t="s">
        <v>5004</v>
      </c>
      <c r="B945" s="15" t="s">
        <v>5</v>
      </c>
      <c r="C945" s="10" t="s">
        <v>5005</v>
      </c>
      <c r="D945" s="16" t="s">
        <v>3311</v>
      </c>
      <c r="E945" s="15" t="s">
        <v>11215</v>
      </c>
      <c r="F945" s="16" t="str">
        <f>VLOOKUP(Table8[[#This Row],[Mã khách hàng]],code_khach_hang[],2,0)</f>
        <v>CHI NHÁNH HÀ NỘI - CÔNG TY CỔ PHẦN DỊCH VỤ THƯƠNG MẠI TỔNG HỢP WINCOMMERCE</v>
      </c>
      <c r="G945" s="16"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c r="A946" s="14" t="s">
        <v>5028</v>
      </c>
      <c r="B946" s="15" t="s">
        <v>5</v>
      </c>
      <c r="C946" s="10" t="s">
        <v>5029</v>
      </c>
      <c r="D946" s="16" t="s">
        <v>3314</v>
      </c>
      <c r="E946" s="15" t="s">
        <v>11215</v>
      </c>
      <c r="F946" s="16" t="str">
        <f>VLOOKUP(Table8[[#This Row],[Mã khách hàng]],code_khach_hang[],2,0)</f>
        <v>CHI NHÁNH HÀ NỘI - CÔNG TY CỔ PHẦN DỊCH VỤ THƯƠNG MẠI TỔNG HỢP WINCOMMERCE</v>
      </c>
      <c r="G946" s="16"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c r="A947" s="14" t="s">
        <v>8233</v>
      </c>
      <c r="B947" s="15" t="s">
        <v>5</v>
      </c>
      <c r="C947" s="10" t="s">
        <v>8234</v>
      </c>
      <c r="D947" s="16" t="s">
        <v>3317</v>
      </c>
      <c r="E947" s="15" t="s">
        <v>11215</v>
      </c>
      <c r="F947" s="16" t="str">
        <f>VLOOKUP(Table8[[#This Row],[Mã khách hàng]],code_khach_hang[],2,0)</f>
        <v>CHI NHÁNH HÀ NỘI - CÔNG TY CỔ PHẦN DỊCH VỤ THƯƠNG MẠI TỔNG HỢP WINCOMMERCE</v>
      </c>
      <c r="G947" s="16"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c r="A948" s="14" t="s">
        <v>5502</v>
      </c>
      <c r="B948" s="15" t="s">
        <v>5</v>
      </c>
      <c r="C948" s="10" t="s">
        <v>5503</v>
      </c>
      <c r="D948" s="16" t="s">
        <v>3320</v>
      </c>
      <c r="E948" s="15" t="s">
        <v>11215</v>
      </c>
      <c r="F948" s="16" t="str">
        <f>VLOOKUP(Table8[[#This Row],[Mã khách hàng]],code_khach_hang[],2,0)</f>
        <v>CHI NHÁNH HÀ NỘI - CÔNG TY CỔ PHẦN DỊCH VỤ THƯƠNG MẠI TỔNG HỢP WINCOMMERCE</v>
      </c>
      <c r="G948" s="16"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c r="A949" s="14" t="s">
        <v>7834</v>
      </c>
      <c r="B949" s="15" t="s">
        <v>5</v>
      </c>
      <c r="C949" s="10" t="s">
        <v>7835</v>
      </c>
      <c r="D949" s="16" t="s">
        <v>3323</v>
      </c>
      <c r="E949" s="15" t="s">
        <v>11215</v>
      </c>
      <c r="F949" s="16" t="str">
        <f>VLOOKUP(Table8[[#This Row],[Mã khách hàng]],code_khach_hang[],2,0)</f>
        <v>CHI NHÁNH HÀ NỘI - CÔNG TY CỔ PHẦN DỊCH VỤ THƯƠNG MẠI TỔNG HỢP WINCOMMERCE</v>
      </c>
      <c r="G949" s="16"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c r="A950" s="14" t="s">
        <v>6632</v>
      </c>
      <c r="B950" s="15" t="s">
        <v>5</v>
      </c>
      <c r="C950" s="10" t="s">
        <v>6633</v>
      </c>
      <c r="D950" s="16" t="s">
        <v>3326</v>
      </c>
      <c r="E950" s="15" t="s">
        <v>11215</v>
      </c>
      <c r="F950" s="16" t="str">
        <f>VLOOKUP(Table8[[#This Row],[Mã khách hàng]],code_khach_hang[],2,0)</f>
        <v>CHI NHÁNH HÀ NỘI - CÔNG TY CỔ PHẦN DỊCH VỤ THƯƠNG MẠI TỔNG HỢP WINCOMMERCE</v>
      </c>
      <c r="G950" s="16"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c r="A951" s="14" t="s">
        <v>6746</v>
      </c>
      <c r="B951" s="15" t="s">
        <v>5</v>
      </c>
      <c r="C951" s="10" t="s">
        <v>6747</v>
      </c>
      <c r="D951" s="16" t="s">
        <v>3329</v>
      </c>
      <c r="E951" s="15" t="s">
        <v>11215</v>
      </c>
      <c r="F951" s="16" t="str">
        <f>VLOOKUP(Table8[[#This Row],[Mã khách hàng]],code_khach_hang[],2,0)</f>
        <v>CHI NHÁNH HÀ NỘI - CÔNG TY CỔ PHẦN DỊCH VỤ THƯƠNG MẠI TỔNG HỢP WINCOMMERCE</v>
      </c>
      <c r="G951" s="16"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c r="A952" s="14" t="s">
        <v>7703</v>
      </c>
      <c r="B952" s="15" t="s">
        <v>5</v>
      </c>
      <c r="C952" s="10" t="s">
        <v>7704</v>
      </c>
      <c r="D952" s="16" t="s">
        <v>3332</v>
      </c>
      <c r="E952" s="15" t="s">
        <v>11215</v>
      </c>
      <c r="F952" s="16" t="str">
        <f>VLOOKUP(Table8[[#This Row],[Mã khách hàng]],code_khach_hang[],2,0)</f>
        <v>CHI NHÁNH HÀ NỘI - CÔNG TY CỔ PHẦN DỊCH VỤ THƯƠNG MẠI TỔNG HỢP WINCOMMERCE</v>
      </c>
      <c r="G952" s="16"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c r="A953" s="14" t="s">
        <v>4677</v>
      </c>
      <c r="B953" s="15" t="s">
        <v>5</v>
      </c>
      <c r="C953" s="10" t="s">
        <v>4678</v>
      </c>
      <c r="D953" s="16" t="s">
        <v>3335</v>
      </c>
      <c r="E953" s="15" t="s">
        <v>11215</v>
      </c>
      <c r="F953" s="16" t="str">
        <f>VLOOKUP(Table8[[#This Row],[Mã khách hàng]],code_khach_hang[],2,0)</f>
        <v>CHI NHÁNH HÀ NỘI - CÔNG TY CỔ PHẦN DỊCH VỤ THƯƠNG MẠI TỔNG HỢP WINCOMMERCE</v>
      </c>
      <c r="G953" s="16"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c r="A954" s="14" t="s">
        <v>4779</v>
      </c>
      <c r="B954" s="15" t="s">
        <v>5</v>
      </c>
      <c r="C954" s="10" t="s">
        <v>4780</v>
      </c>
      <c r="D954" s="16" t="s">
        <v>3338</v>
      </c>
      <c r="E954" s="15" t="s">
        <v>11215</v>
      </c>
      <c r="F954" s="16" t="str">
        <f>VLOOKUP(Table8[[#This Row],[Mã khách hàng]],code_khach_hang[],2,0)</f>
        <v>CHI NHÁNH HÀ NỘI - CÔNG TY CỔ PHẦN DỊCH VỤ THƯƠNG MẠI TỔNG HỢP WINCOMMERCE</v>
      </c>
      <c r="G954" s="16"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c r="A955" s="14" t="s">
        <v>4791</v>
      </c>
      <c r="B955" s="15" t="s">
        <v>5</v>
      </c>
      <c r="C955" s="10" t="s">
        <v>4792</v>
      </c>
      <c r="D955" s="16" t="s">
        <v>3341</v>
      </c>
      <c r="E955" s="15" t="s">
        <v>11215</v>
      </c>
      <c r="F955" s="16" t="str">
        <f>VLOOKUP(Table8[[#This Row],[Mã khách hàng]],code_khach_hang[],2,0)</f>
        <v>CHI NHÁNH HÀ NỘI - CÔNG TY CỔ PHẦN DỊCH VỤ THƯƠNG MẠI TỔNG HỢP WINCOMMERCE</v>
      </c>
      <c r="G955" s="16"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c r="A956" s="14" t="s">
        <v>5001</v>
      </c>
      <c r="B956" s="15" t="s">
        <v>5</v>
      </c>
      <c r="C956" s="10" t="s">
        <v>5002</v>
      </c>
      <c r="D956" s="16" t="s">
        <v>3344</v>
      </c>
      <c r="E956" s="15" t="s">
        <v>11215</v>
      </c>
      <c r="F956" s="16" t="str">
        <f>VLOOKUP(Table8[[#This Row],[Mã khách hàng]],code_khach_hang[],2,0)</f>
        <v>CHI NHÁNH HÀ NỘI - CÔNG TY CỔ PHẦN DỊCH VỤ THƯƠNG MẠI TỔNG HỢP WINCOMMERCE</v>
      </c>
      <c r="G956" s="16"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c r="A957" s="14" t="s">
        <v>5505</v>
      </c>
      <c r="B957" s="15" t="s">
        <v>5</v>
      </c>
      <c r="C957" s="10" t="s">
        <v>5506</v>
      </c>
      <c r="D957" s="16" t="s">
        <v>3347</v>
      </c>
      <c r="E957" s="15" t="s">
        <v>11215</v>
      </c>
      <c r="F957" s="16" t="str">
        <f>VLOOKUP(Table8[[#This Row],[Mã khách hàng]],code_khach_hang[],2,0)</f>
        <v>CHI NHÁNH HÀ NỘI - CÔNG TY CỔ PHẦN DỊCH VỤ THƯƠNG MẠI TỔNG HỢP WINCOMMERCE</v>
      </c>
      <c r="G957" s="16"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c r="A958" s="14" t="s">
        <v>5798</v>
      </c>
      <c r="B958" s="15" t="s">
        <v>5</v>
      </c>
      <c r="C958" s="10" t="s">
        <v>5799</v>
      </c>
      <c r="D958" s="16" t="s">
        <v>3350</v>
      </c>
      <c r="E958" s="15" t="s">
        <v>11215</v>
      </c>
      <c r="F958" s="16" t="str">
        <f>VLOOKUP(Table8[[#This Row],[Mã khách hàng]],code_khach_hang[],2,0)</f>
        <v>CHI NHÁNH HÀ NỘI - CÔNG TY CỔ PHẦN DỊCH VỤ THƯƠNG MẠI TỔNG HỢP WINCOMMERCE</v>
      </c>
      <c r="G958" s="16"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c r="A959" s="14" t="s">
        <v>5971</v>
      </c>
      <c r="B959" s="15" t="s">
        <v>5</v>
      </c>
      <c r="C959" s="10" t="s">
        <v>5972</v>
      </c>
      <c r="D959" s="16" t="s">
        <v>3353</v>
      </c>
      <c r="E959" s="15" t="s">
        <v>11215</v>
      </c>
      <c r="F959" s="16" t="str">
        <f>VLOOKUP(Table8[[#This Row],[Mã khách hàng]],code_khach_hang[],2,0)</f>
        <v>CHI NHÁNH HÀ NỘI - CÔNG TY CỔ PHẦN DỊCH VỤ THƯƠNG MẠI TỔNG HỢP WINCOMMERCE</v>
      </c>
      <c r="G959" s="16"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c r="A960" s="14" t="s">
        <v>8076</v>
      </c>
      <c r="B960" s="15" t="s">
        <v>5</v>
      </c>
      <c r="C960" s="10" t="s">
        <v>8077</v>
      </c>
      <c r="D960" s="16" t="s">
        <v>3356</v>
      </c>
      <c r="E960" s="15" t="s">
        <v>11215</v>
      </c>
      <c r="F960" s="16" t="str">
        <f>VLOOKUP(Table8[[#This Row],[Mã khách hàng]],code_khach_hang[],2,0)</f>
        <v>CHI NHÁNH HÀ NỘI - CÔNG TY CỔ PHẦN DỊCH VỤ THƯƠNG MẠI TỔNG HỢP WINCOMMERCE</v>
      </c>
      <c r="G960" s="16"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c r="A961" s="14" t="s">
        <v>11106</v>
      </c>
      <c r="B961" s="15" t="s">
        <v>5</v>
      </c>
      <c r="C961" s="10" t="e">
        <v>#N/A</v>
      </c>
      <c r="D961" s="16" t="s">
        <v>3359</v>
      </c>
      <c r="E961" s="15" t="s">
        <v>11215</v>
      </c>
      <c r="F961" s="16" t="str">
        <f>VLOOKUP(Table8[[#This Row],[Mã khách hàng]],code_khach_hang[],2,0)</f>
        <v>CHI NHÁNH HÀ NỘI - CÔNG TY CỔ PHẦN DỊCH VỤ THƯƠNG MẠI TỔNG HỢP WINCOMMERCE</v>
      </c>
      <c r="G961" s="16"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c r="A962" s="14" t="s">
        <v>6416</v>
      </c>
      <c r="B962" s="15" t="s">
        <v>5</v>
      </c>
      <c r="C962" s="10" t="s">
        <v>6417</v>
      </c>
      <c r="D962" s="16" t="s">
        <v>3362</v>
      </c>
      <c r="E962" s="15" t="s">
        <v>11215</v>
      </c>
      <c r="F962" s="16" t="str">
        <f>VLOOKUP(Table8[[#This Row],[Mã khách hàng]],code_khach_hang[],2,0)</f>
        <v>CHI NHÁNH HÀ NỘI - CÔNG TY CỔ PHẦN DỊCH VỤ THƯƠNG MẠI TỔNG HỢP WINCOMMERCE</v>
      </c>
      <c r="G962" s="16"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c r="A963" s="14" t="s">
        <v>6515</v>
      </c>
      <c r="B963" s="15" t="s">
        <v>5</v>
      </c>
      <c r="C963" s="10" t="s">
        <v>6516</v>
      </c>
      <c r="D963" s="16" t="s">
        <v>3365</v>
      </c>
      <c r="E963" s="15" t="s">
        <v>11215</v>
      </c>
      <c r="F963" s="16" t="str">
        <f>VLOOKUP(Table8[[#This Row],[Mã khách hàng]],code_khach_hang[],2,0)</f>
        <v>CHI NHÁNH HÀ NỘI - CÔNG TY CỔ PHẦN DỊCH VỤ THƯƠNG MẠI TỔNG HỢP WINCOMMERCE</v>
      </c>
      <c r="G963" s="16"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c r="A964" s="14" t="s">
        <v>6677</v>
      </c>
      <c r="B964" s="15" t="s">
        <v>5</v>
      </c>
      <c r="C964" s="10" t="s">
        <v>6678</v>
      </c>
      <c r="D964" s="16" t="s">
        <v>3368</v>
      </c>
      <c r="E964" s="15" t="s">
        <v>11215</v>
      </c>
      <c r="F964" s="16" t="str">
        <f>VLOOKUP(Table8[[#This Row],[Mã khách hàng]],code_khach_hang[],2,0)</f>
        <v>CHI NHÁNH HÀ NỘI - CÔNG TY CỔ PHẦN DỊCH VỤ THƯƠNG MẠI TỔNG HỢP WINCOMMERCE</v>
      </c>
      <c r="G964" s="16"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c r="A965" s="14" t="s">
        <v>7751</v>
      </c>
      <c r="B965" s="15" t="s">
        <v>5</v>
      </c>
      <c r="C965" s="10" t="s">
        <v>7752</v>
      </c>
      <c r="D965" s="16" t="s">
        <v>3371</v>
      </c>
      <c r="E965" s="15" t="s">
        <v>11215</v>
      </c>
      <c r="F965" s="16" t="str">
        <f>VLOOKUP(Table8[[#This Row],[Mã khách hàng]],code_khach_hang[],2,0)</f>
        <v>CHI NHÁNH HÀ NỘI - CÔNG TY CỔ PHẦN DỊCH VỤ THƯƠNG MẠI TỔNG HỢP WINCOMMERCE</v>
      </c>
      <c r="G965" s="16"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c r="A966" s="14" t="s">
        <v>7942</v>
      </c>
      <c r="B966" s="15" t="s">
        <v>5</v>
      </c>
      <c r="C966" s="10" t="s">
        <v>7943</v>
      </c>
      <c r="D966" s="16" t="s">
        <v>3374</v>
      </c>
      <c r="E966" s="15" t="s">
        <v>11215</v>
      </c>
      <c r="F966" s="16" t="str">
        <f>VLOOKUP(Table8[[#This Row],[Mã khách hàng]],code_khach_hang[],2,0)</f>
        <v>CHI NHÁNH HÀ NỘI - CÔNG TY CỔ PHẦN DỊCH VỤ THƯƠNG MẠI TỔNG HỢP WINCOMMERCE</v>
      </c>
      <c r="G966" s="16"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c r="A967" s="14" t="s">
        <v>5130</v>
      </c>
      <c r="B967" s="15" t="s">
        <v>5</v>
      </c>
      <c r="C967" s="10" t="s">
        <v>5131</v>
      </c>
      <c r="D967" s="16" t="s">
        <v>3377</v>
      </c>
      <c r="E967" s="15" t="s">
        <v>11215</v>
      </c>
      <c r="F967" s="16" t="str">
        <f>VLOOKUP(Table8[[#This Row],[Mã khách hàng]],code_khach_hang[],2,0)</f>
        <v>CHI NHÁNH HÀ NỘI - CÔNG TY CỔ PHẦN DỊCH VỤ THƯƠNG MẠI TỔNG HỢP WINCOMMERCE</v>
      </c>
      <c r="G967" s="16"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c r="A968" s="14" t="s">
        <v>5172</v>
      </c>
      <c r="B968" s="15" t="s">
        <v>5</v>
      </c>
      <c r="C968" s="10" t="s">
        <v>5173</v>
      </c>
      <c r="D968" s="16" t="s">
        <v>3380</v>
      </c>
      <c r="E968" s="15" t="s">
        <v>11215</v>
      </c>
      <c r="F968" s="16" t="str">
        <f>VLOOKUP(Table8[[#This Row],[Mã khách hàng]],code_khach_hang[],2,0)</f>
        <v>CHI NHÁNH HÀ NỘI - CÔNG TY CỔ PHẦN DỊCH VỤ THƯƠNG MẠI TỔNG HỢP WINCOMMERCE</v>
      </c>
      <c r="G968" s="16"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c r="A969" s="14" t="s">
        <v>5190</v>
      </c>
      <c r="B969" s="15" t="s">
        <v>5</v>
      </c>
      <c r="C969" s="10" t="s">
        <v>5191</v>
      </c>
      <c r="D969" s="16" t="s">
        <v>3383</v>
      </c>
      <c r="E969" s="15" t="s">
        <v>11215</v>
      </c>
      <c r="F969" s="16" t="str">
        <f>VLOOKUP(Table8[[#This Row],[Mã khách hàng]],code_khach_hang[],2,0)</f>
        <v>CHI NHÁNH HÀ NỘI - CÔNG TY CỔ PHẦN DỊCH VỤ THƯƠNG MẠI TỔNG HỢP WINCOMMERCE</v>
      </c>
      <c r="G969" s="16"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c r="A970" s="14" t="s">
        <v>11107</v>
      </c>
      <c r="B970" s="15" t="s">
        <v>5</v>
      </c>
      <c r="C970" s="10" t="s">
        <v>13155</v>
      </c>
      <c r="D970" s="16" t="s">
        <v>3386</v>
      </c>
      <c r="E970" s="15" t="s">
        <v>11215</v>
      </c>
      <c r="F970" s="16" t="str">
        <f>VLOOKUP(Table8[[#This Row],[Mã khách hàng]],code_khach_hang[],2,0)</f>
        <v>CHI NHÁNH HÀ NỘI - CÔNG TY CỔ PHẦN DỊCH VỤ THƯƠNG MẠI TỔNG HỢP WINCOMMERCE</v>
      </c>
      <c r="G970" s="16"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c r="A971" s="14" t="s">
        <v>5340</v>
      </c>
      <c r="B971" s="15" t="s">
        <v>5</v>
      </c>
      <c r="C971" s="10" t="s">
        <v>5341</v>
      </c>
      <c r="D971" s="16" t="s">
        <v>3389</v>
      </c>
      <c r="E971" s="15" t="s">
        <v>11215</v>
      </c>
      <c r="F971" s="16" t="str">
        <f>VLOOKUP(Table8[[#This Row],[Mã khách hàng]],code_khach_hang[],2,0)</f>
        <v>CHI NHÁNH HÀ NỘI - CÔNG TY CỔ PHẦN DỊCH VỤ THƯƠNG MẠI TỔNG HỢP WINCOMMERCE</v>
      </c>
      <c r="G971" s="16"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c r="A972" s="14" t="s">
        <v>8281</v>
      </c>
      <c r="B972" s="15" t="s">
        <v>5</v>
      </c>
      <c r="C972" s="10" t="s">
        <v>8282</v>
      </c>
      <c r="D972" s="16" t="s">
        <v>3392</v>
      </c>
      <c r="E972" s="15" t="s">
        <v>11215</v>
      </c>
      <c r="F972" s="16" t="str">
        <f>VLOOKUP(Table8[[#This Row],[Mã khách hàng]],code_khach_hang[],2,0)</f>
        <v>CHI NHÁNH HÀ NỘI - CÔNG TY CỔ PHẦN DỊCH VỤ THƯƠNG MẠI TỔNG HỢP WINCOMMERCE</v>
      </c>
      <c r="G972" s="16"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c r="A973" s="14" t="s">
        <v>8088</v>
      </c>
      <c r="B973" s="15" t="s">
        <v>5</v>
      </c>
      <c r="C973" s="10" t="s">
        <v>8089</v>
      </c>
      <c r="D973" s="16" t="s">
        <v>3395</v>
      </c>
      <c r="E973" s="15" t="s">
        <v>11215</v>
      </c>
      <c r="F973" s="16" t="str">
        <f>VLOOKUP(Table8[[#This Row],[Mã khách hàng]],code_khach_hang[],2,0)</f>
        <v>CHI NHÁNH HÀ NỘI - CÔNG TY CỔ PHẦN DỊCH VỤ THƯƠNG MẠI TỔNG HỢP WINCOMMERCE</v>
      </c>
      <c r="G973" s="16"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c r="A974" s="14" t="s">
        <v>7909</v>
      </c>
      <c r="B974" s="15" t="s">
        <v>5</v>
      </c>
      <c r="C974" s="10" t="s">
        <v>7910</v>
      </c>
      <c r="D974" s="16" t="s">
        <v>3398</v>
      </c>
      <c r="E974" s="15" t="s">
        <v>11215</v>
      </c>
      <c r="F974" s="16" t="str">
        <f>VLOOKUP(Table8[[#This Row],[Mã khách hàng]],code_khach_hang[],2,0)</f>
        <v>CHI NHÁNH HÀ NỘI - CÔNG TY CỔ PHẦN DỊCH VỤ THƯƠNG MẠI TỔNG HỢP WINCOMMERCE</v>
      </c>
      <c r="G974" s="16"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c r="A975" s="14" t="s">
        <v>5163</v>
      </c>
      <c r="B975" s="15" t="s">
        <v>5</v>
      </c>
      <c r="C975" s="10" t="s">
        <v>5164</v>
      </c>
      <c r="D975" s="16" t="s">
        <v>3400</v>
      </c>
      <c r="E975" s="15" t="s">
        <v>11215</v>
      </c>
      <c r="F975" s="16" t="str">
        <f>VLOOKUP(Table8[[#This Row],[Mã khách hàng]],code_khach_hang[],2,0)</f>
        <v>CHI NHÁNH HÀ NỘI - CÔNG TY CỔ PHẦN DỊCH VỤ THƯƠNG MẠI TỔNG HỢP WINCOMMERCE</v>
      </c>
      <c r="G975" s="16"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c r="A976" s="14" t="s">
        <v>5409</v>
      </c>
      <c r="B976" s="15" t="s">
        <v>5</v>
      </c>
      <c r="C976" s="10" t="s">
        <v>5410</v>
      </c>
      <c r="D976" s="16" t="s">
        <v>3403</v>
      </c>
      <c r="E976" s="15" t="s">
        <v>11215</v>
      </c>
      <c r="F976" s="16" t="str">
        <f>VLOOKUP(Table8[[#This Row],[Mã khách hàng]],code_khach_hang[],2,0)</f>
        <v>CHI NHÁNH HÀ NỘI - CÔNG TY CỔ PHẦN DỊCH VỤ THƯƠNG MẠI TỔNG HỢP WINCOMMERCE</v>
      </c>
      <c r="G976" s="16"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c r="A977" s="14" t="s">
        <v>5576</v>
      </c>
      <c r="B977" s="15" t="s">
        <v>5</v>
      </c>
      <c r="C977" s="10" t="s">
        <v>5577</v>
      </c>
      <c r="D977" s="16" t="s">
        <v>3406</v>
      </c>
      <c r="E977" s="15" t="s">
        <v>11215</v>
      </c>
      <c r="F977" s="16" t="str">
        <f>VLOOKUP(Table8[[#This Row],[Mã khách hàng]],code_khach_hang[],2,0)</f>
        <v>CHI NHÁNH HÀ NỘI - CÔNG TY CỔ PHẦN DỊCH VỤ THƯƠNG MẠI TỔNG HỢP WINCOMMERCE</v>
      </c>
      <c r="G977" s="16"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c r="A978" s="14" t="s">
        <v>5612</v>
      </c>
      <c r="B978" s="15" t="s">
        <v>5</v>
      </c>
      <c r="C978" s="10" t="s">
        <v>5613</v>
      </c>
      <c r="D978" s="16" t="s">
        <v>3409</v>
      </c>
      <c r="E978" s="15" t="s">
        <v>11215</v>
      </c>
      <c r="F978" s="16" t="str">
        <f>VLOOKUP(Table8[[#This Row],[Mã khách hàng]],code_khach_hang[],2,0)</f>
        <v>CHI NHÁNH HÀ NỘI - CÔNG TY CỔ PHẦN DỊCH VỤ THƯƠNG MẠI TỔNG HỢP WINCOMMERCE</v>
      </c>
      <c r="G978" s="16"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c r="A979" s="14" t="s">
        <v>5674</v>
      </c>
      <c r="B979" s="15" t="s">
        <v>5</v>
      </c>
      <c r="C979" s="10" t="s">
        <v>5675</v>
      </c>
      <c r="D979" s="16" t="s">
        <v>3412</v>
      </c>
      <c r="E979" s="15" t="s">
        <v>11215</v>
      </c>
      <c r="F979" s="16" t="str">
        <f>VLOOKUP(Table8[[#This Row],[Mã khách hàng]],code_khach_hang[],2,0)</f>
        <v>CHI NHÁNH HÀ NỘI - CÔNG TY CỔ PHẦN DỊCH VỤ THƯƠNG MẠI TỔNG HỢP WINCOMMERCE</v>
      </c>
      <c r="G979" s="16"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c r="A980" s="14" t="s">
        <v>8278</v>
      </c>
      <c r="B980" s="15" t="s">
        <v>5</v>
      </c>
      <c r="C980" s="10" t="s">
        <v>8279</v>
      </c>
      <c r="D980" s="16" t="s">
        <v>3415</v>
      </c>
      <c r="E980" s="15" t="s">
        <v>11215</v>
      </c>
      <c r="F980" s="16" t="str">
        <f>VLOOKUP(Table8[[#This Row],[Mã khách hàng]],code_khach_hang[],2,0)</f>
        <v>CHI NHÁNH HÀ NỘI - CÔNG TY CỔ PHẦN DỊCH VỤ THƯƠNG MẠI TỔNG HỢP WINCOMMERCE</v>
      </c>
      <c r="G980" s="16"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c r="A981" s="14" t="s">
        <v>6118</v>
      </c>
      <c r="B981" s="15" t="s">
        <v>5</v>
      </c>
      <c r="C981" s="10" t="s">
        <v>6119</v>
      </c>
      <c r="D981" s="16" t="s">
        <v>3418</v>
      </c>
      <c r="E981" s="15" t="s">
        <v>11215</v>
      </c>
      <c r="F981" s="16" t="str">
        <f>VLOOKUP(Table8[[#This Row],[Mã khách hàng]],code_khach_hang[],2,0)</f>
        <v>CHI NHÁNH HÀ NỘI - CÔNG TY CỔ PHẦN DỊCH VỤ THƯƠNG MẠI TỔNG HỢP WINCOMMERCE</v>
      </c>
      <c r="G981" s="16"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c r="A982" s="14" t="s">
        <v>6157</v>
      </c>
      <c r="B982" s="15" t="s">
        <v>5</v>
      </c>
      <c r="C982" s="10" t="s">
        <v>6158</v>
      </c>
      <c r="D982" s="16" t="s">
        <v>3421</v>
      </c>
      <c r="E982" s="15" t="s">
        <v>11215</v>
      </c>
      <c r="F982" s="16" t="str">
        <f>VLOOKUP(Table8[[#This Row],[Mã khách hàng]],code_khach_hang[],2,0)</f>
        <v>CHI NHÁNH HÀ NỘI - CÔNG TY CỔ PHẦN DỊCH VỤ THƯƠNG MẠI TỔNG HỢP WINCOMMERCE</v>
      </c>
      <c r="G982" s="16"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c r="A983" s="14" t="s">
        <v>6449</v>
      </c>
      <c r="B983" s="15" t="s">
        <v>5</v>
      </c>
      <c r="C983" s="10" t="s">
        <v>6450</v>
      </c>
      <c r="D983" s="16" t="s">
        <v>3424</v>
      </c>
      <c r="E983" s="15" t="s">
        <v>11215</v>
      </c>
      <c r="F983" s="16" t="str">
        <f>VLOOKUP(Table8[[#This Row],[Mã khách hàng]],code_khach_hang[],2,0)</f>
        <v>CHI NHÁNH HÀ NỘI - CÔNG TY CỔ PHẦN DỊCH VỤ THƯƠNG MẠI TỔNG HỢP WINCOMMERCE</v>
      </c>
      <c r="G983" s="16"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c r="A984" s="14" t="s">
        <v>6941</v>
      </c>
      <c r="B984" s="15" t="s">
        <v>5</v>
      </c>
      <c r="C984" s="10" t="s">
        <v>6942</v>
      </c>
      <c r="D984" s="16" t="s">
        <v>3427</v>
      </c>
      <c r="E984" s="15" t="s">
        <v>11215</v>
      </c>
      <c r="F984" s="16" t="str">
        <f>VLOOKUP(Table8[[#This Row],[Mã khách hàng]],code_khach_hang[],2,0)</f>
        <v>CHI NHÁNH HÀ NỘI - CÔNG TY CỔ PHẦN DỊCH VỤ THƯƠNG MẠI TỔNG HỢP WINCOMMERCE</v>
      </c>
      <c r="G984" s="16"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c r="A985" s="14" t="s">
        <v>7685</v>
      </c>
      <c r="B985" s="15" t="s">
        <v>5</v>
      </c>
      <c r="C985" s="10" t="s">
        <v>7686</v>
      </c>
      <c r="D985" s="16" t="s">
        <v>3430</v>
      </c>
      <c r="E985" s="15" t="s">
        <v>11215</v>
      </c>
      <c r="F985" s="16" t="str">
        <f>VLOOKUP(Table8[[#This Row],[Mã khách hàng]],code_khach_hang[],2,0)</f>
        <v>CHI NHÁNH HÀ NỘI - CÔNG TY CỔ PHẦN DỊCH VỤ THƯƠNG MẠI TỔNG HỢP WINCOMMERCE</v>
      </c>
      <c r="G985" s="16"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c r="A986" s="14" t="s">
        <v>5585</v>
      </c>
      <c r="B986" s="15" t="s">
        <v>5</v>
      </c>
      <c r="C986" s="10" t="s">
        <v>5586</v>
      </c>
      <c r="D986" s="16" t="s">
        <v>3433</v>
      </c>
      <c r="E986" s="15" t="s">
        <v>11215</v>
      </c>
      <c r="F986" s="16" t="str">
        <f>VLOOKUP(Table8[[#This Row],[Mã khách hàng]],code_khach_hang[],2,0)</f>
        <v>CHI NHÁNH HÀ NỘI - CÔNG TY CỔ PHẦN DỊCH VỤ THƯƠNG MẠI TỔNG HỢP WINCOMMERCE</v>
      </c>
      <c r="G986" s="16"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c r="A987" s="14" t="s">
        <v>5588</v>
      </c>
      <c r="B987" s="15" t="s">
        <v>5</v>
      </c>
      <c r="C987" s="10" t="s">
        <v>5589</v>
      </c>
      <c r="D987" s="16" t="s">
        <v>3436</v>
      </c>
      <c r="E987" s="15" t="s">
        <v>11215</v>
      </c>
      <c r="F987" s="16" t="str">
        <f>VLOOKUP(Table8[[#This Row],[Mã khách hàng]],code_khach_hang[],2,0)</f>
        <v>CHI NHÁNH HÀ NỘI - CÔNG TY CỔ PHẦN DỊCH VỤ THƯƠNG MẠI TỔNG HỢP WINCOMMERCE</v>
      </c>
      <c r="G987" s="16"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c r="A988" s="14" t="s">
        <v>8251</v>
      </c>
      <c r="B988" s="15" t="s">
        <v>5</v>
      </c>
      <c r="C988" s="10" t="s">
        <v>8252</v>
      </c>
      <c r="D988" s="16" t="s">
        <v>3439</v>
      </c>
      <c r="E988" s="15" t="s">
        <v>11215</v>
      </c>
      <c r="F988" s="16" t="str">
        <f>VLOOKUP(Table8[[#This Row],[Mã khách hàng]],code_khach_hang[],2,0)</f>
        <v>CHI NHÁNH HÀ NỘI - CÔNG TY CỔ PHẦN DỊCH VỤ THƯƠNG MẠI TỔNG HỢP WINCOMMERCE</v>
      </c>
      <c r="G988" s="16"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c r="A989" s="14" t="s">
        <v>8650</v>
      </c>
      <c r="B989" s="15" t="s">
        <v>5</v>
      </c>
      <c r="C989" s="10" t="s">
        <v>8651</v>
      </c>
      <c r="D989" s="16" t="s">
        <v>3442</v>
      </c>
      <c r="E989" s="15" t="s">
        <v>11215</v>
      </c>
      <c r="F989" s="16" t="str">
        <f>VLOOKUP(Table8[[#This Row],[Mã khách hàng]],code_khach_hang[],2,0)</f>
        <v>CHI NHÁNH HÀ NỘI - CÔNG TY CỔ PHẦN DỊCH VỤ THƯƠNG MẠI TỔNG HỢP WINCOMMERCE</v>
      </c>
      <c r="G989" s="16"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c r="A990" s="14" t="s">
        <v>8901</v>
      </c>
      <c r="B990" s="15" t="s">
        <v>5</v>
      </c>
      <c r="C990" s="10" t="s">
        <v>8902</v>
      </c>
      <c r="D990" s="16" t="s">
        <v>3445</v>
      </c>
      <c r="E990" s="15" t="s">
        <v>11215</v>
      </c>
      <c r="F990" s="16" t="str">
        <f>VLOOKUP(Table8[[#This Row],[Mã khách hàng]],code_khach_hang[],2,0)</f>
        <v>CHI NHÁNH HÀ NỘI - CÔNG TY CỔ PHẦN DỊCH VỤ THƯƠNG MẠI TỔNG HỢP WINCOMMERCE</v>
      </c>
      <c r="G990" s="16"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c r="A991" s="14" t="s">
        <v>9088</v>
      </c>
      <c r="B991" s="15" t="s">
        <v>5</v>
      </c>
      <c r="C991" s="10" t="s">
        <v>9089</v>
      </c>
      <c r="D991" s="16" t="s">
        <v>3448</v>
      </c>
      <c r="E991" s="15" t="s">
        <v>11215</v>
      </c>
      <c r="F991" s="16" t="str">
        <f>VLOOKUP(Table8[[#This Row],[Mã khách hàng]],code_khach_hang[],2,0)</f>
        <v>CHI NHÁNH HÀ NỘI - CÔNG TY CỔ PHẦN DỊCH VỤ THƯƠNG MẠI TỔNG HỢP WINCOMMERCE</v>
      </c>
      <c r="G991" s="16"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c r="A992" s="14" t="s">
        <v>562</v>
      </c>
      <c r="B992" s="15" t="s">
        <v>183</v>
      </c>
      <c r="C992" s="10" t="s">
        <v>563</v>
      </c>
      <c r="D992" s="16" t="s">
        <v>3451</v>
      </c>
      <c r="E992" s="15" t="s">
        <v>11195</v>
      </c>
      <c r="F992" s="16" t="str">
        <f>VLOOKUP(Table8[[#This Row],[Mã khách hàng]],code_khach_hang[],2,0)</f>
        <v>CHI NHÁNH HÀ NỘI - CÔNG TY CỔ PHẦN DỊCH VỤ THƯƠNG MẠI TỔNG HỢP WINCOMMERCE</v>
      </c>
      <c r="G992" s="16"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c r="A993" s="14" t="s">
        <v>8871</v>
      </c>
      <c r="B993" s="15" t="s">
        <v>5</v>
      </c>
      <c r="C993" s="10" t="s">
        <v>8872</v>
      </c>
      <c r="D993" s="16" t="s">
        <v>3454</v>
      </c>
      <c r="E993" s="15" t="s">
        <v>11215</v>
      </c>
      <c r="F993" s="16" t="str">
        <f>VLOOKUP(Table8[[#This Row],[Mã khách hàng]],code_khach_hang[],2,0)</f>
        <v>CHI NHÁNH HÀ NỘI - CÔNG TY CỔ PHẦN DỊCH VỤ THƯƠNG MẠI TỔNG HỢP WINCOMMERCE</v>
      </c>
      <c r="G993" s="16"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c r="A994" s="14" t="s">
        <v>8874</v>
      </c>
      <c r="B994" s="15" t="s">
        <v>5</v>
      </c>
      <c r="C994" s="10" t="s">
        <v>8875</v>
      </c>
      <c r="D994" s="16" t="s">
        <v>3457</v>
      </c>
      <c r="E994" s="15" t="s">
        <v>11215</v>
      </c>
      <c r="F994" s="16" t="str">
        <f>VLOOKUP(Table8[[#This Row],[Mã khách hàng]],code_khach_hang[],2,0)</f>
        <v>CHI NHÁNH HÀ NỘI - CÔNG TY CỔ PHẦN DỊCH VỤ THƯƠNG MẠI TỔNG HỢP WINCOMMERCE</v>
      </c>
      <c r="G994" s="16"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c r="A995" s="14" t="s">
        <v>8720</v>
      </c>
      <c r="B995" s="15" t="s">
        <v>5</v>
      </c>
      <c r="C995" s="10" t="s">
        <v>8721</v>
      </c>
      <c r="D995" s="16" t="s">
        <v>3460</v>
      </c>
      <c r="E995" s="15" t="s">
        <v>11215</v>
      </c>
      <c r="F995" s="16" t="str">
        <f>VLOOKUP(Table8[[#This Row],[Mã khách hàng]],code_khach_hang[],2,0)</f>
        <v>CHI NHÁNH HÀ NỘI - CÔNG TY CỔ PHẦN DỊCH VỤ THƯƠNG MẠI TỔNG HỢP WINCOMMERCE</v>
      </c>
      <c r="G995" s="16"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c r="A996" s="14" t="s">
        <v>7915</v>
      </c>
      <c r="B996" s="15" t="s">
        <v>5</v>
      </c>
      <c r="C996" s="10" t="s">
        <v>7916</v>
      </c>
      <c r="D996" s="16" t="s">
        <v>3463</v>
      </c>
      <c r="E996" s="15" t="s">
        <v>11215</v>
      </c>
      <c r="F996" s="16" t="str">
        <f>VLOOKUP(Table8[[#This Row],[Mã khách hàng]],code_khach_hang[],2,0)</f>
        <v>CHI NHÁNH HÀ NỘI - CÔNG TY CỔ PHẦN DỊCH VỤ THƯƠNG MẠI TỔNG HỢP WINCOMMERCE</v>
      </c>
      <c r="G996" s="16"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c r="A997" s="14" t="s">
        <v>5319</v>
      </c>
      <c r="B997" s="15" t="s">
        <v>5</v>
      </c>
      <c r="C997" s="10" t="s">
        <v>5320</v>
      </c>
      <c r="D997" s="16" t="s">
        <v>3466</v>
      </c>
      <c r="E997" s="15" t="s">
        <v>11215</v>
      </c>
      <c r="F997" s="16" t="str">
        <f>VLOOKUP(Table8[[#This Row],[Mã khách hàng]],code_khach_hang[],2,0)</f>
        <v>CHI NHÁNH HÀ NỘI - CÔNG TY CỔ PHẦN DỊCH VỤ THƯƠNG MẠI TỔNG HỢP WINCOMMERCE</v>
      </c>
      <c r="G997" s="16"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c r="A998" s="14" t="s">
        <v>828</v>
      </c>
      <c r="B998" s="15" t="s">
        <v>5</v>
      </c>
      <c r="C998" s="10" t="s">
        <v>829</v>
      </c>
      <c r="D998" s="16" t="s">
        <v>3469</v>
      </c>
      <c r="E998" s="15" t="s">
        <v>11215</v>
      </c>
      <c r="F998" s="16" t="str">
        <f>VLOOKUP(Table8[[#This Row],[Mã khách hàng]],code_khach_hang[],2,0)</f>
        <v>CHI NHÁNH HÀ NỘI - CÔNG TY CỔ PHẦN DỊCH VỤ THƯƠNG MẠI TỔNG HỢP WINCOMMERCE</v>
      </c>
      <c r="G998" s="16"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c r="A999" s="14" t="s">
        <v>1122</v>
      </c>
      <c r="B999" s="15" t="s">
        <v>5</v>
      </c>
      <c r="C999" s="10" t="s">
        <v>1123</v>
      </c>
      <c r="D999" s="16" t="s">
        <v>3472</v>
      </c>
      <c r="E999" s="15" t="s">
        <v>11215</v>
      </c>
      <c r="F999" s="16" t="str">
        <f>VLOOKUP(Table8[[#This Row],[Mã khách hàng]],code_khach_hang[],2,0)</f>
        <v>CHI NHÁNH HÀ NỘI - CÔNG TY CỔ PHẦN DỊCH VỤ THƯƠNG MẠI TỔNG HỢP WINCOMMERCE</v>
      </c>
      <c r="G999" s="16"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c r="A1000" s="14" t="s">
        <v>1200</v>
      </c>
      <c r="B1000" s="15" t="s">
        <v>5</v>
      </c>
      <c r="C1000" s="10" t="s">
        <v>1201</v>
      </c>
      <c r="D1000" s="16" t="s">
        <v>3475</v>
      </c>
      <c r="E1000" s="15" t="s">
        <v>11215</v>
      </c>
      <c r="F1000" s="16" t="str">
        <f>VLOOKUP(Table8[[#This Row],[Mã khách hàng]],code_khach_hang[],2,0)</f>
        <v>CHI NHÁNH HÀ NỘI - CÔNG TY CỔ PHẦN DỊCH VỤ THƯƠNG MẠI TỔNG HỢP WINCOMMERCE</v>
      </c>
      <c r="G1000" s="16"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c r="A1001" s="14" t="s">
        <v>4188</v>
      </c>
      <c r="B1001" s="15" t="s">
        <v>5</v>
      </c>
      <c r="C1001" s="10" t="s">
        <v>4189</v>
      </c>
      <c r="D1001" s="16" t="s">
        <v>3479</v>
      </c>
      <c r="E1001" s="15" t="s">
        <v>11215</v>
      </c>
      <c r="F1001" s="16" t="str">
        <f>VLOOKUP(Table8[[#This Row],[Mã khách hàng]],code_khach_hang[],2,0)</f>
        <v>CHI NHÁNH HÀ NỘI - CÔNG TY CỔ PHẦN DỊCH VỤ THƯƠNG MẠI TỔNG HỢP WINCOMMERCE</v>
      </c>
      <c r="G1001" s="16"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c r="A1002" s="14" t="s">
        <v>4275</v>
      </c>
      <c r="B1002" s="15" t="s">
        <v>5</v>
      </c>
      <c r="C1002" s="10" t="s">
        <v>4276</v>
      </c>
      <c r="D1002" s="16" t="s">
        <v>3482</v>
      </c>
      <c r="E1002" s="15" t="s">
        <v>11215</v>
      </c>
      <c r="F1002" s="16" t="str">
        <f>VLOOKUP(Table8[[#This Row],[Mã khách hàng]],code_khach_hang[],2,0)</f>
        <v>CHI NHÁNH HÀ NỘI - CÔNG TY CỔ PHẦN DỊCH VỤ THƯƠNG MẠI TỔNG HỢP WINCOMMERCE</v>
      </c>
      <c r="G1002" s="16"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c r="A1003" s="14" t="s">
        <v>4290</v>
      </c>
      <c r="B1003" s="15" t="s">
        <v>5</v>
      </c>
      <c r="C1003" s="10" t="s">
        <v>4291</v>
      </c>
      <c r="D1003" s="16" t="s">
        <v>3484</v>
      </c>
      <c r="E1003" s="15" t="s">
        <v>11215</v>
      </c>
      <c r="F1003" s="16" t="str">
        <f>VLOOKUP(Table8[[#This Row],[Mã khách hàng]],code_khach_hang[],2,0)</f>
        <v>CHI NHÁNH HÀ NỘI - CÔNG TY CỔ PHẦN DỊCH VỤ THƯƠNG MẠI TỔNG HỢP WINCOMMERCE</v>
      </c>
      <c r="G1003" s="16"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c r="A1004" s="14" t="s">
        <v>4425</v>
      </c>
      <c r="B1004" s="15" t="s">
        <v>5</v>
      </c>
      <c r="C1004" s="10" t="s">
        <v>4426</v>
      </c>
      <c r="D1004" s="16" t="s">
        <v>3487</v>
      </c>
      <c r="E1004" s="15" t="s">
        <v>11215</v>
      </c>
      <c r="F1004" s="16" t="str">
        <f>VLOOKUP(Table8[[#This Row],[Mã khách hàng]],code_khach_hang[],2,0)</f>
        <v>CHI NHÁNH HÀ NỘI - CÔNG TY CỔ PHẦN DỊCH VỤ THƯƠNG MẠI TỔNG HỢP WINCOMMERCE</v>
      </c>
      <c r="G1004" s="16"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c r="A1005" s="14" t="s">
        <v>4575</v>
      </c>
      <c r="B1005" s="15" t="s">
        <v>5</v>
      </c>
      <c r="C1005" s="10" t="s">
        <v>4576</v>
      </c>
      <c r="D1005" s="16" t="s">
        <v>3490</v>
      </c>
      <c r="E1005" s="15" t="s">
        <v>11215</v>
      </c>
      <c r="F1005" s="16" t="str">
        <f>VLOOKUP(Table8[[#This Row],[Mã khách hàng]],code_khach_hang[],2,0)</f>
        <v>CHI NHÁNH HÀ NỘI - CÔNG TY CỔ PHẦN DỊCH VỤ THƯƠNG MẠI TỔNG HỢP WINCOMMERCE</v>
      </c>
      <c r="G1005" s="16"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c r="A1006" s="14" t="s">
        <v>4623</v>
      </c>
      <c r="B1006" s="15" t="s">
        <v>5</v>
      </c>
      <c r="C1006" s="10" t="s">
        <v>4624</v>
      </c>
      <c r="D1006" s="16" t="s">
        <v>3493</v>
      </c>
      <c r="E1006" s="15" t="s">
        <v>11215</v>
      </c>
      <c r="F1006" s="16" t="str">
        <f>VLOOKUP(Table8[[#This Row],[Mã khách hàng]],code_khach_hang[],2,0)</f>
        <v>CHI NHÁNH HÀ NỘI - CÔNG TY CỔ PHẦN DỊCH VỤ THƯƠNG MẠI TỔNG HỢP WINCOMMERCE</v>
      </c>
      <c r="G1006" s="16"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c r="A1007" s="14" t="s">
        <v>4695</v>
      </c>
      <c r="B1007" s="15" t="s">
        <v>5</v>
      </c>
      <c r="C1007" s="10" t="s">
        <v>4696</v>
      </c>
      <c r="D1007" s="16" t="s">
        <v>3496</v>
      </c>
      <c r="E1007" s="15" t="s">
        <v>11215</v>
      </c>
      <c r="F1007" s="16" t="str">
        <f>VLOOKUP(Table8[[#This Row],[Mã khách hàng]],code_khach_hang[],2,0)</f>
        <v>CHI NHÁNH HÀ NỘI - CÔNG TY CỔ PHẦN DỊCH VỤ THƯƠNG MẠI TỔNG HỢP WINCOMMERCE</v>
      </c>
      <c r="G1007" s="16"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c r="A1008" s="14" t="s">
        <v>5199</v>
      </c>
      <c r="B1008" s="15" t="s">
        <v>5</v>
      </c>
      <c r="C1008" s="10" t="s">
        <v>5200</v>
      </c>
      <c r="D1008" s="16" t="s">
        <v>3499</v>
      </c>
      <c r="E1008" s="15" t="s">
        <v>11215</v>
      </c>
      <c r="F1008" s="16" t="str">
        <f>VLOOKUP(Table8[[#This Row],[Mã khách hàng]],code_khach_hang[],2,0)</f>
        <v>CHI NHÁNH HÀ NỘI - CÔNG TY CỔ PHẦN DỊCH VỤ THƯƠNG MẠI TỔNG HỢP WINCOMMERCE</v>
      </c>
      <c r="G1008" s="16"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c r="A1009" s="14" t="s">
        <v>5241</v>
      </c>
      <c r="B1009" s="15" t="s">
        <v>5</v>
      </c>
      <c r="C1009" s="10" t="s">
        <v>5242</v>
      </c>
      <c r="D1009" s="16" t="s">
        <v>3502</v>
      </c>
      <c r="E1009" s="15" t="s">
        <v>11215</v>
      </c>
      <c r="F1009" s="16" t="str">
        <f>VLOOKUP(Table8[[#This Row],[Mã khách hàng]],code_khach_hang[],2,0)</f>
        <v>CHI NHÁNH HÀ NỘI - CÔNG TY CỔ PHẦN DỊCH VỤ THƯƠNG MẠI TỔNG HỢP WINCOMMERCE</v>
      </c>
      <c r="G1009" s="16"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c r="A1010" s="14" t="s">
        <v>5322</v>
      </c>
      <c r="B1010" s="15" t="s">
        <v>5</v>
      </c>
      <c r="C1010" s="10" t="s">
        <v>5323</v>
      </c>
      <c r="D1010" s="16" t="s">
        <v>3505</v>
      </c>
      <c r="E1010" s="15" t="s">
        <v>11215</v>
      </c>
      <c r="F1010" s="16" t="str">
        <f>VLOOKUP(Table8[[#This Row],[Mã khách hàng]],code_khach_hang[],2,0)</f>
        <v>CHI NHÁNH HÀ NỘI - CÔNG TY CỔ PHẦN DỊCH VỤ THƯƠNG MẠI TỔNG HỢP WINCOMMERCE</v>
      </c>
      <c r="G1010" s="16"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c r="A1011" s="14" t="s">
        <v>5412</v>
      </c>
      <c r="B1011" s="15" t="s">
        <v>5</v>
      </c>
      <c r="C1011" s="10" t="s">
        <v>5413</v>
      </c>
      <c r="D1011" s="16" t="s">
        <v>3508</v>
      </c>
      <c r="E1011" s="15" t="s">
        <v>11215</v>
      </c>
      <c r="F1011" s="16" t="str">
        <f>VLOOKUP(Table8[[#This Row],[Mã khách hàng]],code_khach_hang[],2,0)</f>
        <v>CHI NHÁNH HÀ NỘI - CÔNG TY CỔ PHẦN DỊCH VỤ THƯƠNG MẠI TỔNG HỢP WINCOMMERCE</v>
      </c>
      <c r="G1011" s="16"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c r="A1012" s="14" t="s">
        <v>5857</v>
      </c>
      <c r="B1012" s="15" t="s">
        <v>5</v>
      </c>
      <c r="C1012" s="10" t="s">
        <v>5858</v>
      </c>
      <c r="D1012" s="16" t="s">
        <v>3511</v>
      </c>
      <c r="E1012" s="15" t="s">
        <v>11215</v>
      </c>
      <c r="F1012" s="16" t="str">
        <f>VLOOKUP(Table8[[#This Row],[Mã khách hàng]],code_khach_hang[],2,0)</f>
        <v>CHI NHÁNH HÀ NỘI - CÔNG TY CỔ PHẦN DỊCH VỤ THƯƠNG MẠI TỔNG HỢP WINCOMMERCE</v>
      </c>
      <c r="G1012" s="16"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c r="A1013" s="14" t="s">
        <v>6836</v>
      </c>
      <c r="B1013" s="15" t="s">
        <v>5</v>
      </c>
      <c r="C1013" s="10" t="s">
        <v>6837</v>
      </c>
      <c r="D1013" s="16" t="s">
        <v>3514</v>
      </c>
      <c r="E1013" s="15" t="s">
        <v>11215</v>
      </c>
      <c r="F1013" s="16" t="str">
        <f>VLOOKUP(Table8[[#This Row],[Mã khách hàng]],code_khach_hang[],2,0)</f>
        <v>CHI NHÁNH HÀ NỘI - CÔNG TY CỔ PHẦN DỊCH VỤ THƯƠNG MẠI TỔNG HỢP WINCOMMERCE</v>
      </c>
      <c r="G1013" s="16"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c r="A1014" s="14" t="s">
        <v>7443</v>
      </c>
      <c r="B1014" s="15" t="s">
        <v>5</v>
      </c>
      <c r="C1014" s="10" t="s">
        <v>7444</v>
      </c>
      <c r="D1014" s="16" t="s">
        <v>3517</v>
      </c>
      <c r="E1014" s="15" t="s">
        <v>11215</v>
      </c>
      <c r="F1014" s="16" t="str">
        <f>VLOOKUP(Table8[[#This Row],[Mã khách hàng]],code_khach_hang[],2,0)</f>
        <v>CHI NHÁNH HÀ NỘI - CÔNG TY CỔ PHẦN DỊCH VỤ THƯƠNG MẠI TỔNG HỢP WINCOMMERCE</v>
      </c>
      <c r="G1014" s="16"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c r="A1015" s="14" t="s">
        <v>7535</v>
      </c>
      <c r="B1015" s="15" t="s">
        <v>5</v>
      </c>
      <c r="C1015" s="10" t="s">
        <v>7536</v>
      </c>
      <c r="D1015" s="16" t="s">
        <v>3519</v>
      </c>
      <c r="E1015" s="15" t="s">
        <v>11215</v>
      </c>
      <c r="F1015" s="16" t="str">
        <f>VLOOKUP(Table8[[#This Row],[Mã khách hàng]],code_khach_hang[],2,0)</f>
        <v>CHI NHÁNH HÀ NỘI - CÔNG TY CỔ PHẦN DỊCH VỤ THƯƠNG MẠI TỔNG HỢP WINCOMMERCE</v>
      </c>
      <c r="G1015" s="16"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c r="A1016" s="14" t="s">
        <v>7604</v>
      </c>
      <c r="B1016" s="15" t="s">
        <v>5</v>
      </c>
      <c r="C1016" s="10" t="s">
        <v>7605</v>
      </c>
      <c r="D1016" s="16" t="s">
        <v>3522</v>
      </c>
      <c r="E1016" s="15" t="s">
        <v>11215</v>
      </c>
      <c r="F1016" s="16" t="str">
        <f>VLOOKUP(Table8[[#This Row],[Mã khách hàng]],code_khach_hang[],2,0)</f>
        <v>CHI NHÁNH HÀ NỘI - CÔNG TY CỔ PHẦN DỊCH VỤ THƯƠNG MẠI TỔNG HỢP WINCOMMERCE</v>
      </c>
      <c r="G1016" s="16"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c r="A1017" s="14" t="s">
        <v>8079</v>
      </c>
      <c r="B1017" s="15" t="s">
        <v>5</v>
      </c>
      <c r="C1017" s="10" t="s">
        <v>8080</v>
      </c>
      <c r="D1017" s="16" t="s">
        <v>3524</v>
      </c>
      <c r="E1017" s="15" t="s">
        <v>11215</v>
      </c>
      <c r="F1017" s="16" t="str">
        <f>VLOOKUP(Table8[[#This Row],[Mã khách hàng]],code_khach_hang[],2,0)</f>
        <v>CHI NHÁNH HÀ NỘI - CÔNG TY CỔ PHẦN DỊCH VỤ THƯƠNG MẠI TỔNG HỢP WINCOMMERCE</v>
      </c>
      <c r="G1017" s="16"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c r="A1018" s="14" t="s">
        <v>6713</v>
      </c>
      <c r="B1018" s="15" t="s">
        <v>5</v>
      </c>
      <c r="C1018" s="10" t="s">
        <v>6714</v>
      </c>
      <c r="D1018" s="16" t="s">
        <v>3527</v>
      </c>
      <c r="E1018" s="15" t="s">
        <v>11215</v>
      </c>
      <c r="F1018" s="16" t="str">
        <f>VLOOKUP(Table8[[#This Row],[Mã khách hàng]],code_khach_hang[],2,0)</f>
        <v>CHI NHÁNH HÀ NỘI - CÔNG TY CỔ PHẦN DỊCH VỤ THƯƠNG MẠI TỔNG HỢP WINCOMMERCE</v>
      </c>
      <c r="G1018" s="16"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c r="A1019" s="14" t="s">
        <v>8103</v>
      </c>
      <c r="B1019" s="15" t="s">
        <v>5</v>
      </c>
      <c r="C1019" s="10" t="s">
        <v>8104</v>
      </c>
      <c r="D1019" s="16" t="s">
        <v>3530</v>
      </c>
      <c r="E1019" s="15" t="s">
        <v>11215</v>
      </c>
      <c r="F1019" s="16" t="str">
        <f>VLOOKUP(Table8[[#This Row],[Mã khách hàng]],code_khach_hang[],2,0)</f>
        <v>CHI NHÁNH HÀ NỘI - CÔNG TY CỔ PHẦN DỊCH VỤ THƯƠNG MẠI TỔNG HỢP WINCOMMERCE</v>
      </c>
      <c r="G1019" s="16"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c r="A1020" s="14" t="s">
        <v>6656</v>
      </c>
      <c r="B1020" s="15" t="s">
        <v>5</v>
      </c>
      <c r="C1020" s="10" t="s">
        <v>6657</v>
      </c>
      <c r="D1020" s="16" t="s">
        <v>3533</v>
      </c>
      <c r="E1020" s="15" t="s">
        <v>11215</v>
      </c>
      <c r="F1020" s="16" t="str">
        <f>VLOOKUP(Table8[[#This Row],[Mã khách hàng]],code_khach_hang[],2,0)</f>
        <v>CHI NHÁNH HÀ NỘI - CÔNG TY CỔ PHẦN DỊCH VỤ THƯƠNG MẠI TỔNG HỢP WINCOMMERCE</v>
      </c>
      <c r="G1020" s="16"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c r="A1021" s="14" t="s">
        <v>6728</v>
      </c>
      <c r="B1021" s="15" t="s">
        <v>5</v>
      </c>
      <c r="C1021" s="10" t="s">
        <v>6729</v>
      </c>
      <c r="D1021" s="16" t="s">
        <v>3536</v>
      </c>
      <c r="E1021" s="15" t="s">
        <v>11215</v>
      </c>
      <c r="F1021" s="16" t="str">
        <f>VLOOKUP(Table8[[#This Row],[Mã khách hàng]],code_khach_hang[],2,0)</f>
        <v>CHI NHÁNH HÀ NỘI - CÔNG TY CỔ PHẦN DỊCH VỤ THƯƠNG MẠI TỔNG HỢP WINCOMMERCE</v>
      </c>
      <c r="G1021" s="16"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c r="A1022" s="14" t="s">
        <v>7676</v>
      </c>
      <c r="B1022" s="15" t="s">
        <v>5</v>
      </c>
      <c r="C1022" s="10" t="s">
        <v>7677</v>
      </c>
      <c r="D1022" s="16" t="s">
        <v>3539</v>
      </c>
      <c r="E1022" s="15" t="s">
        <v>11215</v>
      </c>
      <c r="F1022" s="16" t="str">
        <f>VLOOKUP(Table8[[#This Row],[Mã khách hàng]],code_khach_hang[],2,0)</f>
        <v>CHI NHÁNH HÀ NỘI - CÔNG TY CỔ PHẦN DỊCH VỤ THƯƠNG MẠI TỔNG HỢP WINCOMMERCE</v>
      </c>
      <c r="G1022" s="16"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c r="A1023" s="14" t="s">
        <v>8358</v>
      </c>
      <c r="B1023" s="15" t="s">
        <v>5</v>
      </c>
      <c r="C1023" s="10" t="s">
        <v>8359</v>
      </c>
      <c r="D1023" s="16" t="s">
        <v>3542</v>
      </c>
      <c r="E1023" s="15" t="s">
        <v>11215</v>
      </c>
      <c r="F1023" s="16" t="str">
        <f>VLOOKUP(Table8[[#This Row],[Mã khách hàng]],code_khach_hang[],2,0)</f>
        <v>CHI NHÁNH HÀ NỘI - CÔNG TY CỔ PHẦN DỊCH VỤ THƯƠNG MẠI TỔNG HỢP WINCOMMERCE</v>
      </c>
      <c r="G1023" s="16"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c r="A1024" s="14" t="s">
        <v>8346</v>
      </c>
      <c r="B1024" s="15" t="s">
        <v>5</v>
      </c>
      <c r="C1024" s="10" t="s">
        <v>8347</v>
      </c>
      <c r="D1024" s="16" t="s">
        <v>3545</v>
      </c>
      <c r="E1024" s="15" t="s">
        <v>11215</v>
      </c>
      <c r="F1024" s="16" t="str">
        <f>VLOOKUP(Table8[[#This Row],[Mã khách hàng]],code_khach_hang[],2,0)</f>
        <v>CHI NHÁNH HÀ NỘI - CÔNG TY CỔ PHẦN DỊCH VỤ THƯƠNG MẠI TỔNG HỢP WINCOMMERCE</v>
      </c>
      <c r="G1024" s="16"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c r="A1025" s="14" t="s">
        <v>8547</v>
      </c>
      <c r="B1025" s="15" t="s">
        <v>5</v>
      </c>
      <c r="C1025" s="10" t="s">
        <v>8548</v>
      </c>
      <c r="D1025" s="16" t="s">
        <v>3547</v>
      </c>
      <c r="E1025" s="15" t="s">
        <v>11215</v>
      </c>
      <c r="F1025" s="16" t="str">
        <f>VLOOKUP(Table8[[#This Row],[Mã khách hàng]],code_khach_hang[],2,0)</f>
        <v>CHI NHÁNH HÀ NỘI - CÔNG TY CỔ PHẦN DỊCH VỤ THƯƠNG MẠI TỔNG HỢP WINCOMMERCE</v>
      </c>
      <c r="G1025" s="16"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c r="A1026" s="14" t="s">
        <v>8714</v>
      </c>
      <c r="B1026" s="15" t="s">
        <v>5</v>
      </c>
      <c r="C1026" s="10" t="s">
        <v>8715</v>
      </c>
      <c r="D1026" s="16" t="s">
        <v>3550</v>
      </c>
      <c r="E1026" s="15" t="s">
        <v>11215</v>
      </c>
      <c r="F1026" s="16" t="str">
        <f>VLOOKUP(Table8[[#This Row],[Mã khách hàng]],code_khach_hang[],2,0)</f>
        <v>CHI NHÁNH HÀ NỘI - CÔNG TY CỔ PHẦN DỊCH VỤ THƯƠNG MẠI TỔNG HỢP WINCOMMERCE</v>
      </c>
      <c r="G1026" s="16"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c r="A1027" s="14" t="s">
        <v>8965</v>
      </c>
      <c r="B1027" s="15" t="s">
        <v>5</v>
      </c>
      <c r="C1027" s="10" t="s">
        <v>8966</v>
      </c>
      <c r="D1027" s="16" t="s">
        <v>3553</v>
      </c>
      <c r="E1027" s="15" t="s">
        <v>11215</v>
      </c>
      <c r="F1027" s="16" t="str">
        <f>VLOOKUP(Table8[[#This Row],[Mã khách hàng]],code_khach_hang[],2,0)</f>
        <v>CHI NHÁNH HÀ NỘI - CÔNG TY CỔ PHẦN DỊCH VỤ THƯƠNG MẠI TỔNG HỢP WINCOMMERCE</v>
      </c>
      <c r="G1027" s="16"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c r="A1028" s="14" t="s">
        <v>9007</v>
      </c>
      <c r="B1028" s="15" t="s">
        <v>5</v>
      </c>
      <c r="C1028" s="10" t="s">
        <v>9008</v>
      </c>
      <c r="D1028" s="16" t="s">
        <v>3556</v>
      </c>
      <c r="E1028" s="15" t="s">
        <v>11215</v>
      </c>
      <c r="F1028" s="16" t="str">
        <f>VLOOKUP(Table8[[#This Row],[Mã khách hàng]],code_khach_hang[],2,0)</f>
        <v>CHI NHÁNH HÀ NỘI - CÔNG TY CỔ PHẦN DỊCH VỤ THƯƠNG MẠI TỔNG HỢP WINCOMMERCE</v>
      </c>
      <c r="G1028" s="16"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c r="A1029" s="14" t="s">
        <v>556</v>
      </c>
      <c r="B1029" s="15" t="s">
        <v>183</v>
      </c>
      <c r="C1029" s="10" t="s">
        <v>557</v>
      </c>
      <c r="D1029" s="16" t="s">
        <v>3559</v>
      </c>
      <c r="E1029" s="15" t="s">
        <v>11195</v>
      </c>
      <c r="F1029" s="16" t="str">
        <f>VLOOKUP(Table8[[#This Row],[Mã khách hàng]],code_khach_hang[],2,0)</f>
        <v>CHI NHÁNH HÀ NỘI - CÔNG TY CỔ PHẦN DỊCH VỤ THƯƠNG MẠI TỔNG HỢP WINCOMMERCE</v>
      </c>
      <c r="G1029" s="16"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c r="A1030" s="14" t="s">
        <v>4947</v>
      </c>
      <c r="B1030" s="15" t="s">
        <v>5</v>
      </c>
      <c r="C1030" s="10" t="s">
        <v>4948</v>
      </c>
      <c r="D1030" s="16" t="s">
        <v>3562</v>
      </c>
      <c r="E1030" s="15" t="s">
        <v>11203</v>
      </c>
      <c r="F1030" s="16" t="str">
        <f>VLOOKUP(Table8[[#This Row],[Mã khách hàng]],code_khach_hang[],2,0)</f>
        <v>CHI NHÁNH THANH HÓA - CÔNG TY CỔ PHẦN DỊCH VỤ THƯƠNG MẠI TỔNG HỢP WINCOMMERCE</v>
      </c>
      <c r="G1030" s="16"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c r="A1031" s="14" t="s">
        <v>4614</v>
      </c>
      <c r="B1031" s="15" t="s">
        <v>5</v>
      </c>
      <c r="C1031" s="10" t="s">
        <v>4615</v>
      </c>
      <c r="D1031" s="16" t="s">
        <v>3565</v>
      </c>
      <c r="E1031" s="15" t="s">
        <v>11203</v>
      </c>
      <c r="F1031" s="16" t="str">
        <f>VLOOKUP(Table8[[#This Row],[Mã khách hàng]],code_khach_hang[],2,0)</f>
        <v>CHI NHÁNH THANH HÓA - CÔNG TY CỔ PHẦN DỊCH VỤ THƯƠNG MẠI TỔNG HỢP WINCOMMERCE</v>
      </c>
      <c r="G1031" s="16"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c r="A1032" s="14" t="s">
        <v>4620</v>
      </c>
      <c r="B1032" s="15" t="s">
        <v>5</v>
      </c>
      <c r="C1032" s="10" t="s">
        <v>4621</v>
      </c>
      <c r="D1032" s="16" t="s">
        <v>3567</v>
      </c>
      <c r="E1032" s="15" t="s">
        <v>11203</v>
      </c>
      <c r="F1032" s="16" t="str">
        <f>VLOOKUP(Table8[[#This Row],[Mã khách hàng]],code_khach_hang[],2,0)</f>
        <v>CHI NHÁNH THANH HÓA - CÔNG TY CỔ PHẦN DỊCH VỤ THƯƠNG MẠI TỔNG HỢP WINCOMMERCE</v>
      </c>
      <c r="G1032" s="16"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c r="A1033" s="14" t="s">
        <v>4626</v>
      </c>
      <c r="B1033" s="15" t="s">
        <v>5</v>
      </c>
      <c r="C1033" s="10" t="s">
        <v>4627</v>
      </c>
      <c r="D1033" s="16" t="s">
        <v>3570</v>
      </c>
      <c r="E1033" s="15" t="s">
        <v>11203</v>
      </c>
      <c r="F1033" s="16" t="str">
        <f>VLOOKUP(Table8[[#This Row],[Mã khách hàng]],code_khach_hang[],2,0)</f>
        <v>CHI NHÁNH THANH HÓA - CÔNG TY CỔ PHẦN DỊCH VỤ THƯƠNG MẠI TỔNG HỢP WINCOMMERCE</v>
      </c>
      <c r="G1033" s="16"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c r="A1034" s="14" t="s">
        <v>4635</v>
      </c>
      <c r="B1034" s="15" t="s">
        <v>5</v>
      </c>
      <c r="C1034" s="10" t="s">
        <v>4636</v>
      </c>
      <c r="D1034" s="16" t="s">
        <v>3573</v>
      </c>
      <c r="E1034" s="15" t="s">
        <v>11203</v>
      </c>
      <c r="F1034" s="16" t="str">
        <f>VLOOKUP(Table8[[#This Row],[Mã khách hàng]],code_khach_hang[],2,0)</f>
        <v>CHI NHÁNH THANH HÓA - CÔNG TY CỔ PHẦN DỊCH VỤ THƯƠNG MẠI TỔNG HỢP WINCOMMERCE</v>
      </c>
      <c r="G1034" s="16"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c r="A1035" s="14" t="s">
        <v>4644</v>
      </c>
      <c r="B1035" s="15" t="s">
        <v>5</v>
      </c>
      <c r="C1035" s="10" t="s">
        <v>4645</v>
      </c>
      <c r="D1035" s="16" t="s">
        <v>3576</v>
      </c>
      <c r="E1035" s="15" t="s">
        <v>11203</v>
      </c>
      <c r="F1035" s="16" t="str">
        <f>VLOOKUP(Table8[[#This Row],[Mã khách hàng]],code_khach_hang[],2,0)</f>
        <v>CHI NHÁNH THANH HÓA - CÔNG TY CỔ PHẦN DỊCH VỤ THƯƠNG MẠI TỔNG HỢP WINCOMMERCE</v>
      </c>
      <c r="G1035" s="16"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c r="A1036" s="14" t="s">
        <v>4731</v>
      </c>
      <c r="B1036" s="15" t="s">
        <v>5</v>
      </c>
      <c r="C1036" s="10" t="s">
        <v>4732</v>
      </c>
      <c r="D1036" s="16" t="s">
        <v>3579</v>
      </c>
      <c r="E1036" s="15" t="s">
        <v>11203</v>
      </c>
      <c r="F1036" s="16" t="str">
        <f>VLOOKUP(Table8[[#This Row],[Mã khách hàng]],code_khach_hang[],2,0)</f>
        <v>CHI NHÁNH THANH HÓA - CÔNG TY CỔ PHẦN DỊCH VỤ THƯƠNG MẠI TỔNG HỢP WINCOMMERCE</v>
      </c>
      <c r="G1036" s="16"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c r="A1037" s="14" t="s">
        <v>4752</v>
      </c>
      <c r="B1037" s="15" t="s">
        <v>5</v>
      </c>
      <c r="C1037" s="10" t="s">
        <v>4753</v>
      </c>
      <c r="D1037" s="16" t="s">
        <v>3582</v>
      </c>
      <c r="E1037" s="15" t="s">
        <v>11203</v>
      </c>
      <c r="F1037" s="16" t="str">
        <f>VLOOKUP(Table8[[#This Row],[Mã khách hàng]],code_khach_hang[],2,0)</f>
        <v>CHI NHÁNH THANH HÓA - CÔNG TY CỔ PHẦN DỊCH VỤ THƯƠNG MẠI TỔNG HỢP WINCOMMERCE</v>
      </c>
      <c r="G1037" s="16"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c r="A1038" s="14" t="s">
        <v>6785</v>
      </c>
      <c r="B1038" s="15" t="s">
        <v>5</v>
      </c>
      <c r="C1038" s="10" t="s">
        <v>6786</v>
      </c>
      <c r="D1038" s="16" t="s">
        <v>3585</v>
      </c>
      <c r="E1038" s="15" t="s">
        <v>11203</v>
      </c>
      <c r="F1038" s="16" t="str">
        <f>VLOOKUP(Table8[[#This Row],[Mã khách hàng]],code_khach_hang[],2,0)</f>
        <v>CHI NHÁNH THANH HÓA - CÔNG TY CỔ PHẦN DỊCH VỤ THƯƠNG MẠI TỔNG HỢP WINCOMMERCE</v>
      </c>
      <c r="G1038" s="16"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c r="A1039" s="14" t="s">
        <v>7895</v>
      </c>
      <c r="B1039" s="15" t="s">
        <v>5</v>
      </c>
      <c r="C1039" s="10" t="e">
        <v>#N/A</v>
      </c>
      <c r="D1039" s="16" t="s">
        <v>3587</v>
      </c>
      <c r="E1039" s="15" t="s">
        <v>11203</v>
      </c>
      <c r="F1039" s="16" t="str">
        <f>VLOOKUP(Table8[[#This Row],[Mã khách hàng]],code_khach_hang[],2,0)</f>
        <v>CHI NHÁNH THANH HÓA - CÔNG TY CỔ PHẦN DỊCH VỤ THƯƠNG MẠI TỔNG HỢP WINCOMMERCE</v>
      </c>
      <c r="G1039" s="16"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c r="A1040" s="14" t="s">
        <v>7065</v>
      </c>
      <c r="B1040" s="15" t="s">
        <v>5</v>
      </c>
      <c r="C1040" s="10" t="s">
        <v>7066</v>
      </c>
      <c r="D1040" s="16" t="s">
        <v>3590</v>
      </c>
      <c r="E1040" s="15" t="s">
        <v>11203</v>
      </c>
      <c r="F1040" s="16" t="str">
        <f>VLOOKUP(Table8[[#This Row],[Mã khách hàng]],code_khach_hang[],2,0)</f>
        <v>CHI NHÁNH THANH HÓA - CÔNG TY CỔ PHẦN DỊCH VỤ THƯƠNG MẠI TỔNG HỢP WINCOMMERCE</v>
      </c>
      <c r="G1040" s="16"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c r="A1041" s="14" t="s">
        <v>7039</v>
      </c>
      <c r="B1041" s="15" t="s">
        <v>5</v>
      </c>
      <c r="C1041" s="10" t="s">
        <v>7040</v>
      </c>
      <c r="D1041" s="16" t="s">
        <v>3593</v>
      </c>
      <c r="E1041" s="15" t="s">
        <v>11203</v>
      </c>
      <c r="F1041" s="16" t="str">
        <f>VLOOKUP(Table8[[#This Row],[Mã khách hàng]],code_khach_hang[],2,0)</f>
        <v>CHI NHÁNH THANH HÓA - CÔNG TY CỔ PHẦN DỊCH VỤ THƯƠNG MẠI TỔNG HỢP WINCOMMERCE</v>
      </c>
      <c r="G1041" s="16"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c r="A1042" s="14" t="s">
        <v>7047</v>
      </c>
      <c r="B1042" s="15" t="s">
        <v>5</v>
      </c>
      <c r="C1042" s="10" t="s">
        <v>7048</v>
      </c>
      <c r="D1042" s="16" t="s">
        <v>3596</v>
      </c>
      <c r="E1042" s="15" t="s">
        <v>11203</v>
      </c>
      <c r="F1042" s="16" t="str">
        <f>VLOOKUP(Table8[[#This Row],[Mã khách hàng]],code_khach_hang[],2,0)</f>
        <v>CHI NHÁNH THANH HÓA - CÔNG TY CỔ PHẦN DỊCH VỤ THƯƠNG MẠI TỔNG HỢP WINCOMMERCE</v>
      </c>
      <c r="G1042" s="16"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c r="A1043" s="14" t="s">
        <v>7036</v>
      </c>
      <c r="B1043" s="15" t="s">
        <v>5</v>
      </c>
      <c r="C1043" s="10" t="s">
        <v>7037</v>
      </c>
      <c r="D1043" s="16" t="s">
        <v>3599</v>
      </c>
      <c r="E1043" s="15" t="s">
        <v>11203</v>
      </c>
      <c r="F1043" s="16" t="str">
        <f>VLOOKUP(Table8[[#This Row],[Mã khách hàng]],code_khach_hang[],2,0)</f>
        <v>CHI NHÁNH THANH HÓA - CÔNG TY CỔ PHẦN DỊCH VỤ THƯƠNG MẠI TỔNG HỢP WINCOMMERCE</v>
      </c>
      <c r="G1043" s="16"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c r="A1044" s="14" t="s">
        <v>7068</v>
      </c>
      <c r="B1044" s="15" t="s">
        <v>5</v>
      </c>
      <c r="C1044" s="10" t="s">
        <v>7069</v>
      </c>
      <c r="D1044" s="16" t="s">
        <v>3602</v>
      </c>
      <c r="E1044" s="15" t="s">
        <v>11203</v>
      </c>
      <c r="F1044" s="16" t="str">
        <f>VLOOKUP(Table8[[#This Row],[Mã khách hàng]],code_khach_hang[],2,0)</f>
        <v>CHI NHÁNH THANH HÓA - CÔNG TY CỔ PHẦN DỊCH VỤ THƯƠNG MẠI TỔNG HỢP WINCOMMERCE</v>
      </c>
      <c r="G1044" s="16"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c r="A1045" s="14" t="s">
        <v>5941</v>
      </c>
      <c r="B1045" s="15" t="s">
        <v>5</v>
      </c>
      <c r="C1045" s="10" t="s">
        <v>5942</v>
      </c>
      <c r="D1045" s="16" t="s">
        <v>3605</v>
      </c>
      <c r="E1045" s="15" t="s">
        <v>11203</v>
      </c>
      <c r="F1045" s="16" t="str">
        <f>VLOOKUP(Table8[[#This Row],[Mã khách hàng]],code_khach_hang[],2,0)</f>
        <v>CHI NHÁNH THANH HÓA - CÔNG TY CỔ PHẦN DỊCH VỤ THƯƠNG MẠI TỔNG HỢP WINCOMMERCE</v>
      </c>
      <c r="G1045" s="16"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c r="A1046" s="14" t="s">
        <v>6629</v>
      </c>
      <c r="B1046" s="15" t="s">
        <v>5</v>
      </c>
      <c r="C1046" s="10" t="s">
        <v>6630</v>
      </c>
      <c r="D1046" s="16" t="s">
        <v>3608</v>
      </c>
      <c r="E1046" s="15" t="s">
        <v>11203</v>
      </c>
      <c r="F1046" s="16" t="str">
        <f>VLOOKUP(Table8[[#This Row],[Mã khách hàng]],code_khach_hang[],2,0)</f>
        <v>CHI NHÁNH THANH HÓA - CÔNG TY CỔ PHẦN DỊCH VỤ THƯƠNG MẠI TỔNG HỢP WINCOMMERCE</v>
      </c>
      <c r="G1046" s="16"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c r="A1047" s="14" t="s">
        <v>4926</v>
      </c>
      <c r="B1047" s="15" t="s">
        <v>5</v>
      </c>
      <c r="C1047" s="10" t="s">
        <v>4927</v>
      </c>
      <c r="D1047" s="16" t="s">
        <v>3611</v>
      </c>
      <c r="E1047" s="15" t="s">
        <v>11203</v>
      </c>
      <c r="F1047" s="16" t="str">
        <f>VLOOKUP(Table8[[#This Row],[Mã khách hàng]],code_khach_hang[],2,0)</f>
        <v>CHI NHÁNH THANH HÓA - CÔNG TY CỔ PHẦN DỊCH VỤ THƯƠNG MẠI TỔNG HỢP WINCOMMERCE</v>
      </c>
      <c r="G1047" s="16"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c r="A1048" s="14" t="s">
        <v>7843</v>
      </c>
      <c r="B1048" s="15" t="s">
        <v>5</v>
      </c>
      <c r="C1048" s="10" t="s">
        <v>7844</v>
      </c>
      <c r="D1048" s="16" t="s">
        <v>3614</v>
      </c>
      <c r="E1048" s="15" t="s">
        <v>11203</v>
      </c>
      <c r="F1048" s="16" t="str">
        <f>VLOOKUP(Table8[[#This Row],[Mã khách hàng]],code_khach_hang[],2,0)</f>
        <v>CHI NHÁNH THANH HÓA - CÔNG TY CỔ PHẦN DỊCH VỤ THƯƠNG MẠI TỔNG HỢP WINCOMMERCE</v>
      </c>
      <c r="G1048" s="16"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c r="A1049" s="14" t="s">
        <v>7792</v>
      </c>
      <c r="B1049" s="15" t="s">
        <v>5</v>
      </c>
      <c r="C1049" s="10" t="s">
        <v>7793</v>
      </c>
      <c r="D1049" s="16" t="s">
        <v>3617</v>
      </c>
      <c r="E1049" s="15" t="s">
        <v>11203</v>
      </c>
      <c r="F1049" s="16" t="str">
        <f>VLOOKUP(Table8[[#This Row],[Mã khách hàng]],code_khach_hang[],2,0)</f>
        <v>CHI NHÁNH THANH HÓA - CÔNG TY CỔ PHẦN DỊCH VỤ THƯƠNG MẠI TỔNG HỢP WINCOMMERCE</v>
      </c>
      <c r="G1049" s="16"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c r="A1050" s="14" t="s">
        <v>4671</v>
      </c>
      <c r="B1050" s="15" t="s">
        <v>5</v>
      </c>
      <c r="C1050" s="10" t="s">
        <v>4672</v>
      </c>
      <c r="D1050" s="16" t="s">
        <v>3620</v>
      </c>
      <c r="E1050" s="15" t="s">
        <v>11203</v>
      </c>
      <c r="F1050" s="16" t="str">
        <f>VLOOKUP(Table8[[#This Row],[Mã khách hàng]],code_khach_hang[],2,0)</f>
        <v>CHI NHÁNH THANH HÓA - CÔNG TY CỔ PHẦN DỊCH VỤ THƯƠNG MẠI TỔNG HỢP WINCOMMERCE</v>
      </c>
      <c r="G1050" s="16"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c r="A1051" s="14" t="s">
        <v>8043</v>
      </c>
      <c r="B1051" s="15" t="s">
        <v>5</v>
      </c>
      <c r="C1051" s="10" t="s">
        <v>8044</v>
      </c>
      <c r="D1051" s="16" t="s">
        <v>3623</v>
      </c>
      <c r="E1051" s="15" t="s">
        <v>11203</v>
      </c>
      <c r="F1051" s="16" t="str">
        <f>VLOOKUP(Table8[[#This Row],[Mã khách hàng]],code_khach_hang[],2,0)</f>
        <v>CHI NHÁNH THANH HÓA - CÔNG TY CỔ PHẦN DỊCH VỤ THƯƠNG MẠI TỔNG HỢP WINCOMMERCE</v>
      </c>
      <c r="G1051" s="16"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c r="A1052" s="14" t="s">
        <v>4845</v>
      </c>
      <c r="B1052" s="15" t="s">
        <v>5</v>
      </c>
      <c r="C1052" s="10" t="s">
        <v>4846</v>
      </c>
      <c r="D1052" s="16" t="s">
        <v>3626</v>
      </c>
      <c r="E1052" s="15" t="s">
        <v>11203</v>
      </c>
      <c r="F1052" s="16" t="str">
        <f>VLOOKUP(Table8[[#This Row],[Mã khách hàng]],code_khach_hang[],2,0)</f>
        <v>CHI NHÁNH THANH HÓA - CÔNG TY CỔ PHẦN DỊCH VỤ THƯƠNG MẠI TỔNG HỢP WINCOMMERCE</v>
      </c>
      <c r="G1052" s="16"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c r="A1053" s="14" t="s">
        <v>5902</v>
      </c>
      <c r="B1053" s="15" t="s">
        <v>5</v>
      </c>
      <c r="C1053" s="10" t="s">
        <v>5903</v>
      </c>
      <c r="D1053" s="16" t="s">
        <v>3629</v>
      </c>
      <c r="E1053" s="15" t="s">
        <v>11203</v>
      </c>
      <c r="F1053" s="16" t="str">
        <f>VLOOKUP(Table8[[#This Row],[Mã khách hàng]],code_khach_hang[],2,0)</f>
        <v>CHI NHÁNH THANH HÓA - CÔNG TY CỔ PHẦN DỊCH VỤ THƯƠNG MẠI TỔNG HỢP WINCOMMERCE</v>
      </c>
      <c r="G1053" s="16"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c r="A1054" s="14" t="s">
        <v>4842</v>
      </c>
      <c r="B1054" s="15" t="s">
        <v>5</v>
      </c>
      <c r="C1054" s="10" t="s">
        <v>4843</v>
      </c>
      <c r="D1054" s="16" t="s">
        <v>3632</v>
      </c>
      <c r="E1054" s="15" t="s">
        <v>11203</v>
      </c>
      <c r="F1054" s="16" t="str">
        <f>VLOOKUP(Table8[[#This Row],[Mã khách hàng]],code_khach_hang[],2,0)</f>
        <v>CHI NHÁNH THANH HÓA - CÔNG TY CỔ PHẦN DỊCH VỤ THƯƠNG MẠI TỔNG HỢP WINCOMMERCE</v>
      </c>
      <c r="G1054" s="16"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c r="A1055" s="14" t="s">
        <v>4839</v>
      </c>
      <c r="B1055" s="15" t="s">
        <v>5</v>
      </c>
      <c r="C1055" s="10" t="s">
        <v>4840</v>
      </c>
      <c r="D1055" s="16" t="s">
        <v>3635</v>
      </c>
      <c r="E1055" s="15" t="s">
        <v>11203</v>
      </c>
      <c r="F1055" s="16" t="str">
        <f>VLOOKUP(Table8[[#This Row],[Mã khách hàng]],code_khach_hang[],2,0)</f>
        <v>CHI NHÁNH THANH HÓA - CÔNG TY CỔ PHẦN DỊCH VỤ THƯƠNG MẠI TỔNG HỢP WINCOMMERCE</v>
      </c>
      <c r="G1055" s="16"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c r="A1056" s="14" t="s">
        <v>6698</v>
      </c>
      <c r="B1056" s="15" t="s">
        <v>5</v>
      </c>
      <c r="C1056" s="10" t="s">
        <v>6699</v>
      </c>
      <c r="D1056" s="16" t="s">
        <v>3638</v>
      </c>
      <c r="E1056" s="15" t="s">
        <v>11203</v>
      </c>
      <c r="F1056" s="16" t="str">
        <f>VLOOKUP(Table8[[#This Row],[Mã khách hàng]],code_khach_hang[],2,0)</f>
        <v>CHI NHÁNH THANH HÓA - CÔNG TY CỔ PHẦN DỊCH VỤ THƯƠNG MẠI TỔNG HỢP WINCOMMERCE</v>
      </c>
      <c r="G1056" s="16"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c r="A1057" s="14" t="s">
        <v>5457</v>
      </c>
      <c r="B1057" s="15" t="s">
        <v>5</v>
      </c>
      <c r="C1057" s="10" t="s">
        <v>5458</v>
      </c>
      <c r="D1057" s="16" t="s">
        <v>3640</v>
      </c>
      <c r="E1057" s="15" t="s">
        <v>11203</v>
      </c>
      <c r="F1057" s="16" t="str">
        <f>VLOOKUP(Table8[[#This Row],[Mã khách hàng]],code_khach_hang[],2,0)</f>
        <v>CHI NHÁNH THANH HÓA - CÔNG TY CỔ PHẦN DỊCH VỤ THƯƠNG MẠI TỔNG HỢP WINCOMMERCE</v>
      </c>
      <c r="G1057" s="16"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c r="A1058" s="14" t="s">
        <v>5058</v>
      </c>
      <c r="B1058" s="15" t="s">
        <v>5</v>
      </c>
      <c r="C1058" s="10" t="s">
        <v>5059</v>
      </c>
      <c r="D1058" s="16" t="s">
        <v>3643</v>
      </c>
      <c r="E1058" s="15" t="s">
        <v>11203</v>
      </c>
      <c r="F1058" s="16" t="str">
        <f>VLOOKUP(Table8[[#This Row],[Mã khách hàng]],code_khach_hang[],2,0)</f>
        <v>CHI NHÁNH THANH HÓA - CÔNG TY CỔ PHẦN DỊCH VỤ THƯƠNG MẠI TỔNG HỢP WINCOMMERCE</v>
      </c>
      <c r="G1058" s="16"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c r="A1059" s="14" t="s">
        <v>4929</v>
      </c>
      <c r="B1059" s="15" t="s">
        <v>5</v>
      </c>
      <c r="C1059" s="10" t="s">
        <v>4930</v>
      </c>
      <c r="D1059" s="16" t="s">
        <v>3646</v>
      </c>
      <c r="E1059" s="15" t="s">
        <v>11203</v>
      </c>
      <c r="F1059" s="16" t="str">
        <f>VLOOKUP(Table8[[#This Row],[Mã khách hàng]],code_khach_hang[],2,0)</f>
        <v>CHI NHÁNH THANH HÓA - CÔNG TY CỔ PHẦN DỊCH VỤ THƯƠNG MẠI TỔNG HỢP WINCOMMERCE</v>
      </c>
      <c r="G1059" s="16"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c r="A1060" s="14" t="s">
        <v>5382</v>
      </c>
      <c r="B1060" s="15" t="s">
        <v>5</v>
      </c>
      <c r="C1060" s="10" t="s">
        <v>5383</v>
      </c>
      <c r="D1060" s="16" t="s">
        <v>3648</v>
      </c>
      <c r="E1060" s="15" t="s">
        <v>11203</v>
      </c>
      <c r="F1060" s="16" t="str">
        <f>VLOOKUP(Table8[[#This Row],[Mã khách hàng]],code_khach_hang[],2,0)</f>
        <v>CHI NHÁNH THANH HÓA - CÔNG TY CỔ PHẦN DỊCH VỤ THƯƠNG MẠI TỔNG HỢP WINCOMMERCE</v>
      </c>
      <c r="G1060" s="16"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c r="A1061" s="14" t="s">
        <v>5869</v>
      </c>
      <c r="B1061" s="15" t="s">
        <v>5</v>
      </c>
      <c r="C1061" s="10" t="s">
        <v>5870</v>
      </c>
      <c r="D1061" s="16" t="s">
        <v>3651</v>
      </c>
      <c r="E1061" s="15" t="s">
        <v>11203</v>
      </c>
      <c r="F1061" s="16" t="str">
        <f>VLOOKUP(Table8[[#This Row],[Mã khách hàng]],code_khach_hang[],2,0)</f>
        <v>CHI NHÁNH THANH HÓA - CÔNG TY CỔ PHẦN DỊCH VỤ THƯƠNG MẠI TỔNG HỢP WINCOMMERCE</v>
      </c>
      <c r="G1061" s="16"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c r="A1062" s="14" t="s">
        <v>5262</v>
      </c>
      <c r="B1062" s="15" t="s">
        <v>5</v>
      </c>
      <c r="C1062" s="10" t="s">
        <v>5263</v>
      </c>
      <c r="D1062" s="16" t="s">
        <v>3654</v>
      </c>
      <c r="E1062" s="15" t="s">
        <v>11203</v>
      </c>
      <c r="F1062" s="16" t="str">
        <f>VLOOKUP(Table8[[#This Row],[Mã khách hàng]],code_khach_hang[],2,0)</f>
        <v>CHI NHÁNH THANH HÓA - CÔNG TY CỔ PHẦN DỊCH VỤ THƯƠNG MẠI TỔNG HỢP WINCOMMERCE</v>
      </c>
      <c r="G1062" s="16"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c r="A1063" s="14" t="s">
        <v>5475</v>
      </c>
      <c r="B1063" s="15" t="s">
        <v>5</v>
      </c>
      <c r="C1063" s="10" t="s">
        <v>5476</v>
      </c>
      <c r="D1063" s="16" t="s">
        <v>3657</v>
      </c>
      <c r="E1063" s="15" t="s">
        <v>11203</v>
      </c>
      <c r="F1063" s="16" t="str">
        <f>VLOOKUP(Table8[[#This Row],[Mã khách hàng]],code_khach_hang[],2,0)</f>
        <v>CHI NHÁNH THANH HÓA - CÔNG TY CỔ PHẦN DỊCH VỤ THƯƠNG MẠI TỔNG HỢP WINCOMMERCE</v>
      </c>
      <c r="G1063" s="16"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c r="A1064" s="14" t="s">
        <v>4920</v>
      </c>
      <c r="B1064" s="15" t="s">
        <v>5</v>
      </c>
      <c r="C1064" s="10" t="s">
        <v>4921</v>
      </c>
      <c r="D1064" s="16" t="s">
        <v>3660</v>
      </c>
      <c r="E1064" s="15" t="s">
        <v>11203</v>
      </c>
      <c r="F1064" s="16" t="str">
        <f>VLOOKUP(Table8[[#This Row],[Mã khách hàng]],code_khach_hang[],2,0)</f>
        <v>CHI NHÁNH THANH HÓA - CÔNG TY CỔ PHẦN DỊCH VỤ THƯƠNG MẠI TỔNG HỢP WINCOMMERCE</v>
      </c>
      <c r="G1064" s="16"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c r="A1065" s="14" t="s">
        <v>5208</v>
      </c>
      <c r="B1065" s="15" t="s">
        <v>5</v>
      </c>
      <c r="C1065" s="10" t="s">
        <v>5209</v>
      </c>
      <c r="D1065" s="16" t="s">
        <v>3662</v>
      </c>
      <c r="E1065" s="15" t="s">
        <v>11203</v>
      </c>
      <c r="F1065" s="16" t="str">
        <f>VLOOKUP(Table8[[#This Row],[Mã khách hàng]],code_khach_hang[],2,0)</f>
        <v>CHI NHÁNH THANH HÓA - CÔNG TY CỔ PHẦN DỊCH VỤ THƯƠNG MẠI TỔNG HỢP WINCOMMERCE</v>
      </c>
      <c r="G1065" s="16"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c r="A1066" s="14" t="s">
        <v>5181</v>
      </c>
      <c r="B1066" s="15" t="s">
        <v>5</v>
      </c>
      <c r="C1066" s="10" t="s">
        <v>5182</v>
      </c>
      <c r="D1066" s="16" t="s">
        <v>3665</v>
      </c>
      <c r="E1066" s="15" t="s">
        <v>11203</v>
      </c>
      <c r="F1066" s="16" t="str">
        <f>VLOOKUP(Table8[[#This Row],[Mã khách hàng]],code_khach_hang[],2,0)</f>
        <v>CHI NHÁNH THANH HÓA - CÔNG TY CỔ PHẦN DỊCH VỤ THƯƠNG MẠI TỔNG HỢP WINCOMMERCE</v>
      </c>
      <c r="G1066" s="16"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c r="A1067" s="14" t="s">
        <v>9258</v>
      </c>
      <c r="B1067" s="15" t="s">
        <v>5</v>
      </c>
      <c r="C1067" s="10" t="s">
        <v>9259</v>
      </c>
      <c r="D1067" s="16" t="s">
        <v>3668</v>
      </c>
      <c r="E1067" s="15" t="s">
        <v>11203</v>
      </c>
      <c r="F1067" s="16" t="str">
        <f>VLOOKUP(Table8[[#This Row],[Mã khách hàng]],code_khach_hang[],2,0)</f>
        <v>CHI NHÁNH THANH HÓA - CÔNG TY CỔ PHẦN DỊCH VỤ THƯƠNG MẠI TỔNG HỢP WINCOMMERCE</v>
      </c>
      <c r="G1067" s="16"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c r="A1068" s="14" t="s">
        <v>5349</v>
      </c>
      <c r="B1068" s="15" t="s">
        <v>5</v>
      </c>
      <c r="C1068" s="10" t="s">
        <v>5350</v>
      </c>
      <c r="D1068" s="16" t="s">
        <v>3671</v>
      </c>
      <c r="E1068" s="15" t="s">
        <v>11203</v>
      </c>
      <c r="F1068" s="16" t="str">
        <f>VLOOKUP(Table8[[#This Row],[Mã khách hàng]],code_khach_hang[],2,0)</f>
        <v>CHI NHÁNH THANH HÓA - CÔNG TY CỔ PHẦN DỊCH VỤ THƯƠNG MẠI TỔNG HỢP WINCOMMERCE</v>
      </c>
      <c r="G1068" s="16"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c r="A1069" s="14" t="s">
        <v>5247</v>
      </c>
      <c r="B1069" s="15" t="s">
        <v>5</v>
      </c>
      <c r="C1069" s="10" t="s">
        <v>5248</v>
      </c>
      <c r="D1069" s="16" t="s">
        <v>3674</v>
      </c>
      <c r="E1069" s="15" t="s">
        <v>11203</v>
      </c>
      <c r="F1069" s="16" t="str">
        <f>VLOOKUP(Table8[[#This Row],[Mã khách hàng]],code_khach_hang[],2,0)</f>
        <v>CHI NHÁNH THANH HÓA - CÔNG TY CỔ PHẦN DỊCH VỤ THƯƠNG MẠI TỔNG HỢP WINCOMMERCE</v>
      </c>
      <c r="G1069" s="16"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c r="A1070" s="14" t="s">
        <v>5385</v>
      </c>
      <c r="B1070" s="15" t="s">
        <v>5</v>
      </c>
      <c r="C1070" s="10" t="s">
        <v>5386</v>
      </c>
      <c r="D1070" s="16" t="s">
        <v>3677</v>
      </c>
      <c r="E1070" s="15" t="s">
        <v>11203</v>
      </c>
      <c r="F1070" s="16" t="str">
        <f>VLOOKUP(Table8[[#This Row],[Mã khách hàng]],code_khach_hang[],2,0)</f>
        <v>CHI NHÁNH THANH HÓA - CÔNG TY CỔ PHẦN DỊCH VỤ THƯƠNG MẠI TỔNG HỢP WINCOMMERCE</v>
      </c>
      <c r="G1070" s="16"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c r="A1071" s="14" t="s">
        <v>5433</v>
      </c>
      <c r="B1071" s="15" t="s">
        <v>5</v>
      </c>
      <c r="C1071" s="10" t="s">
        <v>5434</v>
      </c>
      <c r="D1071" s="16" t="s">
        <v>3680</v>
      </c>
      <c r="E1071" s="15" t="s">
        <v>11203</v>
      </c>
      <c r="F1071" s="16" t="str">
        <f>VLOOKUP(Table8[[#This Row],[Mã khách hàng]],code_khach_hang[],2,0)</f>
        <v>CHI NHÁNH THANH HÓA - CÔNG TY CỔ PHẦN DỊCH VỤ THƯƠNG MẠI TỔNG HỢP WINCOMMERCE</v>
      </c>
      <c r="G1071" s="16"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c r="A1072" s="14" t="s">
        <v>8085</v>
      </c>
      <c r="B1072" s="15" t="s">
        <v>5</v>
      </c>
      <c r="C1072" s="10" t="s">
        <v>8086</v>
      </c>
      <c r="D1072" s="16" t="s">
        <v>3683</v>
      </c>
      <c r="E1072" s="15" t="s">
        <v>11203</v>
      </c>
      <c r="F1072" s="16" t="str">
        <f>VLOOKUP(Table8[[#This Row],[Mã khách hàng]],code_khach_hang[],2,0)</f>
        <v>CHI NHÁNH THANH HÓA - CÔNG TY CỔ PHẦN DỊCH VỤ THƯƠNG MẠI TỔNG HỢP WINCOMMERCE</v>
      </c>
      <c r="G1072" s="16"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c r="A1073" s="14" t="s">
        <v>8091</v>
      </c>
      <c r="B1073" s="15" t="s">
        <v>5</v>
      </c>
      <c r="C1073" s="10" t="s">
        <v>8092</v>
      </c>
      <c r="D1073" s="16" t="s">
        <v>3686</v>
      </c>
      <c r="E1073" s="15" t="s">
        <v>11203</v>
      </c>
      <c r="F1073" s="16" t="str">
        <f>VLOOKUP(Table8[[#This Row],[Mã khách hàng]],code_khach_hang[],2,0)</f>
        <v>CHI NHÁNH THANH HÓA - CÔNG TY CỔ PHẦN DỊCH VỤ THƯƠNG MẠI TỔNG HỢP WINCOMMERCE</v>
      </c>
      <c r="G1073" s="16"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c r="A1074" s="14" t="s">
        <v>8094</v>
      </c>
      <c r="B1074" s="15" t="s">
        <v>5</v>
      </c>
      <c r="C1074" s="10" t="s">
        <v>8095</v>
      </c>
      <c r="D1074" s="16" t="s">
        <v>3689</v>
      </c>
      <c r="E1074" s="15" t="s">
        <v>11203</v>
      </c>
      <c r="F1074" s="16" t="str">
        <f>VLOOKUP(Table8[[#This Row],[Mã khách hàng]],code_khach_hang[],2,0)</f>
        <v>CHI NHÁNH THANH HÓA - CÔNG TY CỔ PHẦN DỊCH VỤ THƯƠNG MẠI TỔNG HỢP WINCOMMERCE</v>
      </c>
      <c r="G1074" s="16"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c r="A1075" s="14" t="s">
        <v>5430</v>
      </c>
      <c r="B1075" s="15" t="s">
        <v>5</v>
      </c>
      <c r="C1075" s="10" t="s">
        <v>5431</v>
      </c>
      <c r="D1075" s="16" t="s">
        <v>3692</v>
      </c>
      <c r="E1075" s="15" t="s">
        <v>11203</v>
      </c>
      <c r="F1075" s="16" t="str">
        <f>VLOOKUP(Table8[[#This Row],[Mã khách hàng]],code_khach_hang[],2,0)</f>
        <v>CHI NHÁNH THANH HÓA - CÔNG TY CỔ PHẦN DỊCH VỤ THƯƠNG MẠI TỔNG HỢP WINCOMMERCE</v>
      </c>
      <c r="G1075" s="16"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c r="A1076" s="14" t="s">
        <v>5451</v>
      </c>
      <c r="B1076" s="15" t="s">
        <v>5</v>
      </c>
      <c r="C1076" s="10" t="s">
        <v>5452</v>
      </c>
      <c r="D1076" s="16" t="s">
        <v>3695</v>
      </c>
      <c r="E1076" s="15" t="s">
        <v>11203</v>
      </c>
      <c r="F1076" s="16" t="str">
        <f>VLOOKUP(Table8[[#This Row],[Mã khách hàng]],code_khach_hang[],2,0)</f>
        <v>CHI NHÁNH THANH HÓA - CÔNG TY CỔ PHẦN DỊCH VỤ THƯƠNG MẠI TỔNG HỢP WINCOMMERCE</v>
      </c>
      <c r="G1076" s="16"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c r="A1077" s="14" t="s">
        <v>7407</v>
      </c>
      <c r="B1077" s="15" t="s">
        <v>5</v>
      </c>
      <c r="C1077" s="10" t="s">
        <v>7408</v>
      </c>
      <c r="D1077" s="16" t="s">
        <v>3697</v>
      </c>
      <c r="E1077" s="15" t="s">
        <v>11203</v>
      </c>
      <c r="F1077" s="16" t="str">
        <f>VLOOKUP(Table8[[#This Row],[Mã khách hàng]],code_khach_hang[],2,0)</f>
        <v>CHI NHÁNH THANH HÓA - CÔNG TY CỔ PHẦN DỊCH VỤ THƯƠNG MẠI TỔNG HỢP WINCOMMERCE</v>
      </c>
      <c r="G1077" s="16"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c r="A1078" s="14" t="s">
        <v>6199</v>
      </c>
      <c r="B1078" s="15" t="s">
        <v>5</v>
      </c>
      <c r="C1078" s="10" t="s">
        <v>6200</v>
      </c>
      <c r="D1078" s="16" t="s">
        <v>3700</v>
      </c>
      <c r="E1078" s="15" t="s">
        <v>11203</v>
      </c>
      <c r="F1078" s="16" t="str">
        <f>VLOOKUP(Table8[[#This Row],[Mã khách hàng]],code_khach_hang[],2,0)</f>
        <v>CHI NHÁNH THANH HÓA - CÔNG TY CỔ PHẦN DỊCH VỤ THƯƠNG MẠI TỔNG HỢP WINCOMMERCE</v>
      </c>
      <c r="G1078" s="16"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c r="A1079" s="14" t="s">
        <v>6884</v>
      </c>
      <c r="B1079" s="15" t="s">
        <v>5</v>
      </c>
      <c r="C1079" s="10" t="s">
        <v>6885</v>
      </c>
      <c r="D1079" s="16" t="s">
        <v>3703</v>
      </c>
      <c r="E1079" s="15" t="s">
        <v>11203</v>
      </c>
      <c r="F1079" s="16" t="str">
        <f>VLOOKUP(Table8[[#This Row],[Mã khách hàng]],code_khach_hang[],2,0)</f>
        <v>CHI NHÁNH THANH HÓA - CÔNG TY CỔ PHẦN DỊCH VỤ THƯƠNG MẠI TỔNG HỢP WINCOMMERCE</v>
      </c>
      <c r="G1079" s="16"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c r="A1080" s="14" t="s">
        <v>7405</v>
      </c>
      <c r="B1080" s="15" t="s">
        <v>5</v>
      </c>
      <c r="C1080" s="10" t="e">
        <v>#N/A</v>
      </c>
      <c r="D1080" s="16" t="s">
        <v>3706</v>
      </c>
      <c r="E1080" s="15" t="s">
        <v>11203</v>
      </c>
      <c r="F1080" s="16" t="str">
        <f>VLOOKUP(Table8[[#This Row],[Mã khách hàng]],code_khach_hang[],2,0)</f>
        <v>CHI NHÁNH THANH HÓA - CÔNG TY CỔ PHẦN DỊCH VỤ THƯƠNG MẠI TỔNG HỢP WINCOMMERCE</v>
      </c>
      <c r="G1080" s="16"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c r="A1081" s="14" t="s">
        <v>5205</v>
      </c>
      <c r="B1081" s="15" t="s">
        <v>5</v>
      </c>
      <c r="C1081" s="10" t="s">
        <v>5206</v>
      </c>
      <c r="D1081" s="16" t="s">
        <v>3709</v>
      </c>
      <c r="E1081" s="15" t="s">
        <v>11203</v>
      </c>
      <c r="F1081" s="16" t="str">
        <f>VLOOKUP(Table8[[#This Row],[Mã khách hàng]],code_khach_hang[],2,0)</f>
        <v>CHI NHÁNH THANH HÓA - CÔNG TY CỔ PHẦN DỊCH VỤ THƯƠNG MẠI TỔNG HỢP WINCOMMERCE</v>
      </c>
      <c r="G1081" s="16"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c r="A1082" s="14" t="s">
        <v>6692</v>
      </c>
      <c r="B1082" s="15" t="s">
        <v>5</v>
      </c>
      <c r="C1082" s="10" t="s">
        <v>6693</v>
      </c>
      <c r="D1082" s="16" t="s">
        <v>3712</v>
      </c>
      <c r="E1082" s="15" t="s">
        <v>11203</v>
      </c>
      <c r="F1082" s="16" t="str">
        <f>VLOOKUP(Table8[[#This Row],[Mã khách hàng]],code_khach_hang[],2,0)</f>
        <v>CHI NHÁNH THANH HÓA - CÔNG TY CỔ PHẦN DỊCH VỤ THƯƠNG MẠI TỔNG HỢP WINCOMMERCE</v>
      </c>
      <c r="G1082" s="16"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c r="A1083" s="14" t="s">
        <v>5379</v>
      </c>
      <c r="B1083" s="15" t="s">
        <v>5</v>
      </c>
      <c r="C1083" s="10" t="s">
        <v>5380</v>
      </c>
      <c r="D1083" s="16" t="s">
        <v>3715</v>
      </c>
      <c r="E1083" s="15" t="s">
        <v>11203</v>
      </c>
      <c r="F1083" s="16" t="str">
        <f>VLOOKUP(Table8[[#This Row],[Mã khách hàng]],code_khach_hang[],2,0)</f>
        <v>CHI NHÁNH THANH HÓA - CÔNG TY CỔ PHẦN DỊCH VỤ THƯƠNG MẠI TỔNG HỢP WINCOMMERCE</v>
      </c>
      <c r="G1083" s="16"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c r="A1084" s="14" t="s">
        <v>5211</v>
      </c>
      <c r="B1084" s="15" t="s">
        <v>5</v>
      </c>
      <c r="C1084" s="10" t="s">
        <v>5212</v>
      </c>
      <c r="D1084" s="16" t="s">
        <v>3718</v>
      </c>
      <c r="E1084" s="15" t="s">
        <v>11203</v>
      </c>
      <c r="F1084" s="16" t="str">
        <f>VLOOKUP(Table8[[#This Row],[Mã khách hàng]],code_khach_hang[],2,0)</f>
        <v>CHI NHÁNH THANH HÓA - CÔNG TY CỔ PHẦN DỊCH VỤ THƯƠNG MẠI TỔNG HỢP WINCOMMERCE</v>
      </c>
      <c r="G1084" s="16"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c r="A1085" s="14" t="s">
        <v>8145</v>
      </c>
      <c r="B1085" s="15" t="s">
        <v>5</v>
      </c>
      <c r="C1085" s="10" t="s">
        <v>8146</v>
      </c>
      <c r="D1085" s="16" t="s">
        <v>3720</v>
      </c>
      <c r="E1085" s="15" t="s">
        <v>11203</v>
      </c>
      <c r="F1085" s="16" t="str">
        <f>VLOOKUP(Table8[[#This Row],[Mã khách hàng]],code_khach_hang[],2,0)</f>
        <v>CHI NHÁNH THANH HÓA - CÔNG TY CỔ PHẦN DỊCH VỤ THƯƠNG MẠI TỔNG HỢP WINCOMMERCE</v>
      </c>
      <c r="G1085" s="16"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c r="A1086" s="14" t="s">
        <v>8175</v>
      </c>
      <c r="B1086" s="15" t="s">
        <v>5</v>
      </c>
      <c r="C1086" s="10" t="s">
        <v>8176</v>
      </c>
      <c r="D1086" s="16" t="s">
        <v>3723</v>
      </c>
      <c r="E1086" s="15" t="s">
        <v>11203</v>
      </c>
      <c r="F1086" s="16" t="str">
        <f>VLOOKUP(Table8[[#This Row],[Mã khách hàng]],code_khach_hang[],2,0)</f>
        <v>CHI NHÁNH THANH HÓA - CÔNG TY CỔ PHẦN DỊCH VỤ THƯƠNG MẠI TỔNG HỢP WINCOMMERCE</v>
      </c>
      <c r="G1086" s="16"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c r="A1087" s="14" t="s">
        <v>8148</v>
      </c>
      <c r="B1087" s="15" t="s">
        <v>5</v>
      </c>
      <c r="C1087" s="10" t="s">
        <v>8149</v>
      </c>
      <c r="D1087" s="16" t="s">
        <v>3725</v>
      </c>
      <c r="E1087" s="15" t="s">
        <v>11203</v>
      </c>
      <c r="F1087" s="16" t="str">
        <f>VLOOKUP(Table8[[#This Row],[Mã khách hàng]],code_khach_hang[],2,0)</f>
        <v>CHI NHÁNH THANH HÓA - CÔNG TY CỔ PHẦN DỊCH VỤ THƯƠNG MẠI TỔNG HỢP WINCOMMERCE</v>
      </c>
      <c r="G1087" s="16"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c r="A1088" s="14" t="s">
        <v>8190</v>
      </c>
      <c r="B1088" s="15" t="s">
        <v>5</v>
      </c>
      <c r="C1088" s="10" t="e">
        <v>#N/A</v>
      </c>
      <c r="D1088" s="16" t="s">
        <v>3728</v>
      </c>
      <c r="E1088" s="15" t="s">
        <v>11203</v>
      </c>
      <c r="F1088" s="16" t="str">
        <f>VLOOKUP(Table8[[#This Row],[Mã khách hàng]],code_khach_hang[],2,0)</f>
        <v>CHI NHÁNH THANH HÓA - CÔNG TY CỔ PHẦN DỊCH VỤ THƯƠNG MẠI TỔNG HỢP WINCOMMERCE</v>
      </c>
      <c r="G1088" s="16"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c r="A1089" s="14" t="s">
        <v>8275</v>
      </c>
      <c r="B1089" s="15" t="s">
        <v>5</v>
      </c>
      <c r="C1089" s="10" t="s">
        <v>8276</v>
      </c>
      <c r="D1089" s="16" t="s">
        <v>3731</v>
      </c>
      <c r="E1089" s="15" t="s">
        <v>11203</v>
      </c>
      <c r="F1089" s="16" t="str">
        <f>VLOOKUP(Table8[[#This Row],[Mã khách hàng]],code_khach_hang[],2,0)</f>
        <v>CHI NHÁNH THANH HÓA - CÔNG TY CỔ PHẦN DỊCH VỤ THƯƠNG MẠI TỔNG HỢP WINCOMMERCE</v>
      </c>
      <c r="G1089" s="16"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c r="A1090" s="14" t="s">
        <v>8301</v>
      </c>
      <c r="B1090" s="15" t="s">
        <v>5</v>
      </c>
      <c r="C1090" s="10" t="s">
        <v>8302</v>
      </c>
      <c r="D1090" s="16" t="s">
        <v>3734</v>
      </c>
      <c r="E1090" s="15" t="s">
        <v>11203</v>
      </c>
      <c r="F1090" s="16" t="str">
        <f>VLOOKUP(Table8[[#This Row],[Mã khách hàng]],code_khach_hang[],2,0)</f>
        <v>CHI NHÁNH THANH HÓA - CÔNG TY CỔ PHẦN DỊCH VỤ THƯƠNG MẠI TỔNG HỢP WINCOMMERCE</v>
      </c>
      <c r="G1090" s="16"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c r="A1091" s="14" t="s">
        <v>8373</v>
      </c>
      <c r="B1091" s="15" t="s">
        <v>5</v>
      </c>
      <c r="C1091" s="10" t="s">
        <v>8374</v>
      </c>
      <c r="D1091" s="16" t="s">
        <v>3737</v>
      </c>
      <c r="E1091" s="15" t="s">
        <v>11203</v>
      </c>
      <c r="F1091" s="16" t="str">
        <f>VLOOKUP(Table8[[#This Row],[Mã khách hàng]],code_khach_hang[],2,0)</f>
        <v>CHI NHÁNH THANH HÓA - CÔNG TY CỔ PHẦN DỊCH VỤ THƯƠNG MẠI TỔNG HỢP WINCOMMERCE</v>
      </c>
      <c r="G1091" s="16"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c r="A1092" s="14" t="s">
        <v>8387</v>
      </c>
      <c r="B1092" s="15" t="s">
        <v>5</v>
      </c>
      <c r="C1092" s="10" t="s">
        <v>8388</v>
      </c>
      <c r="D1092" s="16" t="s">
        <v>3740</v>
      </c>
      <c r="E1092" s="15" t="s">
        <v>11203</v>
      </c>
      <c r="F1092" s="16" t="str">
        <f>VLOOKUP(Table8[[#This Row],[Mã khách hàng]],code_khach_hang[],2,0)</f>
        <v>CHI NHÁNH THANH HÓA - CÔNG TY CỔ PHẦN DỊCH VỤ THƯƠNG MẠI TỔNG HỢP WINCOMMERCE</v>
      </c>
      <c r="G1092" s="16"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c r="A1093" s="14" t="s">
        <v>8477</v>
      </c>
      <c r="B1093" s="15" t="s">
        <v>5</v>
      </c>
      <c r="C1093" s="10" t="s">
        <v>8478</v>
      </c>
      <c r="D1093" s="16" t="s">
        <v>3743</v>
      </c>
      <c r="E1093" s="15" t="s">
        <v>11203</v>
      </c>
      <c r="F1093" s="16" t="str">
        <f>VLOOKUP(Table8[[#This Row],[Mã khách hàng]],code_khach_hang[],2,0)</f>
        <v>CHI NHÁNH THANH HÓA - CÔNG TY CỔ PHẦN DỊCH VỤ THƯƠNG MẠI TỔNG HỢP WINCOMMERCE</v>
      </c>
      <c r="G1093" s="16"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c r="A1094" s="14" t="s">
        <v>8597</v>
      </c>
      <c r="B1094" s="15" t="s">
        <v>5</v>
      </c>
      <c r="C1094" s="10" t="s">
        <v>8598</v>
      </c>
      <c r="D1094" s="16" t="s">
        <v>3746</v>
      </c>
      <c r="E1094" s="15" t="s">
        <v>11203</v>
      </c>
      <c r="F1094" s="16" t="str">
        <f>VLOOKUP(Table8[[#This Row],[Mã khách hàng]],code_khach_hang[],2,0)</f>
        <v>CHI NHÁNH THANH HÓA - CÔNG TY CỔ PHẦN DỊCH VỤ THƯƠNG MẠI TỔNG HỢP WINCOMMERCE</v>
      </c>
      <c r="G1094" s="16"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c r="A1095" s="14" t="s">
        <v>8295</v>
      </c>
      <c r="B1095" s="15" t="s">
        <v>5</v>
      </c>
      <c r="C1095" s="10" t="s">
        <v>8296</v>
      </c>
      <c r="D1095" s="16" t="s">
        <v>3749</v>
      </c>
      <c r="E1095" s="15" t="s">
        <v>11203</v>
      </c>
      <c r="F1095" s="16" t="str">
        <f>VLOOKUP(Table8[[#This Row],[Mã khách hàng]],code_khach_hang[],2,0)</f>
        <v>CHI NHÁNH THANH HÓA - CÔNG TY CỔ PHẦN DỊCH VỤ THƯƠNG MẠI TỔNG HỢP WINCOMMERCE</v>
      </c>
      <c r="G1095" s="16"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c r="A1096" s="14" t="s">
        <v>8428</v>
      </c>
      <c r="B1096" s="15" t="s">
        <v>5</v>
      </c>
      <c r="C1096" s="10" t="s">
        <v>8429</v>
      </c>
      <c r="D1096" s="16" t="s">
        <v>3752</v>
      </c>
      <c r="E1096" s="15" t="s">
        <v>11203</v>
      </c>
      <c r="F1096" s="16" t="str">
        <f>VLOOKUP(Table8[[#This Row],[Mã khách hàng]],code_khach_hang[],2,0)</f>
        <v>CHI NHÁNH THANH HÓA - CÔNG TY CỔ PHẦN DỊCH VỤ THƯƠNG MẠI TỔNG HỢP WINCOMMERCE</v>
      </c>
      <c r="G1096" s="16"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c r="A1097" s="14" t="s">
        <v>8524</v>
      </c>
      <c r="B1097" s="15" t="s">
        <v>5</v>
      </c>
      <c r="C1097" s="10" t="e">
        <v>#N/A</v>
      </c>
      <c r="D1097" s="16" t="s">
        <v>3755</v>
      </c>
      <c r="E1097" s="15" t="s">
        <v>11203</v>
      </c>
      <c r="F1097" s="16" t="str">
        <f>VLOOKUP(Table8[[#This Row],[Mã khách hàng]],code_khach_hang[],2,0)</f>
        <v>CHI NHÁNH THANH HÓA - CÔNG TY CỔ PHẦN DỊCH VỤ THƯƠNG MẠI TỔNG HỢP WINCOMMERCE</v>
      </c>
      <c r="G1097" s="16"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c r="A1098" s="14" t="s">
        <v>8603</v>
      </c>
      <c r="B1098" s="15" t="s">
        <v>5</v>
      </c>
      <c r="C1098" s="10" t="e">
        <v>#N/A</v>
      </c>
      <c r="D1098" s="16" t="s">
        <v>3758</v>
      </c>
      <c r="E1098" s="15" t="s">
        <v>11203</v>
      </c>
      <c r="F1098" s="16" t="str">
        <f>VLOOKUP(Table8[[#This Row],[Mã khách hàng]],code_khach_hang[],2,0)</f>
        <v>CHI NHÁNH THANH HÓA - CÔNG TY CỔ PHẦN DỊCH VỤ THƯƠNG MẠI TỔNG HỢP WINCOMMERCE</v>
      </c>
      <c r="G1098" s="16"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c r="A1099" s="14" t="s">
        <v>8614</v>
      </c>
      <c r="B1099" s="15" t="s">
        <v>5</v>
      </c>
      <c r="C1099" s="10" t="s">
        <v>8615</v>
      </c>
      <c r="D1099" s="16" t="s">
        <v>3761</v>
      </c>
      <c r="E1099" s="15" t="s">
        <v>11203</v>
      </c>
      <c r="F1099" s="16" t="str">
        <f>VLOOKUP(Table8[[#This Row],[Mã khách hàng]],code_khach_hang[],2,0)</f>
        <v>CHI NHÁNH THANH HÓA - CÔNG TY CỔ PHẦN DỊCH VỤ THƯƠNG MẠI TỔNG HỢP WINCOMMERCE</v>
      </c>
      <c r="G1099" s="16"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c r="A1100" s="14" t="s">
        <v>8662</v>
      </c>
      <c r="B1100" s="15" t="s">
        <v>5</v>
      </c>
      <c r="C1100" s="10" t="s">
        <v>8663</v>
      </c>
      <c r="D1100" s="16" t="s">
        <v>3763</v>
      </c>
      <c r="E1100" s="15" t="s">
        <v>11203</v>
      </c>
      <c r="F1100" s="16" t="str">
        <f>VLOOKUP(Table8[[#This Row],[Mã khách hàng]],code_khach_hang[],2,0)</f>
        <v>CHI NHÁNH THANH HÓA - CÔNG TY CỔ PHẦN DỊCH VỤ THƯƠNG MẠI TỔNG HỢP WINCOMMERCE</v>
      </c>
      <c r="G1100" s="16"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c r="A1101" s="14" t="s">
        <v>8665</v>
      </c>
      <c r="B1101" s="15" t="s">
        <v>5</v>
      </c>
      <c r="C1101" s="10" t="s">
        <v>8666</v>
      </c>
      <c r="D1101" s="16" t="s">
        <v>3766</v>
      </c>
      <c r="E1101" s="15" t="s">
        <v>11203</v>
      </c>
      <c r="F1101" s="16" t="str">
        <f>VLOOKUP(Table8[[#This Row],[Mã khách hàng]],code_khach_hang[],2,0)</f>
        <v>CHI NHÁNH THANH HÓA - CÔNG TY CỔ PHẦN DỊCH VỤ THƯƠNG MẠI TỔNG HỢP WINCOMMERCE</v>
      </c>
      <c r="G1101" s="16"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c r="A1102" s="14" t="s">
        <v>8717</v>
      </c>
      <c r="B1102" s="15" t="s">
        <v>5</v>
      </c>
      <c r="C1102" s="10" t="s">
        <v>8718</v>
      </c>
      <c r="D1102" s="16" t="s">
        <v>3769</v>
      </c>
      <c r="E1102" s="15" t="s">
        <v>11203</v>
      </c>
      <c r="F1102" s="16" t="str">
        <f>VLOOKUP(Table8[[#This Row],[Mã khách hàng]],code_khach_hang[],2,0)</f>
        <v>CHI NHÁNH THANH HÓA - CÔNG TY CỔ PHẦN DỊCH VỤ THƯƠNG MẠI TỔNG HỢP WINCOMMERCE</v>
      </c>
      <c r="G1102" s="16"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c r="A1103" s="14" t="s">
        <v>8777</v>
      </c>
      <c r="B1103" s="15" t="s">
        <v>5</v>
      </c>
      <c r="C1103" s="10" t="s">
        <v>8778</v>
      </c>
      <c r="D1103" s="16" t="s">
        <v>3772</v>
      </c>
      <c r="E1103" s="15" t="s">
        <v>11203</v>
      </c>
      <c r="F1103" s="16" t="str">
        <f>VLOOKUP(Table8[[#This Row],[Mã khách hàng]],code_khach_hang[],2,0)</f>
        <v>CHI NHÁNH THANH HÓA - CÔNG TY CỔ PHẦN DỊCH VỤ THƯƠNG MẠI TỔNG HỢP WINCOMMERCE</v>
      </c>
      <c r="G1103" s="16"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c r="A1104" s="14" t="s">
        <v>8780</v>
      </c>
      <c r="B1104" s="15" t="s">
        <v>5</v>
      </c>
      <c r="C1104" s="10" t="s">
        <v>8781</v>
      </c>
      <c r="D1104" s="16" t="s">
        <v>3775</v>
      </c>
      <c r="E1104" s="15" t="s">
        <v>11203</v>
      </c>
      <c r="F1104" s="16" t="str">
        <f>VLOOKUP(Table8[[#This Row],[Mã khách hàng]],code_khach_hang[],2,0)</f>
        <v>CHI NHÁNH THANH HÓA - CÔNG TY CỔ PHẦN DỊCH VỤ THƯƠNG MẠI TỔNG HỢP WINCOMMERCE</v>
      </c>
      <c r="G1104" s="16"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c r="A1105" s="14" t="s">
        <v>8827</v>
      </c>
      <c r="B1105" s="15" t="s">
        <v>5</v>
      </c>
      <c r="C1105" s="10" t="s">
        <v>8828</v>
      </c>
      <c r="D1105" s="16" t="s">
        <v>3778</v>
      </c>
      <c r="E1105" s="15" t="s">
        <v>11203</v>
      </c>
      <c r="F1105" s="16" t="str">
        <f>VLOOKUP(Table8[[#This Row],[Mã khách hàng]],code_khach_hang[],2,0)</f>
        <v>CHI NHÁNH THANH HÓA - CÔNG TY CỔ PHẦN DỊCH VỤ THƯƠNG MẠI TỔNG HỢP WINCOMMERCE</v>
      </c>
      <c r="G1105" s="16"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c r="A1106" s="14" t="s">
        <v>8803</v>
      </c>
      <c r="B1106" s="15" t="s">
        <v>5</v>
      </c>
      <c r="C1106" s="10" t="s">
        <v>8804</v>
      </c>
      <c r="D1106" s="16" t="s">
        <v>3780</v>
      </c>
      <c r="E1106" s="15" t="s">
        <v>11203</v>
      </c>
      <c r="F1106" s="16" t="str">
        <f>VLOOKUP(Table8[[#This Row],[Mã khách hàng]],code_khach_hang[],2,0)</f>
        <v>CHI NHÁNH THANH HÓA - CÔNG TY CỔ PHẦN DỊCH VỤ THƯƠNG MẠI TỔNG HỢP WINCOMMERCE</v>
      </c>
      <c r="G1106" s="16"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c r="A1107" s="14" t="s">
        <v>8809</v>
      </c>
      <c r="B1107" s="15" t="s">
        <v>5</v>
      </c>
      <c r="C1107" s="10" t="s">
        <v>8810</v>
      </c>
      <c r="D1107" s="16" t="s">
        <v>3783</v>
      </c>
      <c r="E1107" s="15" t="s">
        <v>11203</v>
      </c>
      <c r="F1107" s="16" t="str">
        <f>VLOOKUP(Table8[[#This Row],[Mã khách hàng]],code_khach_hang[],2,0)</f>
        <v>CHI NHÁNH THANH HÓA - CÔNG TY CỔ PHẦN DỊCH VỤ THƯƠNG MẠI TỔNG HỢP WINCOMMERCE</v>
      </c>
      <c r="G1107" s="16"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c r="A1108" s="14" t="s">
        <v>8818</v>
      </c>
      <c r="B1108" s="15" t="s">
        <v>5</v>
      </c>
      <c r="C1108" s="10" t="s">
        <v>8819</v>
      </c>
      <c r="D1108" s="16" t="s">
        <v>3786</v>
      </c>
      <c r="E1108" s="15" t="s">
        <v>11203</v>
      </c>
      <c r="F1108" s="16" t="str">
        <f>VLOOKUP(Table8[[#This Row],[Mã khách hàng]],code_khach_hang[],2,0)</f>
        <v>CHI NHÁNH THANH HÓA - CÔNG TY CỔ PHẦN DỊCH VỤ THƯƠNG MẠI TỔNG HỢP WINCOMMERCE</v>
      </c>
      <c r="G1108" s="16"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c r="A1109" s="14" t="s">
        <v>8629</v>
      </c>
      <c r="B1109" s="15" t="s">
        <v>5</v>
      </c>
      <c r="C1109" s="10" t="e">
        <v>#N/A</v>
      </c>
      <c r="D1109" s="16" t="s">
        <v>3789</v>
      </c>
      <c r="E1109" s="15" t="s">
        <v>11203</v>
      </c>
      <c r="F1109" s="16" t="str">
        <f>VLOOKUP(Table8[[#This Row],[Mã khách hàng]],code_khach_hang[],2,0)</f>
        <v>CHI NHÁNH THANH HÓA - CÔNG TY CỔ PHẦN DỊCH VỤ THƯƠNG MẠI TỔNG HỢP WINCOMMERCE</v>
      </c>
      <c r="G1109" s="16"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c r="A1110" s="14" t="s">
        <v>8956</v>
      </c>
      <c r="B1110" s="15" t="s">
        <v>5</v>
      </c>
      <c r="C1110" s="10" t="s">
        <v>8957</v>
      </c>
      <c r="D1110" s="16" t="s">
        <v>3792</v>
      </c>
      <c r="E1110" s="15" t="s">
        <v>11203</v>
      </c>
      <c r="F1110" s="16" t="str">
        <f>VLOOKUP(Table8[[#This Row],[Mã khách hàng]],code_khach_hang[],2,0)</f>
        <v>CHI NHÁNH THANH HÓA - CÔNG TY CỔ PHẦN DỊCH VỤ THƯƠNG MẠI TỔNG HỢP WINCOMMERCE</v>
      </c>
      <c r="G1110" s="16"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c r="A1111" s="14" t="s">
        <v>8833</v>
      </c>
      <c r="B1111" s="15" t="s">
        <v>5</v>
      </c>
      <c r="C1111" s="10" t="e">
        <v>#N/A</v>
      </c>
      <c r="D1111" s="16" t="s">
        <v>3794</v>
      </c>
      <c r="E1111" s="15" t="s">
        <v>11203</v>
      </c>
      <c r="F1111" s="16" t="str">
        <f>VLOOKUP(Table8[[#This Row],[Mã khách hàng]],code_khach_hang[],2,0)</f>
        <v>CHI NHÁNH THANH HÓA - CÔNG TY CỔ PHẦN DỊCH VỤ THƯƠNG MẠI TỔNG HỢP WINCOMMERCE</v>
      </c>
      <c r="G1111" s="16"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c r="A1112" s="14" t="s">
        <v>8936</v>
      </c>
      <c r="B1112" s="15" t="s">
        <v>5</v>
      </c>
      <c r="C1112" s="10" t="s">
        <v>8937</v>
      </c>
      <c r="D1112" s="16" t="s">
        <v>3797</v>
      </c>
      <c r="E1112" s="15" t="s">
        <v>11203</v>
      </c>
      <c r="F1112" s="16" t="str">
        <f>VLOOKUP(Table8[[#This Row],[Mã khách hàng]],code_khach_hang[],2,0)</f>
        <v>CHI NHÁNH THANH HÓA - CÔNG TY CỔ PHẦN DỊCH VỤ THƯƠNG MẠI TỔNG HỢP WINCOMMERCE</v>
      </c>
      <c r="G1112" s="16"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c r="A1113" s="14" t="s">
        <v>8939</v>
      </c>
      <c r="B1113" s="15" t="s">
        <v>5</v>
      </c>
      <c r="C1113" s="10" t="e">
        <v>#N/A</v>
      </c>
      <c r="D1113" s="16" t="s">
        <v>3800</v>
      </c>
      <c r="E1113" s="15" t="s">
        <v>11203</v>
      </c>
      <c r="F1113" s="16" t="str">
        <f>VLOOKUP(Table8[[#This Row],[Mã khách hàng]],code_khach_hang[],2,0)</f>
        <v>CHI NHÁNH THANH HÓA - CÔNG TY CỔ PHẦN DỊCH VỤ THƯƠNG MẠI TỔNG HỢP WINCOMMERCE</v>
      </c>
      <c r="G1113" s="16"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c r="A1114" s="14" t="s">
        <v>8971</v>
      </c>
      <c r="B1114" s="15" t="s">
        <v>5</v>
      </c>
      <c r="C1114" s="10" t="s">
        <v>8972</v>
      </c>
      <c r="D1114" s="16" t="s">
        <v>3803</v>
      </c>
      <c r="E1114" s="15" t="s">
        <v>11203</v>
      </c>
      <c r="F1114" s="16" t="str">
        <f>VLOOKUP(Table8[[#This Row],[Mã khách hàng]],code_khach_hang[],2,0)</f>
        <v>CHI NHÁNH THANH HÓA - CÔNG TY CỔ PHẦN DỊCH VỤ THƯƠNG MẠI TỔNG HỢP WINCOMMERCE</v>
      </c>
      <c r="G1114" s="16"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c r="A1115" s="14" t="s">
        <v>8889</v>
      </c>
      <c r="B1115" s="15" t="s">
        <v>5</v>
      </c>
      <c r="C1115" s="10" t="s">
        <v>8890</v>
      </c>
      <c r="D1115" s="16" t="s">
        <v>3806</v>
      </c>
      <c r="E1115" s="15" t="s">
        <v>11203</v>
      </c>
      <c r="F1115" s="16" t="str">
        <f>VLOOKUP(Table8[[#This Row],[Mã khách hàng]],code_khach_hang[],2,0)</f>
        <v>CHI NHÁNH THANH HÓA - CÔNG TY CỔ PHẦN DỊCH VỤ THƯƠNG MẠI TỔNG HỢP WINCOMMERCE</v>
      </c>
      <c r="G1115" s="16"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c r="A1116" s="14" t="s">
        <v>9010</v>
      </c>
      <c r="B1116" s="15" t="s">
        <v>5</v>
      </c>
      <c r="C1116" s="10" t="s">
        <v>9011</v>
      </c>
      <c r="D1116" s="16" t="s">
        <v>3809</v>
      </c>
      <c r="E1116" s="15" t="s">
        <v>11203</v>
      </c>
      <c r="F1116" s="16" t="str">
        <f>VLOOKUP(Table8[[#This Row],[Mã khách hàng]],code_khach_hang[],2,0)</f>
        <v>CHI NHÁNH THANH HÓA - CÔNG TY CỔ PHẦN DỊCH VỤ THƯƠNG MẠI TỔNG HỢP WINCOMMERCE</v>
      </c>
      <c r="G1116" s="16"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c r="A1117" s="14" t="s">
        <v>699</v>
      </c>
      <c r="B1117" s="15" t="s">
        <v>183</v>
      </c>
      <c r="C1117" s="10" t="s">
        <v>700</v>
      </c>
      <c r="D1117" s="16" t="s">
        <v>3812</v>
      </c>
      <c r="E1117" s="15" t="s">
        <v>11203</v>
      </c>
      <c r="F1117" s="16" t="str">
        <f>VLOOKUP(Table8[[#This Row],[Mã khách hàng]],code_khach_hang[],2,0)</f>
        <v>CHI NHÁNH THANH HÓA - CÔNG TY CỔ PHẦN DỊCH VỤ THƯƠNG MẠI TỔNG HỢP WINCOMMERCE</v>
      </c>
      <c r="G1117" s="16"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c r="A1118" s="14" t="s">
        <v>673</v>
      </c>
      <c r="B1118" s="15" t="s">
        <v>183</v>
      </c>
      <c r="C1118" s="10" t="s">
        <v>674</v>
      </c>
      <c r="D1118" s="16" t="s">
        <v>3815</v>
      </c>
      <c r="E1118" s="15" t="s">
        <v>11203</v>
      </c>
      <c r="F1118" s="16" t="str">
        <f>VLOOKUP(Table8[[#This Row],[Mã khách hàng]],code_khach_hang[],2,0)</f>
        <v>CHI NHÁNH THANH HÓA - CÔNG TY CỔ PHẦN DỊCH VỤ THƯƠNG MẠI TỔNG HỢP WINCOMMERCE</v>
      </c>
      <c r="G1118" s="16"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c r="A1119" s="14" t="s">
        <v>4107</v>
      </c>
      <c r="B1119" s="15" t="s">
        <v>5</v>
      </c>
      <c r="C1119" s="10" t="s">
        <v>4108</v>
      </c>
      <c r="D1119" s="16" t="s">
        <v>3818</v>
      </c>
      <c r="E1119" s="15" t="s">
        <v>11215</v>
      </c>
      <c r="F1119" s="16" t="str">
        <f>VLOOKUP(Table8[[#This Row],[Mã khách hàng]],code_khach_hang[],2,0)</f>
        <v>CHI NHÁNH HÀ NỘI - CÔNG TY CỔ PHẦN DỊCH VỤ THƯƠNG MẠI TỔNG HỢP WINCOMMERCE</v>
      </c>
      <c r="G1119" s="16"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c r="A1120" s="14" t="s">
        <v>6482</v>
      </c>
      <c r="B1120" s="15" t="s">
        <v>5</v>
      </c>
      <c r="C1120" s="10" t="s">
        <v>6483</v>
      </c>
      <c r="D1120" s="16" t="s">
        <v>3820</v>
      </c>
      <c r="E1120" s="15" t="s">
        <v>11215</v>
      </c>
      <c r="F1120" s="16" t="str">
        <f>VLOOKUP(Table8[[#This Row],[Mã khách hàng]],code_khach_hang[],2,0)</f>
        <v>CHI NHÁNH HÀ NỘI - CÔNG TY CỔ PHẦN DỊCH VỤ THƯƠNG MẠI TỔNG HỢP WINCOMMERCE</v>
      </c>
      <c r="G1120" s="16"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c r="A1121" s="14" t="s">
        <v>6686</v>
      </c>
      <c r="B1121" s="15" t="s">
        <v>5</v>
      </c>
      <c r="C1121" s="10" t="s">
        <v>6687</v>
      </c>
      <c r="D1121" s="16" t="s">
        <v>3822</v>
      </c>
      <c r="E1121" s="15" t="s">
        <v>11215</v>
      </c>
      <c r="F1121" s="16" t="str">
        <f>VLOOKUP(Table8[[#This Row],[Mã khách hàng]],code_khach_hang[],2,0)</f>
        <v>CHI NHÁNH HÀ NỘI - CÔNG TY CỔ PHẦN DỊCH VỤ THƯƠNG MẠI TỔNG HỢP WINCOMMERCE</v>
      </c>
      <c r="G1121" s="16"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c r="A1122" s="14" t="s">
        <v>789</v>
      </c>
      <c r="B1122" s="15" t="s">
        <v>5</v>
      </c>
      <c r="C1122" s="10" t="s">
        <v>790</v>
      </c>
      <c r="D1122" s="16" t="s">
        <v>3825</v>
      </c>
      <c r="E1122" s="15" t="s">
        <v>11215</v>
      </c>
      <c r="F1122" s="16" t="str">
        <f>VLOOKUP(Table8[[#This Row],[Mã khách hàng]],code_khach_hang[],2,0)</f>
        <v>CHI NHÁNH HÀ NỘI - CÔNG TY CỔ PHẦN DỊCH VỤ THƯƠNG MẠI TỔNG HỢP WINCOMMERCE</v>
      </c>
      <c r="G1122" s="16"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c r="A1123" s="14" t="s">
        <v>807</v>
      </c>
      <c r="B1123" s="15" t="s">
        <v>5</v>
      </c>
      <c r="C1123" s="10" t="s">
        <v>808</v>
      </c>
      <c r="D1123" s="16" t="s">
        <v>3828</v>
      </c>
      <c r="E1123" s="15" t="s">
        <v>11215</v>
      </c>
      <c r="F1123" s="16" t="str">
        <f>VLOOKUP(Table8[[#This Row],[Mã khách hàng]],code_khach_hang[],2,0)</f>
        <v>CHI NHÁNH HÀ NỘI - CÔNG TY CỔ PHẦN DỊCH VỤ THƯƠNG MẠI TỔNG HỢP WINCOMMERCE</v>
      </c>
      <c r="G1123" s="16"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c r="A1124" s="14" t="s">
        <v>861</v>
      </c>
      <c r="B1124" s="15" t="s">
        <v>5</v>
      </c>
      <c r="C1124" s="10" t="s">
        <v>862</v>
      </c>
      <c r="D1124" s="16" t="s">
        <v>3831</v>
      </c>
      <c r="E1124" s="15" t="s">
        <v>11215</v>
      </c>
      <c r="F1124" s="16" t="str">
        <f>VLOOKUP(Table8[[#This Row],[Mã khách hàng]],code_khach_hang[],2,0)</f>
        <v>CHI NHÁNH HÀ NỘI - CÔNG TY CỔ PHẦN DỊCH VỤ THƯƠNG MẠI TỔNG HỢP WINCOMMERCE</v>
      </c>
      <c r="G1124" s="16"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c r="A1125" s="14" t="s">
        <v>957</v>
      </c>
      <c r="B1125" s="15" t="s">
        <v>5</v>
      </c>
      <c r="C1125" s="10" t="s">
        <v>958</v>
      </c>
      <c r="D1125" s="16" t="s">
        <v>3834</v>
      </c>
      <c r="E1125" s="15" t="s">
        <v>11215</v>
      </c>
      <c r="F1125" s="16" t="str">
        <f>VLOOKUP(Table8[[#This Row],[Mã khách hàng]],code_khach_hang[],2,0)</f>
        <v>CHI NHÁNH HÀ NỘI - CÔNG TY CỔ PHẦN DỊCH VỤ THƯƠNG MẠI TỔNG HỢP WINCOMMERCE</v>
      </c>
      <c r="G1125" s="16"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c r="A1126" s="14" t="s">
        <v>11108</v>
      </c>
      <c r="B1126" s="15" t="s">
        <v>5</v>
      </c>
      <c r="C1126" s="10" t="e">
        <v>#N/A</v>
      </c>
      <c r="D1126" s="16" t="s">
        <v>3837</v>
      </c>
      <c r="E1126" s="15" t="s">
        <v>11215</v>
      </c>
      <c r="F1126" s="16" t="str">
        <f>VLOOKUP(Table8[[#This Row],[Mã khách hàng]],code_khach_hang[],2,0)</f>
        <v>CHI NHÁNH HÀ NỘI - CÔNG TY CỔ PHẦN DỊCH VỤ THƯƠNG MẠI TỔNG HỢP WINCOMMERCE</v>
      </c>
      <c r="G1126" s="16"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c r="A1127" s="14" t="s">
        <v>915</v>
      </c>
      <c r="B1127" s="15" t="s">
        <v>5</v>
      </c>
      <c r="C1127" s="10" t="s">
        <v>916</v>
      </c>
      <c r="D1127" s="16" t="s">
        <v>3840</v>
      </c>
      <c r="E1127" s="15" t="s">
        <v>11215</v>
      </c>
      <c r="F1127" s="16" t="str">
        <f>VLOOKUP(Table8[[#This Row],[Mã khách hàng]],code_khach_hang[],2,0)</f>
        <v>CHI NHÁNH HÀ NỘI - CÔNG TY CỔ PHẦN DỊCH VỤ THƯƠNG MẠI TỔNG HỢP WINCOMMERCE</v>
      </c>
      <c r="G1127" s="16"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c r="A1128" s="14" t="s">
        <v>930</v>
      </c>
      <c r="B1128" s="15" t="s">
        <v>5</v>
      </c>
      <c r="C1128" s="10" t="s">
        <v>931</v>
      </c>
      <c r="D1128" s="16" t="s">
        <v>3843</v>
      </c>
      <c r="E1128" s="15" t="s">
        <v>11215</v>
      </c>
      <c r="F1128" s="16" t="str">
        <f>VLOOKUP(Table8[[#This Row],[Mã khách hàng]],code_khach_hang[],2,0)</f>
        <v>CHI NHÁNH HÀ NỘI - CÔNG TY CỔ PHẦN DỊCH VỤ THƯƠNG MẠI TỔNG HỢP WINCOMMERCE</v>
      </c>
      <c r="G1128" s="16"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c r="A1129" s="14" t="s">
        <v>999</v>
      </c>
      <c r="B1129" s="15" t="s">
        <v>5</v>
      </c>
      <c r="C1129" s="10" t="s">
        <v>1000</v>
      </c>
      <c r="D1129" s="16" t="s">
        <v>3846</v>
      </c>
      <c r="E1129" s="15" t="s">
        <v>11215</v>
      </c>
      <c r="F1129" s="16" t="str">
        <f>VLOOKUP(Table8[[#This Row],[Mã khách hàng]],code_khach_hang[],2,0)</f>
        <v>CHI NHÁNH HÀ NỘI - CÔNG TY CỔ PHẦN DỊCH VỤ THƯƠNG MẠI TỔNG HỢP WINCOMMERCE</v>
      </c>
      <c r="G1129" s="16"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c r="A1130" s="14" t="s">
        <v>1041</v>
      </c>
      <c r="B1130" s="15" t="s">
        <v>5</v>
      </c>
      <c r="C1130" s="10" t="s">
        <v>1042</v>
      </c>
      <c r="D1130" s="16" t="s">
        <v>3849</v>
      </c>
      <c r="E1130" s="15" t="s">
        <v>11215</v>
      </c>
      <c r="F1130" s="16" t="str">
        <f>VLOOKUP(Table8[[#This Row],[Mã khách hàng]],code_khach_hang[],2,0)</f>
        <v>CHI NHÁNH HÀ NỘI - CÔNG TY CỔ PHẦN DỊCH VỤ THƯƠNG MẠI TỔNG HỢP WINCOMMERCE</v>
      </c>
      <c r="G1130" s="16"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c r="A1131" s="14" t="s">
        <v>1110</v>
      </c>
      <c r="B1131" s="15" t="s">
        <v>5</v>
      </c>
      <c r="C1131" s="10" t="s">
        <v>1111</v>
      </c>
      <c r="D1131" s="16" t="s">
        <v>3852</v>
      </c>
      <c r="E1131" s="15" t="s">
        <v>11215</v>
      </c>
      <c r="F1131" s="16" t="str">
        <f>VLOOKUP(Table8[[#This Row],[Mã khách hàng]],code_khach_hang[],2,0)</f>
        <v>CHI NHÁNH HÀ NỘI - CÔNG TY CỔ PHẦN DỊCH VỤ THƯƠNG MẠI TỔNG HỢP WINCOMMERCE</v>
      </c>
      <c r="G1131" s="16"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c r="A1132" s="14" t="s">
        <v>1113</v>
      </c>
      <c r="B1132" s="15" t="s">
        <v>5</v>
      </c>
      <c r="C1132" s="10" t="s">
        <v>1114</v>
      </c>
      <c r="D1132" s="16" t="s">
        <v>3855</v>
      </c>
      <c r="E1132" s="15" t="s">
        <v>11215</v>
      </c>
      <c r="F1132" s="16" t="str">
        <f>VLOOKUP(Table8[[#This Row],[Mã khách hàng]],code_khach_hang[],2,0)</f>
        <v>CHI NHÁNH HÀ NỘI - CÔNG TY CỔ PHẦN DỊCH VỤ THƯƠNG MẠI TỔNG HỢP WINCOMMERCE</v>
      </c>
      <c r="G1132" s="16"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c r="A1133" s="14" t="s">
        <v>1209</v>
      </c>
      <c r="B1133" s="15" t="s">
        <v>5</v>
      </c>
      <c r="C1133" s="10" t="s">
        <v>1210</v>
      </c>
      <c r="D1133" s="16" t="s">
        <v>3858</v>
      </c>
      <c r="E1133" s="15" t="s">
        <v>11215</v>
      </c>
      <c r="F1133" s="16" t="str">
        <f>VLOOKUP(Table8[[#This Row],[Mã khách hàng]],code_khach_hang[],2,0)</f>
        <v>CHI NHÁNH HÀ NỘI - CÔNG TY CỔ PHẦN DỊCH VỤ THƯƠNG MẠI TỔNG HỢP WINCOMMERCE</v>
      </c>
      <c r="G1133" s="16"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c r="A1134" s="14" t="s">
        <v>1278</v>
      </c>
      <c r="B1134" s="15" t="s">
        <v>5</v>
      </c>
      <c r="C1134" s="10" t="s">
        <v>1279</v>
      </c>
      <c r="D1134" s="16" t="s">
        <v>3861</v>
      </c>
      <c r="E1134" s="14" t="s">
        <v>11215</v>
      </c>
      <c r="F1134" s="16" t="str">
        <f>VLOOKUP(Table8[[#This Row],[Mã khách hàng]],code_khach_hang[],2,0)</f>
        <v>CHI NHÁNH HÀ NỘI - CÔNG TY CỔ PHẦN DỊCH VỤ THƯƠNG MẠI TỔNG HỢP WINCOMMERCE</v>
      </c>
      <c r="G1134" s="16"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c r="A1135" s="14" t="s">
        <v>1293</v>
      </c>
      <c r="B1135" s="15" t="s">
        <v>5</v>
      </c>
      <c r="C1135" s="10" t="s">
        <v>1294</v>
      </c>
      <c r="D1135" s="16" t="s">
        <v>3864</v>
      </c>
      <c r="E1135" s="15" t="s">
        <v>11215</v>
      </c>
      <c r="F1135" s="16" t="str">
        <f>VLOOKUP(Table8[[#This Row],[Mã khách hàng]],code_khach_hang[],2,0)</f>
        <v>CHI NHÁNH HÀ NỘI - CÔNG TY CỔ PHẦN DỊCH VỤ THƯƠNG MẠI TỔNG HỢP WINCOMMERCE</v>
      </c>
      <c r="G1135" s="16"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c r="A1136" s="14" t="s">
        <v>1305</v>
      </c>
      <c r="B1136" s="15" t="s">
        <v>5</v>
      </c>
      <c r="C1136" s="10" t="s">
        <v>1306</v>
      </c>
      <c r="D1136" s="16" t="s">
        <v>3867</v>
      </c>
      <c r="E1136" s="15" t="s">
        <v>11215</v>
      </c>
      <c r="F1136" s="16" t="str">
        <f>VLOOKUP(Table8[[#This Row],[Mã khách hàng]],code_khach_hang[],2,0)</f>
        <v>CHI NHÁNH HÀ NỘI - CÔNG TY CỔ PHẦN DỊCH VỤ THƯƠNG MẠI TỔNG HỢP WINCOMMERCE</v>
      </c>
      <c r="G1136" s="16"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c r="A1137" s="14" t="s">
        <v>1328</v>
      </c>
      <c r="B1137" s="15" t="s">
        <v>5</v>
      </c>
      <c r="C1137" s="10" t="s">
        <v>1329</v>
      </c>
      <c r="D1137" s="16" t="s">
        <v>3870</v>
      </c>
      <c r="E1137" s="15" t="s">
        <v>11215</v>
      </c>
      <c r="F1137" s="16" t="str">
        <f>VLOOKUP(Table8[[#This Row],[Mã khách hàng]],code_khach_hang[],2,0)</f>
        <v>CHI NHÁNH HÀ NỘI - CÔNG TY CỔ PHẦN DỊCH VỤ THƯƠNG MẠI TỔNG HỢP WINCOMMERCE</v>
      </c>
      <c r="G1137" s="16"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c r="A1138" s="14" t="s">
        <v>4116</v>
      </c>
      <c r="B1138" s="15" t="s">
        <v>5</v>
      </c>
      <c r="C1138" s="10" t="s">
        <v>4117</v>
      </c>
      <c r="D1138" s="16" t="s">
        <v>3873</v>
      </c>
      <c r="E1138" s="15" t="s">
        <v>11215</v>
      </c>
      <c r="F1138" s="16" t="str">
        <f>VLOOKUP(Table8[[#This Row],[Mã khách hàng]],code_khach_hang[],2,0)</f>
        <v>CHI NHÁNH HÀ NỘI - CÔNG TY CỔ PHẦN DỊCH VỤ THƯƠNG MẠI TỔNG HỢP WINCOMMERCE</v>
      </c>
      <c r="G1138" s="16"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c r="A1139" s="14" t="s">
        <v>4233</v>
      </c>
      <c r="B1139" s="15" t="s">
        <v>5</v>
      </c>
      <c r="C1139" s="10" t="s">
        <v>4234</v>
      </c>
      <c r="D1139" s="16" t="s">
        <v>3876</v>
      </c>
      <c r="E1139" s="15" t="s">
        <v>11215</v>
      </c>
      <c r="F1139" s="16" t="str">
        <f>VLOOKUP(Table8[[#This Row],[Mã khách hàng]],code_khach_hang[],2,0)</f>
        <v>CHI NHÁNH HÀ NỘI - CÔNG TY CỔ PHẦN DỊCH VỤ THƯƠNG MẠI TỔNG HỢP WINCOMMERCE</v>
      </c>
      <c r="G1139" s="16"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c r="A1140" s="14" t="s">
        <v>4266</v>
      </c>
      <c r="B1140" s="15" t="s">
        <v>5</v>
      </c>
      <c r="C1140" s="10" t="s">
        <v>4267</v>
      </c>
      <c r="D1140" s="16" t="s">
        <v>3879</v>
      </c>
      <c r="E1140" s="15" t="s">
        <v>11215</v>
      </c>
      <c r="F1140" s="16" t="str">
        <f>VLOOKUP(Table8[[#This Row],[Mã khách hàng]],code_khach_hang[],2,0)</f>
        <v>CHI NHÁNH HÀ NỘI - CÔNG TY CỔ PHẦN DỊCH VỤ THƯƠNG MẠI TỔNG HỢP WINCOMMERCE</v>
      </c>
      <c r="G1140" s="16"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c r="A1141" s="14" t="s">
        <v>4371</v>
      </c>
      <c r="B1141" s="15" t="s">
        <v>5</v>
      </c>
      <c r="C1141" s="10" t="s">
        <v>4372</v>
      </c>
      <c r="D1141" s="16" t="s">
        <v>3882</v>
      </c>
      <c r="E1141" s="15" t="s">
        <v>11215</v>
      </c>
      <c r="F1141" s="16" t="str">
        <f>VLOOKUP(Table8[[#This Row],[Mã khách hàng]],code_khach_hang[],2,0)</f>
        <v>CHI NHÁNH HÀ NỘI - CÔNG TY CỔ PHẦN DỊCH VỤ THƯƠNG MẠI TỔNG HỢP WINCOMMERCE</v>
      </c>
      <c r="G1141" s="16"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c r="A1142" s="14" t="s">
        <v>4431</v>
      </c>
      <c r="B1142" s="15" t="s">
        <v>5</v>
      </c>
      <c r="C1142" s="10" t="s">
        <v>4432</v>
      </c>
      <c r="D1142" s="16" t="s">
        <v>3885</v>
      </c>
      <c r="E1142" s="15" t="s">
        <v>11215</v>
      </c>
      <c r="F1142" s="16" t="str">
        <f>VLOOKUP(Table8[[#This Row],[Mã khách hàng]],code_khach_hang[],2,0)</f>
        <v>CHI NHÁNH HÀ NỘI - CÔNG TY CỔ PHẦN DỊCH VỤ THƯƠNG MẠI TỔNG HỢP WINCOMMERCE</v>
      </c>
      <c r="G1142" s="16"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c r="A1143" s="14" t="s">
        <v>5103</v>
      </c>
      <c r="B1143" s="15" t="s">
        <v>5</v>
      </c>
      <c r="C1143" s="10" t="s">
        <v>5104</v>
      </c>
      <c r="D1143" s="16" t="s">
        <v>3888</v>
      </c>
      <c r="E1143" s="15" t="s">
        <v>11215</v>
      </c>
      <c r="F1143" s="16" t="str">
        <f>VLOOKUP(Table8[[#This Row],[Mã khách hàng]],code_khach_hang[],2,0)</f>
        <v>CHI NHÁNH HÀ NỘI - CÔNG TY CỔ PHẦN DỊCH VỤ THƯƠNG MẠI TỔNG HỢP WINCOMMERCE</v>
      </c>
      <c r="G1143" s="16"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c r="A1144" s="14" t="s">
        <v>5127</v>
      </c>
      <c r="B1144" s="15" t="s">
        <v>5</v>
      </c>
      <c r="C1144" s="10" t="s">
        <v>5128</v>
      </c>
      <c r="D1144" s="16" t="s">
        <v>3891</v>
      </c>
      <c r="E1144" s="15" t="s">
        <v>11215</v>
      </c>
      <c r="F1144" s="16" t="str">
        <f>VLOOKUP(Table8[[#This Row],[Mã khách hàng]],code_khach_hang[],2,0)</f>
        <v>CHI NHÁNH HÀ NỘI - CÔNG TY CỔ PHẦN DỊCH VỤ THƯƠNG MẠI TỔNG HỢP WINCOMMERCE</v>
      </c>
      <c r="G1144" s="16"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c r="A1145" s="14" t="s">
        <v>5169</v>
      </c>
      <c r="B1145" s="15" t="s">
        <v>5</v>
      </c>
      <c r="C1145" s="10" t="s">
        <v>5170</v>
      </c>
      <c r="D1145" s="16" t="s">
        <v>3894</v>
      </c>
      <c r="E1145" s="15" t="s">
        <v>11215</v>
      </c>
      <c r="F1145" s="16" t="str">
        <f>VLOOKUP(Table8[[#This Row],[Mã khách hàng]],code_khach_hang[],2,0)</f>
        <v>CHI NHÁNH HÀ NỘI - CÔNG TY CỔ PHẦN DỊCH VỤ THƯƠNG MẠI TỔNG HỢP WINCOMMERCE</v>
      </c>
      <c r="G1145" s="16"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c r="A1146" s="14" t="s">
        <v>5346</v>
      </c>
      <c r="B1146" s="15" t="s">
        <v>5</v>
      </c>
      <c r="C1146" s="10" t="s">
        <v>5347</v>
      </c>
      <c r="D1146" s="16" t="s">
        <v>3897</v>
      </c>
      <c r="E1146" s="15" t="s">
        <v>11215</v>
      </c>
      <c r="F1146" s="16" t="str">
        <f>VLOOKUP(Table8[[#This Row],[Mã khách hàng]],code_khach_hang[],2,0)</f>
        <v>CHI NHÁNH HÀ NỘI - CÔNG TY CỔ PHẦN DỊCH VỤ THƯƠNG MẠI TỔNG HỢP WINCOMMERCE</v>
      </c>
      <c r="G1146" s="16"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c r="A1147" s="14" t="s">
        <v>6297</v>
      </c>
      <c r="B1147" s="15" t="s">
        <v>5</v>
      </c>
      <c r="C1147" s="10" t="s">
        <v>6298</v>
      </c>
      <c r="D1147" s="16" t="s">
        <v>3900</v>
      </c>
      <c r="E1147" s="15" t="s">
        <v>11215</v>
      </c>
      <c r="F1147" s="16" t="str">
        <f>VLOOKUP(Table8[[#This Row],[Mã khách hàng]],code_khach_hang[],2,0)</f>
        <v>CHI NHÁNH HÀ NỘI - CÔNG TY CỔ PHẦN DỊCH VỤ THƯƠNG MẠI TỔNG HỢP WINCOMMERCE</v>
      </c>
      <c r="G1147" s="16"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c r="A1148" s="14" t="s">
        <v>6413</v>
      </c>
      <c r="B1148" s="15" t="s">
        <v>5</v>
      </c>
      <c r="C1148" s="10" t="s">
        <v>6414</v>
      </c>
      <c r="D1148" s="16" t="s">
        <v>3903</v>
      </c>
      <c r="E1148" s="15" t="s">
        <v>11215</v>
      </c>
      <c r="F1148" s="16" t="str">
        <f>VLOOKUP(Table8[[#This Row],[Mã khách hàng]],code_khach_hang[],2,0)</f>
        <v>CHI NHÁNH HÀ NỘI - CÔNG TY CỔ PHẦN DỊCH VỤ THƯƠNG MẠI TỔNG HỢP WINCOMMERCE</v>
      </c>
      <c r="G1148" s="16"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c r="A1149" s="14" t="s">
        <v>6419</v>
      </c>
      <c r="B1149" s="15" t="s">
        <v>5</v>
      </c>
      <c r="C1149" s="10" t="s">
        <v>6420</v>
      </c>
      <c r="D1149" s="16" t="s">
        <v>3906</v>
      </c>
      <c r="E1149" s="15" t="s">
        <v>11215</v>
      </c>
      <c r="F1149" s="16" t="str">
        <f>VLOOKUP(Table8[[#This Row],[Mã khách hàng]],code_khach_hang[],2,0)</f>
        <v>CHI NHÁNH HÀ NỘI - CÔNG TY CỔ PHẦN DỊCH VỤ THƯƠNG MẠI TỔNG HỢP WINCOMMERCE</v>
      </c>
      <c r="G1149" s="16"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c r="A1150" s="14" t="s">
        <v>6719</v>
      </c>
      <c r="B1150" s="15" t="s">
        <v>5</v>
      </c>
      <c r="C1150" s="10" t="s">
        <v>6720</v>
      </c>
      <c r="D1150" s="16" t="s">
        <v>3909</v>
      </c>
      <c r="E1150" s="15" t="s">
        <v>11215</v>
      </c>
      <c r="F1150" s="16" t="str">
        <f>VLOOKUP(Table8[[#This Row],[Mã khách hàng]],code_khach_hang[],2,0)</f>
        <v>CHI NHÁNH HÀ NỘI - CÔNG TY CỔ PHẦN DỊCH VỤ THƯƠNG MẠI TỔNG HỢP WINCOMMERCE</v>
      </c>
      <c r="G1150" s="16"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c r="A1151" s="14" t="s">
        <v>6854</v>
      </c>
      <c r="B1151" s="15" t="s">
        <v>5</v>
      </c>
      <c r="C1151" s="10" t="s">
        <v>6855</v>
      </c>
      <c r="D1151" s="16" t="s">
        <v>3912</v>
      </c>
      <c r="E1151" s="15" t="s">
        <v>11215</v>
      </c>
      <c r="F1151" s="16" t="str">
        <f>VLOOKUP(Table8[[#This Row],[Mã khách hàng]],code_khach_hang[],2,0)</f>
        <v>CHI NHÁNH HÀ NỘI - CÔNG TY CỔ PHẦN DỊCH VỤ THƯƠNG MẠI TỔNG HỢP WINCOMMERCE</v>
      </c>
      <c r="G1151" s="16"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c r="A1152" s="14" t="s">
        <v>7321</v>
      </c>
      <c r="B1152" s="15" t="s">
        <v>5</v>
      </c>
      <c r="C1152" s="10" t="s">
        <v>7322</v>
      </c>
      <c r="D1152" s="16" t="s">
        <v>3915</v>
      </c>
      <c r="E1152" s="15" t="s">
        <v>11215</v>
      </c>
      <c r="F1152" s="16" t="str">
        <f>VLOOKUP(Table8[[#This Row],[Mã khách hàng]],code_khach_hang[],2,0)</f>
        <v>CHI NHÁNH HÀ NỘI - CÔNG TY CỔ PHẦN DỊCH VỤ THƯƠNG MẠI TỔNG HỢP WINCOMMERCE</v>
      </c>
      <c r="G1152" s="16"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c r="A1153" s="14" t="s">
        <v>7655</v>
      </c>
      <c r="B1153" s="15" t="s">
        <v>5</v>
      </c>
      <c r="C1153" s="10" t="s">
        <v>7656</v>
      </c>
      <c r="D1153" s="16" t="s">
        <v>3918</v>
      </c>
      <c r="E1153" s="15" t="s">
        <v>11215</v>
      </c>
      <c r="F1153" s="16" t="str">
        <f>VLOOKUP(Table8[[#This Row],[Mã khách hàng]],code_khach_hang[],2,0)</f>
        <v>CHI NHÁNH HÀ NỘI - CÔNG TY CỔ PHẦN DỊCH VỤ THƯƠNG MẠI TỔNG HỢP WINCOMMERCE</v>
      </c>
      <c r="G1153" s="16"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c r="A1154" s="14" t="s">
        <v>7360</v>
      </c>
      <c r="B1154" s="15" t="s">
        <v>5</v>
      </c>
      <c r="C1154" s="10" t="s">
        <v>7361</v>
      </c>
      <c r="D1154" s="16" t="s">
        <v>3921</v>
      </c>
      <c r="E1154" s="15" t="s">
        <v>11215</v>
      </c>
      <c r="F1154" s="16" t="str">
        <f>VLOOKUP(Table8[[#This Row],[Mã khách hàng]],code_khach_hang[],2,0)</f>
        <v>CHI NHÁNH HÀ NỘI - CÔNG TY CỔ PHẦN DỊCH VỤ THƯƠNG MẠI TỔNG HỢP WINCOMMERCE</v>
      </c>
      <c r="G1154" s="16"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c r="A1155" s="14" t="s">
        <v>568</v>
      </c>
      <c r="B1155" s="15" t="s">
        <v>183</v>
      </c>
      <c r="C1155" s="10" t="s">
        <v>569</v>
      </c>
      <c r="D1155" s="16" t="s">
        <v>3924</v>
      </c>
      <c r="E1155" s="15" t="s">
        <v>11195</v>
      </c>
      <c r="F1155" s="16" t="str">
        <f>VLOOKUP(Table8[[#This Row],[Mã khách hàng]],code_khach_hang[],2,0)</f>
        <v>CHI NHÁNH HÀ NỘI - CÔNG TY CỔ PHẦN DỊCH VỤ THƯƠNG MẠI TỔNG HỢP WINCOMMERCE</v>
      </c>
      <c r="G1155" s="16"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c r="A1156" s="14" t="s">
        <v>532</v>
      </c>
      <c r="B1156" s="15" t="s">
        <v>183</v>
      </c>
      <c r="C1156" s="10" t="s">
        <v>533</v>
      </c>
      <c r="D1156" s="16" t="s">
        <v>3927</v>
      </c>
      <c r="E1156" s="15" t="s">
        <v>11195</v>
      </c>
      <c r="F1156" s="16" t="str">
        <f>VLOOKUP(Table8[[#This Row],[Mã khách hàng]],code_khach_hang[],2,0)</f>
        <v>CHI NHÁNH HÀ NỘI - CÔNG TY CỔ PHẦN DỊCH VỤ THƯƠNG MẠI TỔNG HỢP WINCOMMERCE</v>
      </c>
      <c r="G1156" s="16"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c r="A1157" s="14" t="s">
        <v>616</v>
      </c>
      <c r="B1157" s="15" t="s">
        <v>183</v>
      </c>
      <c r="C1157" s="10" t="s">
        <v>617</v>
      </c>
      <c r="D1157" s="16" t="s">
        <v>3930</v>
      </c>
      <c r="E1157" s="15" t="s">
        <v>11195</v>
      </c>
      <c r="F1157" s="16" t="str">
        <f>VLOOKUP(Table8[[#This Row],[Mã khách hàng]],code_khach_hang[],2,0)</f>
        <v>CHI NHÁNH HÀ NỘI - CÔNG TY CỔ PHẦN DỊCH VỤ THƯƠNG MẠI TỔNG HỢP WINCOMMERCE</v>
      </c>
      <c r="G1157" s="16"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c r="A1158" s="14" t="s">
        <v>5049</v>
      </c>
      <c r="B1158" s="15" t="s">
        <v>5</v>
      </c>
      <c r="C1158" s="10" t="s">
        <v>5050</v>
      </c>
      <c r="D1158" s="16" t="s">
        <v>3932</v>
      </c>
      <c r="E1158" s="15" t="s">
        <v>11215</v>
      </c>
      <c r="F1158" s="16" t="str">
        <f>VLOOKUP(Table8[[#This Row],[Mã khách hàng]],code_khach_hang[],2,0)</f>
        <v>CHI NHÁNH HÀ NỘI - CÔNG TY CỔ PHẦN DỊCH VỤ THƯƠNG MẠI TỔNG HỢP WINCOMMERCE</v>
      </c>
      <c r="G1158" s="16"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c r="A1159" s="14" t="s">
        <v>5094</v>
      </c>
      <c r="B1159" s="15" t="s">
        <v>5</v>
      </c>
      <c r="C1159" s="10" t="s">
        <v>5095</v>
      </c>
      <c r="D1159" s="16" t="s">
        <v>3935</v>
      </c>
      <c r="E1159" s="15" t="s">
        <v>11215</v>
      </c>
      <c r="F1159" s="16" t="str">
        <f>VLOOKUP(Table8[[#This Row],[Mã khách hàng]],code_khach_hang[],2,0)</f>
        <v>CHI NHÁNH HÀ NỘI - CÔNG TY CỔ PHẦN DỊCH VỤ THƯƠNG MẠI TỔNG HỢP WINCOMMERCE</v>
      </c>
      <c r="G1159" s="16"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c r="A1160" s="14" t="s">
        <v>8178</v>
      </c>
      <c r="B1160" s="15" t="s">
        <v>5</v>
      </c>
      <c r="C1160" s="10" t="s">
        <v>8179</v>
      </c>
      <c r="D1160" s="16" t="s">
        <v>3938</v>
      </c>
      <c r="E1160" s="15" t="s">
        <v>11215</v>
      </c>
      <c r="F1160" s="16" t="str">
        <f>VLOOKUP(Table8[[#This Row],[Mã khách hàng]],code_khach_hang[],2,0)</f>
        <v>CHI NHÁNH HÀ NỘI - CÔNG TY CỔ PHẦN DỊCH VỤ THƯƠNG MẠI TỔNG HỢP WINCOMMERCE</v>
      </c>
      <c r="G1160" s="16"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c r="A1161" s="14" t="s">
        <v>918</v>
      </c>
      <c r="B1161" s="15" t="s">
        <v>5</v>
      </c>
      <c r="C1161" s="10" t="s">
        <v>919</v>
      </c>
      <c r="D1161" s="16" t="s">
        <v>3941</v>
      </c>
      <c r="E1161" s="15" t="s">
        <v>11215</v>
      </c>
      <c r="F1161" s="16" t="str">
        <f>VLOOKUP(Table8[[#This Row],[Mã khách hàng]],code_khach_hang[],2,0)</f>
        <v>CHI NHÁNH HÀ NỘI - CÔNG TY CỔ PHẦN DỊCH VỤ THƯƠNG MẠI TỔNG HỢP WINCOMMERCE</v>
      </c>
      <c r="G1161" s="16"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c r="A1162" s="14" t="s">
        <v>1188</v>
      </c>
      <c r="B1162" s="15" t="s">
        <v>5</v>
      </c>
      <c r="C1162" s="10" t="s">
        <v>1189</v>
      </c>
      <c r="D1162" s="16" t="s">
        <v>3944</v>
      </c>
      <c r="E1162" s="15" t="s">
        <v>11215</v>
      </c>
      <c r="F1162" s="16" t="str">
        <f>VLOOKUP(Table8[[#This Row],[Mã khách hàng]],code_khach_hang[],2,0)</f>
        <v>CHI NHÁNH HÀ NỘI - CÔNG TY CỔ PHẦN DỊCH VỤ THƯƠNG MẠI TỔNG HỢP WINCOMMERCE</v>
      </c>
      <c r="G1162" s="16"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c r="A1163" s="14" t="s">
        <v>1290</v>
      </c>
      <c r="B1163" s="15" t="s">
        <v>5</v>
      </c>
      <c r="C1163" s="10" t="s">
        <v>1291</v>
      </c>
      <c r="D1163" s="16" t="s">
        <v>3947</v>
      </c>
      <c r="E1163" s="15" t="s">
        <v>11215</v>
      </c>
      <c r="F1163" s="16" t="str">
        <f>VLOOKUP(Table8[[#This Row],[Mã khách hàng]],code_khach_hang[],2,0)</f>
        <v>CHI NHÁNH HÀ NỘI - CÔNG TY CỔ PHẦN DỊCH VỤ THƯƠNG MẠI TỔNG HỢP WINCOMMERCE</v>
      </c>
      <c r="G1163" s="16"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c r="A1164" s="14" t="s">
        <v>4119</v>
      </c>
      <c r="B1164" s="15" t="s">
        <v>5</v>
      </c>
      <c r="C1164" s="10" t="s">
        <v>4120</v>
      </c>
      <c r="D1164" s="16" t="s">
        <v>3950</v>
      </c>
      <c r="E1164" s="15" t="s">
        <v>11215</v>
      </c>
      <c r="F1164" s="16" t="str">
        <f>VLOOKUP(Table8[[#This Row],[Mã khách hàng]],code_khach_hang[],2,0)</f>
        <v>CHI NHÁNH HÀ NỘI - CÔNG TY CỔ PHẦN DỊCH VỤ THƯƠNG MẠI TỔNG HỢP WINCOMMERCE</v>
      </c>
      <c r="G1164" s="16"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c r="A1165" s="14" t="s">
        <v>4158</v>
      </c>
      <c r="B1165" s="15" t="s">
        <v>5</v>
      </c>
      <c r="C1165" s="10" t="s">
        <v>4159</v>
      </c>
      <c r="D1165" s="16" t="s">
        <v>3953</v>
      </c>
      <c r="E1165" s="15" t="s">
        <v>11215</v>
      </c>
      <c r="F1165" s="16" t="str">
        <f>VLOOKUP(Table8[[#This Row],[Mã khách hàng]],code_khach_hang[],2,0)</f>
        <v>CHI NHÁNH HÀ NỘI - CÔNG TY CỔ PHẦN DỊCH VỤ THƯƠNG MẠI TỔNG HỢP WINCOMMERCE</v>
      </c>
      <c r="G1165" s="16"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c r="A1166" s="14" t="s">
        <v>4200</v>
      </c>
      <c r="B1166" s="15" t="s">
        <v>5</v>
      </c>
      <c r="C1166" s="10" t="s">
        <v>4201</v>
      </c>
      <c r="D1166" s="16" t="s">
        <v>3956</v>
      </c>
      <c r="E1166" s="15" t="s">
        <v>11215</v>
      </c>
      <c r="F1166" s="16" t="str">
        <f>VLOOKUP(Table8[[#This Row],[Mã khách hàng]],code_khach_hang[],2,0)</f>
        <v>CHI NHÁNH HÀ NỘI - CÔNG TY CỔ PHẦN DỊCH VỤ THƯƠNG MẠI TỔNG HỢP WINCOMMERCE</v>
      </c>
      <c r="G1166" s="16"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c r="A1167" s="14" t="s">
        <v>4299</v>
      </c>
      <c r="B1167" s="15" t="s">
        <v>5</v>
      </c>
      <c r="C1167" s="10" t="s">
        <v>4300</v>
      </c>
      <c r="D1167" s="16" t="s">
        <v>3959</v>
      </c>
      <c r="E1167" s="15" t="s">
        <v>11215</v>
      </c>
      <c r="F1167" s="16" t="str">
        <f>VLOOKUP(Table8[[#This Row],[Mã khách hàng]],code_khach_hang[],2,0)</f>
        <v>CHI NHÁNH HÀ NỘI - CÔNG TY CỔ PHẦN DỊCH VỤ THƯƠNG MẠI TỔNG HỢP WINCOMMERCE</v>
      </c>
      <c r="G1167" s="16"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c r="A1168" s="14" t="s">
        <v>4323</v>
      </c>
      <c r="B1168" s="15" t="s">
        <v>5</v>
      </c>
      <c r="C1168" s="10" t="s">
        <v>4324</v>
      </c>
      <c r="D1168" s="16" t="s">
        <v>3962</v>
      </c>
      <c r="E1168" s="15" t="s">
        <v>11215</v>
      </c>
      <c r="F1168" s="16" t="str">
        <f>VLOOKUP(Table8[[#This Row],[Mã khách hàng]],code_khach_hang[],2,0)</f>
        <v>CHI NHÁNH HÀ NỘI - CÔNG TY CỔ PHẦN DỊCH VỤ THƯƠNG MẠI TỔNG HỢP WINCOMMERCE</v>
      </c>
      <c r="G1168" s="16"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c r="A1169" s="14" t="s">
        <v>4521</v>
      </c>
      <c r="B1169" s="15" t="s">
        <v>5</v>
      </c>
      <c r="C1169" s="10" t="s">
        <v>4522</v>
      </c>
      <c r="D1169" s="16" t="s">
        <v>3965</v>
      </c>
      <c r="E1169" s="15" t="s">
        <v>11215</v>
      </c>
      <c r="F1169" s="16" t="str">
        <f>VLOOKUP(Table8[[#This Row],[Mã khách hàng]],code_khach_hang[],2,0)</f>
        <v>CHI NHÁNH HÀ NỘI - CÔNG TY CỔ PHẦN DỊCH VỤ THƯƠNG MẠI TỔNG HỢP WINCOMMERCE</v>
      </c>
      <c r="G1169" s="16"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c r="A1170" s="14" t="s">
        <v>5079</v>
      </c>
      <c r="B1170" s="15" t="s">
        <v>5</v>
      </c>
      <c r="C1170" s="10" t="s">
        <v>5080</v>
      </c>
      <c r="D1170" s="16" t="s">
        <v>3968</v>
      </c>
      <c r="E1170" s="15" t="s">
        <v>11215</v>
      </c>
      <c r="F1170" s="16" t="str">
        <f>VLOOKUP(Table8[[#This Row],[Mã khách hàng]],code_khach_hang[],2,0)</f>
        <v>CHI NHÁNH HÀ NỘI - CÔNG TY CỔ PHẦN DỊCH VỤ THƯƠNG MẠI TỔNG HỢP WINCOMMERCE</v>
      </c>
      <c r="G1170" s="16"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c r="A1171" s="14" t="s">
        <v>5283</v>
      </c>
      <c r="B1171" s="15" t="s">
        <v>5</v>
      </c>
      <c r="C1171" s="10" t="s">
        <v>5284</v>
      </c>
      <c r="D1171" s="16" t="s">
        <v>3971</v>
      </c>
      <c r="E1171" s="15" t="s">
        <v>11215</v>
      </c>
      <c r="F1171" s="16" t="str">
        <f>VLOOKUP(Table8[[#This Row],[Mã khách hàng]],code_khach_hang[],2,0)</f>
        <v>CHI NHÁNH HÀ NỘI - CÔNG TY CỔ PHẦN DỊCH VỤ THƯƠNG MẠI TỔNG HỢP WINCOMMERCE</v>
      </c>
      <c r="G1171" s="16"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c r="A1172" s="14" t="s">
        <v>5819</v>
      </c>
      <c r="B1172" s="15" t="s">
        <v>5</v>
      </c>
      <c r="C1172" s="10" t="s">
        <v>5820</v>
      </c>
      <c r="D1172" s="16" t="s">
        <v>3974</v>
      </c>
      <c r="E1172" s="15" t="s">
        <v>11215</v>
      </c>
      <c r="F1172" s="16" t="str">
        <f>VLOOKUP(Table8[[#This Row],[Mã khách hàng]],code_khach_hang[],2,0)</f>
        <v>CHI NHÁNH HÀ NỘI - CÔNG TY CỔ PHẦN DỊCH VỤ THƯƠNG MẠI TỔNG HỢP WINCOMMERCE</v>
      </c>
      <c r="G1172" s="16"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c r="A1173" s="14" t="s">
        <v>11109</v>
      </c>
      <c r="B1173" s="15" t="s">
        <v>5</v>
      </c>
      <c r="C1173" s="10" t="s">
        <v>13156</v>
      </c>
      <c r="D1173" s="16" t="s">
        <v>3977</v>
      </c>
      <c r="E1173" s="15" t="s">
        <v>11215</v>
      </c>
      <c r="F1173" s="16" t="str">
        <f>VLOOKUP(Table8[[#This Row],[Mã khách hàng]],code_khach_hang[],2,0)</f>
        <v>CHI NHÁNH HÀ NỘI - CÔNG TY CỔ PHẦN DỊCH VỤ THƯƠNG MẠI TỔNG HỢP WINCOMMERCE</v>
      </c>
      <c r="G1173" s="16"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c r="A1174" s="14" t="s">
        <v>6635</v>
      </c>
      <c r="B1174" s="15" t="s">
        <v>5</v>
      </c>
      <c r="C1174" s="10" t="s">
        <v>6636</v>
      </c>
      <c r="D1174" s="16" t="s">
        <v>3980</v>
      </c>
      <c r="E1174" s="15" t="s">
        <v>11215</v>
      </c>
      <c r="F1174" s="16" t="str">
        <f>VLOOKUP(Table8[[#This Row],[Mã khách hàng]],code_khach_hang[],2,0)</f>
        <v>CHI NHÁNH HÀ NỘI - CÔNG TY CỔ PHẦN DỊCH VỤ THƯƠNG MẠI TỔNG HỢP WINCOMMERCE</v>
      </c>
      <c r="G1174" s="16"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c r="A1175" s="14" t="s">
        <v>6812</v>
      </c>
      <c r="B1175" s="15" t="s">
        <v>5</v>
      </c>
      <c r="C1175" s="10" t="s">
        <v>6813</v>
      </c>
      <c r="D1175" s="16" t="s">
        <v>3983</v>
      </c>
      <c r="E1175" s="15" t="s">
        <v>11215</v>
      </c>
      <c r="F1175" s="16" t="str">
        <f>VLOOKUP(Table8[[#This Row],[Mã khách hàng]],code_khach_hang[],2,0)</f>
        <v>CHI NHÁNH HÀ NỘI - CÔNG TY CỔ PHẦN DỊCH VỤ THƯƠNG MẠI TỔNG HỢP WINCOMMERCE</v>
      </c>
      <c r="G1175" s="16"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c r="A1176" s="14" t="s">
        <v>6848</v>
      </c>
      <c r="B1176" s="15" t="s">
        <v>5</v>
      </c>
      <c r="C1176" s="10" t="s">
        <v>6849</v>
      </c>
      <c r="D1176" s="16" t="s">
        <v>3986</v>
      </c>
      <c r="E1176" s="15" t="s">
        <v>11215</v>
      </c>
      <c r="F1176" s="16" t="str">
        <f>VLOOKUP(Table8[[#This Row],[Mã khách hàng]],code_khach_hang[],2,0)</f>
        <v>CHI NHÁNH HÀ NỘI - CÔNG TY CỔ PHẦN DỊCH VỤ THƯƠNG MẠI TỔNG HỢP WINCOMMERCE</v>
      </c>
      <c r="G1176" s="16"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c r="A1177" s="14" t="s">
        <v>11110</v>
      </c>
      <c r="B1177" s="15" t="s">
        <v>5</v>
      </c>
      <c r="C1177" s="10" t="s">
        <v>13157</v>
      </c>
      <c r="D1177" s="16" t="s">
        <v>3989</v>
      </c>
      <c r="E1177" s="15" t="s">
        <v>11215</v>
      </c>
      <c r="F1177" s="16" t="str">
        <f>VLOOKUP(Table8[[#This Row],[Mã khách hàng]],code_khach_hang[],2,0)</f>
        <v>CHI NHÁNH HÀ NỘI - CÔNG TY CỔ PHẦN DỊCH VỤ THƯƠNG MẠI TỔNG HỢP WINCOMMERCE</v>
      </c>
      <c r="G1177" s="16"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c r="A1178" s="14" t="s">
        <v>978</v>
      </c>
      <c r="B1178" s="15" t="s">
        <v>5</v>
      </c>
      <c r="C1178" s="10" t="s">
        <v>979</v>
      </c>
      <c r="D1178" s="16" t="s">
        <v>3992</v>
      </c>
      <c r="E1178" s="15" t="s">
        <v>11215</v>
      </c>
      <c r="F1178" s="16" t="str">
        <f>VLOOKUP(Table8[[#This Row],[Mã khách hàng]],code_khach_hang[],2,0)</f>
        <v>CHI NHÁNH HÀ NỘI - CÔNG TY CỔ PHẦN DỊCH VỤ THƯƠNG MẠI TỔNG HỢP WINCOMMERCE</v>
      </c>
      <c r="G1178" s="16"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c r="A1179" s="14" t="s">
        <v>1272</v>
      </c>
      <c r="B1179" s="15" t="s">
        <v>5</v>
      </c>
      <c r="C1179" s="10" t="s">
        <v>1273</v>
      </c>
      <c r="D1179" s="16" t="s">
        <v>3995</v>
      </c>
      <c r="E1179" s="15" t="s">
        <v>11215</v>
      </c>
      <c r="F1179" s="16" t="str">
        <f>VLOOKUP(Table8[[#This Row],[Mã khách hàng]],code_khach_hang[],2,0)</f>
        <v>CHI NHÁNH HÀ NỘI - CÔNG TY CỔ PHẦN DỊCH VỤ THƯƠNG MẠI TỔNG HỢP WINCOMMERCE</v>
      </c>
      <c r="G1179" s="16"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c r="A1180" s="14" t="s">
        <v>1331</v>
      </c>
      <c r="B1180" s="15" t="s">
        <v>5</v>
      </c>
      <c r="C1180" s="10" t="s">
        <v>1332</v>
      </c>
      <c r="D1180" s="16" t="s">
        <v>3998</v>
      </c>
      <c r="E1180" s="15" t="s">
        <v>11215</v>
      </c>
      <c r="F1180" s="16" t="str">
        <f>VLOOKUP(Table8[[#This Row],[Mã khách hàng]],code_khach_hang[],2,0)</f>
        <v>CHI NHÁNH HÀ NỘI - CÔNG TY CỔ PHẦN DỊCH VỤ THƯƠNG MẠI TỔNG HỢP WINCOMMERCE</v>
      </c>
      <c r="G1180" s="16"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c r="A1181" s="14" t="s">
        <v>4386</v>
      </c>
      <c r="B1181" s="15" t="s">
        <v>5</v>
      </c>
      <c r="C1181" s="10" t="s">
        <v>4387</v>
      </c>
      <c r="D1181" s="16" t="s">
        <v>4001</v>
      </c>
      <c r="E1181" s="15" t="s">
        <v>11215</v>
      </c>
      <c r="F1181" s="16" t="str">
        <f>VLOOKUP(Table8[[#This Row],[Mã khách hàng]],code_khach_hang[],2,0)</f>
        <v>CHI NHÁNH HÀ NỘI - CÔNG TY CỔ PHẦN DỊCH VỤ THƯƠNG MẠI TỔNG HỢP WINCOMMERCE</v>
      </c>
      <c r="G1181" s="16"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c r="A1182" s="14" t="s">
        <v>4509</v>
      </c>
      <c r="B1182" s="15" t="s">
        <v>5</v>
      </c>
      <c r="C1182" s="10" t="s">
        <v>4510</v>
      </c>
      <c r="D1182" s="16" t="s">
        <v>4004</v>
      </c>
      <c r="E1182" s="15" t="s">
        <v>11215</v>
      </c>
      <c r="F1182" s="16" t="str">
        <f>VLOOKUP(Table8[[#This Row],[Mã khách hàng]],code_khach_hang[],2,0)</f>
        <v>CHI NHÁNH HÀ NỘI - CÔNG TY CỔ PHẦN DỊCH VỤ THƯƠNG MẠI TỔNG HỢP WINCOMMERCE</v>
      </c>
      <c r="G1182" s="16"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c r="A1183" s="14" t="s">
        <v>4749</v>
      </c>
      <c r="B1183" s="15" t="s">
        <v>5</v>
      </c>
      <c r="C1183" s="10" t="s">
        <v>4750</v>
      </c>
      <c r="D1183" s="16" t="s">
        <v>4007</v>
      </c>
      <c r="E1183" s="15" t="s">
        <v>11215</v>
      </c>
      <c r="F1183" s="16" t="str">
        <f>VLOOKUP(Table8[[#This Row],[Mã khách hàng]],code_khach_hang[],2,0)</f>
        <v>CHI NHÁNH HÀ NỘI - CÔNG TY CỔ PHẦN DỊCH VỤ THƯƠNG MẠI TỔNG HỢP WINCOMMERCE</v>
      </c>
      <c r="G1183" s="16"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c r="A1184" s="14" t="s">
        <v>6336</v>
      </c>
      <c r="B1184" s="15" t="s">
        <v>5</v>
      </c>
      <c r="C1184" s="10" t="s">
        <v>6337</v>
      </c>
      <c r="D1184" s="16" t="s">
        <v>4010</v>
      </c>
      <c r="E1184" s="15" t="s">
        <v>11215</v>
      </c>
      <c r="F1184" s="16" t="str">
        <f>VLOOKUP(Table8[[#This Row],[Mã khách hàng]],code_khach_hang[],2,0)</f>
        <v>CHI NHÁNH HÀ NỘI - CÔNG TY CỔ PHẦN DỊCH VỤ THƯƠNG MẠI TỔNG HỢP WINCOMMERCE</v>
      </c>
      <c r="G1184" s="16"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c r="A1185" s="14" t="s">
        <v>6917</v>
      </c>
      <c r="B1185" s="15" t="s">
        <v>5</v>
      </c>
      <c r="C1185" s="10" t="s">
        <v>6918</v>
      </c>
      <c r="D1185" s="16" t="s">
        <v>4013</v>
      </c>
      <c r="E1185" s="15" t="s">
        <v>11215</v>
      </c>
      <c r="F1185" s="16" t="str">
        <f>VLOOKUP(Table8[[#This Row],[Mã khách hàng]],code_khach_hang[],2,0)</f>
        <v>CHI NHÁNH HÀ NỘI - CÔNG TY CỔ PHẦN DỊCH VỤ THƯƠNG MẠI TỔNG HỢP WINCOMMERCE</v>
      </c>
      <c r="G1185" s="16"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c r="A1186" s="14" t="s">
        <v>7113</v>
      </c>
      <c r="B1186" s="15" t="s">
        <v>5</v>
      </c>
      <c r="C1186" s="10" t="s">
        <v>7114</v>
      </c>
      <c r="D1186" s="16" t="s">
        <v>4016</v>
      </c>
      <c r="E1186" s="15" t="s">
        <v>11215</v>
      </c>
      <c r="F1186" s="16" t="str">
        <f>VLOOKUP(Table8[[#This Row],[Mã khách hàng]],code_khach_hang[],2,0)</f>
        <v>CHI NHÁNH HÀ NỘI - CÔNG TY CỔ PHẦN DỊCH VỤ THƯƠNG MẠI TỔNG HỢP WINCOMMERCE</v>
      </c>
      <c r="G1186" s="16"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c r="A1187" s="14" t="s">
        <v>8442</v>
      </c>
      <c r="B1187" s="15" t="s">
        <v>5</v>
      </c>
      <c r="C1187" s="10" t="s">
        <v>8443</v>
      </c>
      <c r="D1187" s="16" t="s">
        <v>4019</v>
      </c>
      <c r="E1187" s="15" t="s">
        <v>11215</v>
      </c>
      <c r="F1187" s="16" t="str">
        <f>VLOOKUP(Table8[[#This Row],[Mã khách hàng]],code_khach_hang[],2,0)</f>
        <v>CHI NHÁNH HÀ NỘI - CÔNG TY CỔ PHẦN DỊCH VỤ THƯƠNG MẠI TỔNG HỢP WINCOMMERCE</v>
      </c>
      <c r="G1187" s="16"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c r="A1188" s="14" t="s">
        <v>8950</v>
      </c>
      <c r="B1188" s="15" t="s">
        <v>5</v>
      </c>
      <c r="C1188" s="10" t="s">
        <v>8951</v>
      </c>
      <c r="D1188" s="16" t="s">
        <v>4022</v>
      </c>
      <c r="E1188" s="15" t="s">
        <v>11215</v>
      </c>
      <c r="F1188" s="16" t="str">
        <f>VLOOKUP(Table8[[#This Row],[Mã khách hàng]],code_khach_hang[],2,0)</f>
        <v>CHI NHÁNH HÀ NỘI - CÔNG TY CỔ PHẦN DỊCH VỤ THƯƠNG MẠI TỔNG HỢP WINCOMMERCE</v>
      </c>
      <c r="G1188" s="16"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c r="A1189" s="14" t="s">
        <v>6575</v>
      </c>
      <c r="B1189" s="15" t="s">
        <v>5</v>
      </c>
      <c r="C1189" s="10" t="s">
        <v>6576</v>
      </c>
      <c r="D1189" s="16" t="s">
        <v>4025</v>
      </c>
      <c r="E1189" s="15" t="s">
        <v>11215</v>
      </c>
      <c r="F1189" s="16" t="str">
        <f>VLOOKUP(Table8[[#This Row],[Mã khách hàng]],code_khach_hang[],2,0)</f>
        <v>CHI NHÁNH HÀ NỘI - CÔNG TY CỔ PHẦN DỊCH VỤ THƯƠNG MẠI TỔNG HỢP WINCOMMERCE</v>
      </c>
      <c r="G1189" s="16"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c r="A1190" s="14" t="s">
        <v>6944</v>
      </c>
      <c r="B1190" s="15" t="s">
        <v>5</v>
      </c>
      <c r="C1190" s="10" t="s">
        <v>6945</v>
      </c>
      <c r="D1190" s="16" t="s">
        <v>4028</v>
      </c>
      <c r="E1190" s="15" t="s">
        <v>11215</v>
      </c>
      <c r="F1190" s="16" t="str">
        <f>VLOOKUP(Table8[[#This Row],[Mã khách hàng]],code_khach_hang[],2,0)</f>
        <v>CHI NHÁNH HÀ NỘI - CÔNG TY CỔ PHẦN DỊCH VỤ THƯƠNG MẠI TỔNG HỢP WINCOMMERCE</v>
      </c>
      <c r="G1190" s="16"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c r="A1191" s="14" t="s">
        <v>7306</v>
      </c>
      <c r="B1191" s="15" t="s">
        <v>5</v>
      </c>
      <c r="C1191" s="10" t="s">
        <v>7307</v>
      </c>
      <c r="D1191" s="16" t="s">
        <v>4031</v>
      </c>
      <c r="E1191" s="15" t="s">
        <v>11215</v>
      </c>
      <c r="F1191" s="16" t="str">
        <f>VLOOKUP(Table8[[#This Row],[Mã khách hàng]],code_khach_hang[],2,0)</f>
        <v>CHI NHÁNH HÀ NỘI - CÔNG TY CỔ PHẦN DỊCH VỤ THƯƠNG MẠI TỔNG HỢP WINCOMMERCE</v>
      </c>
      <c r="G1191" s="16"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c r="A1192" s="14" t="s">
        <v>8287</v>
      </c>
      <c r="B1192" s="15" t="s">
        <v>5</v>
      </c>
      <c r="C1192" s="10" t="e">
        <v>#N/A</v>
      </c>
      <c r="D1192" s="16" t="s">
        <v>4034</v>
      </c>
      <c r="E1192" s="15" t="s">
        <v>11215</v>
      </c>
      <c r="F1192" s="16" t="str">
        <f>VLOOKUP(Table8[[#This Row],[Mã khách hàng]],code_khach_hang[],2,0)</f>
        <v>CHI NHÁNH HÀ NỘI - CÔNG TY CỔ PHẦN DỊCH VỤ THƯƠNG MẠI TỔNG HỢP WINCOMMERCE</v>
      </c>
      <c r="G1192" s="16"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c r="A1193" s="14" t="s">
        <v>8227</v>
      </c>
      <c r="B1193" s="15" t="s">
        <v>5</v>
      </c>
      <c r="C1193" s="10" t="s">
        <v>8228</v>
      </c>
      <c r="D1193" s="16" t="s">
        <v>4037</v>
      </c>
      <c r="E1193" s="15" t="s">
        <v>11215</v>
      </c>
      <c r="F1193" s="16" t="str">
        <f>VLOOKUP(Table8[[#This Row],[Mã khách hàng]],code_khach_hang[],2,0)</f>
        <v>CHI NHÁNH HÀ NỘI - CÔNG TY CỔ PHẦN DỊCH VỤ THƯƠNG MẠI TỔNG HỢP WINCOMMERCE</v>
      </c>
      <c r="G1193" s="16"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c r="A1194" s="14" t="s">
        <v>8538</v>
      </c>
      <c r="B1194" s="15" t="s">
        <v>5</v>
      </c>
      <c r="C1194" s="10" t="s">
        <v>8539</v>
      </c>
      <c r="D1194" s="16" t="s">
        <v>4040</v>
      </c>
      <c r="E1194" s="15" t="s">
        <v>11215</v>
      </c>
      <c r="F1194" s="16" t="str">
        <f>VLOOKUP(Table8[[#This Row],[Mã khách hàng]],code_khach_hang[],2,0)</f>
        <v>CHI NHÁNH HÀ NỘI - CÔNG TY CỔ PHẦN DỊCH VỤ THƯƠNG MẠI TỔNG HỢP WINCOMMERCE</v>
      </c>
      <c r="G1194" s="16"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c r="A1195" s="14" t="s">
        <v>8623</v>
      </c>
      <c r="B1195" s="15" t="s">
        <v>5</v>
      </c>
      <c r="C1195" s="10" t="s">
        <v>8624</v>
      </c>
      <c r="D1195" s="16" t="s">
        <v>4043</v>
      </c>
      <c r="E1195" s="15" t="s">
        <v>11215</v>
      </c>
      <c r="F1195" s="16" t="str">
        <f>VLOOKUP(Table8[[#This Row],[Mã khách hàng]],code_khach_hang[],2,0)</f>
        <v>CHI NHÁNH HÀ NỘI - CÔNG TY CỔ PHẦN DỊCH VỤ THƯƠNG MẠI TỔNG HỢP WINCOMMERCE</v>
      </c>
      <c r="G1195" s="16"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c r="A1196" s="14" t="s">
        <v>774</v>
      </c>
      <c r="B1196" s="15" t="s">
        <v>5</v>
      </c>
      <c r="C1196" s="10" t="s">
        <v>775</v>
      </c>
      <c r="D1196" s="16" t="s">
        <v>4046</v>
      </c>
      <c r="E1196" s="15" t="s">
        <v>11215</v>
      </c>
      <c r="F1196" s="16" t="str">
        <f>VLOOKUP(Table8[[#This Row],[Mã khách hàng]],code_khach_hang[],2,0)</f>
        <v>CHI NHÁNH HÀ NỘI - CÔNG TY CỔ PHẦN DỊCH VỤ THƯƠNG MẠI TỔNG HỢP WINCOMMERCE</v>
      </c>
      <c r="G1196" s="16"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c r="A1197" s="14" t="s">
        <v>846</v>
      </c>
      <c r="B1197" s="15" t="s">
        <v>5</v>
      </c>
      <c r="C1197" s="10" t="s">
        <v>847</v>
      </c>
      <c r="D1197" s="16" t="s">
        <v>4049</v>
      </c>
      <c r="E1197" s="15" t="s">
        <v>11215</v>
      </c>
      <c r="F1197" s="16" t="str">
        <f>VLOOKUP(Table8[[#This Row],[Mã khách hàng]],code_khach_hang[],2,0)</f>
        <v>CHI NHÁNH HÀ NỘI - CÔNG TY CỔ PHẦN DỊCH VỤ THƯƠNG MẠI TỔNG HỢP WINCOMMERCE</v>
      </c>
      <c r="G1197" s="16"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c r="A1198" s="14" t="s">
        <v>852</v>
      </c>
      <c r="B1198" s="15" t="s">
        <v>5</v>
      </c>
      <c r="C1198" s="10" t="s">
        <v>853</v>
      </c>
      <c r="D1198" s="16" t="s">
        <v>4052</v>
      </c>
      <c r="E1198" s="15" t="s">
        <v>11215</v>
      </c>
      <c r="F1198" s="16" t="str">
        <f>VLOOKUP(Table8[[#This Row],[Mã khách hàng]],code_khach_hang[],2,0)</f>
        <v>CHI NHÁNH HÀ NỘI - CÔNG TY CỔ PHẦN DỊCH VỤ THƯƠNG MẠI TỔNG HỢP WINCOMMERCE</v>
      </c>
      <c r="G1198" s="16"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c r="A1199" s="14" t="s">
        <v>966</v>
      </c>
      <c r="B1199" s="15" t="s">
        <v>5</v>
      </c>
      <c r="C1199" s="10" t="s">
        <v>967</v>
      </c>
      <c r="D1199" s="16" t="s">
        <v>4055</v>
      </c>
      <c r="E1199" s="15" t="s">
        <v>11215</v>
      </c>
      <c r="F1199" s="16" t="str">
        <f>VLOOKUP(Table8[[#This Row],[Mã khách hàng]],code_khach_hang[],2,0)</f>
        <v>CHI NHÁNH HÀ NỘI - CÔNG TY CỔ PHẦN DỊCH VỤ THƯƠNG MẠI TỔNG HỢP WINCOMMERCE</v>
      </c>
      <c r="G1199" s="16"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c r="A1200" s="14" t="s">
        <v>1065</v>
      </c>
      <c r="B1200" s="15" t="s">
        <v>5</v>
      </c>
      <c r="C1200" s="10" t="s">
        <v>1066</v>
      </c>
      <c r="D1200" s="16" t="s">
        <v>4058</v>
      </c>
      <c r="E1200" s="15" t="s">
        <v>11215</v>
      </c>
      <c r="F1200" s="16" t="str">
        <f>VLOOKUP(Table8[[#This Row],[Mã khách hàng]],code_khach_hang[],2,0)</f>
        <v>CHI NHÁNH HÀ NỘI - CÔNG TY CỔ PHẦN DỊCH VỤ THƯƠNG MẠI TỔNG HỢP WINCOMMERCE</v>
      </c>
      <c r="G1200" s="16"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c r="A1201" s="14" t="s">
        <v>4338</v>
      </c>
      <c r="B1201" s="15" t="s">
        <v>5</v>
      </c>
      <c r="C1201" s="10" t="s">
        <v>4339</v>
      </c>
      <c r="D1201" s="16" t="s">
        <v>4061</v>
      </c>
      <c r="E1201" s="15" t="s">
        <v>11215</v>
      </c>
      <c r="F1201" s="16" t="str">
        <f>VLOOKUP(Table8[[#This Row],[Mã khách hàng]],code_khach_hang[],2,0)</f>
        <v>CHI NHÁNH HÀ NỘI - CÔNG TY CỔ PHẦN DỊCH VỤ THƯƠNG MẠI TỔNG HỢP WINCOMMERCE</v>
      </c>
      <c r="G1201" s="16"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c r="A1202" s="14" t="s">
        <v>6408</v>
      </c>
      <c r="B1202" s="15" t="s">
        <v>5</v>
      </c>
      <c r="C1202" s="10" t="s">
        <v>6409</v>
      </c>
      <c r="D1202" s="16" t="s">
        <v>4064</v>
      </c>
      <c r="E1202" s="15" t="s">
        <v>11215</v>
      </c>
      <c r="F1202" s="16" t="str">
        <f>VLOOKUP(Table8[[#This Row],[Mã khách hàng]],code_khach_hang[],2,0)</f>
        <v>CHI NHÁNH HÀ NỘI - CÔNG TY CỔ PHẦN DỊCH VỤ THƯƠNG MẠI TỔNG HỢP WINCOMMERCE</v>
      </c>
      <c r="G1202" s="16"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c r="A1203" s="14" t="s">
        <v>8944</v>
      </c>
      <c r="B1203" s="15" t="s">
        <v>5</v>
      </c>
      <c r="C1203" s="10" t="s">
        <v>8945</v>
      </c>
      <c r="D1203" s="16" t="s">
        <v>4067</v>
      </c>
      <c r="E1203" s="15" t="s">
        <v>11215</v>
      </c>
      <c r="F1203" s="16" t="str">
        <f>VLOOKUP(Table8[[#This Row],[Mã khách hàng]],code_khach_hang[],2,0)</f>
        <v>CHI NHÁNH HÀ NỘI - CÔNG TY CỔ PHẦN DỊCH VỤ THƯƠNG MẠI TỔNG HỢP WINCOMMERCE</v>
      </c>
      <c r="G1203" s="16"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c r="A1204" s="14" t="s">
        <v>8968</v>
      </c>
      <c r="B1204" s="15" t="s">
        <v>5</v>
      </c>
      <c r="C1204" s="10" t="s">
        <v>8969</v>
      </c>
      <c r="D1204" s="16" t="s">
        <v>4070</v>
      </c>
      <c r="E1204" s="15" t="s">
        <v>11215</v>
      </c>
      <c r="F1204" s="16" t="str">
        <f>VLOOKUP(Table8[[#This Row],[Mã khách hàng]],code_khach_hang[],2,0)</f>
        <v>CHI NHÁNH HÀ NỘI - CÔNG TY CỔ PHẦN DỊCH VỤ THƯƠNG MẠI TỔNG HỢP WINCOMMERCE</v>
      </c>
      <c r="G1204" s="16"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c r="A1205" s="14" t="s">
        <v>11111</v>
      </c>
      <c r="B1205" s="15" t="s">
        <v>5</v>
      </c>
      <c r="C1205" s="10" t="e">
        <v>#N/A</v>
      </c>
      <c r="D1205" s="16" t="s">
        <v>4073</v>
      </c>
      <c r="E1205" s="15" t="s">
        <v>11215</v>
      </c>
      <c r="F1205" s="16" t="str">
        <f>VLOOKUP(Table8[[#This Row],[Mã khách hàng]],code_khach_hang[],2,0)</f>
        <v>CHI NHÁNH HÀ NỘI - CÔNG TY CỔ PHẦN DỊCH VỤ THƯƠNG MẠI TỔNG HỢP WINCOMMERCE</v>
      </c>
      <c r="G1205" s="16"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c r="A1206" s="14" t="s">
        <v>9028</v>
      </c>
      <c r="B1206" s="15" t="s">
        <v>5</v>
      </c>
      <c r="C1206" s="10" t="s">
        <v>9029</v>
      </c>
      <c r="D1206" s="16" t="s">
        <v>4076</v>
      </c>
      <c r="E1206" s="15" t="s">
        <v>11215</v>
      </c>
      <c r="F1206" s="16" t="str">
        <f>VLOOKUP(Table8[[#This Row],[Mã khách hàng]],code_khach_hang[],2,0)</f>
        <v>CHI NHÁNH HÀ NỘI - CÔNG TY CỔ PHẦN DỊCH VỤ THƯƠNG MẠI TỔNG HỢP WINCOMMERCE</v>
      </c>
      <c r="G1206" s="16"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c r="A1207" s="14" t="s">
        <v>2198</v>
      </c>
      <c r="B1207" s="15" t="s">
        <v>5</v>
      </c>
      <c r="C1207" s="10" t="s">
        <v>2199</v>
      </c>
      <c r="D1207" s="16" t="s">
        <v>4079</v>
      </c>
      <c r="E1207" s="15" t="s">
        <v>11215</v>
      </c>
      <c r="F1207" s="16" t="str">
        <f>VLOOKUP(Table8[[#This Row],[Mã khách hàng]],code_khach_hang[],2,0)</f>
        <v>CHI NHÁNH HÀ NỘI - CÔNG TY CỔ PHẦN DỊCH VỤ THƯƠNG MẠI TỔNG HỢP WINCOMMERCE</v>
      </c>
      <c r="G1207" s="16"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c r="A1208" s="14" t="s">
        <v>1525</v>
      </c>
      <c r="B1208" s="15" t="s">
        <v>5</v>
      </c>
      <c r="C1208" s="10" t="s">
        <v>1526</v>
      </c>
      <c r="D1208" s="16" t="s">
        <v>4082</v>
      </c>
      <c r="E1208" s="15" t="s">
        <v>11215</v>
      </c>
      <c r="F1208" s="16" t="str">
        <f>VLOOKUP(Table8[[#This Row],[Mã khách hàng]],code_khach_hang[],2,0)</f>
        <v>CHI NHÁNH HÀ NỘI - CÔNG TY CỔ PHẦN DỊCH VỤ THƯƠNG MẠI TỔNG HỢP WINCOMMERCE</v>
      </c>
      <c r="G1208" s="16"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c r="A1209" s="14" t="s">
        <v>592</v>
      </c>
      <c r="B1209" s="15" t="s">
        <v>183</v>
      </c>
      <c r="C1209" s="10" t="s">
        <v>593</v>
      </c>
      <c r="D1209" s="16" t="s">
        <v>4085</v>
      </c>
      <c r="E1209" s="15" t="s">
        <v>11195</v>
      </c>
      <c r="F1209" s="16" t="str">
        <f>VLOOKUP(Table8[[#This Row],[Mã khách hàng]],code_khach_hang[],2,0)</f>
        <v>CHI NHÁNH HÀ NỘI - CÔNG TY CỔ PHẦN DỊCH VỤ THƯƠNG MẠI TỔNG HỢP WINCOMMERCE</v>
      </c>
      <c r="G1209" s="16"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c r="A1210" s="14" t="s">
        <v>598</v>
      </c>
      <c r="B1210" s="15" t="s">
        <v>183</v>
      </c>
      <c r="C1210" s="10" t="s">
        <v>599</v>
      </c>
      <c r="D1210" s="16" t="s">
        <v>4088</v>
      </c>
      <c r="E1210" s="15" t="s">
        <v>11195</v>
      </c>
      <c r="F1210" s="16" t="str">
        <f>VLOOKUP(Table8[[#This Row],[Mã khách hàng]],code_khach_hang[],2,0)</f>
        <v>CHI NHÁNH HÀ NỘI - CÔNG TY CỔ PHẦN DỊCH VỤ THƯƠNG MẠI TỔNG HỢP WINCOMMERCE</v>
      </c>
      <c r="G1210" s="16"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c r="A1211" s="14" t="s">
        <v>559</v>
      </c>
      <c r="B1211" s="15" t="s">
        <v>183</v>
      </c>
      <c r="C1211" s="10" t="s">
        <v>560</v>
      </c>
      <c r="D1211" s="16" t="s">
        <v>4091</v>
      </c>
      <c r="E1211" s="15" t="s">
        <v>11195</v>
      </c>
      <c r="F1211" s="16" t="str">
        <f>VLOOKUP(Table8[[#This Row],[Mã khách hàng]],code_khach_hang[],2,0)</f>
        <v>CHI NHÁNH HÀ NỘI - CÔNG TY CỔ PHẦN DỊCH VỤ THƯƠNG MẠI TỔNG HỢP WINCOMMERCE</v>
      </c>
      <c r="G1211" s="16"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c r="A1212" s="14" t="s">
        <v>610</v>
      </c>
      <c r="B1212" s="15" t="s">
        <v>183</v>
      </c>
      <c r="C1212" s="10" t="s">
        <v>611</v>
      </c>
      <c r="D1212" s="16" t="s">
        <v>4094</v>
      </c>
      <c r="E1212" s="15" t="s">
        <v>11195</v>
      </c>
      <c r="F1212" s="16" t="str">
        <f>VLOOKUP(Table8[[#This Row],[Mã khách hàng]],code_khach_hang[],2,0)</f>
        <v>CHI NHÁNH HÀ NỘI - CÔNG TY CỔ PHẦN DỊCH VỤ THƯƠNG MẠI TỔNG HỢP WINCOMMERCE</v>
      </c>
      <c r="G1212" s="16"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c r="A1213" s="14" t="s">
        <v>6599</v>
      </c>
      <c r="B1213" s="15" t="s">
        <v>5</v>
      </c>
      <c r="C1213" s="10" t="s">
        <v>6600</v>
      </c>
      <c r="D1213" s="16" t="s">
        <v>4097</v>
      </c>
      <c r="E1213" s="15" t="s">
        <v>11215</v>
      </c>
      <c r="F1213" s="16" t="str">
        <f>VLOOKUP(Table8[[#This Row],[Mã khách hàng]],code_khach_hang[],2,0)</f>
        <v>CHI NHÁNH HÀ NỘI - CÔNG TY CỔ PHẦN DỊCH VỤ THƯƠNG MẠI TỔNG HỢP WINCOMMERCE</v>
      </c>
      <c r="G1213" s="16"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c r="A1214" s="14" t="s">
        <v>6605</v>
      </c>
      <c r="B1214" s="15" t="s">
        <v>5</v>
      </c>
      <c r="C1214" s="10" t="s">
        <v>6606</v>
      </c>
      <c r="D1214" s="16" t="s">
        <v>4100</v>
      </c>
      <c r="E1214" s="15" t="s">
        <v>11215</v>
      </c>
      <c r="F1214" s="16" t="str">
        <f>VLOOKUP(Table8[[#This Row],[Mã khách hàng]],code_khach_hang[],2,0)</f>
        <v>CHI NHÁNH HÀ NỘI - CÔNG TY CỔ PHẦN DỊCH VỤ THƯƠNG MẠI TỔNG HỢP WINCOMMERCE</v>
      </c>
      <c r="G1214" s="16"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c r="A1215" s="14" t="s">
        <v>8248</v>
      </c>
      <c r="B1215" s="15" t="s">
        <v>5</v>
      </c>
      <c r="C1215" s="10" t="s">
        <v>8249</v>
      </c>
      <c r="D1215" s="16" t="s">
        <v>4103</v>
      </c>
      <c r="E1215" s="15" t="s">
        <v>11215</v>
      </c>
      <c r="F1215" s="16" t="str">
        <f>VLOOKUP(Table8[[#This Row],[Mã khách hàng]],code_khach_hang[],2,0)</f>
        <v>CHI NHÁNH HÀ NỘI - CÔNG TY CỔ PHẦN DỊCH VỤ THƯƠNG MẠI TỔNG HỢP WINCOMMERCE</v>
      </c>
      <c r="G1215" s="16"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c r="A1216" s="14" t="s">
        <v>8266</v>
      </c>
      <c r="B1216" s="15" t="s">
        <v>5</v>
      </c>
      <c r="C1216" s="10" t="s">
        <v>8267</v>
      </c>
      <c r="D1216" s="16" t="s">
        <v>4106</v>
      </c>
      <c r="E1216" s="15" t="s">
        <v>11215</v>
      </c>
      <c r="F1216" s="16" t="str">
        <f>VLOOKUP(Table8[[#This Row],[Mã khách hàng]],code_khach_hang[],2,0)</f>
        <v>CHI NHÁNH HÀ NỘI - CÔNG TY CỔ PHẦN DỊCH VỤ THƯƠNG MẠI TỔNG HỢP WINCOMMERCE</v>
      </c>
      <c r="G1216" s="16"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c r="A1217" s="14" t="s">
        <v>8207</v>
      </c>
      <c r="B1217" s="15" t="s">
        <v>5</v>
      </c>
      <c r="C1217" s="10" t="s">
        <v>8208</v>
      </c>
      <c r="D1217" s="16" t="s">
        <v>4109</v>
      </c>
      <c r="E1217" s="15" t="s">
        <v>11215</v>
      </c>
      <c r="F1217" s="16" t="str">
        <f>VLOOKUP(Table8[[#This Row],[Mã khách hàng]],code_khach_hang[],2,0)</f>
        <v>CHI NHÁNH HÀ NỘI - CÔNG TY CỔ PHẦN DỊCH VỤ THƯƠNG MẠI TỔNG HỢP WINCOMMERCE</v>
      </c>
      <c r="G1217" s="16"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c r="A1218" s="14" t="s">
        <v>6402</v>
      </c>
      <c r="B1218" s="15" t="s">
        <v>5</v>
      </c>
      <c r="C1218" s="10" t="s">
        <v>6403</v>
      </c>
      <c r="D1218" s="16" t="s">
        <v>4112</v>
      </c>
      <c r="E1218" s="15" t="s">
        <v>11215</v>
      </c>
      <c r="F1218" s="16" t="str">
        <f>VLOOKUP(Table8[[#This Row],[Mã khách hàng]],code_khach_hang[],2,0)</f>
        <v>CHI NHÁNH HÀ NỘI - CÔNG TY CỔ PHẦN DỊCH VỤ THƯƠNG MẠI TỔNG HỢP WINCOMMERCE</v>
      </c>
      <c r="G1218" s="16"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c r="A1219" s="14" t="s">
        <v>8349</v>
      </c>
      <c r="B1219" s="15" t="s">
        <v>5</v>
      </c>
      <c r="C1219" s="10" t="s">
        <v>8350</v>
      </c>
      <c r="D1219" s="16" t="s">
        <v>4115</v>
      </c>
      <c r="E1219" s="15" t="s">
        <v>11215</v>
      </c>
      <c r="F1219" s="16" t="str">
        <f>VLOOKUP(Table8[[#This Row],[Mã khách hàng]],code_khach_hang[],2,0)</f>
        <v>CHI NHÁNH HÀ NỘI - CÔNG TY CỔ PHẦN DỊCH VỤ THƯƠNG MẠI TỔNG HỢP WINCOMMERCE</v>
      </c>
      <c r="G1219" s="16"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c r="A1220" s="14" t="s">
        <v>8642</v>
      </c>
      <c r="B1220" s="15" t="s">
        <v>5</v>
      </c>
      <c r="C1220" s="10" t="s">
        <v>8643</v>
      </c>
      <c r="D1220" s="16" t="s">
        <v>4118</v>
      </c>
      <c r="E1220" s="15" t="s">
        <v>11215</v>
      </c>
      <c r="F1220" s="16" t="str">
        <f>VLOOKUP(Table8[[#This Row],[Mã khách hàng]],code_khach_hang[],2,0)</f>
        <v>CHI NHÁNH HÀ NỘI - CÔNG TY CỔ PHẦN DỊCH VỤ THƯƠNG MẠI TỔNG HỢP WINCOMMERCE</v>
      </c>
      <c r="G1220" s="16"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c r="A1221" s="14" t="s">
        <v>8633</v>
      </c>
      <c r="B1221" s="15" t="s">
        <v>5</v>
      </c>
      <c r="C1221" s="10" t="s">
        <v>8634</v>
      </c>
      <c r="D1221" s="16" t="s">
        <v>4121</v>
      </c>
      <c r="E1221" s="15" t="s">
        <v>11215</v>
      </c>
      <c r="F1221" s="16" t="str">
        <f>VLOOKUP(Table8[[#This Row],[Mã khách hàng]],code_khach_hang[],2,0)</f>
        <v>CHI NHÁNH HÀ NỘI - CÔNG TY CỔ PHẦN DỊCH VỤ THƯƠNG MẠI TỔNG HỢP WINCOMMERCE</v>
      </c>
      <c r="G1221" s="16"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c r="A1222" s="14" t="s">
        <v>8325</v>
      </c>
      <c r="B1222" s="15" t="s">
        <v>5</v>
      </c>
      <c r="C1222" s="10" t="s">
        <v>8326</v>
      </c>
      <c r="D1222" s="16" t="s">
        <v>4124</v>
      </c>
      <c r="E1222" s="15" t="s">
        <v>11215</v>
      </c>
      <c r="F1222" s="16" t="str">
        <f>VLOOKUP(Table8[[#This Row],[Mã khách hàng]],code_khach_hang[],2,0)</f>
        <v>CHI NHÁNH HÀ NỘI - CÔNG TY CỔ PHẦN DỊCH VỤ THƯƠNG MẠI TỔNG HỢP WINCOMMERCE</v>
      </c>
      <c r="G1222" s="16"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c r="A1223" s="14" t="s">
        <v>5061</v>
      </c>
      <c r="B1223" s="15" t="s">
        <v>5</v>
      </c>
      <c r="C1223" s="10" t="s">
        <v>5062</v>
      </c>
      <c r="D1223" s="16" t="s">
        <v>4127</v>
      </c>
      <c r="E1223" s="15" t="s">
        <v>11215</v>
      </c>
      <c r="F1223" s="16" t="str">
        <f>VLOOKUP(Table8[[#This Row],[Mã khách hàng]],code_khach_hang[],2,0)</f>
        <v>CHI NHÁNH HÀ NỘI - CÔNG TY CỔ PHẦN DỊCH VỤ THƯƠNG MẠI TỔNG HỢP WINCOMMERCE</v>
      </c>
      <c r="G1223" s="16"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c r="A1224" s="14" t="s">
        <v>5070</v>
      </c>
      <c r="B1224" s="15" t="s">
        <v>5</v>
      </c>
      <c r="C1224" s="10" t="s">
        <v>5071</v>
      </c>
      <c r="D1224" s="16" t="s">
        <v>4130</v>
      </c>
      <c r="E1224" s="15" t="s">
        <v>11215</v>
      </c>
      <c r="F1224" s="16" t="str">
        <f>VLOOKUP(Table8[[#This Row],[Mã khách hàng]],code_khach_hang[],2,0)</f>
        <v>CHI NHÁNH HÀ NỘI - CÔNG TY CỔ PHẦN DỊCH VỤ THƯƠNG MẠI TỔNG HỢP WINCOMMERCE</v>
      </c>
      <c r="G1224" s="16"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c r="A1225" s="14" t="s">
        <v>5073</v>
      </c>
      <c r="B1225" s="15" t="s">
        <v>5</v>
      </c>
      <c r="C1225" s="10" t="s">
        <v>5074</v>
      </c>
      <c r="D1225" s="16" t="s">
        <v>4133</v>
      </c>
      <c r="E1225" s="15" t="s">
        <v>11215</v>
      </c>
      <c r="F1225" s="16" t="str">
        <f>VLOOKUP(Table8[[#This Row],[Mã khách hàng]],code_khach_hang[],2,0)</f>
        <v>CHI NHÁNH HÀ NỘI - CÔNG TY CỔ PHẦN DỊCH VỤ THƯƠNG MẠI TỔNG HỢP WINCOMMERCE</v>
      </c>
      <c r="G1225" s="16"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c r="A1226" s="14" t="s">
        <v>5388</v>
      </c>
      <c r="B1226" s="15" t="s">
        <v>5</v>
      </c>
      <c r="C1226" s="10" t="s">
        <v>5389</v>
      </c>
      <c r="D1226" s="16" t="s">
        <v>4136</v>
      </c>
      <c r="E1226" s="15" t="s">
        <v>11215</v>
      </c>
      <c r="F1226" s="16" t="str">
        <f>VLOOKUP(Table8[[#This Row],[Mã khách hàng]],code_khach_hang[],2,0)</f>
        <v>CHI NHÁNH HÀ NỘI - CÔNG TY CỔ PHẦN DỊCH VỤ THƯƠNG MẠI TỔNG HỢP WINCOMMERCE</v>
      </c>
      <c r="G1226" s="16"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c r="A1227" s="14" t="s">
        <v>5442</v>
      </c>
      <c r="B1227" s="15" t="s">
        <v>5</v>
      </c>
      <c r="C1227" s="10" t="s">
        <v>5443</v>
      </c>
      <c r="D1227" s="16" t="s">
        <v>4139</v>
      </c>
      <c r="E1227" s="15" t="s">
        <v>11215</v>
      </c>
      <c r="F1227" s="16" t="str">
        <f>VLOOKUP(Table8[[#This Row],[Mã khách hàng]],code_khach_hang[],2,0)</f>
        <v>CHI NHÁNH HÀ NỘI - CÔNG TY CỔ PHẦN DỊCH VỤ THƯƠNG MẠI TỔNG HỢP WINCOMMERCE</v>
      </c>
      <c r="G1227" s="16"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c r="A1228" s="14" t="s">
        <v>5481</v>
      </c>
      <c r="B1228" s="15" t="s">
        <v>5</v>
      </c>
      <c r="C1228" s="10" t="s">
        <v>5482</v>
      </c>
      <c r="D1228" s="16" t="s">
        <v>4142</v>
      </c>
      <c r="E1228" s="15" t="s">
        <v>11215</v>
      </c>
      <c r="F1228" s="16" t="str">
        <f>VLOOKUP(Table8[[#This Row],[Mã khách hàng]],code_khach_hang[],2,0)</f>
        <v>CHI NHÁNH HÀ NỘI - CÔNG TY CỔ PHẦN DỊCH VỤ THƯƠNG MẠI TỔNG HỢP WINCOMMERCE</v>
      </c>
      <c r="G1228" s="16"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c r="A1229" s="14" t="s">
        <v>6121</v>
      </c>
      <c r="B1229" s="15" t="s">
        <v>5</v>
      </c>
      <c r="C1229" s="10" t="s">
        <v>6122</v>
      </c>
      <c r="D1229" s="16" t="s">
        <v>4145</v>
      </c>
      <c r="E1229" s="15" t="s">
        <v>11215</v>
      </c>
      <c r="F1229" s="16" t="str">
        <f>VLOOKUP(Table8[[#This Row],[Mã khách hàng]],code_khach_hang[],2,0)</f>
        <v>CHI NHÁNH HÀ NỘI - CÔNG TY CỔ PHẦN DỊCH VỤ THƯƠNG MẠI TỔNG HỢP WINCOMMERCE</v>
      </c>
      <c r="G1229" s="16"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c r="A1230" s="14" t="s">
        <v>6581</v>
      </c>
      <c r="B1230" s="15" t="s">
        <v>5</v>
      </c>
      <c r="C1230" s="10" t="s">
        <v>6582</v>
      </c>
      <c r="D1230" s="16" t="s">
        <v>4148</v>
      </c>
      <c r="E1230" s="15" t="s">
        <v>11215</v>
      </c>
      <c r="F1230" s="16" t="str">
        <f>VLOOKUP(Table8[[#This Row],[Mã khách hàng]],code_khach_hang[],2,0)</f>
        <v>CHI NHÁNH HÀ NỘI - CÔNG TY CỔ PHẦN DỊCH VỤ THƯƠNG MẠI TỔNG HỢP WINCOMMERCE</v>
      </c>
      <c r="G1230" s="16"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c r="A1231" s="14" t="s">
        <v>6710</v>
      </c>
      <c r="B1231" s="15" t="s">
        <v>5</v>
      </c>
      <c r="C1231" s="10" t="s">
        <v>6711</v>
      </c>
      <c r="D1231" s="16" t="s">
        <v>4151</v>
      </c>
      <c r="E1231" s="15" t="s">
        <v>11215</v>
      </c>
      <c r="F1231" s="16" t="str">
        <f>VLOOKUP(Table8[[#This Row],[Mã khách hàng]],code_khach_hang[],2,0)</f>
        <v>CHI NHÁNH HÀ NỘI - CÔNG TY CỔ PHẦN DỊCH VỤ THƯƠNG MẠI TỔNG HỢP WINCOMMERCE</v>
      </c>
      <c r="G1231" s="16"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c r="A1232" s="14" t="s">
        <v>6722</v>
      </c>
      <c r="B1232" s="15" t="s">
        <v>5</v>
      </c>
      <c r="C1232" s="10" t="s">
        <v>6723</v>
      </c>
      <c r="D1232" s="16" t="s">
        <v>4154</v>
      </c>
      <c r="E1232" s="15" t="s">
        <v>11215</v>
      </c>
      <c r="F1232" s="16" t="str">
        <f>VLOOKUP(Table8[[#This Row],[Mã khách hàng]],code_khach_hang[],2,0)</f>
        <v>CHI NHÁNH HÀ NỘI - CÔNG TY CỔ PHẦN DỊCH VỤ THƯƠNG MẠI TỔNG HỢP WINCOMMERCE</v>
      </c>
      <c r="G1232" s="16"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c r="A1233" s="14" t="s">
        <v>7789</v>
      </c>
      <c r="B1233" s="15" t="s">
        <v>5</v>
      </c>
      <c r="C1233" s="10" t="s">
        <v>7790</v>
      </c>
      <c r="D1233" s="16" t="s">
        <v>4157</v>
      </c>
      <c r="E1233" s="15" t="s">
        <v>11215</v>
      </c>
      <c r="F1233" s="16" t="str">
        <f>VLOOKUP(Table8[[#This Row],[Mã khách hàng]],code_khach_hang[],2,0)</f>
        <v>CHI NHÁNH HÀ NỘI - CÔNG TY CỔ PHẦN DỊCH VỤ THƯƠNG MẠI TỔNG HỢP WINCOMMERCE</v>
      </c>
      <c r="G1233" s="16"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c r="A1234" s="14" t="s">
        <v>8930</v>
      </c>
      <c r="B1234" s="15" t="s">
        <v>5</v>
      </c>
      <c r="C1234" s="10" t="s">
        <v>8931</v>
      </c>
      <c r="D1234" s="16" t="s">
        <v>4160</v>
      </c>
      <c r="E1234" s="14" t="s">
        <v>11215</v>
      </c>
      <c r="F1234" s="16" t="str">
        <f>VLOOKUP(Table8[[#This Row],[Mã khách hàng]],code_khach_hang[],2,0)</f>
        <v>CHI NHÁNH HÀ NỘI - CÔNG TY CỔ PHẦN DỊCH VỤ THƯƠNG MẠI TỔNG HỢP WINCOMMERCE</v>
      </c>
      <c r="G1234" s="16"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c r="A1235" s="14" t="s">
        <v>1447</v>
      </c>
      <c r="B1235" s="15" t="s">
        <v>5</v>
      </c>
      <c r="C1235" s="10" t="s">
        <v>1448</v>
      </c>
      <c r="D1235" s="16" t="s">
        <v>4163</v>
      </c>
      <c r="E1235" s="15" t="s">
        <v>11215</v>
      </c>
      <c r="F1235" s="16" t="str">
        <f>VLOOKUP(Table8[[#This Row],[Mã khách hàng]],code_khach_hang[],2,0)</f>
        <v>CHI NHÁNH HÀ NỘI - CÔNG TY CỔ PHẦN DỊCH VỤ THƯƠNG MẠI TỔNG HỢP WINCOMMERCE</v>
      </c>
      <c r="G1235" s="16"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c r="A1236" s="14" t="s">
        <v>2464</v>
      </c>
      <c r="B1236" s="15" t="s">
        <v>5</v>
      </c>
      <c r="C1236" s="10" t="s">
        <v>2465</v>
      </c>
      <c r="D1236" s="16" t="s">
        <v>4166</v>
      </c>
      <c r="E1236" s="15" t="s">
        <v>11215</v>
      </c>
      <c r="F1236" s="16" t="str">
        <f>VLOOKUP(Table8[[#This Row],[Mã khách hàng]],code_khach_hang[],2,0)</f>
        <v>CHI NHÁNH HÀ NỘI - CÔNG TY CỔ PHẦN DỊCH VỤ THƯƠNG MẠI TỔNG HỢP WINCOMMERCE</v>
      </c>
      <c r="G1236" s="16"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c r="A1237" s="14" t="s">
        <v>2694</v>
      </c>
      <c r="B1237" s="15" t="s">
        <v>5</v>
      </c>
      <c r="C1237" s="10" t="s">
        <v>2695</v>
      </c>
      <c r="D1237" s="16" t="s">
        <v>4169</v>
      </c>
      <c r="E1237" s="15" t="s">
        <v>11215</v>
      </c>
      <c r="F1237" s="16" t="str">
        <f>VLOOKUP(Table8[[#This Row],[Mã khách hàng]],code_khach_hang[],2,0)</f>
        <v>CHI NHÁNH HÀ NỘI - CÔNG TY CỔ PHẦN DỊCH VỤ THƯƠNG MẠI TỔNG HỢP WINCOMMERCE</v>
      </c>
      <c r="G1237" s="16"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c r="A1238" s="14" t="s">
        <v>8759</v>
      </c>
      <c r="B1238" s="15" t="s">
        <v>5</v>
      </c>
      <c r="C1238" s="10" t="s">
        <v>8760</v>
      </c>
      <c r="D1238" s="16" t="s">
        <v>4172</v>
      </c>
      <c r="E1238" s="15" t="s">
        <v>11215</v>
      </c>
      <c r="F1238" s="16" t="str">
        <f>VLOOKUP(Table8[[#This Row],[Mã khách hàng]],code_khach_hang[],2,0)</f>
        <v>CHI NHÁNH HÀ NỘI - CÔNG TY CỔ PHẦN DỊCH VỤ THƯƠNG MẠI TỔNG HỢP WINCOMMERCE</v>
      </c>
      <c r="G1238" s="16"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c r="A1239" s="14" t="s">
        <v>11112</v>
      </c>
      <c r="B1239" s="15" t="s">
        <v>5</v>
      </c>
      <c r="C1239" s="10" t="s">
        <v>13158</v>
      </c>
      <c r="D1239" s="16" t="s">
        <v>4175</v>
      </c>
      <c r="E1239" s="15" t="s">
        <v>11215</v>
      </c>
      <c r="F1239" s="16" t="str">
        <f>VLOOKUP(Table8[[#This Row],[Mã khách hàng]],code_khach_hang[],2,0)</f>
        <v>CHI NHÁNH HÀ NỘI - CÔNG TY CỔ PHẦN DỊCH VỤ THƯƠNG MẠI TỔNG HỢP WINCOMMERCE</v>
      </c>
      <c r="G1239" s="16"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c r="A1240" s="14" t="s">
        <v>768</v>
      </c>
      <c r="B1240" s="15" t="s">
        <v>5</v>
      </c>
      <c r="C1240" s="10" t="s">
        <v>769</v>
      </c>
      <c r="D1240" s="16" t="s">
        <v>4178</v>
      </c>
      <c r="E1240" s="15" t="s">
        <v>11215</v>
      </c>
      <c r="F1240" s="16" t="str">
        <f>VLOOKUP(Table8[[#This Row],[Mã khách hàng]],code_khach_hang[],2,0)</f>
        <v>CHI NHÁNH HÀ NỘI - CÔNG TY CỔ PHẦN DỊCH VỤ THƯƠNG MẠI TỔNG HỢP WINCOMMERCE</v>
      </c>
      <c r="G1240" s="16"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c r="A1241" s="14" t="s">
        <v>858</v>
      </c>
      <c r="B1241" s="15" t="s">
        <v>5</v>
      </c>
      <c r="C1241" s="10" t="s">
        <v>859</v>
      </c>
      <c r="D1241" s="16" t="s">
        <v>4181</v>
      </c>
      <c r="E1241" s="15" t="s">
        <v>11215</v>
      </c>
      <c r="F1241" s="16" t="str">
        <f>VLOOKUP(Table8[[#This Row],[Mã khách hàng]],code_khach_hang[],2,0)</f>
        <v>CHI NHÁNH HÀ NỘI - CÔNG TY CỔ PHẦN DỊCH VỤ THƯƠNG MẠI TỔNG HỢP WINCOMMERCE</v>
      </c>
      <c r="G1241" s="16"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c r="A1242" s="14" t="s">
        <v>1083</v>
      </c>
      <c r="B1242" s="15" t="s">
        <v>5</v>
      </c>
      <c r="C1242" s="10" t="s">
        <v>1084</v>
      </c>
      <c r="D1242" s="16" t="s">
        <v>4184</v>
      </c>
      <c r="E1242" s="15" t="s">
        <v>11215</v>
      </c>
      <c r="F1242" s="16" t="str">
        <f>VLOOKUP(Table8[[#This Row],[Mã khách hàng]],code_khach_hang[],2,0)</f>
        <v>CHI NHÁNH HÀ NỘI - CÔNG TY CỔ PHẦN DỊCH VỤ THƯƠNG MẠI TỔNG HỢP WINCOMMERCE</v>
      </c>
      <c r="G1242" s="16"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c r="A1243" s="14" t="s">
        <v>1197</v>
      </c>
      <c r="B1243" s="15" t="s">
        <v>5</v>
      </c>
      <c r="C1243" s="10" t="s">
        <v>1198</v>
      </c>
      <c r="D1243" s="16" t="s">
        <v>4187</v>
      </c>
      <c r="E1243" s="15" t="s">
        <v>11215</v>
      </c>
      <c r="F1243" s="16" t="str">
        <f>VLOOKUP(Table8[[#This Row],[Mã khách hàng]],code_khach_hang[],2,0)</f>
        <v>CHI NHÁNH HÀ NỘI - CÔNG TY CỔ PHẦN DỊCH VỤ THƯƠNG MẠI TỔNG HỢP WINCOMMERCE</v>
      </c>
      <c r="G1243" s="16"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c r="A1244" s="14" t="s">
        <v>1308</v>
      </c>
      <c r="B1244" s="15" t="s">
        <v>5</v>
      </c>
      <c r="C1244" s="10" t="s">
        <v>1309</v>
      </c>
      <c r="D1244" s="16" t="s">
        <v>4190</v>
      </c>
      <c r="E1244" s="15" t="s">
        <v>11215</v>
      </c>
      <c r="F1244" s="16" t="str">
        <f>VLOOKUP(Table8[[#This Row],[Mã khách hàng]],code_khach_hang[],2,0)</f>
        <v>CHI NHÁNH HÀ NỘI - CÔNG TY CỔ PHẦN DỊCH VỤ THƯƠNG MẠI TỔNG HỢP WINCOMMERCE</v>
      </c>
      <c r="G1244" s="16"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c r="A1245" s="14" t="s">
        <v>4140</v>
      </c>
      <c r="B1245" s="15" t="s">
        <v>5</v>
      </c>
      <c r="C1245" s="10" t="s">
        <v>4141</v>
      </c>
      <c r="D1245" s="16" t="s">
        <v>4193</v>
      </c>
      <c r="E1245" s="15" t="s">
        <v>11215</v>
      </c>
      <c r="F1245" s="16" t="str">
        <f>VLOOKUP(Table8[[#This Row],[Mã khách hàng]],code_khach_hang[],2,0)</f>
        <v>CHI NHÁNH HÀ NỘI - CÔNG TY CỔ PHẦN DỊCH VỤ THƯƠNG MẠI TỔNG HỢP WINCOMMERCE</v>
      </c>
      <c r="G1245" s="16"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c r="A1246" s="14" t="s">
        <v>4206</v>
      </c>
      <c r="B1246" s="15" t="s">
        <v>5</v>
      </c>
      <c r="C1246" s="10" t="s">
        <v>4207</v>
      </c>
      <c r="D1246" s="16" t="s">
        <v>4196</v>
      </c>
      <c r="E1246" s="15" t="s">
        <v>11215</v>
      </c>
      <c r="F1246" s="16" t="str">
        <f>VLOOKUP(Table8[[#This Row],[Mã khách hàng]],code_khach_hang[],2,0)</f>
        <v>CHI NHÁNH HÀ NỘI - CÔNG TY CỔ PHẦN DỊCH VỤ THƯƠNG MẠI TỔNG HỢP WINCOMMERCE</v>
      </c>
      <c r="G1246" s="16"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c r="A1247" s="14" t="s">
        <v>4254</v>
      </c>
      <c r="B1247" s="15" t="s">
        <v>5</v>
      </c>
      <c r="C1247" s="10" t="s">
        <v>4255</v>
      </c>
      <c r="D1247" s="16" t="s">
        <v>4199</v>
      </c>
      <c r="E1247" s="15" t="s">
        <v>11215</v>
      </c>
      <c r="F1247" s="16" t="str">
        <f>VLOOKUP(Table8[[#This Row],[Mã khách hàng]],code_khach_hang[],2,0)</f>
        <v>CHI NHÁNH HÀ NỘI - CÔNG TY CỔ PHẦN DỊCH VỤ THƯƠNG MẠI TỔNG HỢP WINCOMMERCE</v>
      </c>
      <c r="G1247" s="16"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c r="A1248" s="14" t="s">
        <v>4260</v>
      </c>
      <c r="B1248" s="15" t="s">
        <v>5</v>
      </c>
      <c r="C1248" s="10" t="s">
        <v>4261</v>
      </c>
      <c r="D1248" s="16" t="s">
        <v>4202</v>
      </c>
      <c r="E1248" s="15" t="s">
        <v>11215</v>
      </c>
      <c r="F1248" s="16" t="str">
        <f>VLOOKUP(Table8[[#This Row],[Mã khách hàng]],code_khach_hang[],2,0)</f>
        <v>CHI NHÁNH HÀ NỘI - CÔNG TY CỔ PHẦN DỊCH VỤ THƯƠNG MẠI TỔNG HỢP WINCOMMERCE</v>
      </c>
      <c r="G1248" s="16"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c r="A1249" s="14" t="s">
        <v>4326</v>
      </c>
      <c r="B1249" s="15" t="s">
        <v>5</v>
      </c>
      <c r="C1249" s="10" t="s">
        <v>4327</v>
      </c>
      <c r="D1249" s="16" t="s">
        <v>4205</v>
      </c>
      <c r="E1249" s="15" t="s">
        <v>11215</v>
      </c>
      <c r="F1249" s="16" t="str">
        <f>VLOOKUP(Table8[[#This Row],[Mã khách hàng]],code_khach_hang[],2,0)</f>
        <v>CHI NHÁNH HÀ NỘI - CÔNG TY CỔ PHẦN DỊCH VỤ THƯƠNG MẠI TỔNG HỢP WINCOMMERCE</v>
      </c>
      <c r="G1249" s="16"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c r="A1250" s="14" t="s">
        <v>4344</v>
      </c>
      <c r="B1250" s="15" t="s">
        <v>5</v>
      </c>
      <c r="C1250" s="10" t="s">
        <v>4345</v>
      </c>
      <c r="D1250" s="16" t="s">
        <v>4208</v>
      </c>
      <c r="E1250" s="15" t="s">
        <v>11215</v>
      </c>
      <c r="F1250" s="16" t="str">
        <f>VLOOKUP(Table8[[#This Row],[Mã khách hàng]],code_khach_hang[],2,0)</f>
        <v>CHI NHÁNH HÀ NỘI - CÔNG TY CỔ PHẦN DỊCH VỤ THƯƠNG MẠI TỔNG HỢP WINCOMMERCE</v>
      </c>
      <c r="G1250" s="16"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c r="A1251" s="14" t="s">
        <v>4347</v>
      </c>
      <c r="B1251" s="15" t="s">
        <v>5</v>
      </c>
      <c r="C1251" s="10" t="s">
        <v>4348</v>
      </c>
      <c r="D1251" s="16" t="s">
        <v>4211</v>
      </c>
      <c r="E1251" s="15" t="s">
        <v>11215</v>
      </c>
      <c r="F1251" s="16" t="str">
        <f>VLOOKUP(Table8[[#This Row],[Mã khách hàng]],code_khach_hang[],2,0)</f>
        <v>CHI NHÁNH HÀ NỘI - CÔNG TY CỔ PHẦN DỊCH VỤ THƯƠNG MẠI TỔNG HỢP WINCOMMERCE</v>
      </c>
      <c r="G1251" s="16"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c r="A1252" s="14" t="s">
        <v>4365</v>
      </c>
      <c r="B1252" s="15" t="s">
        <v>5</v>
      </c>
      <c r="C1252" s="10" t="s">
        <v>4366</v>
      </c>
      <c r="D1252" s="16" t="s">
        <v>4214</v>
      </c>
      <c r="E1252" s="15" t="s">
        <v>11215</v>
      </c>
      <c r="F1252" s="16" t="str">
        <f>VLOOKUP(Table8[[#This Row],[Mã khách hàng]],code_khach_hang[],2,0)</f>
        <v>CHI NHÁNH HÀ NỘI - CÔNG TY CỔ PHẦN DỊCH VỤ THƯƠNG MẠI TỔNG HỢP WINCOMMERCE</v>
      </c>
      <c r="G1252" s="16"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c r="A1253" s="14" t="s">
        <v>4368</v>
      </c>
      <c r="B1253" s="15" t="s">
        <v>5</v>
      </c>
      <c r="C1253" s="10" t="s">
        <v>4369</v>
      </c>
      <c r="D1253" s="16" t="s">
        <v>4217</v>
      </c>
      <c r="E1253" s="14" t="s">
        <v>11215</v>
      </c>
      <c r="F1253" s="16" t="str">
        <f>VLOOKUP(Table8[[#This Row],[Mã khách hàng]],code_khach_hang[],2,0)</f>
        <v>CHI NHÁNH HÀ NỘI - CÔNG TY CỔ PHẦN DỊCH VỤ THƯƠNG MẠI TỔNG HỢP WINCOMMERCE</v>
      </c>
      <c r="G1253" s="16"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c r="A1254" s="14" t="s">
        <v>4443</v>
      </c>
      <c r="B1254" s="15" t="s">
        <v>5</v>
      </c>
      <c r="C1254" s="10" t="s">
        <v>4444</v>
      </c>
      <c r="D1254" s="16" t="s">
        <v>4220</v>
      </c>
      <c r="E1254" s="15" t="s">
        <v>11215</v>
      </c>
      <c r="F1254" s="16" t="str">
        <f>VLOOKUP(Table8[[#This Row],[Mã khách hàng]],code_khach_hang[],2,0)</f>
        <v>CHI NHÁNH HÀ NỘI - CÔNG TY CỔ PHẦN DỊCH VỤ THƯƠNG MẠI TỔNG HỢP WINCOMMERCE</v>
      </c>
      <c r="G1254" s="16"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c r="A1255" s="14" t="s">
        <v>4722</v>
      </c>
      <c r="B1255" s="15" t="s">
        <v>5</v>
      </c>
      <c r="C1255" s="10" t="s">
        <v>4723</v>
      </c>
      <c r="D1255" s="16" t="s">
        <v>4223</v>
      </c>
      <c r="E1255" s="14" t="s">
        <v>11215</v>
      </c>
      <c r="F1255" s="16" t="str">
        <f>VLOOKUP(Table8[[#This Row],[Mã khách hàng]],code_khach_hang[],2,0)</f>
        <v>CHI NHÁNH HÀ NỘI - CÔNG TY CỔ PHẦN DỊCH VỤ THƯƠNG MẠI TỔNG HỢP WINCOMMERCE</v>
      </c>
      <c r="G1255" s="16"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c r="A1256" s="14" t="s">
        <v>4869</v>
      </c>
      <c r="B1256" s="15" t="s">
        <v>5</v>
      </c>
      <c r="C1256" s="10" t="s">
        <v>4870</v>
      </c>
      <c r="D1256" s="16" t="s">
        <v>4226</v>
      </c>
      <c r="E1256" s="15" t="s">
        <v>11215</v>
      </c>
      <c r="F1256" s="16" t="str">
        <f>VLOOKUP(Table8[[#This Row],[Mã khách hàng]],code_khach_hang[],2,0)</f>
        <v>CHI NHÁNH HÀ NỘI - CÔNG TY CỔ PHẦN DỊCH VỤ THƯƠNG MẠI TỔNG HỢP WINCOMMERCE</v>
      </c>
      <c r="G1256" s="16"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c r="A1257" s="14" t="s">
        <v>4962</v>
      </c>
      <c r="B1257" s="15" t="s">
        <v>5</v>
      </c>
      <c r="C1257" s="10" t="s">
        <v>4963</v>
      </c>
      <c r="D1257" s="16" t="s">
        <v>4229</v>
      </c>
      <c r="E1257" s="15" t="s">
        <v>11215</v>
      </c>
      <c r="F1257" s="16" t="str">
        <f>VLOOKUP(Table8[[#This Row],[Mã khách hàng]],code_khach_hang[],2,0)</f>
        <v>CHI NHÁNH HÀ NỘI - CÔNG TY CỔ PHẦN DỊCH VỤ THƯƠNG MẠI TỔNG HỢP WINCOMMERCE</v>
      </c>
      <c r="G1257" s="16"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c r="A1258" s="14" t="s">
        <v>5019</v>
      </c>
      <c r="B1258" s="15" t="s">
        <v>5</v>
      </c>
      <c r="C1258" s="10" t="s">
        <v>5020</v>
      </c>
      <c r="D1258" s="16" t="s">
        <v>4232</v>
      </c>
      <c r="E1258" s="15" t="s">
        <v>11215</v>
      </c>
      <c r="F1258" s="16" t="str">
        <f>VLOOKUP(Table8[[#This Row],[Mã khách hàng]],code_khach_hang[],2,0)</f>
        <v>CHI NHÁNH HÀ NỘI - CÔNG TY CỔ PHẦN DỊCH VỤ THƯƠNG MẠI TỔNG HỢP WINCOMMERCE</v>
      </c>
      <c r="G1258" s="16"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c r="A1259" s="14" t="s">
        <v>8732</v>
      </c>
      <c r="B1259" s="15" t="s">
        <v>5</v>
      </c>
      <c r="C1259" s="10" t="s">
        <v>8733</v>
      </c>
      <c r="D1259" s="16" t="s">
        <v>4235</v>
      </c>
      <c r="E1259" s="15" t="s">
        <v>11215</v>
      </c>
      <c r="F1259" s="16" t="str">
        <f>VLOOKUP(Table8[[#This Row],[Mã khách hàng]],code_khach_hang[],2,0)</f>
        <v>CHI NHÁNH HÀ NỘI - CÔNG TY CỔ PHẦN DỊCH VỤ THƯƠNG MẠI TỔNG HỢP WINCOMMERCE</v>
      </c>
      <c r="G1259" s="16"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c r="A1260" s="14" t="s">
        <v>8783</v>
      </c>
      <c r="B1260" s="15" t="s">
        <v>5</v>
      </c>
      <c r="C1260" s="10" t="e">
        <v>#N/A</v>
      </c>
      <c r="D1260" s="16" t="s">
        <v>4238</v>
      </c>
      <c r="E1260" s="15" t="s">
        <v>11215</v>
      </c>
      <c r="F1260" s="16" t="str">
        <f>VLOOKUP(Table8[[#This Row],[Mã khách hàng]],code_khach_hang[],2,0)</f>
        <v>CHI NHÁNH HÀ NỘI - CÔNG TY CỔ PHẦN DỊCH VỤ THƯƠNG MẠI TỔNG HỢP WINCOMMERCE</v>
      </c>
      <c r="G1260" s="16"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c r="A1261" s="14" t="s">
        <v>1372</v>
      </c>
      <c r="B1261" s="15" t="s">
        <v>5</v>
      </c>
      <c r="C1261" s="10" t="s">
        <v>1373</v>
      </c>
      <c r="D1261" s="16" t="s">
        <v>4241</v>
      </c>
      <c r="E1261" s="15" t="s">
        <v>11215</v>
      </c>
      <c r="F1261" s="16" t="str">
        <f>VLOOKUP(Table8[[#This Row],[Mã khách hàng]],code_khach_hang[],2,0)</f>
        <v>CHI NHÁNH HÀ NỘI - CÔNG TY CỔ PHẦN DỊCH VỤ THƯƠNG MẠI TỔNG HỢP WINCOMMERCE</v>
      </c>
      <c r="G1261" s="16"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c r="A1262" s="14" t="s">
        <v>1433</v>
      </c>
      <c r="B1262" s="15" t="s">
        <v>5</v>
      </c>
      <c r="C1262" s="10" t="e">
        <v>#N/A</v>
      </c>
      <c r="D1262" s="16" t="s">
        <v>4244</v>
      </c>
      <c r="E1262" s="15" t="s">
        <v>11215</v>
      </c>
      <c r="F1262" s="16" t="str">
        <f>VLOOKUP(Table8[[#This Row],[Mã khách hàng]],code_khach_hang[],2,0)</f>
        <v>CHI NHÁNH HÀ NỘI - CÔNG TY CỔ PHẦN DỊCH VỤ THƯƠNG MẠI TỔNG HỢP WINCOMMERCE</v>
      </c>
      <c r="G1262" s="16"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c r="A1263" s="14" t="s">
        <v>2613</v>
      </c>
      <c r="B1263" s="15" t="s">
        <v>5</v>
      </c>
      <c r="C1263" s="10" t="s">
        <v>2614</v>
      </c>
      <c r="D1263" s="16" t="s">
        <v>4247</v>
      </c>
      <c r="E1263" s="15" t="s">
        <v>11215</v>
      </c>
      <c r="F1263" s="16" t="str">
        <f>VLOOKUP(Table8[[#This Row],[Mã khách hàng]],code_khach_hang[],2,0)</f>
        <v>CHI NHÁNH HÀ NỘI - CÔNG TY CỔ PHẦN DỊCH VỤ THƯƠNG MẠI TỔNG HỢP WINCOMMERCE</v>
      </c>
      <c r="G1263" s="16"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c r="A1264" s="14" t="s">
        <v>580</v>
      </c>
      <c r="B1264" s="15" t="s">
        <v>183</v>
      </c>
      <c r="C1264" s="10" t="s">
        <v>581</v>
      </c>
      <c r="D1264" s="16" t="s">
        <v>4250</v>
      </c>
      <c r="E1264" s="15" t="s">
        <v>11195</v>
      </c>
      <c r="F1264" s="16" t="str">
        <f>VLOOKUP(Table8[[#This Row],[Mã khách hàng]],code_khach_hang[],2,0)</f>
        <v>CHI NHÁNH HÀ NỘI - CÔNG TY CỔ PHẦN DỊCH VỤ THƯƠNG MẠI TỔNG HỢP WINCOMMERCE</v>
      </c>
      <c r="G1264" s="16"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c r="A1265" s="14" t="s">
        <v>5968</v>
      </c>
      <c r="B1265" s="15" t="s">
        <v>5</v>
      </c>
      <c r="C1265" s="10" t="s">
        <v>5969</v>
      </c>
      <c r="D1265" s="16" t="s">
        <v>4253</v>
      </c>
      <c r="E1265" s="15" t="s">
        <v>11210</v>
      </c>
      <c r="F1265" s="16" t="str">
        <f>VLOOKUP(Table8[[#This Row],[Mã khách hàng]],code_khach_hang[],2,0)</f>
        <v>CHI NHÁNH HÀ NAM - CÔNG TY CỔ PHẦN DỊCH VỤ THƯƠNG MẠI TỔNG HỢP WINCOMMERCE</v>
      </c>
      <c r="G1265" s="16" t="str">
        <f>VLOOKUP(Table8[[#This Row],[Mã khách hàng]],code_khach_hang[],3,0)</f>
        <v>Miền Bắc đặc biệt 3</v>
      </c>
      <c r="H1265" t="str">
        <f>VLOOKUP(Table8[[#This Row],[Mã khách hàng]],'Khách hàng'!A:D,4,0)</f>
        <v>Food Đức Việt</v>
      </c>
      <c r="I1265" t="str">
        <f>VLOOKUP(Table8[[#This Row],[Mã khách hàng]],'Khách hàng'!A:E,5,0)</f>
        <v>HN0040</v>
      </c>
    </row>
    <row r="1266" spans="1:9">
      <c r="A1266" s="14" t="s">
        <v>7240</v>
      </c>
      <c r="B1266" s="15" t="s">
        <v>5</v>
      </c>
      <c r="C1266" s="10" t="s">
        <v>7241</v>
      </c>
      <c r="D1266" s="16" t="s">
        <v>4256</v>
      </c>
      <c r="E1266" s="15" t="s">
        <v>11210</v>
      </c>
      <c r="F1266" s="16" t="str">
        <f>VLOOKUP(Table8[[#This Row],[Mã khách hàng]],code_khach_hang[],2,0)</f>
        <v>CHI NHÁNH HÀ NAM - CÔNG TY CỔ PHẦN DỊCH VỤ THƯƠNG MẠI TỔNG HỢP WINCOMMERCE</v>
      </c>
      <c r="G1266" s="16" t="str">
        <f>VLOOKUP(Table8[[#This Row],[Mã khách hàng]],code_khach_hang[],3,0)</f>
        <v>Miền Bắc đặc biệt 3</v>
      </c>
      <c r="H1266" t="str">
        <f>VLOOKUP(Table8[[#This Row],[Mã khách hàng]],'Khách hàng'!A:D,4,0)</f>
        <v>Food Đức Việt</v>
      </c>
      <c r="I1266" t="str">
        <f>VLOOKUP(Table8[[#This Row],[Mã khách hàng]],'Khách hàng'!A:E,5,0)</f>
        <v>HN0040</v>
      </c>
    </row>
    <row r="1267" spans="1:9">
      <c r="A1267" s="14" t="s">
        <v>5992</v>
      </c>
      <c r="B1267" s="15" t="s">
        <v>5</v>
      </c>
      <c r="C1267" s="10" t="s">
        <v>5993</v>
      </c>
      <c r="D1267" s="16" t="s">
        <v>4259</v>
      </c>
      <c r="E1267" s="15" t="s">
        <v>11210</v>
      </c>
      <c r="F1267" s="16" t="str">
        <f>VLOOKUP(Table8[[#This Row],[Mã khách hàng]],code_khach_hang[],2,0)</f>
        <v>CHI NHÁNH HÀ NAM - CÔNG TY CỔ PHẦN DỊCH VỤ THƯƠNG MẠI TỔNG HỢP WINCOMMERCE</v>
      </c>
      <c r="G1267" s="16" t="str">
        <f>VLOOKUP(Table8[[#This Row],[Mã khách hàng]],code_khach_hang[],3,0)</f>
        <v>Miền Bắc đặc biệt 3</v>
      </c>
      <c r="H1267" t="str">
        <f>VLOOKUP(Table8[[#This Row],[Mã khách hàng]],'Khách hàng'!A:D,4,0)</f>
        <v>Food Đức Việt</v>
      </c>
      <c r="I1267" t="str">
        <f>VLOOKUP(Table8[[#This Row],[Mã khách hàng]],'Khách hàng'!A:E,5,0)</f>
        <v>HN0040</v>
      </c>
    </row>
    <row r="1268" spans="1:9">
      <c r="A1268" s="14" t="s">
        <v>7399</v>
      </c>
      <c r="B1268" s="15" t="s">
        <v>5</v>
      </c>
      <c r="C1268" s="10" t="s">
        <v>7400</v>
      </c>
      <c r="D1268" s="16" t="s">
        <v>4262</v>
      </c>
      <c r="E1268" s="15" t="s">
        <v>11210</v>
      </c>
      <c r="F1268" s="16" t="str">
        <f>VLOOKUP(Table8[[#This Row],[Mã khách hàng]],code_khach_hang[],2,0)</f>
        <v>CHI NHÁNH HÀ NAM - CÔNG TY CỔ PHẦN DỊCH VỤ THƯƠNG MẠI TỔNG HỢP WINCOMMERCE</v>
      </c>
      <c r="G1268" s="16" t="str">
        <f>VLOOKUP(Table8[[#This Row],[Mã khách hàng]],code_khach_hang[],3,0)</f>
        <v>Miền Bắc đặc biệt 3</v>
      </c>
      <c r="H1268" t="str">
        <f>VLOOKUP(Table8[[#This Row],[Mã khách hàng]],'Khách hàng'!A:D,4,0)</f>
        <v>Food Đức Việt</v>
      </c>
      <c r="I1268" t="str">
        <f>VLOOKUP(Table8[[#This Row],[Mã khách hàng]],'Khách hàng'!A:E,5,0)</f>
        <v>HN0040</v>
      </c>
    </row>
    <row r="1269" spans="1:9">
      <c r="A1269" s="14" t="s">
        <v>6043</v>
      </c>
      <c r="B1269" s="15" t="s">
        <v>5</v>
      </c>
      <c r="C1269" s="10" t="s">
        <v>6044</v>
      </c>
      <c r="D1269" s="16" t="s">
        <v>4265</v>
      </c>
      <c r="E1269" s="15" t="s">
        <v>11210</v>
      </c>
      <c r="F1269" s="16" t="str">
        <f>VLOOKUP(Table8[[#This Row],[Mã khách hàng]],code_khach_hang[],2,0)</f>
        <v>CHI NHÁNH HÀ NAM - CÔNG TY CỔ PHẦN DỊCH VỤ THƯƠNG MẠI TỔNG HỢP WINCOMMERCE</v>
      </c>
      <c r="G1269" s="16" t="str">
        <f>VLOOKUP(Table8[[#This Row],[Mã khách hàng]],code_khach_hang[],3,0)</f>
        <v>Miền Bắc đặc biệt 3</v>
      </c>
      <c r="H1269" t="str">
        <f>VLOOKUP(Table8[[#This Row],[Mã khách hàng]],'Khách hàng'!A:D,4,0)</f>
        <v>Food Đức Việt</v>
      </c>
      <c r="I1269" t="str">
        <f>VLOOKUP(Table8[[#This Row],[Mã khách hàng]],'Khách hàng'!A:E,5,0)</f>
        <v>HN0040</v>
      </c>
    </row>
    <row r="1270" spans="1:9">
      <c r="A1270" s="14" t="s">
        <v>6106</v>
      </c>
      <c r="B1270" s="15" t="s">
        <v>5</v>
      </c>
      <c r="C1270" s="10" t="s">
        <v>6107</v>
      </c>
      <c r="D1270" s="16" t="s">
        <v>4268</v>
      </c>
      <c r="E1270" s="15" t="s">
        <v>11210</v>
      </c>
      <c r="F1270" s="16" t="str">
        <f>VLOOKUP(Table8[[#This Row],[Mã khách hàng]],code_khach_hang[],2,0)</f>
        <v>CHI NHÁNH HÀ NAM - CÔNG TY CỔ PHẦN DỊCH VỤ THƯƠNG MẠI TỔNG HỢP WINCOMMERCE</v>
      </c>
      <c r="G1270" s="16" t="str">
        <f>VLOOKUP(Table8[[#This Row],[Mã khách hàng]],code_khach_hang[],3,0)</f>
        <v>Miền Bắc đặc biệt 3</v>
      </c>
      <c r="H1270" t="str">
        <f>VLOOKUP(Table8[[#This Row],[Mã khách hàng]],'Khách hàng'!A:D,4,0)</f>
        <v>Food Đức Việt</v>
      </c>
      <c r="I1270" t="str">
        <f>VLOOKUP(Table8[[#This Row],[Mã khách hàng]],'Khách hàng'!A:E,5,0)</f>
        <v>HN0040</v>
      </c>
    </row>
    <row r="1271" spans="1:9">
      <c r="A1271" s="14" t="s">
        <v>7449</v>
      </c>
      <c r="B1271" s="15" t="s">
        <v>5</v>
      </c>
      <c r="C1271" s="10" t="s">
        <v>7450</v>
      </c>
      <c r="D1271" s="16" t="s">
        <v>4271</v>
      </c>
      <c r="E1271" s="15" t="s">
        <v>11210</v>
      </c>
      <c r="F1271" s="16" t="str">
        <f>VLOOKUP(Table8[[#This Row],[Mã khách hàng]],code_khach_hang[],2,0)</f>
        <v>CHI NHÁNH HÀ NAM - CÔNG TY CỔ PHẦN DỊCH VỤ THƯƠNG MẠI TỔNG HỢP WINCOMMERCE</v>
      </c>
      <c r="G1271" s="16" t="str">
        <f>VLOOKUP(Table8[[#This Row],[Mã khách hàng]],code_khach_hang[],3,0)</f>
        <v>Miền Bắc đặc biệt 3</v>
      </c>
      <c r="H1271" t="str">
        <f>VLOOKUP(Table8[[#This Row],[Mã khách hàng]],'Khách hàng'!A:D,4,0)</f>
        <v>Food Đức Việt</v>
      </c>
      <c r="I1271" t="str">
        <f>VLOOKUP(Table8[[#This Row],[Mã khách hàng]],'Khách hàng'!A:E,5,0)</f>
        <v>HN0040</v>
      </c>
    </row>
    <row r="1272" spans="1:9">
      <c r="A1272" s="14" t="s">
        <v>6563</v>
      </c>
      <c r="B1272" s="15" t="s">
        <v>5</v>
      </c>
      <c r="C1272" s="10" t="s">
        <v>6564</v>
      </c>
      <c r="D1272" s="16" t="s">
        <v>4274</v>
      </c>
      <c r="E1272" s="15" t="s">
        <v>11210</v>
      </c>
      <c r="F1272" s="16" t="str">
        <f>VLOOKUP(Table8[[#This Row],[Mã khách hàng]],code_khach_hang[],2,0)</f>
        <v>CHI NHÁNH HÀ NAM - CÔNG TY CỔ PHẦN DỊCH VỤ THƯƠNG MẠI TỔNG HỢP WINCOMMERCE</v>
      </c>
      <c r="G1272" s="16" t="str">
        <f>VLOOKUP(Table8[[#This Row],[Mã khách hàng]],code_khach_hang[],3,0)</f>
        <v>Miền Bắc đặc biệt 3</v>
      </c>
      <c r="H1272" t="str">
        <f>VLOOKUP(Table8[[#This Row],[Mã khách hàng]],'Khách hàng'!A:D,4,0)</f>
        <v>Food Đức Việt</v>
      </c>
      <c r="I1272" t="str">
        <f>VLOOKUP(Table8[[#This Row],[Mã khách hàng]],'Khách hàng'!A:E,5,0)</f>
        <v>HN0040</v>
      </c>
    </row>
    <row r="1273" spans="1:9">
      <c r="A1273" s="14" t="s">
        <v>8526</v>
      </c>
      <c r="B1273" s="15" t="s">
        <v>5</v>
      </c>
      <c r="C1273" s="10" t="s">
        <v>8527</v>
      </c>
      <c r="D1273" s="16" t="s">
        <v>4277</v>
      </c>
      <c r="E1273" s="15" t="s">
        <v>11210</v>
      </c>
      <c r="F1273" s="16" t="str">
        <f>VLOOKUP(Table8[[#This Row],[Mã khách hàng]],code_khach_hang[],2,0)</f>
        <v>CHI NHÁNH HÀ NAM - CÔNG TY CỔ PHẦN DỊCH VỤ THƯƠNG MẠI TỔNG HỢP WINCOMMERCE</v>
      </c>
      <c r="G1273" s="16" t="str">
        <f>VLOOKUP(Table8[[#This Row],[Mã khách hàng]],code_khach_hang[],3,0)</f>
        <v>Miền Bắc đặc biệt 3</v>
      </c>
      <c r="H1273" t="str">
        <f>VLOOKUP(Table8[[#This Row],[Mã khách hàng]],'Khách hàng'!A:D,4,0)</f>
        <v>Food Đức Việt</v>
      </c>
      <c r="I1273" t="str">
        <f>VLOOKUP(Table8[[#This Row],[Mã khách hàng]],'Khách hàng'!A:E,5,0)</f>
        <v>HN0040</v>
      </c>
    </row>
    <row r="1274" spans="1:9">
      <c r="A1274" s="14" t="s">
        <v>5217</v>
      </c>
      <c r="B1274" s="15" t="s">
        <v>5</v>
      </c>
      <c r="C1274" s="10" t="s">
        <v>5218</v>
      </c>
      <c r="D1274" s="16" t="s">
        <v>4280</v>
      </c>
      <c r="E1274" s="15" t="s">
        <v>11215</v>
      </c>
      <c r="F1274" s="16" t="str">
        <f>VLOOKUP(Table8[[#This Row],[Mã khách hàng]],code_khach_hang[],2,0)</f>
        <v>CHI NHÁNH HÀ NỘI - CÔNG TY CỔ PHẦN DỊCH VỤ THƯƠNG MẠI TỔNG HỢP WINCOMMERCE</v>
      </c>
      <c r="G1274" s="16"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c r="A1275" s="14" t="s">
        <v>5256</v>
      </c>
      <c r="B1275" s="15" t="s">
        <v>5</v>
      </c>
      <c r="C1275" s="10" t="s">
        <v>5257</v>
      </c>
      <c r="D1275" s="16" t="s">
        <v>4283</v>
      </c>
      <c r="E1275" s="15" t="s">
        <v>11215</v>
      </c>
      <c r="F1275" s="16" t="str">
        <f>VLOOKUP(Table8[[#This Row],[Mã khách hàng]],code_khach_hang[],2,0)</f>
        <v>CHI NHÁNH HÀ NỘI - CÔNG TY CỔ PHẦN DỊCH VỤ THƯƠNG MẠI TỔNG HỢP WINCOMMERCE</v>
      </c>
      <c r="G1275" s="16"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c r="A1276" s="14" t="s">
        <v>6190</v>
      </c>
      <c r="B1276" s="15" t="s">
        <v>5</v>
      </c>
      <c r="C1276" s="10" t="s">
        <v>6191</v>
      </c>
      <c r="D1276" s="16" t="s">
        <v>4286</v>
      </c>
      <c r="E1276" s="15" t="s">
        <v>11215</v>
      </c>
      <c r="F1276" s="16" t="str">
        <f>VLOOKUP(Table8[[#This Row],[Mã khách hàng]],code_khach_hang[],2,0)</f>
        <v>CHI NHÁNH HÀ NỘI - CÔNG TY CỔ PHẦN DỊCH VỤ THƯƠNG MẠI TỔNG HỢP WINCOMMERCE</v>
      </c>
      <c r="G1276" s="16"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c r="A1277" s="14" t="s">
        <v>6246</v>
      </c>
      <c r="B1277" s="15" t="s">
        <v>5</v>
      </c>
      <c r="C1277" s="10" t="s">
        <v>6247</v>
      </c>
      <c r="D1277" s="16" t="s">
        <v>4289</v>
      </c>
      <c r="E1277" s="15" t="s">
        <v>11215</v>
      </c>
      <c r="F1277" s="16" t="str">
        <f>VLOOKUP(Table8[[#This Row],[Mã khách hàng]],code_khach_hang[],2,0)</f>
        <v>CHI NHÁNH HÀ NỘI - CÔNG TY CỔ PHẦN DỊCH VỤ THƯƠNG MẠI TỔNG HỢP WINCOMMERCE</v>
      </c>
      <c r="G1277" s="16"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c r="A1278" s="14" t="s">
        <v>6249</v>
      </c>
      <c r="B1278" s="15" t="s">
        <v>5</v>
      </c>
      <c r="C1278" s="10" t="s">
        <v>6250</v>
      </c>
      <c r="D1278" s="16" t="s">
        <v>4292</v>
      </c>
      <c r="E1278" s="15" t="s">
        <v>11215</v>
      </c>
      <c r="F1278" s="16" t="str">
        <f>VLOOKUP(Table8[[#This Row],[Mã khách hàng]],code_khach_hang[],2,0)</f>
        <v>CHI NHÁNH HÀ NỘI - CÔNG TY CỔ PHẦN DỊCH VỤ THƯƠNG MẠI TỔNG HỢP WINCOMMERCE</v>
      </c>
      <c r="G1278" s="16"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c r="A1279" s="14" t="s">
        <v>6258</v>
      </c>
      <c r="B1279" s="15" t="s">
        <v>5</v>
      </c>
      <c r="C1279" s="10" t="s">
        <v>6259</v>
      </c>
      <c r="D1279" s="16" t="s">
        <v>4295</v>
      </c>
      <c r="E1279" s="15" t="s">
        <v>11215</v>
      </c>
      <c r="F1279" s="16" t="str">
        <f>VLOOKUP(Table8[[#This Row],[Mã khách hàng]],code_khach_hang[],2,0)</f>
        <v>CHI NHÁNH HÀ NỘI - CÔNG TY CỔ PHẦN DỊCH VỤ THƯƠNG MẠI TỔNG HỢP WINCOMMERCE</v>
      </c>
      <c r="G1279" s="16"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c r="A1280" s="14" t="s">
        <v>6351</v>
      </c>
      <c r="B1280" s="15" t="s">
        <v>5</v>
      </c>
      <c r="C1280" s="10" t="s">
        <v>6352</v>
      </c>
      <c r="D1280" s="16" t="s">
        <v>4298</v>
      </c>
      <c r="E1280" s="15" t="s">
        <v>11215</v>
      </c>
      <c r="F1280" s="16" t="str">
        <f>VLOOKUP(Table8[[#This Row],[Mã khách hàng]],code_khach_hang[],2,0)</f>
        <v>CHI NHÁNH HÀ NỘI - CÔNG TY CỔ PHẦN DỊCH VỤ THƯƠNG MẠI TỔNG HỢP WINCOMMERCE</v>
      </c>
      <c r="G1280" s="16"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c r="A1281" s="14" t="s">
        <v>6354</v>
      </c>
      <c r="B1281" s="15" t="s">
        <v>5</v>
      </c>
      <c r="C1281" s="10" t="s">
        <v>6355</v>
      </c>
      <c r="D1281" s="16" t="s">
        <v>4301</v>
      </c>
      <c r="E1281" s="15" t="s">
        <v>11215</v>
      </c>
      <c r="F1281" s="16" t="str">
        <f>VLOOKUP(Table8[[#This Row],[Mã khách hàng]],code_khach_hang[],2,0)</f>
        <v>CHI NHÁNH HÀ NỘI - CÔNG TY CỔ PHẦN DỊCH VỤ THƯƠNG MẠI TỔNG HỢP WINCOMMERCE</v>
      </c>
      <c r="G1281" s="16"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c r="A1282" s="14" t="s">
        <v>6665</v>
      </c>
      <c r="B1282" s="15" t="s">
        <v>5</v>
      </c>
      <c r="C1282" s="10" t="s">
        <v>6666</v>
      </c>
      <c r="D1282" s="16" t="s">
        <v>4304</v>
      </c>
      <c r="E1282" s="15" t="s">
        <v>11215</v>
      </c>
      <c r="F1282" s="16" t="str">
        <f>VLOOKUP(Table8[[#This Row],[Mã khách hàng]],code_khach_hang[],2,0)</f>
        <v>CHI NHÁNH HÀ NỘI - CÔNG TY CỔ PHẦN DỊCH VỤ THƯƠNG MẠI TỔNG HỢP WINCOMMERCE</v>
      </c>
      <c r="G1282" s="16"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c r="A1283" s="14" t="s">
        <v>8340</v>
      </c>
      <c r="B1283" s="15" t="s">
        <v>5</v>
      </c>
      <c r="C1283" s="10" t="s">
        <v>8341</v>
      </c>
      <c r="D1283" s="16" t="s">
        <v>4307</v>
      </c>
      <c r="E1283" s="15" t="s">
        <v>11215</v>
      </c>
      <c r="F1283" s="16" t="str">
        <f>VLOOKUP(Table8[[#This Row],[Mã khách hàng]],code_khach_hang[],2,0)</f>
        <v>CHI NHÁNH HÀ NỘI - CÔNG TY CỔ PHẦN DỊCH VỤ THƯƠNG MẠI TỔNG HỢP WINCOMMERCE</v>
      </c>
      <c r="G1283" s="16"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c r="A1284" s="14" t="s">
        <v>6518</v>
      </c>
      <c r="B1284" s="15" t="s">
        <v>5</v>
      </c>
      <c r="C1284" s="10" t="s">
        <v>6519</v>
      </c>
      <c r="D1284" s="16" t="s">
        <v>4310</v>
      </c>
      <c r="E1284" s="15" t="s">
        <v>11215</v>
      </c>
      <c r="F1284" s="16" t="str">
        <f>VLOOKUP(Table8[[#This Row],[Mã khách hàng]],code_khach_hang[],2,0)</f>
        <v>CHI NHÁNH HÀ NỘI - CÔNG TY CỔ PHẦN DỊCH VỤ THƯƠNG MẠI TỔNG HỢP WINCOMMERCE</v>
      </c>
      <c r="G1284" s="16"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c r="A1285" s="14" t="s">
        <v>7016</v>
      </c>
      <c r="B1285" s="15" t="s">
        <v>5</v>
      </c>
      <c r="C1285" s="10" t="s">
        <v>7017</v>
      </c>
      <c r="D1285" s="16" t="s">
        <v>4313</v>
      </c>
      <c r="E1285" s="15" t="s">
        <v>11215</v>
      </c>
      <c r="F1285" s="16" t="str">
        <f>VLOOKUP(Table8[[#This Row],[Mã khách hàng]],code_khach_hang[],2,0)</f>
        <v>CHI NHÁNH HÀ NỘI - CÔNG TY CỔ PHẦN DỊCH VỤ THƯƠNG MẠI TỔNG HỢP WINCOMMERCE</v>
      </c>
      <c r="G1285" s="16"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c r="A1286" s="14" t="s">
        <v>8307</v>
      </c>
      <c r="B1286" s="15" t="s">
        <v>5</v>
      </c>
      <c r="C1286" s="10" t="s">
        <v>8308</v>
      </c>
      <c r="D1286" s="16" t="s">
        <v>4316</v>
      </c>
      <c r="E1286" s="15" t="s">
        <v>11215</v>
      </c>
      <c r="F1286" s="16" t="str">
        <f>VLOOKUP(Table8[[#This Row],[Mã khách hàng]],code_khach_hang[],2,0)</f>
        <v>CHI NHÁNH HÀ NỘI - CÔNG TY CỔ PHẦN DỊCH VỤ THƯƠNG MẠI TỔNG HỢP WINCOMMERCE</v>
      </c>
      <c r="G1286" s="16"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c r="A1287" s="14" t="s">
        <v>8322</v>
      </c>
      <c r="B1287" s="15" t="s">
        <v>5</v>
      </c>
      <c r="C1287" s="10" t="s">
        <v>8323</v>
      </c>
      <c r="D1287" s="16" t="s">
        <v>4319</v>
      </c>
      <c r="E1287" s="15" t="s">
        <v>11215</v>
      </c>
      <c r="F1287" s="16" t="str">
        <f>VLOOKUP(Table8[[#This Row],[Mã khách hàng]],code_khach_hang[],2,0)</f>
        <v>CHI NHÁNH HÀ NỘI - CÔNG TY CỔ PHẦN DỊCH VỤ THƯƠNG MẠI TỔNG HỢP WINCOMMERCE</v>
      </c>
      <c r="G1287" s="16"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c r="A1288" s="14" t="s">
        <v>8151</v>
      </c>
      <c r="B1288" s="15" t="s">
        <v>5</v>
      </c>
      <c r="C1288" s="10" t="s">
        <v>8152</v>
      </c>
      <c r="D1288" s="16" t="s">
        <v>4322</v>
      </c>
      <c r="E1288" s="15" t="s">
        <v>11215</v>
      </c>
      <c r="F1288" s="16" t="str">
        <f>VLOOKUP(Table8[[#This Row],[Mã khách hàng]],code_khach_hang[],2,0)</f>
        <v>CHI NHÁNH HÀ NỘI - CÔNG TY CỔ PHẦN DỊCH VỤ THƯƠNG MẠI TỔNG HỢP WINCOMMERCE</v>
      </c>
      <c r="G1288" s="16"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c r="A1289" s="14" t="s">
        <v>8486</v>
      </c>
      <c r="B1289" s="15" t="s">
        <v>5</v>
      </c>
      <c r="C1289" s="10" t="s">
        <v>8487</v>
      </c>
      <c r="D1289" s="16" t="s">
        <v>4325</v>
      </c>
      <c r="E1289" s="15" t="s">
        <v>11215</v>
      </c>
      <c r="F1289" s="16" t="str">
        <f>VLOOKUP(Table8[[#This Row],[Mã khách hàng]],code_khach_hang[],2,0)</f>
        <v>CHI NHÁNH HÀ NỘI - CÔNG TY CỔ PHẦN DỊCH VỤ THƯƠNG MẠI TỔNG HỢP WINCOMMERCE</v>
      </c>
      <c r="G1289" s="16"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c r="A1290" s="14" t="s">
        <v>8445</v>
      </c>
      <c r="B1290" s="15" t="s">
        <v>5</v>
      </c>
      <c r="C1290" s="10" t="s">
        <v>8446</v>
      </c>
      <c r="D1290" s="16" t="s">
        <v>4328</v>
      </c>
      <c r="E1290" s="15" t="s">
        <v>11215</v>
      </c>
      <c r="F1290" s="16" t="str">
        <f>VLOOKUP(Table8[[#This Row],[Mã khách hàng]],code_khach_hang[],2,0)</f>
        <v>CHI NHÁNH HÀ NỘI - CÔNG TY CỔ PHẦN DỊCH VỤ THƯƠNG MẠI TỔNG HỢP WINCOMMERCE</v>
      </c>
      <c r="G1290" s="16"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c r="A1291" s="14" t="s">
        <v>8550</v>
      </c>
      <c r="B1291" s="15" t="s">
        <v>5</v>
      </c>
      <c r="C1291" s="10" t="s">
        <v>8551</v>
      </c>
      <c r="D1291" s="16" t="s">
        <v>4331</v>
      </c>
      <c r="E1291" s="15" t="s">
        <v>11215</v>
      </c>
      <c r="F1291" s="16" t="str">
        <f>VLOOKUP(Table8[[#This Row],[Mã khách hàng]],code_khach_hang[],2,0)</f>
        <v>CHI NHÁNH HÀ NỘI - CÔNG TY CỔ PHẦN DỊCH VỤ THƯƠNG MẠI TỔNG HỢP WINCOMMERCE</v>
      </c>
      <c r="G1291" s="16"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c r="A1292" s="14" t="s">
        <v>8639</v>
      </c>
      <c r="B1292" s="15" t="s">
        <v>5</v>
      </c>
      <c r="C1292" s="10" t="s">
        <v>8640</v>
      </c>
      <c r="D1292" s="16" t="s">
        <v>4334</v>
      </c>
      <c r="E1292" s="15" t="s">
        <v>11215</v>
      </c>
      <c r="F1292" s="16" t="str">
        <f>VLOOKUP(Table8[[#This Row],[Mã khách hàng]],code_khach_hang[],2,0)</f>
        <v>CHI NHÁNH HÀ NỘI - CÔNG TY CỔ PHẦN DỊCH VỤ THƯƠNG MẠI TỔNG HỢP WINCOMMERCE</v>
      </c>
      <c r="G1292" s="16"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c r="A1293" s="14" t="s">
        <v>8877</v>
      </c>
      <c r="B1293" s="15" t="s">
        <v>5</v>
      </c>
      <c r="C1293" s="10" t="s">
        <v>8878</v>
      </c>
      <c r="D1293" s="16" t="s">
        <v>4337</v>
      </c>
      <c r="E1293" s="15" t="s">
        <v>11215</v>
      </c>
      <c r="F1293" s="16" t="str">
        <f>VLOOKUP(Table8[[#This Row],[Mã khách hàng]],code_khach_hang[],2,0)</f>
        <v>CHI NHÁNH HÀ NỘI - CÔNG TY CỔ PHẦN DỊCH VỤ THƯƠNG MẠI TỔNG HỢP WINCOMMERCE</v>
      </c>
      <c r="G1293" s="16"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c r="A1294" s="14" t="s">
        <v>1897</v>
      </c>
      <c r="B1294" s="15" t="s">
        <v>5</v>
      </c>
      <c r="C1294" s="10" t="e">
        <v>#N/A</v>
      </c>
      <c r="D1294" s="16" t="s">
        <v>4340</v>
      </c>
      <c r="E1294" s="15" t="s">
        <v>11205</v>
      </c>
      <c r="F1294" s="16" t="str">
        <f>VLOOKUP(Table8[[#This Row],[Mã khách hàng]],code_khach_hang[],2,0)</f>
        <v>CHI NHÁNH HÀ TĨNH - CÔNG TY CỔ PHẦN DỊCH VỤ THƯƠNG MẠI TỔNG HỢP WINCOMMERCE</v>
      </c>
      <c r="G1294" s="16"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c r="A1295" s="14" t="s">
        <v>7193</v>
      </c>
      <c r="B1295" s="15" t="s">
        <v>5</v>
      </c>
      <c r="C1295" s="10" t="s">
        <v>7194</v>
      </c>
      <c r="D1295" s="16" t="s">
        <v>4343</v>
      </c>
      <c r="E1295" s="15" t="s">
        <v>11219</v>
      </c>
      <c r="F1295" s="16" t="str">
        <f>VLOOKUP(Table8[[#This Row],[Mã khách hàng]],code_khach_hang[],2,0)</f>
        <v>CHI NHÁNH NAM ĐỊNH - CÔNG TY CỔ PHẦN DỊCH VỤ THƯƠNG MẠI TỔNG HỢP WINCOMMERCE</v>
      </c>
      <c r="G1295" s="16"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c r="A1296" s="14" t="s">
        <v>5771</v>
      </c>
      <c r="B1296" s="15" t="s">
        <v>5</v>
      </c>
      <c r="C1296" s="10" t="s">
        <v>5772</v>
      </c>
      <c r="D1296" s="16" t="s">
        <v>4346</v>
      </c>
      <c r="E1296" s="15" t="s">
        <v>11219</v>
      </c>
      <c r="F1296" s="16" t="str">
        <f>VLOOKUP(Table8[[#This Row],[Mã khách hàng]],code_khach_hang[],2,0)</f>
        <v>CHI NHÁNH NAM ĐỊNH - CÔNG TY CỔ PHẦN DỊCH VỤ THƯƠNG MẠI TỔNG HỢP WINCOMMERCE</v>
      </c>
      <c r="G1296" s="16"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c r="A1297" s="14" t="s">
        <v>7416</v>
      </c>
      <c r="B1297" s="15" t="s">
        <v>5</v>
      </c>
      <c r="C1297" s="10" t="s">
        <v>7417</v>
      </c>
      <c r="D1297" s="16" t="s">
        <v>4349</v>
      </c>
      <c r="E1297" s="15" t="s">
        <v>11219</v>
      </c>
      <c r="F1297" s="16" t="str">
        <f>VLOOKUP(Table8[[#This Row],[Mã khách hàng]],code_khach_hang[],2,0)</f>
        <v>CHI NHÁNH NAM ĐỊNH - CÔNG TY CỔ PHẦN DỊCH VỤ THƯƠNG MẠI TỔNG HỢP WINCOMMERCE</v>
      </c>
      <c r="G1297" s="16"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c r="A1298" s="14" t="s">
        <v>5881</v>
      </c>
      <c r="B1298" s="15" t="s">
        <v>5</v>
      </c>
      <c r="C1298" s="10" t="s">
        <v>5882</v>
      </c>
      <c r="D1298" s="16" t="s">
        <v>4352</v>
      </c>
      <c r="E1298" s="15" t="s">
        <v>11219</v>
      </c>
      <c r="F1298" s="16" t="str">
        <f>VLOOKUP(Table8[[#This Row],[Mã khách hàng]],code_khach_hang[],2,0)</f>
        <v>CHI NHÁNH NAM ĐỊNH - CÔNG TY CỔ PHẦN DỊCH VỤ THƯƠNG MẠI TỔNG HỢP WINCOMMERCE</v>
      </c>
      <c r="G1298" s="16"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c r="A1299" s="14" t="s">
        <v>7004</v>
      </c>
      <c r="B1299" s="15" t="s">
        <v>5</v>
      </c>
      <c r="C1299" s="10" t="s">
        <v>7005</v>
      </c>
      <c r="D1299" s="16" t="s">
        <v>4355</v>
      </c>
      <c r="E1299" s="15" t="s">
        <v>11219</v>
      </c>
      <c r="F1299" s="16" t="str">
        <f>VLOOKUP(Table8[[#This Row],[Mã khách hàng]],code_khach_hang[],2,0)</f>
        <v>CHI NHÁNH NAM ĐỊNH - CÔNG TY CỔ PHẦN DỊCH VỤ THƯƠNG MẠI TỔNG HỢP WINCOMMERCE</v>
      </c>
      <c r="G1299" s="16"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c r="A1300" s="14" t="s">
        <v>5759</v>
      </c>
      <c r="B1300" s="15" t="s">
        <v>5</v>
      </c>
      <c r="C1300" s="10" t="s">
        <v>5760</v>
      </c>
      <c r="D1300" s="16" t="s">
        <v>4358</v>
      </c>
      <c r="E1300" s="15" t="s">
        <v>11219</v>
      </c>
      <c r="F1300" s="16" t="str">
        <f>VLOOKUP(Table8[[#This Row],[Mã khách hàng]],code_khach_hang[],2,0)</f>
        <v>CHI NHÁNH NAM ĐỊNH - CÔNG TY CỔ PHẦN DỊCH VỤ THƯƠNG MẠI TỔNG HỢP WINCOMMERCE</v>
      </c>
      <c r="G1300" s="16"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c r="A1301" s="14" t="s">
        <v>5816</v>
      </c>
      <c r="B1301" s="15" t="s">
        <v>5</v>
      </c>
      <c r="C1301" s="10" t="s">
        <v>5817</v>
      </c>
      <c r="D1301" s="16" t="s">
        <v>4361</v>
      </c>
      <c r="E1301" s="15" t="s">
        <v>11219</v>
      </c>
      <c r="F1301" s="16" t="str">
        <f>VLOOKUP(Table8[[#This Row],[Mã khách hàng]],code_khach_hang[],2,0)</f>
        <v>CHI NHÁNH NAM ĐỊNH - CÔNG TY CỔ PHẦN DỊCH VỤ THƯƠNG MẠI TỔNG HỢP WINCOMMERCE</v>
      </c>
      <c r="G1301" s="16"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c r="A1302" s="14" t="s">
        <v>7092</v>
      </c>
      <c r="B1302" s="15" t="s">
        <v>5</v>
      </c>
      <c r="C1302" s="10" t="s">
        <v>7093</v>
      </c>
      <c r="D1302" s="16" t="s">
        <v>4364</v>
      </c>
      <c r="E1302" s="15" t="s">
        <v>11219</v>
      </c>
      <c r="F1302" s="16" t="str">
        <f>VLOOKUP(Table8[[#This Row],[Mã khách hàng]],code_khach_hang[],2,0)</f>
        <v>CHI NHÁNH NAM ĐỊNH - CÔNG TY CỔ PHẦN DỊCH VỤ THƯƠNG MẠI TỔNG HỢP WINCOMMERCE</v>
      </c>
      <c r="G1302" s="16"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c r="A1303" s="14" t="s">
        <v>6181</v>
      </c>
      <c r="B1303" s="15" t="s">
        <v>5</v>
      </c>
      <c r="C1303" s="10" t="s">
        <v>6182</v>
      </c>
      <c r="D1303" s="16" t="s">
        <v>4367</v>
      </c>
      <c r="E1303" s="15" t="s">
        <v>11219</v>
      </c>
      <c r="F1303" s="16" t="str">
        <f>VLOOKUP(Table8[[#This Row],[Mã khách hàng]],code_khach_hang[],2,0)</f>
        <v>CHI NHÁNH NAM ĐỊNH - CÔNG TY CỔ PHẦN DỊCH VỤ THƯƠNG MẠI TỔNG HỢP WINCOMMERCE</v>
      </c>
      <c r="G1303" s="16"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c r="A1304" s="14" t="s">
        <v>7021</v>
      </c>
      <c r="B1304" s="15" t="s">
        <v>5</v>
      </c>
      <c r="C1304" s="10" t="s">
        <v>7022</v>
      </c>
      <c r="D1304" s="16" t="s">
        <v>4370</v>
      </c>
      <c r="E1304" s="15" t="s">
        <v>11219</v>
      </c>
      <c r="F1304" s="16" t="str">
        <f>VLOOKUP(Table8[[#This Row],[Mã khách hàng]],code_khach_hang[],2,0)</f>
        <v>CHI NHÁNH NAM ĐỊNH - CÔNG TY CỔ PHẦN DỊCH VỤ THƯƠNG MẠI TỔNG HỢP WINCOMMERCE</v>
      </c>
      <c r="G1304" s="16"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c r="A1305" s="14" t="s">
        <v>5786</v>
      </c>
      <c r="B1305" s="15" t="s">
        <v>5</v>
      </c>
      <c r="C1305" s="10" t="s">
        <v>5787</v>
      </c>
      <c r="D1305" s="16" t="s">
        <v>4373</v>
      </c>
      <c r="E1305" s="15" t="s">
        <v>11219</v>
      </c>
      <c r="F1305" s="16" t="str">
        <f>VLOOKUP(Table8[[#This Row],[Mã khách hàng]],code_khach_hang[],2,0)</f>
        <v>CHI NHÁNH NAM ĐỊNH - CÔNG TY CỔ PHẦN DỊCH VỤ THƯƠNG MẠI TỔNG HỢP WINCOMMERCE</v>
      </c>
      <c r="G1305" s="16"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c r="A1306" s="14" t="s">
        <v>7774</v>
      </c>
      <c r="B1306" s="15" t="s">
        <v>5</v>
      </c>
      <c r="C1306" s="10" t="s">
        <v>7775</v>
      </c>
      <c r="D1306" s="16" t="s">
        <v>4376</v>
      </c>
      <c r="E1306" s="15" t="s">
        <v>11219</v>
      </c>
      <c r="F1306" s="16" t="str">
        <f>VLOOKUP(Table8[[#This Row],[Mã khách hàng]],code_khach_hang[],2,0)</f>
        <v>CHI NHÁNH NAM ĐỊNH - CÔNG TY CỔ PHẦN DỊCH VỤ THƯƠNG MẠI TỔNG HỢP WINCOMMERCE</v>
      </c>
      <c r="G1306" s="16"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c r="A1307" s="14" t="s">
        <v>5783</v>
      </c>
      <c r="B1307" s="15" t="s">
        <v>5</v>
      </c>
      <c r="C1307" s="10" t="s">
        <v>5784</v>
      </c>
      <c r="D1307" s="16" t="s">
        <v>4379</v>
      </c>
      <c r="E1307" s="15" t="s">
        <v>11219</v>
      </c>
      <c r="F1307" s="16" t="str">
        <f>VLOOKUP(Table8[[#This Row],[Mã khách hàng]],code_khach_hang[],2,0)</f>
        <v>CHI NHÁNH NAM ĐỊNH - CÔNG TY CỔ PHẦN DỊCH VỤ THƯƠNG MẠI TỔNG HỢP WINCOMMERCE</v>
      </c>
      <c r="G1307" s="16"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c r="A1308" s="14" t="s">
        <v>7846</v>
      </c>
      <c r="B1308" s="15" t="s">
        <v>5</v>
      </c>
      <c r="C1308" s="10" t="s">
        <v>7847</v>
      </c>
      <c r="D1308" s="16" t="s">
        <v>4382</v>
      </c>
      <c r="E1308" s="15" t="s">
        <v>11219</v>
      </c>
      <c r="F1308" s="16" t="str">
        <f>VLOOKUP(Table8[[#This Row],[Mã khách hàng]],code_khach_hang[],2,0)</f>
        <v>CHI NHÁNH NAM ĐỊNH - CÔNG TY CỔ PHẦN DỊCH VỤ THƯƠNG MẠI TỔNG HỢP WINCOMMERCE</v>
      </c>
      <c r="G1308" s="16"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c r="A1309" s="14" t="s">
        <v>5995</v>
      </c>
      <c r="B1309" s="15" t="s">
        <v>5</v>
      </c>
      <c r="C1309" s="10" t="s">
        <v>5996</v>
      </c>
      <c r="D1309" s="16" t="s">
        <v>4385</v>
      </c>
      <c r="E1309" s="14" t="s">
        <v>11219</v>
      </c>
      <c r="F1309" s="16" t="str">
        <f>VLOOKUP(Table8[[#This Row],[Mã khách hàng]],code_khach_hang[],2,0)</f>
        <v>CHI NHÁNH NAM ĐỊNH - CÔNG TY CỔ PHẦN DỊCH VỤ THƯƠNG MẠI TỔNG HỢP WINCOMMERCE</v>
      </c>
      <c r="G1309" s="16"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c r="A1310" s="14" t="s">
        <v>5884</v>
      </c>
      <c r="B1310" s="15" t="s">
        <v>5</v>
      </c>
      <c r="C1310" s="10" t="s">
        <v>5885</v>
      </c>
      <c r="D1310" s="16" t="s">
        <v>4388</v>
      </c>
      <c r="E1310" s="15" t="s">
        <v>11219</v>
      </c>
      <c r="F1310" s="16" t="str">
        <f>VLOOKUP(Table8[[#This Row],[Mã khách hàng]],code_khach_hang[],2,0)</f>
        <v>CHI NHÁNH NAM ĐỊNH - CÔNG TY CỔ PHẦN DỊCH VỤ THƯƠNG MẠI TỔNG HỢP WINCOMMERCE</v>
      </c>
      <c r="G1310" s="16"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c r="A1311" s="14" t="s">
        <v>6037</v>
      </c>
      <c r="B1311" s="15" t="s">
        <v>5</v>
      </c>
      <c r="C1311" s="10" t="s">
        <v>6038</v>
      </c>
      <c r="D1311" s="16" t="s">
        <v>4391</v>
      </c>
      <c r="E1311" s="15" t="s">
        <v>11219</v>
      </c>
      <c r="F1311" s="16" t="str">
        <f>VLOOKUP(Table8[[#This Row],[Mã khách hàng]],code_khach_hang[],2,0)</f>
        <v>CHI NHÁNH NAM ĐỊNH - CÔNG TY CỔ PHẦN DỊCH VỤ THƯƠNG MẠI TỔNG HỢP WINCOMMERCE</v>
      </c>
      <c r="G1311" s="16"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c r="A1312" s="14" t="s">
        <v>11113</v>
      </c>
      <c r="B1312" s="15" t="s">
        <v>5</v>
      </c>
      <c r="C1312" s="10" t="s">
        <v>13159</v>
      </c>
      <c r="D1312" s="16" t="s">
        <v>4394</v>
      </c>
      <c r="E1312" s="15" t="s">
        <v>11219</v>
      </c>
      <c r="F1312" s="16" t="str">
        <f>VLOOKUP(Table8[[#This Row],[Mã khách hàng]],code_khach_hang[],2,0)</f>
        <v>CHI NHÁNH NAM ĐỊNH - CÔNG TY CỔ PHẦN DỊCH VỤ THƯƠNG MẠI TỔNG HỢP WINCOMMERCE</v>
      </c>
      <c r="G1312" s="16"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c r="A1313" s="14" t="s">
        <v>6318</v>
      </c>
      <c r="B1313" s="15" t="s">
        <v>5</v>
      </c>
      <c r="C1313" s="10" t="s">
        <v>6319</v>
      </c>
      <c r="D1313" s="16" t="s">
        <v>4397</v>
      </c>
      <c r="E1313" s="15" t="s">
        <v>11219</v>
      </c>
      <c r="F1313" s="16" t="str">
        <f>VLOOKUP(Table8[[#This Row],[Mã khách hàng]],code_khach_hang[],2,0)</f>
        <v>CHI NHÁNH NAM ĐỊNH - CÔNG TY CỔ PHẦN DỊCH VỤ THƯƠNG MẠI TỔNG HỢP WINCOMMERCE</v>
      </c>
      <c r="G1313" s="16"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c r="A1314" s="14" t="s">
        <v>8046</v>
      </c>
      <c r="B1314" s="15" t="s">
        <v>5</v>
      </c>
      <c r="C1314" s="10" t="s">
        <v>8047</v>
      </c>
      <c r="D1314" s="16" t="s">
        <v>4400</v>
      </c>
      <c r="E1314" s="15" t="s">
        <v>11219</v>
      </c>
      <c r="F1314" s="16" t="str">
        <f>VLOOKUP(Table8[[#This Row],[Mã khách hàng]],code_khach_hang[],2,0)</f>
        <v>CHI NHÁNH NAM ĐỊNH - CÔNG TY CỔ PHẦN DỊCH VỤ THƯƠNG MẠI TỔNG HỢP WINCOMMERCE</v>
      </c>
      <c r="G1314" s="16"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c r="A1315" s="14" t="s">
        <v>7980</v>
      </c>
      <c r="B1315" s="15" t="s">
        <v>5</v>
      </c>
      <c r="C1315" s="10" t="s">
        <v>7981</v>
      </c>
      <c r="D1315" s="16" t="s">
        <v>4403</v>
      </c>
      <c r="E1315" s="15" t="s">
        <v>11219</v>
      </c>
      <c r="F1315" s="16" t="str">
        <f>VLOOKUP(Table8[[#This Row],[Mã khách hàng]],code_khach_hang[],2,0)</f>
        <v>CHI NHÁNH NAM ĐỊNH - CÔNG TY CỔ PHẦN DỊCH VỤ THƯƠNG MẠI TỔNG HỢP WINCOMMERCE</v>
      </c>
      <c r="G1315" s="16"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c r="A1316" s="14" t="s">
        <v>8242</v>
      </c>
      <c r="B1316" s="15" t="s">
        <v>5</v>
      </c>
      <c r="C1316" s="10" t="s">
        <v>8243</v>
      </c>
      <c r="D1316" s="16" t="s">
        <v>4406</v>
      </c>
      <c r="E1316" s="15" t="s">
        <v>11219</v>
      </c>
      <c r="F1316" s="16" t="str">
        <f>VLOOKUP(Table8[[#This Row],[Mã khách hàng]],code_khach_hang[],2,0)</f>
        <v>CHI NHÁNH NAM ĐỊNH - CÔNG TY CỔ PHẦN DỊCH VỤ THƯƠNG MẠI TỔNG HỢP WINCOMMERCE</v>
      </c>
      <c r="G1316" s="16"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c r="A1317" s="14" t="s">
        <v>8272</v>
      </c>
      <c r="B1317" s="15" t="s">
        <v>5</v>
      </c>
      <c r="C1317" s="10" t="s">
        <v>8273</v>
      </c>
      <c r="D1317" s="16" t="s">
        <v>4409</v>
      </c>
      <c r="E1317" s="15" t="s">
        <v>11219</v>
      </c>
      <c r="F1317" s="16" t="str">
        <f>VLOOKUP(Table8[[#This Row],[Mã khách hàng]],code_khach_hang[],2,0)</f>
        <v>CHI NHÁNH NAM ĐỊNH - CÔNG TY CỔ PHẦN DỊCH VỤ THƯƠNG MẠI TỔNG HỢP WINCOMMERCE</v>
      </c>
      <c r="G1317" s="16"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c r="A1318" s="14" t="s">
        <v>8847</v>
      </c>
      <c r="B1318" s="15" t="s">
        <v>5</v>
      </c>
      <c r="C1318" s="10" t="s">
        <v>8848</v>
      </c>
      <c r="D1318" s="16" t="s">
        <v>4412</v>
      </c>
      <c r="E1318" s="15" t="s">
        <v>11219</v>
      </c>
      <c r="F1318" s="16" t="str">
        <f>VLOOKUP(Table8[[#This Row],[Mã khách hàng]],code_khach_hang[],2,0)</f>
        <v>CHI NHÁNH NAM ĐỊNH - CÔNG TY CỔ PHẦN DỊCH VỤ THƯƠNG MẠI TỔNG HỢP WINCOMMERCE</v>
      </c>
      <c r="G1318" s="16"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c r="A1319" s="14" t="s">
        <v>8785</v>
      </c>
      <c r="B1319" s="15" t="s">
        <v>5</v>
      </c>
      <c r="C1319" s="10" t="s">
        <v>8786</v>
      </c>
      <c r="D1319" s="16" t="s">
        <v>4415</v>
      </c>
      <c r="E1319" s="15" t="s">
        <v>11219</v>
      </c>
      <c r="F1319" s="16" t="str">
        <f>VLOOKUP(Table8[[#This Row],[Mã khách hàng]],code_khach_hang[],2,0)</f>
        <v>CHI NHÁNH NAM ĐỊNH - CÔNG TY CỔ PHẦN DỊCH VỤ THƯƠNG MẠI TỔNG HỢP WINCOMMERCE</v>
      </c>
      <c r="G1319" s="16"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c r="A1320" s="14" t="s">
        <v>5680</v>
      </c>
      <c r="B1320" s="15" t="s">
        <v>5</v>
      </c>
      <c r="C1320" s="10" t="s">
        <v>5681</v>
      </c>
      <c r="D1320" s="16" t="s">
        <v>4418</v>
      </c>
      <c r="E1320" s="15" t="s">
        <v>11196</v>
      </c>
      <c r="F1320" s="16" t="str">
        <f>VLOOKUP(Table8[[#This Row],[Mã khách hàng]],code_khach_hang[],2,0)</f>
        <v>CHI NHÁNH NINH BÌNH - CÔNG TY CỔ PHẦN DỊCH VỤ THƯƠNG MẠI TỔNG HỢP WINCOMMERCE</v>
      </c>
      <c r="G1320" s="16"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c r="A1321" s="14" t="s">
        <v>5662</v>
      </c>
      <c r="B1321" s="15" t="s">
        <v>5</v>
      </c>
      <c r="C1321" s="10" t="s">
        <v>5663</v>
      </c>
      <c r="D1321" s="16" t="s">
        <v>4421</v>
      </c>
      <c r="E1321" s="15" t="s">
        <v>11196</v>
      </c>
      <c r="F1321" s="16" t="str">
        <f>VLOOKUP(Table8[[#This Row],[Mã khách hàng]],code_khach_hang[],2,0)</f>
        <v>CHI NHÁNH NINH BÌNH - CÔNG TY CỔ PHẦN DỊCH VỤ THƯƠNG MẠI TỔNG HỢP WINCOMMERCE</v>
      </c>
      <c r="G1321" s="16"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c r="A1322" s="14" t="s">
        <v>5768</v>
      </c>
      <c r="B1322" s="15" t="s">
        <v>5</v>
      </c>
      <c r="C1322" s="10" t="s">
        <v>5769</v>
      </c>
      <c r="D1322" s="16" t="s">
        <v>4424</v>
      </c>
      <c r="E1322" s="15" t="s">
        <v>11196</v>
      </c>
      <c r="F1322" s="16" t="str">
        <f>VLOOKUP(Table8[[#This Row],[Mã khách hàng]],code_khach_hang[],2,0)</f>
        <v>CHI NHÁNH NINH BÌNH - CÔNG TY CỔ PHẦN DỊCH VỤ THƯƠNG MẠI TỔNG HỢP WINCOMMERCE</v>
      </c>
      <c r="G1322" s="16"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c r="A1323" s="14" t="s">
        <v>5727</v>
      </c>
      <c r="B1323" s="15" t="s">
        <v>5</v>
      </c>
      <c r="C1323" s="10" t="s">
        <v>5728</v>
      </c>
      <c r="D1323" s="16" t="s">
        <v>4427</v>
      </c>
      <c r="E1323" s="15" t="s">
        <v>11196</v>
      </c>
      <c r="F1323" s="16" t="str">
        <f>VLOOKUP(Table8[[#This Row],[Mã khách hàng]],code_khach_hang[],2,0)</f>
        <v>CHI NHÁNH NINH BÌNH - CÔNG TY CỔ PHẦN DỊCH VỤ THƯƠNG MẠI TỔNG HỢP WINCOMMERCE</v>
      </c>
      <c r="G1323" s="16"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c r="A1324" s="14" t="s">
        <v>5804</v>
      </c>
      <c r="B1324" s="15" t="s">
        <v>5</v>
      </c>
      <c r="C1324" s="10" t="s">
        <v>5805</v>
      </c>
      <c r="D1324" s="16" t="s">
        <v>4430</v>
      </c>
      <c r="E1324" s="15" t="s">
        <v>11196</v>
      </c>
      <c r="F1324" s="16" t="str">
        <f>VLOOKUP(Table8[[#This Row],[Mã khách hàng]],code_khach_hang[],2,0)</f>
        <v>CHI NHÁNH NINH BÌNH - CÔNG TY CỔ PHẦN DỊCH VỤ THƯƠNG MẠI TỔNG HỢP WINCOMMERCE</v>
      </c>
      <c r="G1324" s="16"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c r="A1325" s="14" t="s">
        <v>6031</v>
      </c>
      <c r="B1325" s="15" t="s">
        <v>5</v>
      </c>
      <c r="C1325" s="10" t="s">
        <v>6032</v>
      </c>
      <c r="D1325" s="16" t="s">
        <v>4433</v>
      </c>
      <c r="E1325" s="15" t="s">
        <v>11196</v>
      </c>
      <c r="F1325" s="16" t="str">
        <f>VLOOKUP(Table8[[#This Row],[Mã khách hàng]],code_khach_hang[],2,0)</f>
        <v>CHI NHÁNH NINH BÌNH - CÔNG TY CỔ PHẦN DỊCH VỤ THƯƠNG MẠI TỔNG HỢP WINCOMMERCE</v>
      </c>
      <c r="G1325" s="16"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c r="A1326" s="14" t="s">
        <v>6989</v>
      </c>
      <c r="B1326" s="15" t="s">
        <v>5</v>
      </c>
      <c r="C1326" s="10" t="s">
        <v>6990</v>
      </c>
      <c r="D1326" s="16" t="s">
        <v>4436</v>
      </c>
      <c r="E1326" s="15" t="s">
        <v>11196</v>
      </c>
      <c r="F1326" s="16" t="str">
        <f>VLOOKUP(Table8[[#This Row],[Mã khách hàng]],code_khach_hang[],2,0)</f>
        <v>CHI NHÁNH NINH BÌNH - CÔNG TY CỔ PHẦN DỊCH VỤ THƯƠNG MẠI TỔNG HỢP WINCOMMERCE</v>
      </c>
      <c r="G1326" s="16"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c r="A1327" s="14" t="s">
        <v>5872</v>
      </c>
      <c r="B1327" s="15" t="s">
        <v>5</v>
      </c>
      <c r="C1327" s="10" t="s">
        <v>5873</v>
      </c>
      <c r="D1327" s="16" t="s">
        <v>4439</v>
      </c>
      <c r="E1327" s="15" t="s">
        <v>11196</v>
      </c>
      <c r="F1327" s="16" t="str">
        <f>VLOOKUP(Table8[[#This Row],[Mã khách hàng]],code_khach_hang[],2,0)</f>
        <v>CHI NHÁNH NINH BÌNH - CÔNG TY CỔ PHẦN DỊCH VỤ THƯƠNG MẠI TỔNG HỢP WINCOMMERCE</v>
      </c>
      <c r="G1327" s="16"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c r="A1328" s="14" t="s">
        <v>8157</v>
      </c>
      <c r="B1328" s="15" t="s">
        <v>5</v>
      </c>
      <c r="C1328" s="10" t="s">
        <v>8158</v>
      </c>
      <c r="D1328" s="16" t="s">
        <v>4442</v>
      </c>
      <c r="E1328" s="15" t="s">
        <v>11196</v>
      </c>
      <c r="F1328" s="16" t="str">
        <f>VLOOKUP(Table8[[#This Row],[Mã khách hàng]],code_khach_hang[],2,0)</f>
        <v>CHI NHÁNH NINH BÌNH - CÔNG TY CỔ PHẦN DỊCH VỤ THƯƠNG MẠI TỔNG HỢP WINCOMMERCE</v>
      </c>
      <c r="G1328" s="16"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c r="A1329" s="14" t="s">
        <v>8503</v>
      </c>
      <c r="B1329" s="15" t="s">
        <v>5</v>
      </c>
      <c r="C1329" s="10" t="s">
        <v>8504</v>
      </c>
      <c r="D1329" s="16" t="s">
        <v>4445</v>
      </c>
      <c r="E1329" s="15" t="s">
        <v>11196</v>
      </c>
      <c r="F1329" s="16" t="str">
        <f>VLOOKUP(Table8[[#This Row],[Mã khách hàng]],code_khach_hang[],2,0)</f>
        <v>CHI NHÁNH NINH BÌNH - CÔNG TY CỔ PHẦN DỊCH VỤ THƯƠNG MẠI TỔNG HỢP WINCOMMERCE</v>
      </c>
      <c r="G1329" s="16"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c r="A1330" s="14" t="s">
        <v>8529</v>
      </c>
      <c r="B1330" s="15" t="s">
        <v>5</v>
      </c>
      <c r="C1330" s="10" t="s">
        <v>8530</v>
      </c>
      <c r="D1330" s="16" t="s">
        <v>4448</v>
      </c>
      <c r="E1330" s="15" t="s">
        <v>11196</v>
      </c>
      <c r="F1330" s="16" t="str">
        <f>VLOOKUP(Table8[[#This Row],[Mã khách hàng]],code_khach_hang[],2,0)</f>
        <v>CHI NHÁNH NINH BÌNH - CÔNG TY CỔ PHẦN DỊCH VỤ THƯƠNG MẠI TỔNG HỢP WINCOMMERCE</v>
      </c>
      <c r="G1330" s="16"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c r="A1331" s="14" t="s">
        <v>8562</v>
      </c>
      <c r="B1331" s="15" t="s">
        <v>5</v>
      </c>
      <c r="C1331" s="10" t="s">
        <v>8563</v>
      </c>
      <c r="D1331" s="16" t="s">
        <v>4451</v>
      </c>
      <c r="E1331" s="15" t="s">
        <v>11196</v>
      </c>
      <c r="F1331" s="16" t="str">
        <f>VLOOKUP(Table8[[#This Row],[Mã khách hàng]],code_khach_hang[],2,0)</f>
        <v>CHI NHÁNH NINH BÌNH - CÔNG TY CỔ PHẦN DỊCH VỤ THƯƠNG MẠI TỔNG HỢP WINCOMMERCE</v>
      </c>
      <c r="G1331" s="16"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c r="A1332" s="14" t="s">
        <v>8515</v>
      </c>
      <c r="B1332" s="15" t="s">
        <v>5</v>
      </c>
      <c r="C1332" s="10" t="s">
        <v>8516</v>
      </c>
      <c r="D1332" s="16" t="s">
        <v>4454</v>
      </c>
      <c r="E1332" s="15" t="s">
        <v>11196</v>
      </c>
      <c r="F1332" s="16" t="str">
        <f>VLOOKUP(Table8[[#This Row],[Mã khách hàng]],code_khach_hang[],2,0)</f>
        <v>CHI NHÁNH NINH BÌNH - CÔNG TY CỔ PHẦN DỊCH VỤ THƯƠNG MẠI TỔNG HỢP WINCOMMERCE</v>
      </c>
      <c r="G1332" s="16"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c r="A1333" s="14" t="s">
        <v>6178</v>
      </c>
      <c r="B1333" s="15" t="s">
        <v>5</v>
      </c>
      <c r="C1333" s="10" t="s">
        <v>6179</v>
      </c>
      <c r="D1333" s="16" t="s">
        <v>4457</v>
      </c>
      <c r="E1333" s="15" t="s">
        <v>11209</v>
      </c>
      <c r="F1333" s="16" t="str">
        <f>VLOOKUP(Table8[[#This Row],[Mã khách hàng]],code_khach_hang[],2,0)</f>
        <v>CHI NHÁNH QUẢNG BÌNH - CÔNG TY CỔ PHẦN DỊCH VỤ THƯƠNG MẠI TỔNG HỢP WINCOMMERCE</v>
      </c>
      <c r="G1333" s="16"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c r="A1334" s="14" t="s">
        <v>6052</v>
      </c>
      <c r="B1334" s="15" t="s">
        <v>5</v>
      </c>
      <c r="C1334" s="10" t="s">
        <v>6053</v>
      </c>
      <c r="D1334" s="16" t="s">
        <v>4460</v>
      </c>
      <c r="E1334" s="15" t="s">
        <v>11209</v>
      </c>
      <c r="F1334" s="16" t="str">
        <f>VLOOKUP(Table8[[#This Row],[Mã khách hàng]],code_khach_hang[],2,0)</f>
        <v>CHI NHÁNH QUẢNG BÌNH - CÔNG TY CỔ PHẦN DỊCH VỤ THƯƠNG MẠI TỔNG HỢP WINCOMMERCE</v>
      </c>
      <c r="G1334" s="16"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c r="A1335" s="14" t="s">
        <v>5929</v>
      </c>
      <c r="B1335" s="15" t="s">
        <v>5</v>
      </c>
      <c r="C1335" s="10" t="s">
        <v>5930</v>
      </c>
      <c r="D1335" s="16" t="s">
        <v>4463</v>
      </c>
      <c r="E1335" s="15" t="s">
        <v>11209</v>
      </c>
      <c r="F1335" s="16" t="str">
        <f>VLOOKUP(Table8[[#This Row],[Mã khách hàng]],code_khach_hang[],2,0)</f>
        <v>CHI NHÁNH QUẢNG BÌNH - CÔNG TY CỔ PHẦN DỊCH VỤ THƯƠNG MẠI TỔNG HỢP WINCOMMERCE</v>
      </c>
      <c r="G1335" s="16"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c r="A1336" s="14" t="s">
        <v>6833</v>
      </c>
      <c r="B1336" s="15" t="s">
        <v>5</v>
      </c>
      <c r="C1336" s="10" t="s">
        <v>6834</v>
      </c>
      <c r="D1336" s="16" t="s">
        <v>4466</v>
      </c>
      <c r="E1336" s="15" t="s">
        <v>11209</v>
      </c>
      <c r="F1336" s="16" t="str">
        <f>VLOOKUP(Table8[[#This Row],[Mã khách hàng]],code_khach_hang[],2,0)</f>
        <v>CHI NHÁNH QUẢNG BÌNH - CÔNG TY CỔ PHẦN DỊCH VỤ THƯƠNG MẠI TỔNG HỢP WINCOMMERCE</v>
      </c>
      <c r="G1336" s="16"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c r="A1337" s="14" t="s">
        <v>6151</v>
      </c>
      <c r="B1337" s="15" t="s">
        <v>5</v>
      </c>
      <c r="C1337" s="10" t="s">
        <v>6152</v>
      </c>
      <c r="D1337" s="16" t="s">
        <v>4469</v>
      </c>
      <c r="E1337" s="15" t="s">
        <v>11209</v>
      </c>
      <c r="F1337" s="16" t="str">
        <f>VLOOKUP(Table8[[#This Row],[Mã khách hàng]],code_khach_hang[],2,0)</f>
        <v>CHI NHÁNH QUẢNG BÌNH - CÔNG TY CỔ PHẦN DỊCH VỤ THƯƠNG MẠI TỔNG HỢP WINCOMMERCE</v>
      </c>
      <c r="G1337" s="16"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c r="A1338" s="14" t="s">
        <v>6049</v>
      </c>
      <c r="B1338" s="15" t="s">
        <v>5</v>
      </c>
      <c r="C1338" s="10" t="s">
        <v>6050</v>
      </c>
      <c r="D1338" s="16" t="s">
        <v>4472</v>
      </c>
      <c r="E1338" s="15" t="s">
        <v>11209</v>
      </c>
      <c r="F1338" s="16" t="str">
        <f>VLOOKUP(Table8[[#This Row],[Mã khách hàng]],code_khach_hang[],2,0)</f>
        <v>CHI NHÁNH QUẢNG BÌNH - CÔNG TY CỔ PHẦN DỊCH VỤ THƯƠNG MẠI TỔNG HỢP WINCOMMERCE</v>
      </c>
      <c r="G1338" s="16"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c r="A1339" s="14" t="s">
        <v>8210</v>
      </c>
      <c r="B1339" s="15" t="s">
        <v>5</v>
      </c>
      <c r="C1339" s="10" t="s">
        <v>8211</v>
      </c>
      <c r="D1339" s="16" t="s">
        <v>4475</v>
      </c>
      <c r="E1339" s="15" t="s">
        <v>11209</v>
      </c>
      <c r="F1339" s="16" t="str">
        <f>VLOOKUP(Table8[[#This Row],[Mã khách hàng]],code_khach_hang[],2,0)</f>
        <v>CHI NHÁNH QUẢNG BÌNH - CÔNG TY CỔ PHẦN DỊCH VỤ THƯƠNG MẠI TỔNG HỢP WINCOMMERCE</v>
      </c>
      <c r="G1339" s="16"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c r="A1340" s="14" t="s">
        <v>8236</v>
      </c>
      <c r="B1340" s="15" t="s">
        <v>5</v>
      </c>
      <c r="C1340" s="10" t="s">
        <v>8237</v>
      </c>
      <c r="D1340" s="16" t="s">
        <v>4478</v>
      </c>
      <c r="E1340" s="15" t="s">
        <v>11209</v>
      </c>
      <c r="F1340" s="16" t="str">
        <f>VLOOKUP(Table8[[#This Row],[Mã khách hàng]],code_khach_hang[],2,0)</f>
        <v>CHI NHÁNH QUẢNG BÌNH - CÔNG TY CỔ PHẦN DỊCH VỤ THƯƠNG MẠI TỔNG HỢP WINCOMMERCE</v>
      </c>
      <c r="G1340" s="16"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c r="A1341" s="14" t="s">
        <v>8367</v>
      </c>
      <c r="B1341" s="15" t="s">
        <v>5</v>
      </c>
      <c r="C1341" s="10" t="s">
        <v>8368</v>
      </c>
      <c r="D1341" s="16" t="s">
        <v>4481</v>
      </c>
      <c r="E1341" s="15" t="s">
        <v>11209</v>
      </c>
      <c r="F1341" s="16" t="str">
        <f>VLOOKUP(Table8[[#This Row],[Mã khách hàng]],code_khach_hang[],2,0)</f>
        <v>CHI NHÁNH QUẢNG BÌNH - CÔNG TY CỔ PHẦN DỊCH VỤ THƯƠNG MẠI TỔNG HỢP WINCOMMERCE</v>
      </c>
      <c r="G1341" s="16"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c r="A1342" s="14" t="s">
        <v>8489</v>
      </c>
      <c r="B1342" s="15" t="s">
        <v>5</v>
      </c>
      <c r="C1342" s="10" t="s">
        <v>8490</v>
      </c>
      <c r="D1342" s="16" t="s">
        <v>4484</v>
      </c>
      <c r="E1342" s="15" t="s">
        <v>11209</v>
      </c>
      <c r="F1342" s="16" t="str">
        <f>VLOOKUP(Table8[[#This Row],[Mã khách hàng]],code_khach_hang[],2,0)</f>
        <v>CHI NHÁNH QUẢNG BÌNH - CÔNG TY CỔ PHẦN DỊCH VỤ THƯƠNG MẠI TỔNG HỢP WINCOMMERCE</v>
      </c>
      <c r="G1342" s="16"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c r="A1343" s="14" t="s">
        <v>8579</v>
      </c>
      <c r="B1343" s="15" t="s">
        <v>5</v>
      </c>
      <c r="C1343" s="10" t="s">
        <v>8580</v>
      </c>
      <c r="D1343" s="16" t="s">
        <v>4487</v>
      </c>
      <c r="E1343" s="15" t="s">
        <v>11209</v>
      </c>
      <c r="F1343" s="16" t="str">
        <f>VLOOKUP(Table8[[#This Row],[Mã khách hàng]],code_khach_hang[],2,0)</f>
        <v>CHI NHÁNH QUẢNG BÌNH - CÔNG TY CỔ PHẦN DỊCH VỤ THƯƠNG MẠI TỔNG HỢP WINCOMMERCE</v>
      </c>
      <c r="G1343" s="16"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c r="A1344" s="14" t="s">
        <v>8457</v>
      </c>
      <c r="B1344" s="15" t="s">
        <v>5</v>
      </c>
      <c r="C1344" s="10" t="s">
        <v>8458</v>
      </c>
      <c r="D1344" s="16" t="s">
        <v>4490</v>
      </c>
      <c r="E1344" s="15" t="s">
        <v>11209</v>
      </c>
      <c r="F1344" s="16" t="str">
        <f>VLOOKUP(Table8[[#This Row],[Mã khách hàng]],code_khach_hang[],2,0)</f>
        <v>CHI NHÁNH QUẢNG BÌNH - CÔNG TY CỔ PHẦN DỊCH VỤ THƯƠNG MẠI TỔNG HỢP WINCOMMERCE</v>
      </c>
      <c r="G1344" s="16"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c r="A1345" s="14" t="s">
        <v>8600</v>
      </c>
      <c r="B1345" s="15" t="s">
        <v>5</v>
      </c>
      <c r="C1345" s="10" t="s">
        <v>8601</v>
      </c>
      <c r="D1345" s="16" t="s">
        <v>4493</v>
      </c>
      <c r="E1345" s="15" t="s">
        <v>11209</v>
      </c>
      <c r="F1345" s="16" t="str">
        <f>VLOOKUP(Table8[[#This Row],[Mã khách hàng]],code_khach_hang[],2,0)</f>
        <v>CHI NHÁNH QUẢNG BÌNH - CÔNG TY CỔ PHẦN DỊCH VỤ THƯƠNG MẠI TỔNG HỢP WINCOMMERCE</v>
      </c>
      <c r="G1345" s="16"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c r="A1346" s="14" t="s">
        <v>8700</v>
      </c>
      <c r="B1346" s="15" t="s">
        <v>5</v>
      </c>
      <c r="C1346" s="10" t="s">
        <v>8701</v>
      </c>
      <c r="D1346" s="16" t="s">
        <v>4496</v>
      </c>
      <c r="E1346" s="15" t="s">
        <v>11209</v>
      </c>
      <c r="F1346" s="16" t="str">
        <f>VLOOKUP(Table8[[#This Row],[Mã khách hàng]],code_khach_hang[],2,0)</f>
        <v>CHI NHÁNH QUẢNG BÌNH - CÔNG TY CỔ PHẦN DỊCH VỤ THƯƠNG MẠI TỔNG HỢP WINCOMMERCE</v>
      </c>
      <c r="G1346" s="16"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c r="A1347" s="14" t="s">
        <v>8744</v>
      </c>
      <c r="B1347" s="15" t="s">
        <v>5</v>
      </c>
      <c r="C1347" s="10" t="s">
        <v>8745</v>
      </c>
      <c r="D1347" s="16" t="s">
        <v>4499</v>
      </c>
      <c r="E1347" s="15" t="s">
        <v>11209</v>
      </c>
      <c r="F1347" s="16" t="str">
        <f>VLOOKUP(Table8[[#This Row],[Mã khách hàng]],code_khach_hang[],2,0)</f>
        <v>CHI NHÁNH QUẢNG BÌNH - CÔNG TY CỔ PHẦN DỊCH VỤ THƯƠNG MẠI TỔNG HỢP WINCOMMERCE</v>
      </c>
      <c r="G1347" s="16"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c r="A1348" s="14" t="s">
        <v>8708</v>
      </c>
      <c r="B1348" s="15" t="s">
        <v>5</v>
      </c>
      <c r="C1348" s="10" t="s">
        <v>8709</v>
      </c>
      <c r="D1348" s="16" t="s">
        <v>4502</v>
      </c>
      <c r="E1348" s="15" t="s">
        <v>11209</v>
      </c>
      <c r="F1348" s="16" t="str">
        <f>VLOOKUP(Table8[[#This Row],[Mã khách hàng]],code_khach_hang[],2,0)</f>
        <v>CHI NHÁNH QUẢNG BÌNH - CÔNG TY CỔ PHẦN DỊCH VỤ THƯƠNG MẠI TỔNG HỢP WINCOMMERCE</v>
      </c>
      <c r="G1348" s="16"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c r="A1349" s="14" t="s">
        <v>4419</v>
      </c>
      <c r="B1349" s="15" t="s">
        <v>5</v>
      </c>
      <c r="C1349" s="10" t="s">
        <v>4420</v>
      </c>
      <c r="D1349" s="16" t="s">
        <v>4505</v>
      </c>
      <c r="E1349" s="15" t="s">
        <v>11200</v>
      </c>
      <c r="F1349" s="16" t="str">
        <f>VLOOKUP(Table8[[#This Row],[Mã khách hàng]],code_khach_hang[],2,0)</f>
        <v>CHI NHÁNH THÁI BÌNH - CÔNG TY CỔ PHẦN DỊCH VỤ THƯƠNG MẠI TỔNG HỢP WINCOMMERCE</v>
      </c>
      <c r="G1349" s="16"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c r="A1350" s="14" t="s">
        <v>4452</v>
      </c>
      <c r="B1350" s="15" t="s">
        <v>5</v>
      </c>
      <c r="C1350" s="10" t="s">
        <v>4453</v>
      </c>
      <c r="D1350" s="16" t="s">
        <v>4508</v>
      </c>
      <c r="E1350" s="15" t="s">
        <v>11200</v>
      </c>
      <c r="F1350" s="16" t="str">
        <f>VLOOKUP(Table8[[#This Row],[Mã khách hàng]],code_khach_hang[],2,0)</f>
        <v>CHI NHÁNH THÁI BÌNH - CÔNG TY CỔ PHẦN DỊCH VỤ THƯƠNG MẠI TỔNG HỢP WINCOMMERCE</v>
      </c>
      <c r="G1350" s="16"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c r="A1351" s="14" t="s">
        <v>4533</v>
      </c>
      <c r="B1351" s="15" t="s">
        <v>5</v>
      </c>
      <c r="C1351" s="10" t="s">
        <v>4534</v>
      </c>
      <c r="D1351" s="16" t="s">
        <v>4511</v>
      </c>
      <c r="E1351" s="15" t="s">
        <v>11200</v>
      </c>
      <c r="F1351" s="16" t="str">
        <f>VLOOKUP(Table8[[#This Row],[Mã khách hàng]],code_khach_hang[],2,0)</f>
        <v>CHI NHÁNH THÁI BÌNH - CÔNG TY CỔ PHẦN DỊCH VỤ THƯƠNG MẠI TỔNG HỢP WINCOMMERCE</v>
      </c>
      <c r="G1351" s="16"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c r="A1352" s="14" t="s">
        <v>4569</v>
      </c>
      <c r="B1352" s="15" t="s">
        <v>5</v>
      </c>
      <c r="C1352" s="10" t="s">
        <v>4570</v>
      </c>
      <c r="D1352" s="16" t="s">
        <v>4514</v>
      </c>
      <c r="E1352" s="15" t="s">
        <v>11200</v>
      </c>
      <c r="F1352" s="16" t="str">
        <f>VLOOKUP(Table8[[#This Row],[Mã khách hàng]],code_khach_hang[],2,0)</f>
        <v>CHI NHÁNH THÁI BÌNH - CÔNG TY CỔ PHẦN DỊCH VỤ THƯƠNG MẠI TỔNG HỢP WINCOMMERCE</v>
      </c>
      <c r="G1352" s="16"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c r="A1353" s="14" t="s">
        <v>4611</v>
      </c>
      <c r="B1353" s="15" t="s">
        <v>5</v>
      </c>
      <c r="C1353" s="10" t="s">
        <v>4612</v>
      </c>
      <c r="D1353" s="16" t="s">
        <v>4517</v>
      </c>
      <c r="E1353" s="15" t="s">
        <v>11200</v>
      </c>
      <c r="F1353" s="16" t="str">
        <f>VLOOKUP(Table8[[#This Row],[Mã khách hàng]],code_khach_hang[],2,0)</f>
        <v>CHI NHÁNH THÁI BÌNH - CÔNG TY CỔ PHẦN DỊCH VỤ THƯƠNG MẠI TỔNG HỢP WINCOMMERCE</v>
      </c>
      <c r="G1353" s="16"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c r="A1354" s="14" t="s">
        <v>4668</v>
      </c>
      <c r="B1354" s="15" t="s">
        <v>5</v>
      </c>
      <c r="C1354" s="10" t="s">
        <v>4669</v>
      </c>
      <c r="D1354" s="16" t="s">
        <v>4520</v>
      </c>
      <c r="E1354" s="15" t="s">
        <v>11200</v>
      </c>
      <c r="F1354" s="16" t="str">
        <f>VLOOKUP(Table8[[#This Row],[Mã khách hàng]],code_khach_hang[],2,0)</f>
        <v>CHI NHÁNH THÁI BÌNH - CÔNG TY CỔ PHẦN DỊCH VỤ THƯƠNG MẠI TỔNG HỢP WINCOMMERCE</v>
      </c>
      <c r="G1354" s="16"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c r="A1355" s="14" t="s">
        <v>4899</v>
      </c>
      <c r="B1355" s="15" t="s">
        <v>5</v>
      </c>
      <c r="C1355" s="10" t="s">
        <v>4900</v>
      </c>
      <c r="D1355" s="16" t="s">
        <v>4523</v>
      </c>
      <c r="E1355" s="15" t="s">
        <v>11200</v>
      </c>
      <c r="F1355" s="16" t="str">
        <f>VLOOKUP(Table8[[#This Row],[Mã khách hàng]],code_khach_hang[],2,0)</f>
        <v>CHI NHÁNH THÁI BÌNH - CÔNG TY CỔ PHẦN DỊCH VỤ THƯƠNG MẠI TỔNG HỢP WINCOMMERCE</v>
      </c>
      <c r="G1355" s="16"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c r="A1356" s="14" t="s">
        <v>6905</v>
      </c>
      <c r="B1356" s="15" t="s">
        <v>5</v>
      </c>
      <c r="C1356" s="10" t="s">
        <v>6906</v>
      </c>
      <c r="D1356" s="16" t="s">
        <v>4526</v>
      </c>
      <c r="E1356" s="15" t="s">
        <v>11200</v>
      </c>
      <c r="F1356" s="16" t="str">
        <f>VLOOKUP(Table8[[#This Row],[Mã khách hàng]],code_khach_hang[],2,0)</f>
        <v>CHI NHÁNH THÁI BÌNH - CÔNG TY CỔ PHẦN DỊCH VỤ THƯƠNG MẠI TỔNG HỢP WINCOMMERCE</v>
      </c>
      <c r="G1356" s="16"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c r="A1357" s="14" t="s">
        <v>6974</v>
      </c>
      <c r="B1357" s="15" t="s">
        <v>5</v>
      </c>
      <c r="C1357" s="10" t="s">
        <v>6975</v>
      </c>
      <c r="D1357" s="16" t="s">
        <v>4529</v>
      </c>
      <c r="E1357" s="15" t="s">
        <v>11200</v>
      </c>
      <c r="F1357" s="16" t="str">
        <f>VLOOKUP(Table8[[#This Row],[Mã khách hàng]],code_khach_hang[],2,0)</f>
        <v>CHI NHÁNH THÁI BÌNH - CÔNG TY CỔ PHẦN DỊCH VỤ THƯƠNG MẠI TỔNG HỢP WINCOMMERCE</v>
      </c>
      <c r="G1357" s="16"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c r="A1358" s="14" t="s">
        <v>6689</v>
      </c>
      <c r="B1358" s="15" t="s">
        <v>5</v>
      </c>
      <c r="C1358" s="10" t="s">
        <v>6690</v>
      </c>
      <c r="D1358" s="16" t="s">
        <v>4532</v>
      </c>
      <c r="E1358" s="15" t="s">
        <v>11200</v>
      </c>
      <c r="F1358" s="16" t="str">
        <f>VLOOKUP(Table8[[#This Row],[Mã khách hàng]],code_khach_hang[],2,0)</f>
        <v>CHI NHÁNH THÁI BÌNH - CÔNG TY CỔ PHẦN DỊCH VỤ THƯƠNG MẠI TỔNG HỢP WINCOMMERCE</v>
      </c>
      <c r="G1358" s="16"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c r="A1359" s="14" t="s">
        <v>7541</v>
      </c>
      <c r="B1359" s="15" t="s">
        <v>5</v>
      </c>
      <c r="C1359" s="10" t="s">
        <v>7542</v>
      </c>
      <c r="D1359" s="16" t="s">
        <v>4535</v>
      </c>
      <c r="E1359" s="15" t="s">
        <v>11200</v>
      </c>
      <c r="F1359" s="16" t="str">
        <f>VLOOKUP(Table8[[#This Row],[Mã khách hàng]],code_khach_hang[],2,0)</f>
        <v>CHI NHÁNH THÁI BÌNH - CÔNG TY CỔ PHẦN DỊCH VỤ THƯƠNG MẠI TỔNG HỢP WINCOMMERCE</v>
      </c>
      <c r="G1359" s="16"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c r="A1360" s="14" t="s">
        <v>5010</v>
      </c>
      <c r="B1360" s="15" t="s">
        <v>5</v>
      </c>
      <c r="C1360" s="10" t="s">
        <v>5011</v>
      </c>
      <c r="D1360" s="16" t="s">
        <v>4538</v>
      </c>
      <c r="E1360" s="15" t="s">
        <v>11200</v>
      </c>
      <c r="F1360" s="16" t="str">
        <f>VLOOKUP(Table8[[#This Row],[Mã khách hàng]],code_khach_hang[],2,0)</f>
        <v>CHI NHÁNH THÁI BÌNH - CÔNG TY CỔ PHẦN DỊCH VỤ THƯƠNG MẠI TỔNG HỢP WINCOMMERCE</v>
      </c>
      <c r="G1360" s="16"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c r="A1361" s="14" t="s">
        <v>7147</v>
      </c>
      <c r="B1361" s="15" t="s">
        <v>5</v>
      </c>
      <c r="C1361" s="10" t="s">
        <v>7148</v>
      </c>
      <c r="D1361" s="16" t="s">
        <v>4541</v>
      </c>
      <c r="E1361" s="15" t="s">
        <v>11200</v>
      </c>
      <c r="F1361" s="16" t="str">
        <f>VLOOKUP(Table8[[#This Row],[Mã khách hàng]],code_khach_hang[],2,0)</f>
        <v>CHI NHÁNH THÁI BÌNH - CÔNG TY CỔ PHẦN DỊCH VỤ THƯƠNG MẠI TỔNG HỢP WINCOMMERCE</v>
      </c>
      <c r="G1361" s="16"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c r="A1362" s="14" t="s">
        <v>7410</v>
      </c>
      <c r="B1362" s="15" t="s">
        <v>5</v>
      </c>
      <c r="C1362" s="10" t="s">
        <v>7411</v>
      </c>
      <c r="D1362" s="16" t="s">
        <v>4544</v>
      </c>
      <c r="E1362" s="15" t="s">
        <v>11200</v>
      </c>
      <c r="F1362" s="16" t="str">
        <f>VLOOKUP(Table8[[#This Row],[Mã khách hàng]],code_khach_hang[],2,0)</f>
        <v>CHI NHÁNH THÁI BÌNH - CÔNG TY CỔ PHẦN DỊCH VỤ THƯƠNG MẠI TỔNG HỢP WINCOMMERCE</v>
      </c>
      <c r="G1362" s="16"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c r="A1363" s="14" t="s">
        <v>7413</v>
      </c>
      <c r="B1363" s="15" t="s">
        <v>5</v>
      </c>
      <c r="C1363" s="10" t="s">
        <v>7414</v>
      </c>
      <c r="D1363" s="16" t="s">
        <v>4547</v>
      </c>
      <c r="E1363" s="15" t="s">
        <v>11200</v>
      </c>
      <c r="F1363" s="16" t="str">
        <f>VLOOKUP(Table8[[#This Row],[Mã khách hàng]],code_khach_hang[],2,0)</f>
        <v>CHI NHÁNH THÁI BÌNH - CÔNG TY CỔ PHẦN DỊCH VỤ THƯƠNG MẠI TỔNG HỢP WINCOMMERCE</v>
      </c>
      <c r="G1363" s="16"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c r="A1364" s="14" t="s">
        <v>7499</v>
      </c>
      <c r="B1364" s="15" t="s">
        <v>5</v>
      </c>
      <c r="C1364" s="10" t="s">
        <v>7500</v>
      </c>
      <c r="D1364" s="16" t="s">
        <v>4550</v>
      </c>
      <c r="E1364" s="15" t="s">
        <v>11200</v>
      </c>
      <c r="F1364" s="16" t="str">
        <f>VLOOKUP(Table8[[#This Row],[Mã khách hàng]],code_khach_hang[],2,0)</f>
        <v>CHI NHÁNH THÁI BÌNH - CÔNG TY CỔ PHẦN DỊCH VỤ THƯƠNG MẠI TỔNG HỢP WINCOMMERCE</v>
      </c>
      <c r="G1364" s="16"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c r="A1365" s="14" t="s">
        <v>7661</v>
      </c>
      <c r="B1365" s="15" t="s">
        <v>5</v>
      </c>
      <c r="C1365" s="10" t="s">
        <v>7662</v>
      </c>
      <c r="D1365" s="16" t="s">
        <v>4553</v>
      </c>
      <c r="E1365" s="15" t="s">
        <v>11200</v>
      </c>
      <c r="F1365" s="16" t="str">
        <f>VLOOKUP(Table8[[#This Row],[Mã khách hàng]],code_khach_hang[],2,0)</f>
        <v>CHI NHÁNH THÁI BÌNH - CÔNG TY CỔ PHẦN DỊCH VỤ THƯƠNG MẠI TỔNG HỢP WINCOMMERCE</v>
      </c>
      <c r="G1365" s="16"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c r="A1366" s="14" t="s">
        <v>11114</v>
      </c>
      <c r="B1366" s="15" t="s">
        <v>5</v>
      </c>
      <c r="C1366" s="10" t="s">
        <v>13160</v>
      </c>
      <c r="D1366" s="16" t="s">
        <v>4556</v>
      </c>
      <c r="E1366" s="15" t="s">
        <v>11200</v>
      </c>
      <c r="F1366" s="16" t="str">
        <f>VLOOKUP(Table8[[#This Row],[Mã khách hàng]],code_khach_hang[],2,0)</f>
        <v>CHI NHÁNH THÁI BÌNH - CÔNG TY CỔ PHẦN DỊCH VỤ THƯƠNG MẠI TỔNG HỢP WINCOMMERCE</v>
      </c>
      <c r="G1366" s="16"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c r="A1367" s="14" t="s">
        <v>4707</v>
      </c>
      <c r="B1367" s="15" t="s">
        <v>5</v>
      </c>
      <c r="C1367" s="10" t="s">
        <v>4708</v>
      </c>
      <c r="D1367" s="16" t="s">
        <v>4559</v>
      </c>
      <c r="E1367" s="15" t="s">
        <v>11200</v>
      </c>
      <c r="F1367" s="16" t="str">
        <f>VLOOKUP(Table8[[#This Row],[Mã khách hàng]],code_khach_hang[],2,0)</f>
        <v>CHI NHÁNH THÁI BÌNH - CÔNG TY CỔ PHẦN DỊCH VỤ THƯƠNG MẠI TỔNG HỢP WINCOMMERCE</v>
      </c>
      <c r="G1367" s="16"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c r="A1368" s="14" t="s">
        <v>6303</v>
      </c>
      <c r="B1368" s="15" t="s">
        <v>5</v>
      </c>
      <c r="C1368" s="10" t="s">
        <v>6304</v>
      </c>
      <c r="D1368" s="16" t="s">
        <v>4562</v>
      </c>
      <c r="E1368" s="15" t="s">
        <v>11200</v>
      </c>
      <c r="F1368" s="16" t="str">
        <f>VLOOKUP(Table8[[#This Row],[Mã khách hàng]],code_khach_hang[],2,0)</f>
        <v>CHI NHÁNH THÁI BÌNH - CÔNG TY CỔ PHẦN DỊCH VỤ THƯƠNG MẠI TỔNG HỢP WINCOMMERCE</v>
      </c>
      <c r="G1368" s="16"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c r="A1369" s="14" t="s">
        <v>7243</v>
      </c>
      <c r="B1369" s="15" t="s">
        <v>5</v>
      </c>
      <c r="C1369" s="10" t="s">
        <v>7244</v>
      </c>
      <c r="D1369" s="16" t="s">
        <v>4565</v>
      </c>
      <c r="E1369" s="15" t="s">
        <v>11200</v>
      </c>
      <c r="F1369" s="16" t="str">
        <f>VLOOKUP(Table8[[#This Row],[Mã khách hàng]],code_khach_hang[],2,0)</f>
        <v>CHI NHÁNH THÁI BÌNH - CÔNG TY CỔ PHẦN DỊCH VỤ THƯƠNG MẠI TỔNG HỢP WINCOMMERCE</v>
      </c>
      <c r="G1369" s="16"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c r="A1370" s="14" t="s">
        <v>7246</v>
      </c>
      <c r="B1370" s="15" t="s">
        <v>5</v>
      </c>
      <c r="C1370" s="10" t="s">
        <v>7247</v>
      </c>
      <c r="D1370" s="16" t="s">
        <v>4568</v>
      </c>
      <c r="E1370" s="15" t="s">
        <v>11200</v>
      </c>
      <c r="F1370" s="16" t="str">
        <f>VLOOKUP(Table8[[#This Row],[Mã khách hàng]],code_khach_hang[],2,0)</f>
        <v>CHI NHÁNH THÁI BÌNH - CÔNG TY CỔ PHẦN DỊCH VỤ THƯƠNG MẠI TỔNG HỢP WINCOMMERCE</v>
      </c>
      <c r="G1370" s="16"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c r="A1371" s="14" t="s">
        <v>5055</v>
      </c>
      <c r="B1371" s="15" t="s">
        <v>5</v>
      </c>
      <c r="C1371" s="10" t="s">
        <v>5056</v>
      </c>
      <c r="D1371" s="16" t="s">
        <v>4571</v>
      </c>
      <c r="E1371" s="15" t="s">
        <v>11200</v>
      </c>
      <c r="F1371" s="16" t="str">
        <f>VLOOKUP(Table8[[#This Row],[Mã khách hàng]],code_khach_hang[],2,0)</f>
        <v>CHI NHÁNH THÁI BÌNH - CÔNG TY CỔ PHẦN DỊCH VỤ THƯƠNG MẠI TỔNG HỢP WINCOMMERCE</v>
      </c>
      <c r="G1371" s="16"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c r="A1372" s="14" t="s">
        <v>7107</v>
      </c>
      <c r="B1372" s="15" t="s">
        <v>5</v>
      </c>
      <c r="C1372" s="10" t="s">
        <v>7108</v>
      </c>
      <c r="D1372" s="16" t="s">
        <v>4574</v>
      </c>
      <c r="E1372" s="15" t="s">
        <v>11200</v>
      </c>
      <c r="F1372" s="16" t="str">
        <f>VLOOKUP(Table8[[#This Row],[Mã khách hàng]],code_khach_hang[],2,0)</f>
        <v>CHI NHÁNH THÁI BÌNH - CÔNG TY CỔ PHẦN DỊCH VỤ THƯƠNG MẠI TỔNG HỢP WINCOMMERCE</v>
      </c>
      <c r="G1372" s="16"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c r="A1373" s="14" t="s">
        <v>8049</v>
      </c>
      <c r="B1373" s="15" t="s">
        <v>5</v>
      </c>
      <c r="C1373" s="10" t="s">
        <v>8050</v>
      </c>
      <c r="D1373" s="16" t="s">
        <v>4577</v>
      </c>
      <c r="E1373" s="15" t="s">
        <v>11200</v>
      </c>
      <c r="F1373" s="16" t="str">
        <f>VLOOKUP(Table8[[#This Row],[Mã khách hàng]],code_khach_hang[],2,0)</f>
        <v>CHI NHÁNH THÁI BÌNH - CÔNG TY CỔ PHẦN DỊCH VỤ THƯƠNG MẠI TỔNG HỢP WINCOMMERCE</v>
      </c>
      <c r="G1373" s="16"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c r="A1374" s="14" t="s">
        <v>7679</v>
      </c>
      <c r="B1374" s="15" t="s">
        <v>5</v>
      </c>
      <c r="C1374" s="10" t="s">
        <v>7680</v>
      </c>
      <c r="D1374" s="16" t="s">
        <v>4580</v>
      </c>
      <c r="E1374" s="15" t="s">
        <v>11200</v>
      </c>
      <c r="F1374" s="16" t="str">
        <f>VLOOKUP(Table8[[#This Row],[Mã khách hàng]],code_khach_hang[],2,0)</f>
        <v>CHI NHÁNH THÁI BÌNH - CÔNG TY CỔ PHẦN DỊCH VỤ THƯƠNG MẠI TỔNG HỢP WINCOMMERCE</v>
      </c>
      <c r="G1374" s="16"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c r="A1375" s="14" t="s">
        <v>7892</v>
      </c>
      <c r="B1375" s="15" t="s">
        <v>5</v>
      </c>
      <c r="C1375" s="10" t="s">
        <v>7893</v>
      </c>
      <c r="D1375" s="16" t="s">
        <v>4583</v>
      </c>
      <c r="E1375" s="15" t="s">
        <v>11200</v>
      </c>
      <c r="F1375" s="16" t="str">
        <f>VLOOKUP(Table8[[#This Row],[Mã khách hàng]],code_khach_hang[],2,0)</f>
        <v>CHI NHÁNH THÁI BÌNH - CÔNG TY CỔ PHẦN DỊCH VỤ THƯƠNG MẠI TỔNG HỢP WINCOMMERCE</v>
      </c>
      <c r="G1375" s="16"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c r="A1376" s="14" t="s">
        <v>8588</v>
      </c>
      <c r="B1376" s="15" t="s">
        <v>5</v>
      </c>
      <c r="C1376" s="10" t="s">
        <v>8589</v>
      </c>
      <c r="D1376" s="16" t="s">
        <v>4586</v>
      </c>
      <c r="E1376" s="15" t="s">
        <v>11200</v>
      </c>
      <c r="F1376" s="16" t="str">
        <f>VLOOKUP(Table8[[#This Row],[Mã khách hàng]],code_khach_hang[],2,0)</f>
        <v>CHI NHÁNH THÁI BÌNH - CÔNG TY CỔ PHẦN DỊCH VỤ THƯƠNG MẠI TỔNG HỢP WINCOMMERCE</v>
      </c>
      <c r="G1376" s="16"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c r="A1377" s="14" t="s">
        <v>8591</v>
      </c>
      <c r="B1377" s="15" t="s">
        <v>5</v>
      </c>
      <c r="C1377" s="10" t="s">
        <v>8592</v>
      </c>
      <c r="D1377" s="16" t="s">
        <v>4589</v>
      </c>
      <c r="E1377" s="15" t="s">
        <v>11200</v>
      </c>
      <c r="F1377" s="16" t="str">
        <f>VLOOKUP(Table8[[#This Row],[Mã khách hàng]],code_khach_hang[],2,0)</f>
        <v>CHI NHÁNH THÁI BÌNH - CÔNG TY CỔ PHẦN DỊCH VỤ THƯƠNG MẠI TỔNG HỢP WINCOMMERCE</v>
      </c>
      <c r="G1377" s="16"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c r="A1378" s="14" t="s">
        <v>8694</v>
      </c>
      <c r="B1378" s="15" t="s">
        <v>5</v>
      </c>
      <c r="C1378" s="10" t="s">
        <v>8695</v>
      </c>
      <c r="D1378" s="16" t="s">
        <v>4592</v>
      </c>
      <c r="E1378" s="15" t="s">
        <v>11200</v>
      </c>
      <c r="F1378" s="16" t="str">
        <f>VLOOKUP(Table8[[#This Row],[Mã khách hàng]],code_khach_hang[],2,0)</f>
        <v>CHI NHÁNH THÁI BÌNH - CÔNG TY CỔ PHẦN DỊCH VỤ THƯƠNG MẠI TỔNG HỢP WINCOMMERCE</v>
      </c>
      <c r="G1378" s="16"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c r="A1379" s="14" t="s">
        <v>7202</v>
      </c>
      <c r="B1379" s="15" t="s">
        <v>5</v>
      </c>
      <c r="C1379" s="10" t="s">
        <v>7203</v>
      </c>
      <c r="D1379" s="16" t="s">
        <v>4595</v>
      </c>
      <c r="E1379" s="15" t="s">
        <v>11215</v>
      </c>
      <c r="F1379" s="16" t="str">
        <f>VLOOKUP(Table8[[#This Row],[Mã khách hàng]],code_khach_hang[],2,0)</f>
        <v>CHI NHÁNH HÀ NỘI - CÔNG TY CỔ PHẦN DỊCH VỤ THƯƠNG MẠI TỔNG HỢP WINCOMMERCE</v>
      </c>
      <c r="G1379" s="16"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c r="A1380" s="14" t="s">
        <v>8451</v>
      </c>
      <c r="B1380" s="15" t="s">
        <v>5</v>
      </c>
      <c r="C1380" s="10" t="s">
        <v>8452</v>
      </c>
      <c r="D1380" s="16" t="s">
        <v>4598</v>
      </c>
      <c r="E1380" s="15" t="s">
        <v>11215</v>
      </c>
      <c r="F1380" s="16" t="str">
        <f>VLOOKUP(Table8[[#This Row],[Mã khách hàng]],code_khach_hang[],2,0)</f>
        <v>CHI NHÁNH HÀ NỘI - CÔNG TY CỔ PHẦN DỊCH VỤ THƯƠNG MẠI TỔNG HỢP WINCOMMERCE</v>
      </c>
      <c r="G1380" s="16"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c r="A1381" s="14" t="s">
        <v>8756</v>
      </c>
      <c r="B1381" s="15" t="s">
        <v>5</v>
      </c>
      <c r="C1381" s="10" t="s">
        <v>8757</v>
      </c>
      <c r="D1381" s="16" t="s">
        <v>4601</v>
      </c>
      <c r="E1381" s="15" t="s">
        <v>11210</v>
      </c>
      <c r="F1381" s="16" t="str">
        <f>VLOOKUP(Table8[[#This Row],[Mã khách hàng]],code_khach_hang[],2,0)</f>
        <v>CHI NHÁNH HÀ NAM - CÔNG TY CỔ PHẦN DỊCH VỤ THƯƠNG MẠI TỔNG HỢP WINCOMMERCE</v>
      </c>
      <c r="G1381" s="16" t="str">
        <f>VLOOKUP(Table8[[#This Row],[Mã khách hàng]],code_khach_hang[],3,0)</f>
        <v>Miền Bắc đặc biệt 3</v>
      </c>
      <c r="H1381" t="str">
        <f>VLOOKUP(Table8[[#This Row],[Mã khách hàng]],'Khách hàng'!A:D,4,0)</f>
        <v>Food Đức Việt</v>
      </c>
      <c r="I1381" t="str">
        <f>VLOOKUP(Table8[[#This Row],[Mã khách hàng]],'Khách hàng'!A:E,5,0)</f>
        <v>HN0040</v>
      </c>
    </row>
    <row r="1382" spans="1:9">
      <c r="A1382" s="14" t="s">
        <v>8913</v>
      </c>
      <c r="B1382" s="15" t="s">
        <v>5</v>
      </c>
      <c r="C1382" s="10" t="s">
        <v>8914</v>
      </c>
      <c r="D1382" s="16" t="s">
        <v>4604</v>
      </c>
      <c r="E1382" s="15" t="s">
        <v>11219</v>
      </c>
      <c r="F1382" s="16" t="str">
        <f>VLOOKUP(Table8[[#This Row],[Mã khách hàng]],code_khach_hang[],2,0)</f>
        <v>CHI NHÁNH NAM ĐỊNH - CÔNG TY CỔ PHẦN DỊCH VỤ THƯƠNG MẠI TỔNG HỢP WINCOMMERCE</v>
      </c>
      <c r="G1382" s="16"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c r="A1383" s="14" t="s">
        <v>8774</v>
      </c>
      <c r="B1383" s="15" t="s">
        <v>5</v>
      </c>
      <c r="C1383" s="10" t="s">
        <v>8775</v>
      </c>
      <c r="D1383" s="16" t="s">
        <v>4607</v>
      </c>
      <c r="E1383" s="15" t="s">
        <v>11210</v>
      </c>
      <c r="F1383" s="16" t="str">
        <f>VLOOKUP(Table8[[#This Row],[Mã khách hàng]],code_khach_hang[],2,0)</f>
        <v>CHI NHÁNH HÀ NAM - CÔNG TY CỔ PHẦN DỊCH VỤ THƯƠNG MẠI TỔNG HỢP WINCOMMERCE</v>
      </c>
      <c r="G1383" s="16" t="str">
        <f>VLOOKUP(Table8[[#This Row],[Mã khách hàng]],code_khach_hang[],3,0)</f>
        <v>Miền Bắc đặc biệt 3</v>
      </c>
      <c r="H1383" t="str">
        <f>VLOOKUP(Table8[[#This Row],[Mã khách hàng]],'Khách hàng'!A:D,4,0)</f>
        <v>Food Đức Việt</v>
      </c>
      <c r="I1383" t="str">
        <f>VLOOKUP(Table8[[#This Row],[Mã khách hàng]],'Khách hàng'!A:E,5,0)</f>
        <v>HN0040</v>
      </c>
    </row>
    <row r="1384" spans="1:9">
      <c r="A1384" s="14" t="s">
        <v>8916</v>
      </c>
      <c r="B1384" s="15" t="s">
        <v>5</v>
      </c>
      <c r="C1384" s="10" t="s">
        <v>8917</v>
      </c>
      <c r="D1384" s="16" t="s">
        <v>4610</v>
      </c>
      <c r="E1384" s="15" t="s">
        <v>11215</v>
      </c>
      <c r="F1384" s="16" t="str">
        <f>VLOOKUP(Table8[[#This Row],[Mã khách hàng]],code_khach_hang[],2,0)</f>
        <v>CHI NHÁNH HÀ NỘI - CÔNG TY CỔ PHẦN DỊCH VỤ THƯƠNG MẠI TỔNG HỢP WINCOMMERCE</v>
      </c>
      <c r="G1384" s="16"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c r="A1385" s="14" t="s">
        <v>8953</v>
      </c>
      <c r="B1385" s="15" t="s">
        <v>5</v>
      </c>
      <c r="C1385" s="10" t="s">
        <v>8954</v>
      </c>
      <c r="D1385" s="16" t="s">
        <v>4613</v>
      </c>
      <c r="E1385" s="15" t="s">
        <v>11215</v>
      </c>
      <c r="F1385" s="16" t="str">
        <f>VLOOKUP(Table8[[#This Row],[Mã khách hàng]],code_khach_hang[],2,0)</f>
        <v>CHI NHÁNH HÀ NỘI - CÔNG TY CỔ PHẦN DỊCH VỤ THƯƠNG MẠI TỔNG HỢP WINCOMMERCE</v>
      </c>
      <c r="G1385" s="16"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c r="A1386" s="14" t="s">
        <v>8898</v>
      </c>
      <c r="B1386" s="15" t="s">
        <v>5</v>
      </c>
      <c r="C1386" s="10" t="s">
        <v>8899</v>
      </c>
      <c r="D1386" s="16" t="s">
        <v>4616</v>
      </c>
      <c r="E1386" s="15" t="s">
        <v>11215</v>
      </c>
      <c r="F1386" s="16" t="str">
        <f>VLOOKUP(Table8[[#This Row],[Mã khách hàng]],code_khach_hang[],2,0)</f>
        <v>CHI NHÁNH HÀ NỘI - CÔNG TY CỔ PHẦN DỊCH VỤ THƯƠNG MẠI TỔNG HỢP WINCOMMERCE</v>
      </c>
      <c r="G1386" s="16"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c r="A1387" s="14" t="s">
        <v>9004</v>
      </c>
      <c r="B1387" s="15" t="s">
        <v>5</v>
      </c>
      <c r="C1387" s="10" t="s">
        <v>9005</v>
      </c>
      <c r="D1387" s="16" t="s">
        <v>4619</v>
      </c>
      <c r="E1387" s="15" t="s">
        <v>11200</v>
      </c>
      <c r="F1387" s="16" t="str">
        <f>VLOOKUP(Table8[[#This Row],[Mã khách hàng]],code_khach_hang[],2,0)</f>
        <v>CHI NHÁNH THÁI BÌNH - CÔNG TY CỔ PHẦN DỊCH VỤ THƯƠNG MẠI TỔNG HỢP WINCOMMERCE</v>
      </c>
      <c r="G1387" s="16"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c r="A1388" s="14" t="s">
        <v>8919</v>
      </c>
      <c r="B1388" s="15" t="s">
        <v>5</v>
      </c>
      <c r="C1388" s="10" t="s">
        <v>8920</v>
      </c>
      <c r="D1388" s="16" t="s">
        <v>4622</v>
      </c>
      <c r="E1388" s="15" t="s">
        <v>11209</v>
      </c>
      <c r="F1388" s="16" t="str">
        <f>VLOOKUP(Table8[[#This Row],[Mã khách hàng]],code_khach_hang[],2,0)</f>
        <v>CHI NHÁNH QUẢNG BÌNH - CÔNG TY CỔ PHẦN DỊCH VỤ THƯƠNG MẠI TỔNG HỢP WINCOMMERCE</v>
      </c>
      <c r="G1388" s="16"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c r="A1389" s="14" t="s">
        <v>8962</v>
      </c>
      <c r="B1389" s="15" t="s">
        <v>5</v>
      </c>
      <c r="C1389" s="10" t="s">
        <v>8963</v>
      </c>
      <c r="D1389" s="16" t="s">
        <v>4625</v>
      </c>
      <c r="E1389" s="15" t="s">
        <v>11219</v>
      </c>
      <c r="F1389" s="16" t="str">
        <f>VLOOKUP(Table8[[#This Row],[Mã khách hàng]],code_khach_hang[],2,0)</f>
        <v>CHI NHÁNH NAM ĐỊNH - CÔNG TY CỔ PHẦN DỊCH VỤ THƯƠNG MẠI TỔNG HỢP WINCOMMERCE</v>
      </c>
      <c r="G1389" s="16"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c r="A1390" s="14" t="s">
        <v>8989</v>
      </c>
      <c r="B1390" s="15" t="s">
        <v>5</v>
      </c>
      <c r="C1390" s="10" t="s">
        <v>8990</v>
      </c>
      <c r="D1390" s="16" t="s">
        <v>4628</v>
      </c>
      <c r="E1390" s="15" t="s">
        <v>11200</v>
      </c>
      <c r="F1390" s="16" t="str">
        <f>VLOOKUP(Table8[[#This Row],[Mã khách hàng]],code_khach_hang[],2,0)</f>
        <v>CHI NHÁNH THÁI BÌNH - CÔNG TY CỔ PHẦN DỊCH VỤ THƯƠNG MẠI TỔNG HỢP WINCOMMERCE</v>
      </c>
      <c r="G1390" s="16"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c r="A1391" s="14" t="s">
        <v>8959</v>
      </c>
      <c r="B1391" s="15" t="s">
        <v>5</v>
      </c>
      <c r="C1391" s="10" t="s">
        <v>8960</v>
      </c>
      <c r="D1391" s="16" t="s">
        <v>4631</v>
      </c>
      <c r="E1391" s="15" t="s">
        <v>11215</v>
      </c>
      <c r="F1391" s="16" t="str">
        <f>VLOOKUP(Table8[[#This Row],[Mã khách hàng]],code_khach_hang[],2,0)</f>
        <v>CHI NHÁNH HÀ NỘI - CÔNG TY CỔ PHẦN DỊCH VỤ THƯƠNG MẠI TỔNG HỢP WINCOMMERCE</v>
      </c>
      <c r="G1391" s="16"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c r="A1392" s="14" t="s">
        <v>9019</v>
      </c>
      <c r="B1392" s="15" t="s">
        <v>5</v>
      </c>
      <c r="C1392" s="10" t="s">
        <v>9020</v>
      </c>
      <c r="D1392" s="16" t="s">
        <v>4634</v>
      </c>
      <c r="E1392" s="15" t="s">
        <v>11200</v>
      </c>
      <c r="F1392" s="16" t="str">
        <f>VLOOKUP(Table8[[#This Row],[Mã khách hàng]],code_khach_hang[],2,0)</f>
        <v>CHI NHÁNH THÁI BÌNH - CÔNG TY CỔ PHẦN DỊCH VỤ THƯƠNG MẠI TỔNG HỢP WINCOMMERCE</v>
      </c>
      <c r="G1392" s="16"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c r="A1393" s="14" t="s">
        <v>8974</v>
      </c>
      <c r="B1393" s="15" t="s">
        <v>5</v>
      </c>
      <c r="C1393" s="10" t="s">
        <v>8975</v>
      </c>
      <c r="D1393" s="16" t="s">
        <v>4637</v>
      </c>
      <c r="E1393" s="15" t="s">
        <v>11205</v>
      </c>
      <c r="F1393" s="16" t="str">
        <f>VLOOKUP(Table8[[#This Row],[Mã khách hàng]],code_khach_hang[],2,0)</f>
        <v>CHI NHÁNH HÀ TĨNH - CÔNG TY CỔ PHẦN DỊCH VỤ THƯƠNG MẠI TỔNG HỢP WINCOMMERCE</v>
      </c>
      <c r="G1393" s="16"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c r="A1394" s="14" t="s">
        <v>9049</v>
      </c>
      <c r="B1394" s="15" t="s">
        <v>5</v>
      </c>
      <c r="C1394" s="10" t="s">
        <v>9050</v>
      </c>
      <c r="D1394" s="16" t="s">
        <v>4640</v>
      </c>
      <c r="E1394" s="15" t="s">
        <v>11219</v>
      </c>
      <c r="F1394" s="16" t="str">
        <f>VLOOKUP(Table8[[#This Row],[Mã khách hàng]],code_khach_hang[],2,0)</f>
        <v>CHI NHÁNH NAM ĐỊNH - CÔNG TY CỔ PHẦN DỊCH VỤ THƯƠNG MẠI TỔNG HỢP WINCOMMERCE</v>
      </c>
      <c r="G1394" s="16"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c r="A1395" s="14" t="s">
        <v>9070</v>
      </c>
      <c r="B1395" s="15" t="s">
        <v>5</v>
      </c>
      <c r="C1395" s="10" t="s">
        <v>9071</v>
      </c>
      <c r="D1395" s="16" t="s">
        <v>4643</v>
      </c>
      <c r="E1395" s="15" t="s">
        <v>11219</v>
      </c>
      <c r="F1395" s="16" t="str">
        <f>VLOOKUP(Table8[[#This Row],[Mã khách hàng]],code_khach_hang[],2,0)</f>
        <v>CHI NHÁNH NAM ĐỊNH - CÔNG TY CỔ PHẦN DỊCH VỤ THƯƠNG MẠI TỔNG HỢP WINCOMMERCE</v>
      </c>
      <c r="G1395" s="16"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c r="A1396" s="14" t="s">
        <v>9091</v>
      </c>
      <c r="B1396" s="15" t="s">
        <v>5</v>
      </c>
      <c r="C1396" s="10" t="s">
        <v>9092</v>
      </c>
      <c r="D1396" s="16" t="s">
        <v>4646</v>
      </c>
      <c r="E1396" s="15" t="s">
        <v>11219</v>
      </c>
      <c r="F1396" s="16" t="str">
        <f>VLOOKUP(Table8[[#This Row],[Mã khách hàng]],code_khach_hang[],2,0)</f>
        <v>CHI NHÁNH NAM ĐỊNH - CÔNG TY CỔ PHẦN DỊCH VỤ THƯƠNG MẠI TỔNG HỢP WINCOMMERCE</v>
      </c>
      <c r="G1396" s="16"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c r="A1397" s="14" t="s">
        <v>8895</v>
      </c>
      <c r="B1397" s="15" t="s">
        <v>5</v>
      </c>
      <c r="C1397" s="10" t="s">
        <v>8896</v>
      </c>
      <c r="D1397" s="16" t="s">
        <v>4649</v>
      </c>
      <c r="E1397" s="15" t="s">
        <v>11215</v>
      </c>
      <c r="F1397" s="16" t="str">
        <f>VLOOKUP(Table8[[#This Row],[Mã khách hàng]],code_khach_hang[],2,0)</f>
        <v>CHI NHÁNH HÀ NỘI - CÔNG TY CỔ PHẦN DỊCH VỤ THƯƠNG MẠI TỔNG HỢP WINCOMMERCE</v>
      </c>
      <c r="G1397" s="16"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c r="A1398" s="14" t="s">
        <v>9085</v>
      </c>
      <c r="B1398" s="15" t="s">
        <v>5</v>
      </c>
      <c r="C1398" s="10" t="s">
        <v>9086</v>
      </c>
      <c r="D1398" s="16" t="s">
        <v>4652</v>
      </c>
      <c r="E1398" s="15" t="s">
        <v>11200</v>
      </c>
      <c r="F1398" s="16" t="str">
        <f>VLOOKUP(Table8[[#This Row],[Mã khách hàng]],code_khach_hang[],2,0)</f>
        <v>CHI NHÁNH THÁI BÌNH - CÔNG TY CỔ PHẦN DỊCH VỤ THƯƠNG MẠI TỔNG HỢP WINCOMMERCE</v>
      </c>
      <c r="G1398" s="16"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c r="A1399" s="14" t="s">
        <v>9094</v>
      </c>
      <c r="B1399" s="15" t="s">
        <v>5</v>
      </c>
      <c r="C1399" s="10" t="e">
        <v>#N/A</v>
      </c>
      <c r="D1399" s="16" t="s">
        <v>4655</v>
      </c>
      <c r="E1399" s="15" t="s">
        <v>11211</v>
      </c>
      <c r="F1399" s="16" t="str">
        <f>VLOOKUP(Table8[[#This Row],[Mã khách hàng]],code_khach_hang[],2,0)</f>
        <v>CHI NHÁNH NGHỆ AN - CÔNG TY CỔ PHẦN DỊCH VỤ THƯƠNG MẠI TỔNG HỢP WINCOMMERCE</v>
      </c>
      <c r="G1399" s="16"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c r="A1400" s="14" t="s">
        <v>9096</v>
      </c>
      <c r="B1400" s="15" t="s">
        <v>5</v>
      </c>
      <c r="C1400" s="10" t="s">
        <v>9097</v>
      </c>
      <c r="D1400" s="16" t="s">
        <v>4658</v>
      </c>
      <c r="E1400" s="15" t="s">
        <v>11205</v>
      </c>
      <c r="F1400" s="16" t="str">
        <f>VLOOKUP(Table8[[#This Row],[Mã khách hàng]],code_khach_hang[],2,0)</f>
        <v>CHI NHÁNH HÀ TĨNH - CÔNG TY CỔ PHẦN DỊCH VỤ THƯƠNG MẠI TỔNG HỢP WINCOMMERCE</v>
      </c>
      <c r="G1400" s="16"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c r="A1401" s="14" t="s">
        <v>1378</v>
      </c>
      <c r="B1401" s="15" t="s">
        <v>5</v>
      </c>
      <c r="C1401" s="10" t="e">
        <v>#N/A</v>
      </c>
      <c r="D1401" s="16" t="s">
        <v>4661</v>
      </c>
      <c r="E1401" s="15" t="s">
        <v>11205</v>
      </c>
      <c r="F1401" s="16" t="str">
        <f>VLOOKUP(Table8[[#This Row],[Mã khách hàng]],code_khach_hang[],2,0)</f>
        <v>CHI NHÁNH HÀ TĨNH - CÔNG TY CỔ PHẦN DỊCH VỤ THƯƠNG MẠI TỔNG HỢP WINCOMMERCE</v>
      </c>
      <c r="G1401" s="16"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c r="A1402" s="14" t="s">
        <v>8865</v>
      </c>
      <c r="B1402" s="15" t="s">
        <v>5</v>
      </c>
      <c r="C1402" s="10" t="s">
        <v>8866</v>
      </c>
      <c r="D1402" s="16" t="s">
        <v>4664</v>
      </c>
      <c r="E1402" s="15" t="s">
        <v>11211</v>
      </c>
      <c r="F1402" s="16" t="str">
        <f>VLOOKUP(Table8[[#This Row],[Mã khách hàng]],code_khach_hang[],2,0)</f>
        <v>CHI NHÁNH NGHỆ AN - CÔNG TY CỔ PHẦN DỊCH VỤ THƯƠNG MẠI TỔNG HỢP WINCOMMERCE</v>
      </c>
      <c r="G1402" s="16"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c r="A1403" s="14" t="s">
        <v>1384</v>
      </c>
      <c r="B1403" s="15" t="s">
        <v>5</v>
      </c>
      <c r="C1403" s="10" t="s">
        <v>1385</v>
      </c>
      <c r="D1403" s="16" t="s">
        <v>4667</v>
      </c>
      <c r="E1403" s="15" t="s">
        <v>11200</v>
      </c>
      <c r="F1403" s="16" t="str">
        <f>VLOOKUP(Table8[[#This Row],[Mã khách hàng]],code_khach_hang[],2,0)</f>
        <v>CHI NHÁNH THÁI BÌNH - CÔNG TY CỔ PHẦN DỊCH VỤ THƯƠNG MẠI TỔNG HỢP WINCOMMERCE</v>
      </c>
      <c r="G1403" s="16"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c r="A1404" s="14" t="s">
        <v>1365</v>
      </c>
      <c r="B1404" s="15" t="s">
        <v>5</v>
      </c>
      <c r="C1404" s="10" t="s">
        <v>1366</v>
      </c>
      <c r="D1404" s="16" t="s">
        <v>4670</v>
      </c>
      <c r="E1404" s="15" t="s">
        <v>11205</v>
      </c>
      <c r="F1404" s="16" t="str">
        <f>VLOOKUP(Table8[[#This Row],[Mã khách hàng]],code_khach_hang[],2,0)</f>
        <v>CHI NHÁNH HÀ TĨNH - CÔNG TY CỔ PHẦN DỊCH VỤ THƯƠNG MẠI TỔNG HỢP WINCOMMERCE</v>
      </c>
      <c r="G1404" s="16"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c r="A1405" s="14" t="s">
        <v>1420</v>
      </c>
      <c r="B1405" s="15" t="s">
        <v>5</v>
      </c>
      <c r="C1405" s="10" t="e">
        <v>#N/A</v>
      </c>
      <c r="D1405" s="16" t="s">
        <v>4673</v>
      </c>
      <c r="E1405" s="15" t="s">
        <v>11205</v>
      </c>
      <c r="F1405" s="16" t="str">
        <f>VLOOKUP(Table8[[#This Row],[Mã khách hàng]],code_khach_hang[],2,0)</f>
        <v>CHI NHÁNH HÀ TĨNH - CÔNG TY CỔ PHẦN DỊCH VỤ THƯƠNG MẠI TỔNG HỢP WINCOMMERCE</v>
      </c>
      <c r="G1405" s="16"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c r="A1406" s="14" t="s">
        <v>1380</v>
      </c>
      <c r="B1406" s="15" t="s">
        <v>5</v>
      </c>
      <c r="C1406" s="10" t="s">
        <v>1381</v>
      </c>
      <c r="D1406" s="16" t="s">
        <v>4676</v>
      </c>
      <c r="E1406" s="15" t="s">
        <v>11211</v>
      </c>
      <c r="F1406" s="16" t="str">
        <f>VLOOKUP(Table8[[#This Row],[Mã khách hàng]],code_khach_hang[],2,0)</f>
        <v>CHI NHÁNH NGHỆ AN - CÔNG TY CỔ PHẦN DỊCH VỤ THƯƠNG MẠI TỔNG HỢP WINCOMMERCE</v>
      </c>
      <c r="G1406" s="16"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c r="A1407" s="14" t="s">
        <v>1392</v>
      </c>
      <c r="B1407" s="15" t="s">
        <v>5</v>
      </c>
      <c r="C1407" s="10" t="s">
        <v>1393</v>
      </c>
      <c r="D1407" s="16" t="s">
        <v>4679</v>
      </c>
      <c r="E1407" s="15" t="s">
        <v>11211</v>
      </c>
      <c r="F1407" s="16" t="str">
        <f>VLOOKUP(Table8[[#This Row],[Mã khách hàng]],code_khach_hang[],2,0)</f>
        <v>CHI NHÁNH NGHỆ AN - CÔNG TY CỔ PHẦN DỊCH VỤ THƯƠNG MẠI TỔNG HỢP WINCOMMERCE</v>
      </c>
      <c r="G1407" s="16"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c r="A1408" s="14" t="s">
        <v>1408</v>
      </c>
      <c r="B1408" s="15" t="s">
        <v>5</v>
      </c>
      <c r="C1408" s="10" t="e">
        <v>#N/A</v>
      </c>
      <c r="D1408" s="16" t="s">
        <v>4682</v>
      </c>
      <c r="E1408" s="15" t="s">
        <v>11211</v>
      </c>
      <c r="F1408" s="16" t="str">
        <f>VLOOKUP(Table8[[#This Row],[Mã khách hàng]],code_khach_hang[],2,0)</f>
        <v>CHI NHÁNH NGHỆ AN - CÔNG TY CỔ PHẦN DỊCH VỤ THƯƠNG MẠI TỔNG HỢP WINCOMMERCE</v>
      </c>
      <c r="G1408" s="16"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c r="A1409" s="14" t="s">
        <v>1401</v>
      </c>
      <c r="B1409" s="15" t="s">
        <v>5</v>
      </c>
      <c r="C1409" s="10" t="s">
        <v>1402</v>
      </c>
      <c r="D1409" s="16" t="s">
        <v>4685</v>
      </c>
      <c r="E1409" s="15" t="s">
        <v>11209</v>
      </c>
      <c r="F1409" s="16" t="str">
        <f>VLOOKUP(Table8[[#This Row],[Mã khách hàng]],code_khach_hang[],2,0)</f>
        <v>CHI NHÁNH QUẢNG BÌNH - CÔNG TY CỔ PHẦN DỊCH VỤ THƯƠNG MẠI TỔNG HỢP WINCOMMERCE</v>
      </c>
      <c r="G1409" s="16"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c r="A1410" s="14" t="s">
        <v>8947</v>
      </c>
      <c r="B1410" s="15" t="s">
        <v>5</v>
      </c>
      <c r="C1410" s="10" t="s">
        <v>8948</v>
      </c>
      <c r="D1410" s="16" t="s">
        <v>4688</v>
      </c>
      <c r="E1410" s="15" t="s">
        <v>11203</v>
      </c>
      <c r="F1410" s="16" t="str">
        <f>VLOOKUP(Table8[[#This Row],[Mã khách hàng]],code_khach_hang[],2,0)</f>
        <v>CHI NHÁNH THANH HÓA - CÔNG TY CỔ PHẦN DỊCH VỤ THƯƠNG MẠI TỔNG HỢP WINCOMMERCE</v>
      </c>
      <c r="G1410" s="16"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c r="A1411" s="14" t="s">
        <v>1398</v>
      </c>
      <c r="B1411" s="15" t="s">
        <v>5</v>
      </c>
      <c r="C1411" s="10" t="s">
        <v>1399</v>
      </c>
      <c r="D1411" s="16" t="s">
        <v>4691</v>
      </c>
      <c r="E1411" s="15" t="s">
        <v>11203</v>
      </c>
      <c r="F1411" s="16" t="str">
        <f>VLOOKUP(Table8[[#This Row],[Mã khách hàng]],code_khach_hang[],2,0)</f>
        <v>CHI NHÁNH THANH HÓA - CÔNG TY CỔ PHẦN DỊCH VỤ THƯƠNG MẠI TỔNG HỢP WINCOMMERCE</v>
      </c>
      <c r="G1411" s="16"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c r="A1412" s="14" t="s">
        <v>1414</v>
      </c>
      <c r="B1412" s="15" t="s">
        <v>5</v>
      </c>
      <c r="C1412" s="10" t="s">
        <v>1415</v>
      </c>
      <c r="D1412" s="16" t="s">
        <v>4694</v>
      </c>
      <c r="E1412" s="15" t="s">
        <v>11211</v>
      </c>
      <c r="F1412" s="16" t="str">
        <f>VLOOKUP(Table8[[#This Row],[Mã khách hàng]],code_khach_hang[],2,0)</f>
        <v>CHI NHÁNH NGHỆ AN - CÔNG TY CỔ PHẦN DỊCH VỤ THƯƠNG MẠI TỔNG HỢP WINCOMMERCE</v>
      </c>
      <c r="G1412" s="16"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c r="A1413" s="14" t="s">
        <v>9125</v>
      </c>
      <c r="B1413" s="15" t="s">
        <v>5</v>
      </c>
      <c r="C1413" s="10" t="s">
        <v>9126</v>
      </c>
      <c r="D1413" s="16" t="s">
        <v>4697</v>
      </c>
      <c r="E1413" s="15" t="s">
        <v>11205</v>
      </c>
      <c r="F1413" s="16" t="str">
        <f>VLOOKUP(Table8[[#This Row],[Mã khách hàng]],code_khach_hang[],2,0)</f>
        <v>CHI NHÁNH HÀ TĨNH - CÔNG TY CỔ PHẦN DỊCH VỤ THƯƠNG MẠI TỔNG HỢP WINCOMMERCE</v>
      </c>
      <c r="G1413" s="16"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c r="A1414" s="14" t="s">
        <v>1453</v>
      </c>
      <c r="B1414" s="15" t="s">
        <v>5</v>
      </c>
      <c r="C1414" s="10" t="s">
        <v>1454</v>
      </c>
      <c r="D1414" s="16" t="s">
        <v>4700</v>
      </c>
      <c r="E1414" s="15" t="s">
        <v>11203</v>
      </c>
      <c r="F1414" s="16" t="str">
        <f>VLOOKUP(Table8[[#This Row],[Mã khách hàng]],code_khach_hang[],2,0)</f>
        <v>CHI NHÁNH THANH HÓA - CÔNG TY CỔ PHẦN DỊCH VỤ THƯƠNG MẠI TỔNG HỢP WINCOMMERCE</v>
      </c>
      <c r="G1414" s="16"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c r="A1415" s="14" t="s">
        <v>1463</v>
      </c>
      <c r="B1415" s="15" t="s">
        <v>5</v>
      </c>
      <c r="C1415" s="10" t="s">
        <v>1464</v>
      </c>
      <c r="D1415" s="16" t="s">
        <v>4703</v>
      </c>
      <c r="E1415" s="15" t="s">
        <v>11196</v>
      </c>
      <c r="F1415" s="16" t="str">
        <f>VLOOKUP(Table8[[#This Row],[Mã khách hàng]],code_khach_hang[],2,0)</f>
        <v>CHI NHÁNH NINH BÌNH - CÔNG TY CỔ PHẦN DỊCH VỤ THƯƠNG MẠI TỔNG HỢP WINCOMMERCE</v>
      </c>
      <c r="G1415" s="16"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c r="A1416" s="14" t="s">
        <v>1515</v>
      </c>
      <c r="B1416" s="15" t="s">
        <v>5</v>
      </c>
      <c r="C1416" s="10" t="s">
        <v>1516</v>
      </c>
      <c r="D1416" s="16" t="s">
        <v>4706</v>
      </c>
      <c r="E1416" s="15" t="s">
        <v>11210</v>
      </c>
      <c r="F1416" s="16" t="str">
        <f>VLOOKUP(Table8[[#This Row],[Mã khách hàng]],code_khach_hang[],2,0)</f>
        <v>CHI NHÁNH HÀ NAM - CÔNG TY CỔ PHẦN DỊCH VỤ THƯƠNG MẠI TỔNG HỢP WINCOMMERCE</v>
      </c>
      <c r="G1416" s="16" t="str">
        <f>VLOOKUP(Table8[[#This Row],[Mã khách hàng]],code_khach_hang[],3,0)</f>
        <v>Miền Bắc đặc biệt 3</v>
      </c>
      <c r="H1416" t="str">
        <f>VLOOKUP(Table8[[#This Row],[Mã khách hàng]],'Khách hàng'!A:D,4,0)</f>
        <v>Food Đức Việt</v>
      </c>
      <c r="I1416" t="str">
        <f>VLOOKUP(Table8[[#This Row],[Mã khách hàng]],'Khách hàng'!A:E,5,0)</f>
        <v>HN0040</v>
      </c>
    </row>
    <row r="1417" spans="1:9">
      <c r="A1417" s="14" t="s">
        <v>1564</v>
      </c>
      <c r="B1417" s="15" t="s">
        <v>5</v>
      </c>
      <c r="C1417" s="10" t="s">
        <v>1565</v>
      </c>
      <c r="D1417" s="16" t="s">
        <v>4709</v>
      </c>
      <c r="E1417" s="15" t="s">
        <v>11209</v>
      </c>
      <c r="F1417" s="16" t="str">
        <f>VLOOKUP(Table8[[#This Row],[Mã khách hàng]],code_khach_hang[],2,0)</f>
        <v>CHI NHÁNH QUẢNG BÌNH - CÔNG TY CỔ PHẦN DỊCH VỤ THƯƠNG MẠI TỔNG HỢP WINCOMMERCE</v>
      </c>
      <c r="G1417" s="16"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c r="A1418" s="14" t="s">
        <v>1630</v>
      </c>
      <c r="B1418" s="15" t="s">
        <v>5</v>
      </c>
      <c r="C1418" s="10" t="s">
        <v>1631</v>
      </c>
      <c r="D1418" s="16" t="s">
        <v>4712</v>
      </c>
      <c r="E1418" s="15" t="s">
        <v>11219</v>
      </c>
      <c r="F1418" s="16" t="str">
        <f>VLOOKUP(Table8[[#This Row],[Mã khách hàng]],code_khach_hang[],2,0)</f>
        <v>CHI NHÁNH NAM ĐỊNH - CÔNG TY CỔ PHẦN DỊCH VỤ THƯƠNG MẠI TỔNG HỢP WINCOMMERCE</v>
      </c>
      <c r="G1418" s="16"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c r="A1419" s="14" t="s">
        <v>1567</v>
      </c>
      <c r="B1419" s="15" t="s">
        <v>5</v>
      </c>
      <c r="C1419" s="10" t="s">
        <v>1568</v>
      </c>
      <c r="D1419" s="16" t="s">
        <v>4715</v>
      </c>
      <c r="E1419" s="15" t="s">
        <v>11211</v>
      </c>
      <c r="F1419" s="16" t="str">
        <f>VLOOKUP(Table8[[#This Row],[Mã khách hàng]],code_khach_hang[],2,0)</f>
        <v>CHI NHÁNH NGHỆ AN - CÔNG TY CỔ PHẦN DỊCH VỤ THƯƠNG MẠI TỔNG HỢP WINCOMMERCE</v>
      </c>
      <c r="G1419" s="16"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c r="A1420" s="14" t="s">
        <v>1800</v>
      </c>
      <c r="B1420" s="15" t="s">
        <v>5</v>
      </c>
      <c r="C1420" s="10" t="s">
        <v>1801</v>
      </c>
      <c r="D1420" s="16" t="s">
        <v>4718</v>
      </c>
      <c r="E1420" s="15" t="s">
        <v>11211</v>
      </c>
      <c r="F1420" s="16" t="str">
        <f>VLOOKUP(Table8[[#This Row],[Mã khách hàng]],code_khach_hang[],2,0)</f>
        <v>CHI NHÁNH NGHỆ AN - CÔNG TY CỔ PHẦN DỊCH VỤ THƯƠNG MẠI TỔNG HỢP WINCOMMERCE</v>
      </c>
      <c r="G1420" s="16"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c r="A1421" s="14" t="s">
        <v>1808</v>
      </c>
      <c r="B1421" s="15" t="s">
        <v>5</v>
      </c>
      <c r="C1421" s="10" t="s">
        <v>1809</v>
      </c>
      <c r="D1421" s="16" t="s">
        <v>4721</v>
      </c>
      <c r="E1421" s="15" t="s">
        <v>11205</v>
      </c>
      <c r="F1421" s="16" t="str">
        <f>VLOOKUP(Table8[[#This Row],[Mã khách hàng]],code_khach_hang[],2,0)</f>
        <v>CHI NHÁNH HÀ TĨNH - CÔNG TY CỔ PHẦN DỊCH VỤ THƯƠNG MẠI TỔNG HỢP WINCOMMERCE</v>
      </c>
      <c r="G1421" s="16"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c r="A1422" s="14" t="s">
        <v>1627</v>
      </c>
      <c r="B1422" s="15" t="s">
        <v>5</v>
      </c>
      <c r="C1422" s="10" t="s">
        <v>1628</v>
      </c>
      <c r="D1422" s="16" t="s">
        <v>4724</v>
      </c>
      <c r="E1422" s="15" t="s">
        <v>11196</v>
      </c>
      <c r="F1422" s="16" t="str">
        <f>VLOOKUP(Table8[[#This Row],[Mã khách hàng]],code_khach_hang[],2,0)</f>
        <v>CHI NHÁNH NINH BÌNH - CÔNG TY CỔ PHẦN DỊCH VỤ THƯƠNG MẠI TỔNG HỢP WINCOMMERCE</v>
      </c>
      <c r="G1422" s="16"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c r="A1423" s="14" t="s">
        <v>1745</v>
      </c>
      <c r="B1423" s="15" t="s">
        <v>5</v>
      </c>
      <c r="C1423" s="10" t="s">
        <v>1746</v>
      </c>
      <c r="D1423" s="16" t="s">
        <v>4727</v>
      </c>
      <c r="E1423" s="15" t="s">
        <v>11209</v>
      </c>
      <c r="F1423" s="16" t="str">
        <f>VLOOKUP(Table8[[#This Row],[Mã khách hàng]],code_khach_hang[],2,0)</f>
        <v>CHI NHÁNH QUẢNG BÌNH - CÔNG TY CỔ PHẦN DỊCH VỤ THƯƠNG MẠI TỔNG HỢP WINCOMMERCE</v>
      </c>
      <c r="G1423" s="16"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c r="A1424" s="14" t="s">
        <v>1853</v>
      </c>
      <c r="B1424" s="15" t="s">
        <v>5</v>
      </c>
      <c r="C1424" s="10" t="e">
        <v>#N/A</v>
      </c>
      <c r="D1424" s="16" t="s">
        <v>4730</v>
      </c>
      <c r="E1424" s="15" t="s">
        <v>11211</v>
      </c>
      <c r="F1424" s="16" t="str">
        <f>VLOOKUP(Table8[[#This Row],[Mã khách hàng]],code_khach_hang[],2,0)</f>
        <v>CHI NHÁNH NGHỆ AN - CÔNG TY CỔ PHẦN DỊCH VỤ THƯƠNG MẠI TỔNG HỢP WINCOMMERCE</v>
      </c>
      <c r="G1424" s="16"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c r="A1425" s="14" t="s">
        <v>1902</v>
      </c>
      <c r="B1425" s="15" t="s">
        <v>5</v>
      </c>
      <c r="C1425" s="10" t="s">
        <v>1903</v>
      </c>
      <c r="D1425" s="16" t="s">
        <v>4733</v>
      </c>
      <c r="E1425" s="15" t="s">
        <v>11203</v>
      </c>
      <c r="F1425" s="16" t="str">
        <f>VLOOKUP(Table8[[#This Row],[Mã khách hàng]],code_khach_hang[],2,0)</f>
        <v>CHI NHÁNH THANH HÓA - CÔNG TY CỔ PHẦN DỊCH VỤ THƯƠNG MẠI TỔNG HỢP WINCOMMERCE</v>
      </c>
      <c r="G1425" s="16"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c r="A1426" s="14" t="s">
        <v>9114</v>
      </c>
      <c r="B1426" s="15" t="s">
        <v>5</v>
      </c>
      <c r="C1426" s="10" t="s">
        <v>9115</v>
      </c>
      <c r="D1426" s="16" t="s">
        <v>4736</v>
      </c>
      <c r="E1426" s="15" t="s">
        <v>11205</v>
      </c>
      <c r="F1426" s="16" t="str">
        <f>VLOOKUP(Table8[[#This Row],[Mã khách hàng]],code_khach_hang[],2,0)</f>
        <v>CHI NHÁNH HÀ TĨNH - CÔNG TY CỔ PHẦN DỊCH VỤ THƯƠNG MẠI TỔNG HỢP WINCOMMERCE</v>
      </c>
      <c r="G1426" s="16"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c r="A1427" s="14" t="s">
        <v>1806</v>
      </c>
      <c r="B1427" s="15" t="s">
        <v>5</v>
      </c>
      <c r="C1427" s="10" t="e">
        <v>#N/A</v>
      </c>
      <c r="D1427" s="16" t="s">
        <v>4739</v>
      </c>
      <c r="E1427" s="15" t="s">
        <v>11205</v>
      </c>
      <c r="F1427" s="16" t="str">
        <f>VLOOKUP(Table8[[#This Row],[Mã khách hàng]],code_khach_hang[],2,0)</f>
        <v>CHI NHÁNH HÀ TĨNH - CÔNG TY CỔ PHẦN DỊCH VỤ THƯƠNG MẠI TỔNG HỢP WINCOMMERCE</v>
      </c>
      <c r="G1427" s="16"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c r="A1428" s="14" t="s">
        <v>1847</v>
      </c>
      <c r="B1428" s="15" t="s">
        <v>5</v>
      </c>
      <c r="C1428" s="10" t="s">
        <v>1848</v>
      </c>
      <c r="D1428" s="16" t="s">
        <v>4742</v>
      </c>
      <c r="E1428" s="15" t="s">
        <v>11211</v>
      </c>
      <c r="F1428" s="16" t="str">
        <f>VLOOKUP(Table8[[#This Row],[Mã khách hàng]],code_khach_hang[],2,0)</f>
        <v>CHI NHÁNH NGHỆ AN - CÔNG TY CỔ PHẦN DỊCH VỤ THƯƠNG MẠI TỔNG HỢP WINCOMMERCE</v>
      </c>
      <c r="G1428" s="16"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c r="A1429" s="14" t="s">
        <v>1358</v>
      </c>
      <c r="B1429" s="15" t="s">
        <v>5</v>
      </c>
      <c r="C1429" s="10" t="s">
        <v>1359</v>
      </c>
      <c r="D1429" s="16" t="s">
        <v>4745</v>
      </c>
      <c r="E1429" s="14" t="s">
        <v>11209</v>
      </c>
      <c r="F1429" s="16" t="str">
        <f>VLOOKUP(Table8[[#This Row],[Mã khách hàng]],code_khach_hang[],2,0)</f>
        <v>CHI NHÁNH QUẢNG BÌNH - CÔNG TY CỔ PHẦN DỊCH VỤ THƯƠNG MẠI TỔNG HỢP WINCOMMERCE</v>
      </c>
      <c r="G1429" s="16"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c r="A1430" s="14" t="s">
        <v>1395</v>
      </c>
      <c r="B1430" s="15" t="s">
        <v>5</v>
      </c>
      <c r="C1430" s="10" t="e">
        <v>#N/A</v>
      </c>
      <c r="D1430" s="16" t="s">
        <v>4748</v>
      </c>
      <c r="E1430" s="15" t="s">
        <v>11203</v>
      </c>
      <c r="F1430" s="16" t="str">
        <f>VLOOKUP(Table8[[#This Row],[Mã khách hàng]],code_khach_hang[],2,0)</f>
        <v>CHI NHÁNH THANH HÓA - CÔNG TY CỔ PHẦN DỊCH VỤ THƯƠNG MẠI TỔNG HỢP WINCOMMERCE</v>
      </c>
      <c r="G1430" s="16"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c r="A1431" s="14" t="s">
        <v>1899</v>
      </c>
      <c r="B1431" s="15" t="s">
        <v>5</v>
      </c>
      <c r="C1431" s="10" t="s">
        <v>1900</v>
      </c>
      <c r="D1431" s="16" t="s">
        <v>4751</v>
      </c>
      <c r="E1431" s="15" t="s">
        <v>11211</v>
      </c>
      <c r="F1431" s="16" t="str">
        <f>VLOOKUP(Table8[[#This Row],[Mã khách hàng]],code_khach_hang[],2,0)</f>
        <v>CHI NHÁNH NGHỆ AN - CÔNG TY CỔ PHẦN DỊCH VỤ THƯƠNG MẠI TỔNG HỢP WINCOMMERCE</v>
      </c>
      <c r="G1431" s="16"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c r="A1432" s="14" t="s">
        <v>1905</v>
      </c>
      <c r="B1432" s="15" t="s">
        <v>5</v>
      </c>
      <c r="C1432" s="10" t="s">
        <v>1906</v>
      </c>
      <c r="D1432" s="16" t="s">
        <v>4754</v>
      </c>
      <c r="E1432" s="15" t="s">
        <v>11211</v>
      </c>
      <c r="F1432" s="16" t="str">
        <f>VLOOKUP(Table8[[#This Row],[Mã khách hàng]],code_khach_hang[],2,0)</f>
        <v>CHI NHÁNH NGHỆ AN - CÔNG TY CỔ PHẦN DỊCH VỤ THƯƠNG MẠI TỔNG HỢP WINCOMMERCE</v>
      </c>
      <c r="G1432" s="16"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c r="A1433" s="14" t="s">
        <v>2001</v>
      </c>
      <c r="B1433" s="15" t="s">
        <v>5</v>
      </c>
      <c r="C1433" s="10" t="s">
        <v>2002</v>
      </c>
      <c r="D1433" s="16" t="s">
        <v>4757</v>
      </c>
      <c r="E1433" s="15" t="s">
        <v>11211</v>
      </c>
      <c r="F1433" s="16" t="str">
        <f>VLOOKUP(Table8[[#This Row],[Mã khách hàng]],code_khach_hang[],2,0)</f>
        <v>CHI NHÁNH NGHỆ AN - CÔNG TY CỔ PHẦN DỊCH VỤ THƯƠNG MẠI TỔNG HỢP WINCOMMERCE</v>
      </c>
      <c r="G1433" s="16"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c r="A1434" s="14" t="s">
        <v>2102</v>
      </c>
      <c r="B1434" s="15" t="s">
        <v>5</v>
      </c>
      <c r="C1434" s="10" t="s">
        <v>2103</v>
      </c>
      <c r="D1434" s="16" t="s">
        <v>4760</v>
      </c>
      <c r="E1434" s="15" t="s">
        <v>11215</v>
      </c>
      <c r="F1434" s="16" t="str">
        <f>VLOOKUP(Table8[[#This Row],[Mã khách hàng]],code_khach_hang[],2,0)</f>
        <v>CHI NHÁNH HÀ NỘI - CÔNG TY CỔ PHẦN DỊCH VỤ THƯƠNG MẠI TỔNG HỢP WINCOMMERCE</v>
      </c>
      <c r="G1434" s="16"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c r="A1435" s="14" t="s">
        <v>2066</v>
      </c>
      <c r="B1435" s="15" t="s">
        <v>5</v>
      </c>
      <c r="C1435" s="10" t="e">
        <v>#N/A</v>
      </c>
      <c r="D1435" s="16" t="s">
        <v>4763</v>
      </c>
      <c r="E1435" s="15" t="s">
        <v>11211</v>
      </c>
      <c r="F1435" s="16" t="str">
        <f>VLOOKUP(Table8[[#This Row],[Mã khách hàng]],code_khach_hang[],2,0)</f>
        <v>CHI NHÁNH NGHỆ AN - CÔNG TY CỔ PHẦN DỊCH VỤ THƯƠNG MẠI TỔNG HỢP WINCOMMERCE</v>
      </c>
      <c r="G1435" s="16"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c r="A1436" s="14" t="s">
        <v>1908</v>
      </c>
      <c r="B1436" s="15" t="s">
        <v>5</v>
      </c>
      <c r="C1436" s="10" t="s">
        <v>1909</v>
      </c>
      <c r="D1436" s="16" t="s">
        <v>4766</v>
      </c>
      <c r="E1436" s="15" t="s">
        <v>11205</v>
      </c>
      <c r="F1436" s="16" t="str">
        <f>VLOOKUP(Table8[[#This Row],[Mã khách hàng]],code_khach_hang[],2,0)</f>
        <v>CHI NHÁNH HÀ TĨNH - CÔNG TY CỔ PHẦN DỊCH VỤ THƯƠNG MẠI TỔNG HỢP WINCOMMERCE</v>
      </c>
      <c r="G1436" s="16"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c r="A1437" s="14" t="s">
        <v>2148</v>
      </c>
      <c r="B1437" s="15" t="s">
        <v>5</v>
      </c>
      <c r="C1437" s="10" t="e">
        <v>#N/A</v>
      </c>
      <c r="D1437" s="16" t="s">
        <v>4769</v>
      </c>
      <c r="E1437" s="15" t="s">
        <v>11203</v>
      </c>
      <c r="F1437" s="16" t="str">
        <f>VLOOKUP(Table8[[#This Row],[Mã khách hàng]],code_khach_hang[],2,0)</f>
        <v>CHI NHÁNH THANH HÓA - CÔNG TY CỔ PHẦN DỊCH VỤ THƯƠNG MẠI TỔNG HỢP WINCOMMERCE</v>
      </c>
      <c r="G1437" s="16"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c r="A1438" s="14" t="s">
        <v>2004</v>
      </c>
      <c r="B1438" s="15" t="s">
        <v>5</v>
      </c>
      <c r="C1438" s="10" t="s">
        <v>2005</v>
      </c>
      <c r="D1438" s="16" t="s">
        <v>4772</v>
      </c>
      <c r="E1438" s="15" t="s">
        <v>11215</v>
      </c>
      <c r="F1438" s="16" t="str">
        <f>VLOOKUP(Table8[[#This Row],[Mã khách hàng]],code_khach_hang[],2,0)</f>
        <v>CHI NHÁNH HÀ NỘI - CÔNG TY CỔ PHẦN DỊCH VỤ THƯƠNG MẠI TỔNG HỢP WINCOMMERCE</v>
      </c>
      <c r="G1438" s="16"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c r="A1439" s="14" t="s">
        <v>2195</v>
      </c>
      <c r="B1439" s="15" t="s">
        <v>5</v>
      </c>
      <c r="C1439" s="10" t="s">
        <v>2196</v>
      </c>
      <c r="D1439" s="16" t="s">
        <v>4775</v>
      </c>
      <c r="E1439" s="15" t="s">
        <v>11219</v>
      </c>
      <c r="F1439" s="16" t="str">
        <f>VLOOKUP(Table8[[#This Row],[Mã khách hàng]],code_khach_hang[],2,0)</f>
        <v>CHI NHÁNH NAM ĐỊNH - CÔNG TY CỔ PHẦN DỊCH VỤ THƯƠNG MẠI TỔNG HỢP WINCOMMERCE</v>
      </c>
      <c r="G1439" s="16"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c r="A1440" s="14" t="s">
        <v>2208</v>
      </c>
      <c r="B1440" s="15" t="s">
        <v>5</v>
      </c>
      <c r="C1440" s="10" t="s">
        <v>2209</v>
      </c>
      <c r="D1440" s="16" t="s">
        <v>4778</v>
      </c>
      <c r="E1440" s="15" t="s">
        <v>11203</v>
      </c>
      <c r="F1440" s="16" t="str">
        <f>VLOOKUP(Table8[[#This Row],[Mã khách hàng]],code_khach_hang[],2,0)</f>
        <v>CHI NHÁNH THANH HÓA - CÔNG TY CỔ PHẦN DỊCH VỤ THƯƠNG MẠI TỔNG HỢP WINCOMMERCE</v>
      </c>
      <c r="G1440" s="16"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c r="A1441" s="14" t="s">
        <v>2203</v>
      </c>
      <c r="B1441" s="15" t="s">
        <v>5</v>
      </c>
      <c r="C1441" s="10" t="s">
        <v>2204</v>
      </c>
      <c r="D1441" s="16" t="s">
        <v>4781</v>
      </c>
      <c r="E1441" s="15" t="s">
        <v>11211</v>
      </c>
      <c r="F1441" s="16" t="str">
        <f>VLOOKUP(Table8[[#This Row],[Mã khách hàng]],code_khach_hang[],2,0)</f>
        <v>CHI NHÁNH NGHỆ AN - CÔNG TY CỔ PHẦN DỊCH VỤ THƯƠNG MẠI TỔNG HỢP WINCOMMERCE</v>
      </c>
      <c r="G1441" s="16"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c r="A1442" s="14" t="s">
        <v>2206</v>
      </c>
      <c r="B1442" s="15" t="s">
        <v>5</v>
      </c>
      <c r="C1442" s="10" t="e">
        <v>#N/A</v>
      </c>
      <c r="D1442" s="16" t="s">
        <v>4784</v>
      </c>
      <c r="E1442" s="15" t="s">
        <v>11203</v>
      </c>
      <c r="F1442" s="16" t="str">
        <f>VLOOKUP(Table8[[#This Row],[Mã khách hàng]],code_khach_hang[],2,0)</f>
        <v>CHI NHÁNH THANH HÓA - CÔNG TY CỔ PHẦN DỊCH VỤ THƯƠNG MẠI TỔNG HỢP WINCOMMERCE</v>
      </c>
      <c r="G1442" s="16"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c r="A1443" s="14" t="s">
        <v>2244</v>
      </c>
      <c r="B1443" s="15" t="s">
        <v>5</v>
      </c>
      <c r="C1443" s="10" t="e">
        <v>#N/A</v>
      </c>
      <c r="D1443" s="16" t="s">
        <v>4787</v>
      </c>
      <c r="E1443" s="15" t="s">
        <v>11203</v>
      </c>
      <c r="F1443" s="16" t="str">
        <f>VLOOKUP(Table8[[#This Row],[Mã khách hàng]],code_khach_hang[],2,0)</f>
        <v>CHI NHÁNH THANH HÓA - CÔNG TY CỔ PHẦN DỊCH VỤ THƯƠNG MẠI TỔNG HỢP WINCOMMERCE</v>
      </c>
      <c r="G1443" s="16"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c r="A1444" s="14" t="s">
        <v>2153</v>
      </c>
      <c r="B1444" s="15" t="s">
        <v>5</v>
      </c>
      <c r="C1444" s="10" t="s">
        <v>2154</v>
      </c>
      <c r="D1444" s="16" t="s">
        <v>4790</v>
      </c>
      <c r="E1444" s="15" t="s">
        <v>11215</v>
      </c>
      <c r="F1444" s="16" t="str">
        <f>VLOOKUP(Table8[[#This Row],[Mã khách hàng]],code_khach_hang[],2,0)</f>
        <v>CHI NHÁNH HÀ NỘI - CÔNG TY CỔ PHẦN DỊCH VỤ THƯƠNG MẠI TỔNG HỢP WINCOMMERCE</v>
      </c>
      <c r="G1444" s="16"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c r="A1445" s="14" t="s">
        <v>2278</v>
      </c>
      <c r="B1445" s="15" t="s">
        <v>5</v>
      </c>
      <c r="C1445" s="10" t="s">
        <v>2279</v>
      </c>
      <c r="D1445" s="16" t="s">
        <v>4793</v>
      </c>
      <c r="E1445" s="15" t="s">
        <v>11203</v>
      </c>
      <c r="F1445" s="16" t="str">
        <f>VLOOKUP(Table8[[#This Row],[Mã khách hàng]],code_khach_hang[],2,0)</f>
        <v>CHI NHÁNH THANH HÓA - CÔNG TY CỔ PHẦN DỊCH VỤ THƯƠNG MẠI TỔNG HỢP WINCOMMERCE</v>
      </c>
      <c r="G1445" s="16"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c r="A1446" s="14" t="s">
        <v>2201</v>
      </c>
      <c r="B1446" s="15" t="s">
        <v>5</v>
      </c>
      <c r="C1446" s="10" t="e">
        <v>#N/A</v>
      </c>
      <c r="D1446" s="16" t="s">
        <v>4796</v>
      </c>
      <c r="E1446" s="15" t="s">
        <v>11203</v>
      </c>
      <c r="F1446" s="16" t="str">
        <f>VLOOKUP(Table8[[#This Row],[Mã khách hàng]],code_khach_hang[],2,0)</f>
        <v>CHI NHÁNH THANH HÓA - CÔNG TY CỔ PHẦN DỊCH VỤ THƯƠNG MẠI TỔNG HỢP WINCOMMERCE</v>
      </c>
      <c r="G1446" s="16"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c r="A1447" s="14" t="s">
        <v>2150</v>
      </c>
      <c r="B1447" s="15" t="s">
        <v>5</v>
      </c>
      <c r="C1447" s="10" t="s">
        <v>2151</v>
      </c>
      <c r="D1447" s="16" t="s">
        <v>4799</v>
      </c>
      <c r="E1447" s="15" t="s">
        <v>11203</v>
      </c>
      <c r="F1447" s="16" t="str">
        <f>VLOOKUP(Table8[[#This Row],[Mã khách hàng]],code_khach_hang[],2,0)</f>
        <v>CHI NHÁNH THANH HÓA - CÔNG TY CỔ PHẦN DỊCH VỤ THƯƠNG MẠI TỔNG HỢP WINCOMMERCE</v>
      </c>
      <c r="G1447" s="16"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c r="A1448" s="14" t="s">
        <v>1698</v>
      </c>
      <c r="B1448" s="15" t="s">
        <v>5</v>
      </c>
      <c r="C1448" s="10" t="s">
        <v>1699</v>
      </c>
      <c r="D1448" s="16" t="s">
        <v>4802</v>
      </c>
      <c r="E1448" s="15" t="s">
        <v>11210</v>
      </c>
      <c r="F1448" s="16" t="str">
        <f>VLOOKUP(Table8[[#This Row],[Mã khách hàng]],code_khach_hang[],2,0)</f>
        <v>CHI NHÁNH HÀ NAM - CÔNG TY CỔ PHẦN DỊCH VỤ THƯƠNG MẠI TỔNG HỢP WINCOMMERCE</v>
      </c>
      <c r="G1448" s="16" t="str">
        <f>VLOOKUP(Table8[[#This Row],[Mã khách hàng]],code_khach_hang[],3,0)</f>
        <v>Miền Bắc đặc biệt 3</v>
      </c>
      <c r="H1448" t="str">
        <f>VLOOKUP(Table8[[#This Row],[Mã khách hàng]],'Khách hàng'!A:D,4,0)</f>
        <v>Food Đức Việt</v>
      </c>
      <c r="I1448" t="str">
        <f>VLOOKUP(Table8[[#This Row],[Mã khách hàng]],'Khách hàng'!A:E,5,0)</f>
        <v>HN0040</v>
      </c>
    </row>
    <row r="1449" spans="1:9">
      <c r="A1449" s="14" t="s">
        <v>2329</v>
      </c>
      <c r="B1449" s="15" t="s">
        <v>5</v>
      </c>
      <c r="C1449" s="10" t="e">
        <v>#N/A</v>
      </c>
      <c r="D1449" s="16" t="s">
        <v>4805</v>
      </c>
      <c r="E1449" s="15" t="s">
        <v>11211</v>
      </c>
      <c r="F1449" s="16" t="str">
        <f>VLOOKUP(Table8[[#This Row],[Mã khách hàng]],code_khach_hang[],2,0)</f>
        <v>CHI NHÁNH NGHỆ AN - CÔNG TY CỔ PHẦN DỊCH VỤ THƯƠNG MẠI TỔNG HỢP WINCOMMERCE</v>
      </c>
      <c r="G1449" s="16"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c r="A1450" s="14" t="s">
        <v>2406</v>
      </c>
      <c r="B1450" s="15" t="s">
        <v>5</v>
      </c>
      <c r="C1450" s="10" t="s">
        <v>2407</v>
      </c>
      <c r="D1450" s="16" t="s">
        <v>4808</v>
      </c>
      <c r="E1450" s="15" t="s">
        <v>11219</v>
      </c>
      <c r="F1450" s="16" t="str">
        <f>VLOOKUP(Table8[[#This Row],[Mã khách hàng]],code_khach_hang[],2,0)</f>
        <v>CHI NHÁNH NAM ĐỊNH - CÔNG TY CỔ PHẦN DỊCH VỤ THƯƠNG MẠI TỔNG HỢP WINCOMMERCE</v>
      </c>
      <c r="G1450" s="16"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c r="A1451" s="14" t="s">
        <v>2469</v>
      </c>
      <c r="B1451" s="15" t="s">
        <v>5</v>
      </c>
      <c r="C1451" s="10" t="s">
        <v>2470</v>
      </c>
      <c r="D1451" s="16" t="s">
        <v>4811</v>
      </c>
      <c r="E1451" s="15" t="s">
        <v>11209</v>
      </c>
      <c r="F1451" s="16" t="str">
        <f>VLOOKUP(Table8[[#This Row],[Mã khách hàng]],code_khach_hang[],2,0)</f>
        <v>CHI NHÁNH QUẢNG BÌNH - CÔNG TY CỔ PHẦN DỊCH VỤ THƯƠNG MẠI TỔNG HỢP WINCOMMERCE</v>
      </c>
      <c r="G1451" s="16"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c r="A1452" s="14" t="s">
        <v>2232</v>
      </c>
      <c r="B1452" s="15" t="s">
        <v>5</v>
      </c>
      <c r="C1452" s="10" t="s">
        <v>2233</v>
      </c>
      <c r="D1452" s="16" t="s">
        <v>4814</v>
      </c>
      <c r="E1452" s="15" t="s">
        <v>11211</v>
      </c>
      <c r="F1452" s="16" t="str">
        <f>VLOOKUP(Table8[[#This Row],[Mã khách hàng]],code_khach_hang[],2,0)</f>
        <v>CHI NHÁNH NGHỆ AN - CÔNG TY CỔ PHẦN DỊCH VỤ THƯƠNG MẠI TỔNG HỢP WINCOMMERCE</v>
      </c>
      <c r="G1452" s="16"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c r="A1453" s="14" t="s">
        <v>2467</v>
      </c>
      <c r="B1453" s="15" t="s">
        <v>5</v>
      </c>
      <c r="C1453" s="10" t="e">
        <v>#N/A</v>
      </c>
      <c r="D1453" s="16" t="s">
        <v>4817</v>
      </c>
      <c r="E1453" s="15" t="s">
        <v>11203</v>
      </c>
      <c r="F1453" s="16" t="str">
        <f>VLOOKUP(Table8[[#This Row],[Mã khách hàng]],code_khach_hang[],2,0)</f>
        <v>CHI NHÁNH THANH HÓA - CÔNG TY CỔ PHẦN DỊCH VỤ THƯƠNG MẠI TỔNG HỢP WINCOMMERCE</v>
      </c>
      <c r="G1453" s="16"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c r="A1454" s="14" t="s">
        <v>2551</v>
      </c>
      <c r="B1454" s="15" t="s">
        <v>5</v>
      </c>
      <c r="C1454" s="10" t="s">
        <v>2552</v>
      </c>
      <c r="D1454" s="16" t="s">
        <v>4820</v>
      </c>
      <c r="E1454" s="15" t="s">
        <v>11211</v>
      </c>
      <c r="F1454" s="16" t="str">
        <f>VLOOKUP(Table8[[#This Row],[Mã khách hàng]],code_khach_hang[],2,0)</f>
        <v>CHI NHÁNH NGHỆ AN - CÔNG TY CỔ PHẦN DỊCH VỤ THƯƠNG MẠI TỔNG HỢP WINCOMMERCE</v>
      </c>
      <c r="G1454" s="16"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c r="A1455" s="14" t="s">
        <v>2611</v>
      </c>
      <c r="B1455" s="15" t="s">
        <v>5</v>
      </c>
      <c r="C1455" s="10" t="e">
        <v>#N/A</v>
      </c>
      <c r="D1455" s="16" t="s">
        <v>4823</v>
      </c>
      <c r="E1455" s="15" t="s">
        <v>11203</v>
      </c>
      <c r="F1455" s="16" t="str">
        <f>VLOOKUP(Table8[[#This Row],[Mã khách hàng]],code_khach_hang[],2,0)</f>
        <v>CHI NHÁNH THANH HÓA - CÔNG TY CỔ PHẦN DỊCH VỤ THƯƠNG MẠI TỔNG HỢP WINCOMMERCE</v>
      </c>
      <c r="G1455" s="16"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c r="A1456" s="14" t="s">
        <v>2619</v>
      </c>
      <c r="B1456" s="15" t="s">
        <v>5</v>
      </c>
      <c r="C1456" s="10" t="s">
        <v>2620</v>
      </c>
      <c r="D1456" s="16" t="s">
        <v>4826</v>
      </c>
      <c r="E1456" s="15" t="s">
        <v>11196</v>
      </c>
      <c r="F1456" s="16" t="str">
        <f>VLOOKUP(Table8[[#This Row],[Mã khách hàng]],code_khach_hang[],2,0)</f>
        <v>CHI NHÁNH NINH BÌNH - CÔNG TY CỔ PHẦN DỊCH VỤ THƯƠNG MẠI TỔNG HỢP WINCOMMERCE</v>
      </c>
      <c r="G1456" s="16"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c r="A1457" s="14" t="s">
        <v>2622</v>
      </c>
      <c r="B1457" s="15" t="s">
        <v>5</v>
      </c>
      <c r="C1457" s="10" t="s">
        <v>2623</v>
      </c>
      <c r="D1457" s="16" t="s">
        <v>4829</v>
      </c>
      <c r="E1457" s="15" t="s">
        <v>11211</v>
      </c>
      <c r="F1457" s="16" t="str">
        <f>VLOOKUP(Table8[[#This Row],[Mã khách hàng]],code_khach_hang[],2,0)</f>
        <v>CHI NHÁNH NGHỆ AN - CÔNG TY CỔ PHẦN DỊCH VỤ THƯƠNG MẠI TỔNG HỢP WINCOMMERCE</v>
      </c>
      <c r="G1457" s="16"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c r="A1458" s="14" t="s">
        <v>2475</v>
      </c>
      <c r="B1458" s="15" t="s">
        <v>5</v>
      </c>
      <c r="C1458" s="10" t="s">
        <v>2476</v>
      </c>
      <c r="D1458" s="16" t="s">
        <v>4832</v>
      </c>
      <c r="E1458" s="15" t="s">
        <v>11203</v>
      </c>
      <c r="F1458" s="16" t="str">
        <f>VLOOKUP(Table8[[#This Row],[Mã khách hàng]],code_khach_hang[],2,0)</f>
        <v>CHI NHÁNH THANH HÓA - CÔNG TY CỔ PHẦN DỊCH VỤ THƯƠNG MẠI TỔNG HỢP WINCOMMERCE</v>
      </c>
      <c r="G1458" s="16"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c r="A1459" s="14" t="s">
        <v>2331</v>
      </c>
      <c r="B1459" s="15" t="s">
        <v>5</v>
      </c>
      <c r="C1459" s="10" t="e">
        <v>#N/A</v>
      </c>
      <c r="D1459" s="16" t="s">
        <v>4835</v>
      </c>
      <c r="E1459" s="15" t="s">
        <v>11211</v>
      </c>
      <c r="F1459" s="16" t="str">
        <f>VLOOKUP(Table8[[#This Row],[Mã khách hàng]],code_khach_hang[],2,0)</f>
        <v>CHI NHÁNH NGHỆ AN - CÔNG TY CỔ PHẦN DỊCH VỤ THƯƠNG MẠI TỔNG HỢP WINCOMMERCE</v>
      </c>
      <c r="G1459" s="16"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c r="A1460" s="14" t="s">
        <v>2643</v>
      </c>
      <c r="B1460" s="15" t="s">
        <v>5</v>
      </c>
      <c r="C1460" s="10" t="s">
        <v>2644</v>
      </c>
      <c r="D1460" s="16" t="s">
        <v>4838</v>
      </c>
      <c r="E1460" s="15" t="s">
        <v>11215</v>
      </c>
      <c r="F1460" s="16" t="str">
        <f>VLOOKUP(Table8[[#This Row],[Mã khách hàng]],code_khach_hang[],2,0)</f>
        <v>CHI NHÁNH HÀ NỘI - CÔNG TY CỔ PHẦN DỊCH VỤ THƯƠNG MẠI TỔNG HỢP WINCOMMERCE</v>
      </c>
      <c r="G1460" s="16"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c r="A1461" s="14" t="s">
        <v>2688</v>
      </c>
      <c r="B1461" s="15" t="s">
        <v>5</v>
      </c>
      <c r="C1461" s="10" t="s">
        <v>2689</v>
      </c>
      <c r="D1461" s="16" t="s">
        <v>4841</v>
      </c>
      <c r="E1461" s="15" t="s">
        <v>11200</v>
      </c>
      <c r="F1461" s="16" t="str">
        <f>VLOOKUP(Table8[[#This Row],[Mã khách hàng]],code_khach_hang[],2,0)</f>
        <v>CHI NHÁNH THÁI BÌNH - CÔNG TY CỔ PHẦN DỊCH VỤ THƯƠNG MẠI TỔNG HỢP WINCOMMERCE</v>
      </c>
      <c r="G1461" s="16"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c r="A1462" s="14" t="s">
        <v>2461</v>
      </c>
      <c r="B1462" s="15" t="s">
        <v>5</v>
      </c>
      <c r="C1462" s="10" t="s">
        <v>2462</v>
      </c>
      <c r="D1462" s="16" t="s">
        <v>4844</v>
      </c>
      <c r="E1462" s="15" t="s">
        <v>11196</v>
      </c>
      <c r="F1462" s="16" t="str">
        <f>VLOOKUP(Table8[[#This Row],[Mã khách hàng]],code_khach_hang[],2,0)</f>
        <v>CHI NHÁNH NINH BÌNH - CÔNG TY CỔ PHẦN DỊCH VỤ THƯƠNG MẠI TỔNG HỢP WINCOMMERCE</v>
      </c>
      <c r="G1462" s="16"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c r="A1463" s="14" t="s">
        <v>2745</v>
      </c>
      <c r="B1463" s="15" t="s">
        <v>5</v>
      </c>
      <c r="C1463" s="10" t="s">
        <v>2746</v>
      </c>
      <c r="D1463" s="16" t="s">
        <v>4847</v>
      </c>
      <c r="E1463" s="15" t="s">
        <v>11219</v>
      </c>
      <c r="F1463" s="16" t="str">
        <f>VLOOKUP(Table8[[#This Row],[Mã khách hàng]],code_khach_hang[],2,0)</f>
        <v>CHI NHÁNH NAM ĐỊNH - CÔNG TY CỔ PHẦN DỊCH VỤ THƯƠNG MẠI TỔNG HỢP WINCOMMERCE</v>
      </c>
      <c r="G1463" s="16"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c r="A1464" s="14" t="s">
        <v>2754</v>
      </c>
      <c r="B1464" s="15" t="s">
        <v>5</v>
      </c>
      <c r="C1464" s="10" t="e">
        <v>#N/A</v>
      </c>
      <c r="D1464" s="16" t="s">
        <v>4850</v>
      </c>
      <c r="E1464" s="15" t="s">
        <v>11205</v>
      </c>
      <c r="F1464" s="16" t="str">
        <f>VLOOKUP(Table8[[#This Row],[Mã khách hàng]],code_khach_hang[],2,0)</f>
        <v>CHI NHÁNH HÀ TĨNH - CÔNG TY CỔ PHẦN DỊCH VỤ THƯƠNG MẠI TỔNG HỢP WINCOMMERCE</v>
      </c>
      <c r="G1464" s="16"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c r="A1465" s="14" t="s">
        <v>2819</v>
      </c>
      <c r="B1465" s="15" t="s">
        <v>5</v>
      </c>
      <c r="C1465" s="10" t="s">
        <v>2820</v>
      </c>
      <c r="D1465" s="16" t="s">
        <v>4853</v>
      </c>
      <c r="E1465" s="15" t="s">
        <v>11200</v>
      </c>
      <c r="F1465" s="16" t="str">
        <f>VLOOKUP(Table8[[#This Row],[Mã khách hàng]],code_khach_hang[],2,0)</f>
        <v>CHI NHÁNH THÁI BÌNH - CÔNG TY CỔ PHẦN DỊCH VỤ THƯƠNG MẠI TỔNG HỢP WINCOMMERCE</v>
      </c>
      <c r="G1465" s="16"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c r="A1466" s="14" t="s">
        <v>1486</v>
      </c>
      <c r="B1466" s="15" t="s">
        <v>5</v>
      </c>
      <c r="C1466" s="10" t="s">
        <v>1487</v>
      </c>
      <c r="D1466" s="16" t="s">
        <v>4856</v>
      </c>
      <c r="E1466" s="15" t="s">
        <v>11203</v>
      </c>
      <c r="F1466" s="16" t="str">
        <f>VLOOKUP(Table8[[#This Row],[Mã khách hàng]],code_khach_hang[],2,0)</f>
        <v>CHI NHÁNH THANH HÓA - CÔNG TY CỔ PHẦN DỊCH VỤ THƯƠNG MẠI TỔNG HỢP WINCOMMERCE</v>
      </c>
      <c r="G1466" s="16"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c r="A1467" s="14" t="s">
        <v>1489</v>
      </c>
      <c r="B1467" s="15" t="s">
        <v>5</v>
      </c>
      <c r="C1467" s="10" t="e">
        <v>#N/A</v>
      </c>
      <c r="D1467" s="16" t="s">
        <v>4859</v>
      </c>
      <c r="E1467" s="15" t="s">
        <v>11203</v>
      </c>
      <c r="F1467" s="16" t="str">
        <f>VLOOKUP(Table8[[#This Row],[Mã khách hàng]],code_khach_hang[],2,0)</f>
        <v>CHI NHÁNH THANH HÓA - CÔNG TY CỔ PHẦN DỊCH VỤ THƯƠNG MẠI TỔNG HỢP WINCOMMERCE</v>
      </c>
      <c r="G1467" s="16"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c r="A1468" s="14" t="s">
        <v>2759</v>
      </c>
      <c r="B1468" s="15" t="s">
        <v>5</v>
      </c>
      <c r="C1468" s="10" t="s">
        <v>2760</v>
      </c>
      <c r="D1468" s="16" t="s">
        <v>4862</v>
      </c>
      <c r="E1468" s="15" t="s">
        <v>11203</v>
      </c>
      <c r="F1468" s="16" t="str">
        <f>VLOOKUP(Table8[[#This Row],[Mã khách hàng]],code_khach_hang[],2,0)</f>
        <v>CHI NHÁNH THANH HÓA - CÔNG TY CỔ PHẦN DỊCH VỤ THƯƠNG MẠI TỔNG HỢP WINCOMMERCE</v>
      </c>
      <c r="G1468" s="16"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c r="A1469" s="14" t="s">
        <v>2807</v>
      </c>
      <c r="B1469" s="15" t="s">
        <v>5</v>
      </c>
      <c r="C1469" s="10" t="s">
        <v>2808</v>
      </c>
      <c r="D1469" s="16" t="s">
        <v>4865</v>
      </c>
      <c r="E1469" s="15" t="s">
        <v>11196</v>
      </c>
      <c r="F1469" s="16" t="str">
        <f>VLOOKUP(Table8[[#This Row],[Mã khách hàng]],code_khach_hang[],2,0)</f>
        <v>CHI NHÁNH NINH BÌNH - CÔNG TY CỔ PHẦN DỊCH VỤ THƯƠNG MẠI TỔNG HỢP WINCOMMERCE</v>
      </c>
      <c r="G1469" s="16"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c r="A1470" s="14" t="s">
        <v>1480</v>
      </c>
      <c r="B1470" s="15" t="s">
        <v>5</v>
      </c>
      <c r="C1470" s="10" t="s">
        <v>1481</v>
      </c>
      <c r="D1470" s="16" t="s">
        <v>4868</v>
      </c>
      <c r="E1470" s="15" t="s">
        <v>11200</v>
      </c>
      <c r="F1470" s="16" t="str">
        <f>VLOOKUP(Table8[[#This Row],[Mã khách hàng]],code_khach_hang[],2,0)</f>
        <v>CHI NHÁNH THÁI BÌNH - CÔNG TY CỔ PHẦN DỊCH VỤ THƯƠNG MẠI TỔNG HỢP WINCOMMERCE</v>
      </c>
      <c r="G1470" s="16"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c r="A1471" s="14" t="s">
        <v>1483</v>
      </c>
      <c r="B1471" s="15" t="s">
        <v>5</v>
      </c>
      <c r="C1471" s="10" t="s">
        <v>1484</v>
      </c>
      <c r="D1471" s="16" t="s">
        <v>4871</v>
      </c>
      <c r="E1471" s="15" t="s">
        <v>11200</v>
      </c>
      <c r="F1471" s="16" t="str">
        <f>VLOOKUP(Table8[[#This Row],[Mã khách hàng]],code_khach_hang[],2,0)</f>
        <v>CHI NHÁNH THÁI BÌNH - CÔNG TY CỔ PHẦN DỊCH VỤ THƯƠNG MẠI TỔNG HỢP WINCOMMERCE</v>
      </c>
      <c r="G1471" s="16"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c r="A1472" s="14" t="s">
        <v>2478</v>
      </c>
      <c r="B1472" s="15" t="s">
        <v>5</v>
      </c>
      <c r="C1472" s="10" t="e">
        <v>#N/A</v>
      </c>
      <c r="D1472" s="16" t="s">
        <v>4874</v>
      </c>
      <c r="E1472" s="15" t="s">
        <v>11211</v>
      </c>
      <c r="F1472" s="16" t="str">
        <f>VLOOKUP(Table8[[#This Row],[Mã khách hàng]],code_khach_hang[],2,0)</f>
        <v>CHI NHÁNH NGHỆ AN - CÔNG TY CỔ PHẦN DỊCH VỤ THƯƠNG MẠI TỔNG HỢP WINCOMMERCE</v>
      </c>
      <c r="G1472" s="16"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c r="A1473" s="14" t="s">
        <v>1494</v>
      </c>
      <c r="B1473" s="15" t="s">
        <v>5</v>
      </c>
      <c r="C1473" s="10" t="e">
        <v>#N/A</v>
      </c>
      <c r="D1473" s="16" t="s">
        <v>4877</v>
      </c>
      <c r="E1473" s="15" t="s">
        <v>11211</v>
      </c>
      <c r="F1473" s="16" t="str">
        <f>VLOOKUP(Table8[[#This Row],[Mã khách hàng]],code_khach_hang[],2,0)</f>
        <v>CHI NHÁNH NGHỆ AN - CÔNG TY CỔ PHẦN DỊCH VỤ THƯƠNG MẠI TỔNG HỢP WINCOMMERCE</v>
      </c>
      <c r="G1473" s="16"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c r="A1474" s="14" t="s">
        <v>9128</v>
      </c>
      <c r="B1474" s="15" t="s">
        <v>5</v>
      </c>
      <c r="C1474" s="10" t="e">
        <v>#N/A</v>
      </c>
      <c r="D1474" s="16" t="s">
        <v>4880</v>
      </c>
      <c r="E1474" s="15" t="s">
        <v>11205</v>
      </c>
      <c r="F1474" s="16" t="str">
        <f>VLOOKUP(Table8[[#This Row],[Mã khách hàng]],code_khach_hang[],2,0)</f>
        <v>CHI NHÁNH HÀ TĨNH - CÔNG TY CỔ PHẦN DỊCH VỤ THƯƠNG MẠI TỔNG HỢP WINCOMMERCE</v>
      </c>
      <c r="G1474" s="16"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c r="A1475" s="14" t="s">
        <v>1506</v>
      </c>
      <c r="B1475" s="15" t="s">
        <v>5</v>
      </c>
      <c r="C1475" s="10" t="s">
        <v>1507</v>
      </c>
      <c r="D1475" s="16" t="s">
        <v>4883</v>
      </c>
      <c r="E1475" s="15" t="s">
        <v>11215</v>
      </c>
      <c r="F1475" s="16" t="str">
        <f>VLOOKUP(Table8[[#This Row],[Mã khách hàng]],code_khach_hang[],2,0)</f>
        <v>CHI NHÁNH HÀ NỘI - CÔNG TY CỔ PHẦN DỊCH VỤ THƯƠNG MẠI TỔNG HỢP WINCOMMERCE</v>
      </c>
      <c r="G1475" s="16"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c r="A1476" s="14" t="s">
        <v>1499</v>
      </c>
      <c r="B1476" s="15" t="s">
        <v>5</v>
      </c>
      <c r="C1476" s="10" t="s">
        <v>1500</v>
      </c>
      <c r="D1476" s="16" t="s">
        <v>4886</v>
      </c>
      <c r="E1476" s="15" t="s">
        <v>11219</v>
      </c>
      <c r="F1476" s="16" t="str">
        <f>VLOOKUP(Table8[[#This Row],[Mã khách hàng]],code_khach_hang[],2,0)</f>
        <v>CHI NHÁNH NAM ĐỊNH - CÔNG TY CỔ PHẦN DỊCH VỤ THƯƠNG MẠI TỔNG HỢP WINCOMMERCE</v>
      </c>
      <c r="G1476" s="16"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c r="A1477" s="14" t="s">
        <v>2409</v>
      </c>
      <c r="B1477" s="15" t="s">
        <v>5</v>
      </c>
      <c r="C1477" s="10" t="s">
        <v>2410</v>
      </c>
      <c r="D1477" s="16" t="s">
        <v>4889</v>
      </c>
      <c r="E1477" s="15" t="s">
        <v>11196</v>
      </c>
      <c r="F1477" s="16" t="str">
        <f>VLOOKUP(Table8[[#This Row],[Mã khách hàng]],code_khach_hang[],2,0)</f>
        <v>CHI NHÁNH NINH BÌNH - CÔNG TY CỔ PHẦN DỊCH VỤ THƯƠNG MẠI TỔNG HỢP WINCOMMERCE</v>
      </c>
      <c r="G1477" s="16"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c r="A1478" s="14" t="s">
        <v>1537</v>
      </c>
      <c r="B1478" s="15" t="s">
        <v>5</v>
      </c>
      <c r="C1478" s="10" t="s">
        <v>1538</v>
      </c>
      <c r="D1478" s="16" t="s">
        <v>4892</v>
      </c>
      <c r="E1478" s="15" t="s">
        <v>11196</v>
      </c>
      <c r="F1478" s="16" t="str">
        <f>VLOOKUP(Table8[[#This Row],[Mã khách hàng]],code_khach_hang[],2,0)</f>
        <v>CHI NHÁNH NINH BÌNH - CÔNG TY CỔ PHẦN DỊCH VỤ THƯƠNG MẠI TỔNG HỢP WINCOMMERCE</v>
      </c>
      <c r="G1478" s="16"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c r="A1479" s="14" t="s">
        <v>1552</v>
      </c>
      <c r="B1479" s="15" t="s">
        <v>5</v>
      </c>
      <c r="C1479" s="10" t="s">
        <v>1553</v>
      </c>
      <c r="D1479" s="16" t="s">
        <v>4895</v>
      </c>
      <c r="E1479" s="15" t="s">
        <v>11209</v>
      </c>
      <c r="F1479" s="16" t="str">
        <f>VLOOKUP(Table8[[#This Row],[Mã khách hàng]],code_khach_hang[],2,0)</f>
        <v>CHI NHÁNH QUẢNG BÌNH - CÔNG TY CỔ PHẦN DỊCH VỤ THƯƠNG MẠI TỔNG HỢP WINCOMMERCE</v>
      </c>
      <c r="G1479" s="16"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c r="A1480" s="14" t="s">
        <v>1491</v>
      </c>
      <c r="B1480" s="15" t="s">
        <v>5</v>
      </c>
      <c r="C1480" s="10" t="s">
        <v>1492</v>
      </c>
      <c r="D1480" s="16" t="s">
        <v>4898</v>
      </c>
      <c r="E1480" s="15" t="s">
        <v>11215</v>
      </c>
      <c r="F1480" s="16" t="str">
        <f>VLOOKUP(Table8[[#This Row],[Mã khách hàng]],code_khach_hang[],2,0)</f>
        <v>CHI NHÁNH HÀ NỘI - CÔNG TY CỔ PHẦN DỊCH VỤ THƯƠNG MẠI TỔNG HỢP WINCOMMERCE</v>
      </c>
      <c r="G1480" s="16"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c r="A1481" s="14" t="s">
        <v>1531</v>
      </c>
      <c r="B1481" s="15" t="s">
        <v>5</v>
      </c>
      <c r="C1481" s="10" t="s">
        <v>1532</v>
      </c>
      <c r="D1481" s="16" t="s">
        <v>4901</v>
      </c>
      <c r="E1481" s="15" t="s">
        <v>11203</v>
      </c>
      <c r="F1481" s="16" t="str">
        <f>VLOOKUP(Table8[[#This Row],[Mã khách hàng]],code_khach_hang[],2,0)</f>
        <v>CHI NHÁNH THANH HÓA - CÔNG TY CỔ PHẦN DỊCH VỤ THƯƠNG MẠI TỔNG HỢP WINCOMMERCE</v>
      </c>
      <c r="G1481" s="16"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c r="A1482" s="14" t="s">
        <v>1555</v>
      </c>
      <c r="B1482" s="15" t="s">
        <v>5</v>
      </c>
      <c r="C1482" s="10" t="e">
        <v>#N/A</v>
      </c>
      <c r="D1482" s="16" t="s">
        <v>4904</v>
      </c>
      <c r="E1482" s="15" t="s">
        <v>11203</v>
      </c>
      <c r="F1482" s="16" t="str">
        <f>VLOOKUP(Table8[[#This Row],[Mã khách hàng]],code_khach_hang[],2,0)</f>
        <v>CHI NHÁNH THANH HÓA - CÔNG TY CỔ PHẦN DỊCH VỤ THƯƠNG MẠI TỔNG HỢP WINCOMMERCE</v>
      </c>
      <c r="G1482" s="16"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c r="A1483" s="14" t="s">
        <v>1512</v>
      </c>
      <c r="B1483" s="15" t="s">
        <v>5</v>
      </c>
      <c r="C1483" s="10" t="s">
        <v>1513</v>
      </c>
      <c r="D1483" s="16" t="s">
        <v>4907</v>
      </c>
      <c r="E1483" s="15" t="s">
        <v>11200</v>
      </c>
      <c r="F1483" s="16" t="str">
        <f>VLOOKUP(Table8[[#This Row],[Mã khách hàng]],code_khach_hang[],2,0)</f>
        <v>CHI NHÁNH THÁI BÌNH - CÔNG TY CỔ PHẦN DỊCH VỤ THƯƠNG MẠI TỔNG HỢP WINCOMMERCE</v>
      </c>
      <c r="G1483" s="16"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c r="A1484" s="14" t="s">
        <v>716</v>
      </c>
      <c r="B1484" s="15" t="s">
        <v>183</v>
      </c>
      <c r="C1484" s="10" t="s">
        <v>717</v>
      </c>
      <c r="D1484" s="16" t="s">
        <v>4910</v>
      </c>
      <c r="E1484" s="15" t="s">
        <v>11212</v>
      </c>
      <c r="F1484" s="16" t="str">
        <f>VLOOKUP(Table8[[#This Row],[Mã khách hàng]],code_khach_hang[],2,0)</f>
        <v>CHI NHÁNH HÒA BÌNH - CÔNG TY CỔ PHẦN DỊCH VỤ THƯƠNG MẠI TỔNG HỢP WINCOMMERCE</v>
      </c>
      <c r="G1484" s="16"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c r="A1485" s="14" t="s">
        <v>2810</v>
      </c>
      <c r="B1485" s="15" t="s">
        <v>5</v>
      </c>
      <c r="C1485" s="10" t="s">
        <v>2811</v>
      </c>
      <c r="D1485" s="16" t="s">
        <v>4913</v>
      </c>
      <c r="E1485" s="15" t="s">
        <v>11211</v>
      </c>
      <c r="F1485" s="16" t="str">
        <f>VLOOKUP(Table8[[#This Row],[Mã khách hàng]],code_khach_hang[],2,0)</f>
        <v>CHI NHÁNH NGHỆ AN - CÔNG TY CỔ PHẦN DỊCH VỤ THƯƠNG MẠI TỔNG HỢP WINCOMMERCE</v>
      </c>
      <c r="G1485" s="16"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c r="A1486" s="14" t="s">
        <v>1534</v>
      </c>
      <c r="B1486" s="15" t="s">
        <v>5</v>
      </c>
      <c r="C1486" s="10" t="s">
        <v>1535</v>
      </c>
      <c r="D1486" s="16" t="s">
        <v>4916</v>
      </c>
      <c r="E1486" s="15" t="s">
        <v>11203</v>
      </c>
      <c r="F1486" s="16" t="str">
        <f>VLOOKUP(Table8[[#This Row],[Mã khách hàng]],code_khach_hang[],2,0)</f>
        <v>CHI NHÁNH THANH HÓA - CÔNG TY CỔ PHẦN DỊCH VỤ THƯƠNG MẠI TỔNG HỢP WINCOMMERCE</v>
      </c>
      <c r="G1486" s="16"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c r="A1487" s="14" t="s">
        <v>1576</v>
      </c>
      <c r="B1487" s="15" t="s">
        <v>5</v>
      </c>
      <c r="C1487" s="10" t="s">
        <v>1577</v>
      </c>
      <c r="D1487" s="16" t="s">
        <v>4919</v>
      </c>
      <c r="E1487" s="15" t="s">
        <v>11196</v>
      </c>
      <c r="F1487" s="16" t="str">
        <f>VLOOKUP(Table8[[#This Row],[Mã khách hàng]],code_khach_hang[],2,0)</f>
        <v>CHI NHÁNH NINH BÌNH - CÔNG TY CỔ PHẦN DỊCH VỤ THƯƠNG MẠI TỔNG HỢP WINCOMMERCE</v>
      </c>
      <c r="G1487" s="16"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c r="A1488" s="14" t="s">
        <v>1588</v>
      </c>
      <c r="B1488" s="15" t="s">
        <v>5</v>
      </c>
      <c r="C1488" s="10" t="s">
        <v>1589</v>
      </c>
      <c r="D1488" s="16" t="s">
        <v>4922</v>
      </c>
      <c r="E1488" s="15" t="s">
        <v>11203</v>
      </c>
      <c r="F1488" s="16" t="str">
        <f>VLOOKUP(Table8[[#This Row],[Mã khách hàng]],code_khach_hang[],2,0)</f>
        <v>CHI NHÁNH THANH HÓA - CÔNG TY CỔ PHẦN DỊCH VỤ THƯƠNG MẠI TỔNG HỢP WINCOMMERCE</v>
      </c>
      <c r="G1488" s="16"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c r="A1489" s="14" t="s">
        <v>1607</v>
      </c>
      <c r="B1489" s="15" t="s">
        <v>5</v>
      </c>
      <c r="C1489" s="10" t="s">
        <v>1608</v>
      </c>
      <c r="D1489" s="16" t="s">
        <v>4925</v>
      </c>
      <c r="E1489" s="15" t="s">
        <v>11219</v>
      </c>
      <c r="F1489" s="16" t="str">
        <f>VLOOKUP(Table8[[#This Row],[Mã khách hàng]],code_khach_hang[],2,0)</f>
        <v>CHI NHÁNH NAM ĐỊNH - CÔNG TY CỔ PHẦN DỊCH VỤ THƯƠNG MẠI TỔNG HỢP WINCOMMERCE</v>
      </c>
      <c r="G1489" s="16"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c r="A1490" s="14" t="s">
        <v>1604</v>
      </c>
      <c r="B1490" s="15" t="s">
        <v>5</v>
      </c>
      <c r="C1490" s="10" t="s">
        <v>1605</v>
      </c>
      <c r="D1490" s="16" t="s">
        <v>4928</v>
      </c>
      <c r="E1490" s="15" t="s">
        <v>11200</v>
      </c>
      <c r="F1490" s="16" t="str">
        <f>VLOOKUP(Table8[[#This Row],[Mã khách hàng]],code_khach_hang[],2,0)</f>
        <v>CHI NHÁNH THÁI BÌNH - CÔNG TY CỔ PHẦN DỊCH VỤ THƯƠNG MẠI TỔNG HỢP WINCOMMERCE</v>
      </c>
      <c r="G1490" s="16"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c r="A1491" s="14" t="s">
        <v>1613</v>
      </c>
      <c r="B1491" s="15" t="s">
        <v>5</v>
      </c>
      <c r="C1491" s="10" t="e">
        <v>#N/A</v>
      </c>
      <c r="D1491" s="16" t="s">
        <v>4931</v>
      </c>
      <c r="E1491" s="15" t="s">
        <v>11215</v>
      </c>
      <c r="F1491" s="16" t="str">
        <f>VLOOKUP(Table8[[#This Row],[Mã khách hàng]],code_khach_hang[],2,0)</f>
        <v>CHI NHÁNH HÀ NỘI - CÔNG TY CỔ PHẦN DỊCH VỤ THƯƠNG MẠI TỔNG HỢP WINCOMMERCE</v>
      </c>
      <c r="G1491" s="16"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c r="A1492" s="14" t="s">
        <v>1579</v>
      </c>
      <c r="B1492" s="15" t="s">
        <v>5</v>
      </c>
      <c r="C1492" s="10" t="s">
        <v>1580</v>
      </c>
      <c r="D1492" s="16" t="s">
        <v>4934</v>
      </c>
      <c r="E1492" s="15" t="s">
        <v>11209</v>
      </c>
      <c r="F1492" s="16" t="str">
        <f>VLOOKUP(Table8[[#This Row],[Mã khách hàng]],code_khach_hang[],2,0)</f>
        <v>CHI NHÁNH QUẢNG BÌNH - CÔNG TY CỔ PHẦN DỊCH VỤ THƯƠNG MẠI TỔNG HỢP WINCOMMERCE</v>
      </c>
      <c r="G1492" s="16"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c r="A1493" s="14" t="s">
        <v>1649</v>
      </c>
      <c r="B1493" s="15" t="s">
        <v>5</v>
      </c>
      <c r="C1493" s="10" t="s">
        <v>1650</v>
      </c>
      <c r="D1493" s="16" t="s">
        <v>4937</v>
      </c>
      <c r="E1493" s="15" t="s">
        <v>11200</v>
      </c>
      <c r="F1493" s="16" t="str">
        <f>VLOOKUP(Table8[[#This Row],[Mã khách hàng]],code_khach_hang[],2,0)</f>
        <v>CHI NHÁNH THÁI BÌNH - CÔNG TY CỔ PHẦN DỊCH VỤ THƯƠNG MẠI TỔNG HỢP WINCOMMERCE</v>
      </c>
      <c r="G1493" s="16"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c r="A1494" s="14" t="s">
        <v>1594</v>
      </c>
      <c r="B1494" s="15" t="s">
        <v>5</v>
      </c>
      <c r="C1494" s="10" t="s">
        <v>1595</v>
      </c>
      <c r="D1494" s="16" t="s">
        <v>4940</v>
      </c>
      <c r="E1494" s="15" t="s">
        <v>11203</v>
      </c>
      <c r="F1494" s="16" t="str">
        <f>VLOOKUP(Table8[[#This Row],[Mã khách hàng]],code_khach_hang[],2,0)</f>
        <v>CHI NHÁNH THANH HÓA - CÔNG TY CỔ PHẦN DỊCH VỤ THƯƠNG MẠI TỔNG HỢP WINCOMMERCE</v>
      </c>
      <c r="G1494" s="16"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c r="A1495" s="14" t="s">
        <v>1710</v>
      </c>
      <c r="B1495" s="15" t="s">
        <v>5</v>
      </c>
      <c r="C1495" s="10" t="s">
        <v>1711</v>
      </c>
      <c r="D1495" s="16" t="s">
        <v>4943</v>
      </c>
      <c r="E1495" s="15" t="s">
        <v>11203</v>
      </c>
      <c r="F1495" s="16" t="str">
        <f>VLOOKUP(Table8[[#This Row],[Mã khách hàng]],code_khach_hang[],2,0)</f>
        <v>CHI NHÁNH THANH HÓA - CÔNG TY CỔ PHẦN DỊCH VỤ THƯƠNG MẠI TỔNG HỢP WINCOMMERCE</v>
      </c>
      <c r="G1495" s="16"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c r="A1496" s="14" t="s">
        <v>1739</v>
      </c>
      <c r="B1496" s="15" t="s">
        <v>5</v>
      </c>
      <c r="C1496" s="10" t="s">
        <v>1740</v>
      </c>
      <c r="D1496" s="16" t="s">
        <v>4946</v>
      </c>
      <c r="E1496" s="15" t="s">
        <v>11203</v>
      </c>
      <c r="F1496" s="16" t="str">
        <f>VLOOKUP(Table8[[#This Row],[Mã khách hàng]],code_khach_hang[],2,0)</f>
        <v>CHI NHÁNH THANH HÓA - CÔNG TY CỔ PHẦN DỊCH VỤ THƯƠNG MẠI TỔNG HỢP WINCOMMERCE</v>
      </c>
      <c r="G1496" s="16"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c r="A1497" s="14" t="s">
        <v>1718</v>
      </c>
      <c r="B1497" s="15" t="s">
        <v>5</v>
      </c>
      <c r="C1497" s="10" t="s">
        <v>1719</v>
      </c>
      <c r="D1497" s="16" t="s">
        <v>4949</v>
      </c>
      <c r="E1497" s="15" t="s">
        <v>11205</v>
      </c>
      <c r="F1497" s="16" t="str">
        <f>VLOOKUP(Table8[[#This Row],[Mã khách hàng]],code_khach_hang[],2,0)</f>
        <v>CHI NHÁNH HÀ TĨNH - CÔNG TY CỔ PHẦN DỊCH VỤ THƯƠNG MẠI TỔNG HỢP WINCOMMERCE</v>
      </c>
      <c r="G1497" s="16"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c r="A1498" s="14" t="s">
        <v>1766</v>
      </c>
      <c r="B1498" s="15" t="s">
        <v>5</v>
      </c>
      <c r="C1498" s="10" t="s">
        <v>1767</v>
      </c>
      <c r="D1498" s="16" t="s">
        <v>4952</v>
      </c>
      <c r="E1498" s="15" t="s">
        <v>11211</v>
      </c>
      <c r="F1498" s="16" t="str">
        <f>VLOOKUP(Table8[[#This Row],[Mã khách hàng]],code_khach_hang[],2,0)</f>
        <v>CHI NHÁNH NGHỆ AN - CÔNG TY CỔ PHẦN DỊCH VỤ THƯƠNG MẠI TỔNG HỢP WINCOMMERCE</v>
      </c>
      <c r="G1498" s="16"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c r="A1499" s="14" t="s">
        <v>1692</v>
      </c>
      <c r="B1499" s="15" t="s">
        <v>5</v>
      </c>
      <c r="C1499" s="10" t="s">
        <v>1693</v>
      </c>
      <c r="D1499" s="16" t="s">
        <v>4955</v>
      </c>
      <c r="E1499" s="15" t="s">
        <v>11196</v>
      </c>
      <c r="F1499" s="16" t="str">
        <f>VLOOKUP(Table8[[#This Row],[Mã khách hàng]],code_khach_hang[],2,0)</f>
        <v>CHI NHÁNH NINH BÌNH - CÔNG TY CỔ PHẦN DỊCH VỤ THƯƠNG MẠI TỔNG HỢP WINCOMMERCE</v>
      </c>
      <c r="G1499" s="16"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c r="A1500" s="14" t="s">
        <v>1769</v>
      </c>
      <c r="B1500" s="15" t="s">
        <v>5</v>
      </c>
      <c r="C1500" s="10" t="e">
        <v>#N/A</v>
      </c>
      <c r="D1500" s="16" t="s">
        <v>4958</v>
      </c>
      <c r="E1500" s="15" t="s">
        <v>11211</v>
      </c>
      <c r="F1500" s="16" t="str">
        <f>VLOOKUP(Table8[[#This Row],[Mã khách hàng]],code_khach_hang[],2,0)</f>
        <v>CHI NHÁNH NGHỆ AN - CÔNG TY CỔ PHẦN DỊCH VỤ THƯƠNG MẠI TỔNG HỢP WINCOMMERCE</v>
      </c>
      <c r="G1500" s="16"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c r="A1501" s="14" t="s">
        <v>1783</v>
      </c>
      <c r="B1501" s="15" t="s">
        <v>5</v>
      </c>
      <c r="C1501" s="10" t="e">
        <v>#N/A</v>
      </c>
      <c r="D1501" s="16" t="s">
        <v>4961</v>
      </c>
      <c r="E1501" s="15" t="s">
        <v>11211</v>
      </c>
      <c r="F1501" s="16" t="str">
        <f>VLOOKUP(Table8[[#This Row],[Mã khách hàng]],code_khach_hang[],2,0)</f>
        <v>CHI NHÁNH NGHỆ AN - CÔNG TY CỔ PHẦN DỊCH VỤ THƯƠNG MẠI TỔNG HỢP WINCOMMERCE</v>
      </c>
      <c r="G1501" s="16"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c r="A1502" s="14" t="s">
        <v>1777</v>
      </c>
      <c r="B1502" s="15" t="s">
        <v>5</v>
      </c>
      <c r="C1502" s="10" t="s">
        <v>1778</v>
      </c>
      <c r="D1502" s="16" t="s">
        <v>4964</v>
      </c>
      <c r="E1502" s="15" t="s">
        <v>11200</v>
      </c>
      <c r="F1502" s="16" t="str">
        <f>VLOOKUP(Table8[[#This Row],[Mã khách hàng]],code_khach_hang[],2,0)</f>
        <v>CHI NHÁNH THÁI BÌNH - CÔNG TY CỔ PHẦN DỊCH VỤ THƯƠNG MẠI TỔNG HỢP WINCOMMERCE</v>
      </c>
      <c r="G1502" s="16"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c r="A1503" s="14" t="s">
        <v>1713</v>
      </c>
      <c r="B1503" s="15" t="s">
        <v>5</v>
      </c>
      <c r="C1503" s="10" t="s">
        <v>1714</v>
      </c>
      <c r="D1503" s="16" t="s">
        <v>4967</v>
      </c>
      <c r="E1503" s="15" t="s">
        <v>11215</v>
      </c>
      <c r="F1503" s="16" t="str">
        <f>VLOOKUP(Table8[[#This Row],[Mã khách hàng]],code_khach_hang[],2,0)</f>
        <v>CHI NHÁNH HÀ NỘI - CÔNG TY CỔ PHẦN DỊCH VỤ THƯƠNG MẠI TỔNG HỢP WINCOMMERCE</v>
      </c>
      <c r="G1503" s="16"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c r="A1504" s="14" t="s">
        <v>1774</v>
      </c>
      <c r="B1504" s="15" t="s">
        <v>5</v>
      </c>
      <c r="C1504" s="10" t="s">
        <v>1775</v>
      </c>
      <c r="D1504" s="16" t="s">
        <v>4970</v>
      </c>
      <c r="E1504" s="15" t="s">
        <v>11215</v>
      </c>
      <c r="F1504" s="16" t="str">
        <f>VLOOKUP(Table8[[#This Row],[Mã khách hàng]],code_khach_hang[],2,0)</f>
        <v>CHI NHÁNH HÀ NỘI - CÔNG TY CỔ PHẦN DỊCH VỤ THƯƠNG MẠI TỔNG HỢP WINCOMMERCE</v>
      </c>
      <c r="G1504" s="16"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c r="A1505" s="14" t="s">
        <v>696</v>
      </c>
      <c r="B1505" s="15" t="s">
        <v>183</v>
      </c>
      <c r="C1505" s="10" t="s">
        <v>697</v>
      </c>
      <c r="D1505" s="16" t="s">
        <v>4973</v>
      </c>
      <c r="E1505" s="15" t="s">
        <v>11210</v>
      </c>
      <c r="F1505" s="16" t="str">
        <f>VLOOKUP(Table8[[#This Row],[Mã khách hàng]],code_khach_hang[],2,0)</f>
        <v>CHI NHÁNH HÀ NAM - CÔNG TY CỔ PHẦN DỊCH VỤ THƯƠNG MẠI TỔNG HỢP WINCOMMERCE</v>
      </c>
      <c r="G1505" s="16" t="str">
        <f>VLOOKUP(Table8[[#This Row],[Mã khách hàng]],code_khach_hang[],3,0)</f>
        <v>Miền Bắc đặc biệt 3</v>
      </c>
      <c r="H1505" t="str">
        <f>VLOOKUP(Table8[[#This Row],[Mã khách hàng]],'Khách hàng'!A:D,4,0)</f>
        <v>Food Đức Việt</v>
      </c>
      <c r="I1505" t="str">
        <f>VLOOKUP(Table8[[#This Row],[Mã khách hàng]],'Khách hàng'!A:E,5,0)</f>
        <v>HN0040</v>
      </c>
    </row>
    <row r="1506" spans="1:9">
      <c r="A1506" s="14" t="s">
        <v>652</v>
      </c>
      <c r="B1506" s="15" t="s">
        <v>183</v>
      </c>
      <c r="C1506" s="10" t="s">
        <v>653</v>
      </c>
      <c r="D1506" s="16" t="s">
        <v>4976</v>
      </c>
      <c r="E1506" s="15" t="s">
        <v>11196</v>
      </c>
      <c r="F1506" s="16" t="str">
        <f>VLOOKUP(Table8[[#This Row],[Mã khách hàng]],code_khach_hang[],2,0)</f>
        <v>CHI NHÁNH NINH BÌNH - CÔNG TY CỔ PHẦN DỊCH VỤ THƯƠNG MẠI TỔNG HỢP WINCOMMERCE</v>
      </c>
      <c r="G1506" s="16"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c r="A1507" s="14" t="s">
        <v>664</v>
      </c>
      <c r="B1507" s="15" t="s">
        <v>183</v>
      </c>
      <c r="C1507" s="10" t="s">
        <v>665</v>
      </c>
      <c r="D1507" s="16" t="s">
        <v>4979</v>
      </c>
      <c r="E1507" s="15" t="s">
        <v>11200</v>
      </c>
      <c r="F1507" s="16" t="str">
        <f>VLOOKUP(Table8[[#This Row],[Mã khách hàng]],code_khach_hang[],2,0)</f>
        <v>CHI NHÁNH THÁI BÌNH - CÔNG TY CỔ PHẦN DỊCH VỤ THƯƠNG MẠI TỔNG HỢP WINCOMMERCE</v>
      </c>
      <c r="G1507" s="16"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c r="A1508" s="14" t="s">
        <v>6926</v>
      </c>
      <c r="B1508" s="15" t="s">
        <v>5</v>
      </c>
      <c r="C1508" s="10" t="s">
        <v>6927</v>
      </c>
      <c r="D1508" s="16" t="s">
        <v>4982</v>
      </c>
      <c r="E1508" s="15" t="s">
        <v>11215</v>
      </c>
      <c r="F1508" s="16" t="str">
        <f>VLOOKUP(Table8[[#This Row],[Mã khách hàng]],code_khach_hang[],2,0)</f>
        <v>CHI NHÁNH HÀ NỘI - CÔNG TY CỔ PHẦN DỊCH VỤ THƯƠNG MẠI TỔNG HỢP WINCOMMERCE</v>
      </c>
      <c r="G1508" s="16"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c r="A1509" s="14" t="s">
        <v>6929</v>
      </c>
      <c r="B1509" s="15" t="s">
        <v>5</v>
      </c>
      <c r="C1509" s="10" t="s">
        <v>6930</v>
      </c>
      <c r="D1509" s="16" t="s">
        <v>4985</v>
      </c>
      <c r="E1509" s="15" t="s">
        <v>11215</v>
      </c>
      <c r="F1509" s="16" t="str">
        <f>VLOOKUP(Table8[[#This Row],[Mã khách hàng]],code_khach_hang[],2,0)</f>
        <v>CHI NHÁNH HÀ NỘI - CÔNG TY CỔ PHẦN DỊCH VỤ THƯƠNG MẠI TỔNG HỢP WINCOMMERCE</v>
      </c>
      <c r="G1509" s="16"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c r="A1510" s="14" t="s">
        <v>11115</v>
      </c>
      <c r="B1510" s="15" t="s">
        <v>5</v>
      </c>
      <c r="C1510" s="10" t="e">
        <v>#N/A</v>
      </c>
      <c r="D1510" s="16" t="s">
        <v>4988</v>
      </c>
      <c r="E1510" s="15" t="s">
        <v>11215</v>
      </c>
      <c r="F1510" s="16" t="str">
        <f>VLOOKUP(Table8[[#This Row],[Mã khách hàng]],code_khach_hang[],2,0)</f>
        <v>CHI NHÁNH HÀ NỘI - CÔNG TY CỔ PHẦN DỊCH VỤ THƯƠNG MẠI TỔNG HỢP WINCOMMERCE</v>
      </c>
      <c r="G1510" s="16"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c r="A1511" s="14" t="s">
        <v>7918</v>
      </c>
      <c r="B1511" s="15" t="s">
        <v>5</v>
      </c>
      <c r="C1511" s="10" t="s">
        <v>7919</v>
      </c>
      <c r="D1511" s="16" t="s">
        <v>4991</v>
      </c>
      <c r="E1511" s="15" t="s">
        <v>11215</v>
      </c>
      <c r="F1511" s="16" t="str">
        <f>VLOOKUP(Table8[[#This Row],[Mã khách hàng]],code_khach_hang[],2,0)</f>
        <v>CHI NHÁNH HÀ NỘI - CÔNG TY CỔ PHẦN DỊCH VỤ THƯƠNG MẠI TỔNG HỢP WINCOMMERCE</v>
      </c>
      <c r="G1511" s="16"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c r="A1512" s="14" t="s">
        <v>744</v>
      </c>
      <c r="B1512" s="15" t="s">
        <v>5</v>
      </c>
      <c r="C1512" s="10" t="s">
        <v>745</v>
      </c>
      <c r="D1512" s="16" t="s">
        <v>4994</v>
      </c>
      <c r="E1512" s="15" t="s">
        <v>11215</v>
      </c>
      <c r="F1512" s="16" t="str">
        <f>VLOOKUP(Table8[[#This Row],[Mã khách hàng]],code_khach_hang[],2,0)</f>
        <v>CHI NHÁNH HÀ NỘI - CÔNG TY CỔ PHẦN DỊCH VỤ THƯƠNG MẠI TỔNG HỢP WINCOMMERCE</v>
      </c>
      <c r="G1512" s="16"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c r="A1513" s="14" t="s">
        <v>753</v>
      </c>
      <c r="B1513" s="15" t="s">
        <v>5</v>
      </c>
      <c r="C1513" s="10" t="s">
        <v>754</v>
      </c>
      <c r="D1513" s="16" t="s">
        <v>4997</v>
      </c>
      <c r="E1513" s="15" t="s">
        <v>11215</v>
      </c>
      <c r="F1513" s="16" t="str">
        <f>VLOOKUP(Table8[[#This Row],[Mã khách hàng]],code_khach_hang[],2,0)</f>
        <v>CHI NHÁNH HÀ NỘI - CÔNG TY CỔ PHẦN DỊCH VỤ THƯƠNG MẠI TỔNG HỢP WINCOMMERCE</v>
      </c>
      <c r="G1513" s="16"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c r="A1514" s="14" t="s">
        <v>756</v>
      </c>
      <c r="B1514" s="15" t="s">
        <v>5</v>
      </c>
      <c r="C1514" s="10" t="s">
        <v>757</v>
      </c>
      <c r="D1514" s="16" t="s">
        <v>5000</v>
      </c>
      <c r="E1514" s="15" t="s">
        <v>11215</v>
      </c>
      <c r="F1514" s="16" t="str">
        <f>VLOOKUP(Table8[[#This Row],[Mã khách hàng]],code_khach_hang[],2,0)</f>
        <v>CHI NHÁNH HÀ NỘI - CÔNG TY CỔ PHẦN DỊCH VỤ THƯƠNG MẠI TỔNG HỢP WINCOMMERCE</v>
      </c>
      <c r="G1514" s="16"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c r="A1515" s="14" t="s">
        <v>801</v>
      </c>
      <c r="B1515" s="15" t="s">
        <v>5</v>
      </c>
      <c r="C1515" s="10" t="s">
        <v>802</v>
      </c>
      <c r="D1515" s="16" t="s">
        <v>5003</v>
      </c>
      <c r="E1515" s="15" t="s">
        <v>11215</v>
      </c>
      <c r="F1515" s="16" t="str">
        <f>VLOOKUP(Table8[[#This Row],[Mã khách hàng]],code_khach_hang[],2,0)</f>
        <v>CHI NHÁNH HÀ NỘI - CÔNG TY CỔ PHẦN DỊCH VỤ THƯƠNG MẠI TỔNG HỢP WINCOMMERCE</v>
      </c>
      <c r="G1515" s="16"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c r="A1516" s="14" t="s">
        <v>882</v>
      </c>
      <c r="B1516" s="15" t="s">
        <v>5</v>
      </c>
      <c r="C1516" s="10" t="s">
        <v>883</v>
      </c>
      <c r="D1516" s="16" t="s">
        <v>5006</v>
      </c>
      <c r="E1516" s="15" t="s">
        <v>11215</v>
      </c>
      <c r="F1516" s="16" t="str">
        <f>VLOOKUP(Table8[[#This Row],[Mã khách hàng]],code_khach_hang[],2,0)</f>
        <v>CHI NHÁNH HÀ NỘI - CÔNG TY CỔ PHẦN DỊCH VỤ THƯƠNG MẠI TỔNG HỢP WINCOMMERCE</v>
      </c>
      <c r="G1516" s="16"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c r="A1517" s="14" t="s">
        <v>891</v>
      </c>
      <c r="B1517" s="15" t="s">
        <v>5</v>
      </c>
      <c r="C1517" s="10" t="s">
        <v>892</v>
      </c>
      <c r="D1517" s="16" t="s">
        <v>5009</v>
      </c>
      <c r="E1517" s="15" t="s">
        <v>11215</v>
      </c>
      <c r="F1517" s="16" t="str">
        <f>VLOOKUP(Table8[[#This Row],[Mã khách hàng]],code_khach_hang[],2,0)</f>
        <v>CHI NHÁNH HÀ NỘI - CÔNG TY CỔ PHẦN DỊCH VỤ THƯƠNG MẠI TỔNG HỢP WINCOMMERCE</v>
      </c>
      <c r="G1517" s="16"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c r="A1518" s="14" t="s">
        <v>894</v>
      </c>
      <c r="B1518" s="15" t="s">
        <v>5</v>
      </c>
      <c r="C1518" s="10" t="s">
        <v>895</v>
      </c>
      <c r="D1518" s="16" t="s">
        <v>5012</v>
      </c>
      <c r="E1518" s="15" t="s">
        <v>11215</v>
      </c>
      <c r="F1518" s="16" t="str">
        <f>VLOOKUP(Table8[[#This Row],[Mã khách hàng]],code_khach_hang[],2,0)</f>
        <v>CHI NHÁNH HÀ NỘI - CÔNG TY CỔ PHẦN DỊCH VỤ THƯƠNG MẠI TỔNG HỢP WINCOMMERCE</v>
      </c>
      <c r="G1518" s="16"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c r="A1519" s="14" t="s">
        <v>1014</v>
      </c>
      <c r="B1519" s="15" t="s">
        <v>5</v>
      </c>
      <c r="C1519" s="10" t="s">
        <v>1015</v>
      </c>
      <c r="D1519" s="16" t="s">
        <v>5015</v>
      </c>
      <c r="E1519" s="15" t="s">
        <v>11215</v>
      </c>
      <c r="F1519" s="16" t="str">
        <f>VLOOKUP(Table8[[#This Row],[Mã khách hàng]],code_khach_hang[],2,0)</f>
        <v>CHI NHÁNH HÀ NỘI - CÔNG TY CỔ PHẦN DỊCH VỤ THƯƠNG MẠI TỔNG HỢP WINCOMMERCE</v>
      </c>
      <c r="G1519" s="16"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c r="A1520" s="14" t="s">
        <v>1026</v>
      </c>
      <c r="B1520" s="15" t="s">
        <v>5</v>
      </c>
      <c r="C1520" s="10" t="s">
        <v>1027</v>
      </c>
      <c r="D1520" s="16" t="s">
        <v>5018</v>
      </c>
      <c r="E1520" s="15" t="s">
        <v>11215</v>
      </c>
      <c r="F1520" s="16" t="str">
        <f>VLOOKUP(Table8[[#This Row],[Mã khách hàng]],code_khach_hang[],2,0)</f>
        <v>CHI NHÁNH HÀ NỘI - CÔNG TY CỔ PHẦN DỊCH VỤ THƯƠNG MẠI TỔNG HỢP WINCOMMERCE</v>
      </c>
      <c r="G1520" s="16"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c r="A1521" s="14" t="s">
        <v>1053</v>
      </c>
      <c r="B1521" s="15" t="s">
        <v>5</v>
      </c>
      <c r="C1521" s="10" t="s">
        <v>1054</v>
      </c>
      <c r="D1521" s="16" t="s">
        <v>5021</v>
      </c>
      <c r="E1521" s="15" t="s">
        <v>11215</v>
      </c>
      <c r="F1521" s="16" t="str">
        <f>VLOOKUP(Table8[[#This Row],[Mã khách hàng]],code_khach_hang[],2,0)</f>
        <v>CHI NHÁNH HÀ NỘI - CÔNG TY CỔ PHẦN DỊCH VỤ THƯƠNG MẠI TỔNG HỢP WINCOMMERCE</v>
      </c>
      <c r="G1521" s="16"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c r="A1522" s="14" t="s">
        <v>1221</v>
      </c>
      <c r="B1522" s="15" t="s">
        <v>5</v>
      </c>
      <c r="C1522" s="10" t="s">
        <v>1222</v>
      </c>
      <c r="D1522" s="16" t="s">
        <v>5024</v>
      </c>
      <c r="E1522" s="15" t="s">
        <v>11215</v>
      </c>
      <c r="F1522" s="16" t="str">
        <f>VLOOKUP(Table8[[#This Row],[Mã khách hàng]],code_khach_hang[],2,0)</f>
        <v>CHI NHÁNH HÀ NỘI - CÔNG TY CỔ PHẦN DỊCH VỤ THƯƠNG MẠI TỔNG HỢP WINCOMMERCE</v>
      </c>
      <c r="G1522" s="16"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c r="A1523" s="14" t="s">
        <v>1314</v>
      </c>
      <c r="B1523" s="15" t="s">
        <v>5</v>
      </c>
      <c r="C1523" s="10" t="s">
        <v>1315</v>
      </c>
      <c r="D1523" s="16" t="s">
        <v>5027</v>
      </c>
      <c r="E1523" s="15" t="s">
        <v>11215</v>
      </c>
      <c r="F1523" s="16" t="str">
        <f>VLOOKUP(Table8[[#This Row],[Mã khách hàng]],code_khach_hang[],2,0)</f>
        <v>CHI NHÁNH HÀ NỘI - CÔNG TY CỔ PHẦN DỊCH VỤ THƯƠNG MẠI TỔNG HỢP WINCOMMERCE</v>
      </c>
      <c r="G1523" s="16"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c r="A1524" s="14" t="s">
        <v>4221</v>
      </c>
      <c r="B1524" s="15" t="s">
        <v>5</v>
      </c>
      <c r="C1524" s="10" t="s">
        <v>4222</v>
      </c>
      <c r="D1524" s="16" t="s">
        <v>5030</v>
      </c>
      <c r="E1524" s="15" t="s">
        <v>11215</v>
      </c>
      <c r="F1524" s="16" t="str">
        <f>VLOOKUP(Table8[[#This Row],[Mã khách hàng]],code_khach_hang[],2,0)</f>
        <v>CHI NHÁNH HÀ NỘI - CÔNG TY CỔ PHẦN DỊCH VỤ THƯƠNG MẠI TỔNG HỢP WINCOMMERCE</v>
      </c>
      <c r="G1524" s="16"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c r="A1525" s="14" t="s">
        <v>4746</v>
      </c>
      <c r="B1525" s="15" t="s">
        <v>5</v>
      </c>
      <c r="C1525" s="10" t="s">
        <v>4747</v>
      </c>
      <c r="D1525" s="16" t="s">
        <v>5033</v>
      </c>
      <c r="E1525" s="15" t="s">
        <v>11215</v>
      </c>
      <c r="F1525" s="16" t="str">
        <f>VLOOKUP(Table8[[#This Row],[Mã khách hàng]],code_khach_hang[],2,0)</f>
        <v>CHI NHÁNH HÀ NỘI - CÔNG TY CỔ PHẦN DỊCH VỤ THƯƠNG MẠI TỔNG HỢP WINCOMMERCE</v>
      </c>
      <c r="G1525" s="16"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c r="A1526" s="14" t="s">
        <v>4923</v>
      </c>
      <c r="B1526" s="15" t="s">
        <v>5</v>
      </c>
      <c r="C1526" s="10" t="s">
        <v>4924</v>
      </c>
      <c r="D1526" s="16" t="s">
        <v>5036</v>
      </c>
      <c r="E1526" s="15" t="s">
        <v>11215</v>
      </c>
      <c r="F1526" s="16" t="str">
        <f>VLOOKUP(Table8[[#This Row],[Mã khách hàng]],code_khach_hang[],2,0)</f>
        <v>CHI NHÁNH HÀ NỘI - CÔNG TY CỔ PHẦN DỊCH VỤ THƯƠNG MẠI TỔNG HỢP WINCOMMERCE</v>
      </c>
      <c r="G1526" s="16"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c r="A1527" s="14" t="s">
        <v>5187</v>
      </c>
      <c r="B1527" s="15" t="s">
        <v>5</v>
      </c>
      <c r="C1527" s="10" t="s">
        <v>5188</v>
      </c>
      <c r="D1527" s="16" t="s">
        <v>5039</v>
      </c>
      <c r="E1527" s="15" t="s">
        <v>11215</v>
      </c>
      <c r="F1527" s="16" t="str">
        <f>VLOOKUP(Table8[[#This Row],[Mã khách hàng]],code_khach_hang[],2,0)</f>
        <v>CHI NHÁNH HÀ NỘI - CÔNG TY CỔ PHẦN DỊCH VỤ THƯƠNG MẠI TỔNG HỢP WINCOMMERCE</v>
      </c>
      <c r="G1527" s="16"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c r="A1528" s="14" t="s">
        <v>5253</v>
      </c>
      <c r="B1528" s="15" t="s">
        <v>5</v>
      </c>
      <c r="C1528" s="10" t="s">
        <v>5254</v>
      </c>
      <c r="D1528" s="16" t="s">
        <v>5042</v>
      </c>
      <c r="E1528" s="15" t="s">
        <v>11215</v>
      </c>
      <c r="F1528" s="16" t="str">
        <f>VLOOKUP(Table8[[#This Row],[Mã khách hàng]],code_khach_hang[],2,0)</f>
        <v>CHI NHÁNH HÀ NỘI - CÔNG TY CỔ PHẦN DỊCH VỤ THƯƠNG MẠI TỔNG HỢP WINCOMMERCE</v>
      </c>
      <c r="G1528" s="16"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c r="A1529" s="14" t="s">
        <v>5286</v>
      </c>
      <c r="B1529" s="15" t="s">
        <v>5</v>
      </c>
      <c r="C1529" s="10" t="s">
        <v>5287</v>
      </c>
      <c r="D1529" s="16" t="s">
        <v>5045</v>
      </c>
      <c r="E1529" s="15" t="s">
        <v>11215</v>
      </c>
      <c r="F1529" s="16" t="str">
        <f>VLOOKUP(Table8[[#This Row],[Mã khách hàng]],code_khach_hang[],2,0)</f>
        <v>CHI NHÁNH HÀ NỘI - CÔNG TY CỔ PHẦN DỊCH VỤ THƯƠNG MẠI TỔNG HỢP WINCOMMERCE</v>
      </c>
      <c r="G1529" s="16"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c r="A1530" s="14" t="s">
        <v>5487</v>
      </c>
      <c r="B1530" s="15" t="s">
        <v>5</v>
      </c>
      <c r="C1530" s="10" t="s">
        <v>5488</v>
      </c>
      <c r="D1530" s="16" t="s">
        <v>5048</v>
      </c>
      <c r="E1530" s="15" t="s">
        <v>11215</v>
      </c>
      <c r="F1530" s="16" t="str">
        <f>VLOOKUP(Table8[[#This Row],[Mã khách hàng]],code_khach_hang[],2,0)</f>
        <v>CHI NHÁNH HÀ NỘI - CÔNG TY CỔ PHẦN DỊCH VỤ THƯƠNG MẠI TỔNG HỢP WINCOMMERCE</v>
      </c>
      <c r="G1530" s="16"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c r="A1531" s="14" t="s">
        <v>11116</v>
      </c>
      <c r="B1531" s="15" t="s">
        <v>5</v>
      </c>
      <c r="C1531" s="10" t="s">
        <v>13161</v>
      </c>
      <c r="D1531" s="16" t="s">
        <v>5051</v>
      </c>
      <c r="E1531" s="15" t="s">
        <v>11215</v>
      </c>
      <c r="F1531" s="16" t="str">
        <f>VLOOKUP(Table8[[#This Row],[Mã khách hàng]],code_khach_hang[],2,0)</f>
        <v>CHI NHÁNH HÀ NỘI - CÔNG TY CỔ PHẦN DỊCH VỤ THƯƠNG MẠI TỔNG HỢP WINCOMMERCE</v>
      </c>
      <c r="G1531" s="16"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c r="A1532" s="14" t="s">
        <v>6875</v>
      </c>
      <c r="B1532" s="15" t="s">
        <v>5</v>
      </c>
      <c r="C1532" s="10" t="s">
        <v>6876</v>
      </c>
      <c r="D1532" s="16" t="s">
        <v>5054</v>
      </c>
      <c r="E1532" s="15" t="s">
        <v>11215</v>
      </c>
      <c r="F1532" s="16" t="str">
        <f>VLOOKUP(Table8[[#This Row],[Mã khách hàng]],code_khach_hang[],2,0)</f>
        <v>CHI NHÁNH HÀ NỘI - CÔNG TY CỔ PHẦN DỊCH VỤ THƯƠNG MẠI TỔNG HỢP WINCOMMERCE</v>
      </c>
      <c r="G1532" s="16"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c r="A1533" s="14" t="s">
        <v>7315</v>
      </c>
      <c r="B1533" s="15" t="s">
        <v>5</v>
      </c>
      <c r="C1533" s="10" t="s">
        <v>7316</v>
      </c>
      <c r="D1533" s="16" t="s">
        <v>5057</v>
      </c>
      <c r="E1533" s="15" t="s">
        <v>11215</v>
      </c>
      <c r="F1533" s="16" t="str">
        <f>VLOOKUP(Table8[[#This Row],[Mã khách hàng]],code_khach_hang[],2,0)</f>
        <v>CHI NHÁNH HÀ NỘI - CÔNG TY CỔ PHẦN DỊCH VỤ THƯƠNG MẠI TỔNG HỢP WINCOMMERCE</v>
      </c>
      <c r="G1533" s="16"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c r="A1534" s="14" t="s">
        <v>8608</v>
      </c>
      <c r="B1534" s="15" t="s">
        <v>5</v>
      </c>
      <c r="C1534" s="10" t="s">
        <v>8609</v>
      </c>
      <c r="D1534" s="16" t="s">
        <v>5060</v>
      </c>
      <c r="E1534" s="15" t="s">
        <v>11215</v>
      </c>
      <c r="F1534" s="16" t="str">
        <f>VLOOKUP(Table8[[#This Row],[Mã khách hàng]],code_khach_hang[],2,0)</f>
        <v>CHI NHÁNH HÀ NỘI - CÔNG TY CỔ PHẦN DỊCH VỤ THƯƠNG MẠI TỔNG HỢP WINCOMMERCE</v>
      </c>
      <c r="G1534" s="16"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c r="A1535" s="14" t="s">
        <v>4716</v>
      </c>
      <c r="B1535" s="15" t="s">
        <v>5</v>
      </c>
      <c r="C1535" s="10" t="s">
        <v>4717</v>
      </c>
      <c r="D1535" s="16" t="s">
        <v>5063</v>
      </c>
      <c r="E1535" s="15" t="s">
        <v>11215</v>
      </c>
      <c r="F1535" s="16" t="str">
        <f>VLOOKUP(Table8[[#This Row],[Mã khách hàng]],code_khach_hang[],2,0)</f>
        <v>CHI NHÁNH HÀ NỘI - CÔNG TY CỔ PHẦN DỊCH VỤ THƯƠNG MẠI TỔNG HỢP WINCOMMERCE</v>
      </c>
      <c r="G1535" s="16"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c r="A1536" s="14" t="s">
        <v>5298</v>
      </c>
      <c r="B1536" s="15" t="s">
        <v>5</v>
      </c>
      <c r="C1536" s="10" t="s">
        <v>5299</v>
      </c>
      <c r="D1536" s="16" t="s">
        <v>5066</v>
      </c>
      <c r="E1536" s="15" t="s">
        <v>11215</v>
      </c>
      <c r="F1536" s="16" t="str">
        <f>VLOOKUP(Table8[[#This Row],[Mã khách hàng]],code_khach_hang[],2,0)</f>
        <v>CHI NHÁNH HÀ NỘI - CÔNG TY CỔ PHẦN DỊCH VỤ THƯƠNG MẠI TỔNG HỢP WINCOMMERCE</v>
      </c>
      <c r="G1536" s="16"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c r="A1537" s="14" t="s">
        <v>5334</v>
      </c>
      <c r="B1537" s="15" t="s">
        <v>5</v>
      </c>
      <c r="C1537" s="10" t="s">
        <v>5335</v>
      </c>
      <c r="D1537" s="16" t="s">
        <v>5069</v>
      </c>
      <c r="E1537" s="15" t="s">
        <v>11215</v>
      </c>
      <c r="F1537" s="16" t="str">
        <f>VLOOKUP(Table8[[#This Row],[Mã khách hàng]],code_khach_hang[],2,0)</f>
        <v>CHI NHÁNH HÀ NỘI - CÔNG TY CỔ PHẦN DỊCH VỤ THƯƠNG MẠI TỔNG HỢP WINCOMMERCE</v>
      </c>
      <c r="G1537" s="16"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c r="A1538" s="14" t="s">
        <v>5547</v>
      </c>
      <c r="B1538" s="15" t="s">
        <v>5</v>
      </c>
      <c r="C1538" s="10" t="s">
        <v>5548</v>
      </c>
      <c r="D1538" s="16" t="s">
        <v>5072</v>
      </c>
      <c r="E1538" s="15" t="s">
        <v>11215</v>
      </c>
      <c r="F1538" s="16" t="str">
        <f>VLOOKUP(Table8[[#This Row],[Mã khách hàng]],code_khach_hang[],2,0)</f>
        <v>CHI NHÁNH HÀ NỘI - CÔNG TY CỔ PHẦN DỊCH VỤ THƯƠNG MẠI TỔNG HỢP WINCOMMERCE</v>
      </c>
      <c r="G1538" s="16"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c r="A1539" s="14" t="s">
        <v>1998</v>
      </c>
      <c r="B1539" s="15" t="s">
        <v>5</v>
      </c>
      <c r="C1539" s="10" t="s">
        <v>1999</v>
      </c>
      <c r="D1539" s="16" t="s">
        <v>5075</v>
      </c>
      <c r="E1539" s="15" t="s">
        <v>11215</v>
      </c>
      <c r="F1539" s="16" t="str">
        <f>VLOOKUP(Table8[[#This Row],[Mã khách hàng]],code_khach_hang[],2,0)</f>
        <v>CHI NHÁNH HÀ NỘI - CÔNG TY CỔ PHẦN DỊCH VỤ THƯƠNG MẠI TỔNG HỢP WINCOMMERCE</v>
      </c>
      <c r="G1539" s="16"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c r="A1540" s="14" t="s">
        <v>535</v>
      </c>
      <c r="B1540" s="15" t="s">
        <v>183</v>
      </c>
      <c r="C1540" s="10" t="s">
        <v>536</v>
      </c>
      <c r="D1540" s="16" t="s">
        <v>5078</v>
      </c>
      <c r="E1540" s="15" t="s">
        <v>11195</v>
      </c>
      <c r="F1540" s="16" t="str">
        <f>VLOOKUP(Table8[[#This Row],[Mã khách hàng]],code_khach_hang[],2,0)</f>
        <v>CHI NHÁNH HÀ NỘI - CÔNG TY CỔ PHẦN DỊCH VỤ THƯƠNG MẠI TỔNG HỢP WINCOMMERCE</v>
      </c>
      <c r="G1540" s="16"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c r="A1541" s="14" t="s">
        <v>619</v>
      </c>
      <c r="B1541" s="15" t="s">
        <v>183</v>
      </c>
      <c r="C1541" s="10" t="s">
        <v>620</v>
      </c>
      <c r="D1541" s="16" t="s">
        <v>5081</v>
      </c>
      <c r="E1541" s="14" t="s">
        <v>11195</v>
      </c>
      <c r="F1541" s="16" t="str">
        <f>VLOOKUP(Table8[[#This Row],[Mã khách hàng]],code_khach_hang[],2,0)</f>
        <v>CHI NHÁNH HÀ NỘI - CÔNG TY CỔ PHẦN DỊCH VỤ THƯƠNG MẠI TỔNG HỢP WINCOMMERCE</v>
      </c>
      <c r="G1541" s="16"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c r="A1542" s="14" t="s">
        <v>4278</v>
      </c>
      <c r="B1542" s="15" t="s">
        <v>5</v>
      </c>
      <c r="C1542" s="10" t="s">
        <v>4279</v>
      </c>
      <c r="D1542" s="16" t="s">
        <v>5084</v>
      </c>
      <c r="E1542" s="15" t="s">
        <v>11215</v>
      </c>
      <c r="F1542" s="16" t="str">
        <f>VLOOKUP(Table8[[#This Row],[Mã khách hàng]],code_khach_hang[],2,0)</f>
        <v>CHI NHÁNH HÀ NỘI - CÔNG TY CỔ PHẦN DỊCH VỤ THƯƠNG MẠI TỔNG HỢP WINCOMMERCE</v>
      </c>
      <c r="G1542" s="16"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c r="A1543" s="14" t="s">
        <v>4770</v>
      </c>
      <c r="B1543" s="15" t="s">
        <v>5</v>
      </c>
      <c r="C1543" s="10" t="s">
        <v>4771</v>
      </c>
      <c r="D1543" s="16" t="s">
        <v>5087</v>
      </c>
      <c r="E1543" s="15" t="s">
        <v>11215</v>
      </c>
      <c r="F1543" s="16" t="str">
        <f>VLOOKUP(Table8[[#This Row],[Mã khách hàng]],code_khach_hang[],2,0)</f>
        <v>CHI NHÁNH HÀ NỘI - CÔNG TY CỔ PHẦN DỊCH VỤ THƯƠNG MẠI TỔNG HỢP WINCOMMERCE</v>
      </c>
      <c r="G1543" s="16"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c r="A1544" s="14" t="s">
        <v>4902</v>
      </c>
      <c r="B1544" s="15" t="s">
        <v>5</v>
      </c>
      <c r="C1544" s="10" t="s">
        <v>4903</v>
      </c>
      <c r="D1544" s="16" t="s">
        <v>5090</v>
      </c>
      <c r="E1544" s="15" t="s">
        <v>11215</v>
      </c>
      <c r="F1544" s="16" t="str">
        <f>VLOOKUP(Table8[[#This Row],[Mã khách hàng]],code_khach_hang[],2,0)</f>
        <v>CHI NHÁNH HÀ NỘI - CÔNG TY CỔ PHẦN DỊCH VỤ THƯƠNG MẠI TỔNG HỢP WINCOMMERCE</v>
      </c>
      <c r="G1544" s="16"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c r="A1545" s="14" t="s">
        <v>5274</v>
      </c>
      <c r="B1545" s="15" t="s">
        <v>5</v>
      </c>
      <c r="C1545" s="10" t="s">
        <v>5275</v>
      </c>
      <c r="D1545" s="16" t="s">
        <v>5093</v>
      </c>
      <c r="E1545" s="15" t="s">
        <v>11215</v>
      </c>
      <c r="F1545" s="16" t="str">
        <f>VLOOKUP(Table8[[#This Row],[Mã khách hàng]],code_khach_hang[],2,0)</f>
        <v>CHI NHÁNH HÀ NỘI - CÔNG TY CỔ PHẦN DỊCH VỤ THƯƠNG MẠI TỔNG HỢP WINCOMMERCE</v>
      </c>
      <c r="G1545" s="16"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c r="A1546" s="14" t="s">
        <v>5289</v>
      </c>
      <c r="B1546" s="15" t="s">
        <v>5</v>
      </c>
      <c r="C1546" s="10" t="s">
        <v>5290</v>
      </c>
      <c r="D1546" s="16" t="s">
        <v>5096</v>
      </c>
      <c r="E1546" s="15" t="s">
        <v>11215</v>
      </c>
      <c r="F1546" s="16" t="str">
        <f>VLOOKUP(Table8[[#This Row],[Mã khách hàng]],code_khach_hang[],2,0)</f>
        <v>CHI NHÁNH HÀ NỘI - CÔNG TY CỔ PHẦN DỊCH VỤ THƯƠNG MẠI TỔNG HỢP WINCOMMERCE</v>
      </c>
      <c r="G1546" s="16"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c r="A1547" s="14" t="s">
        <v>6437</v>
      </c>
      <c r="B1547" s="15" t="s">
        <v>5</v>
      </c>
      <c r="C1547" s="10" t="s">
        <v>6438</v>
      </c>
      <c r="D1547" s="16" t="s">
        <v>5099</v>
      </c>
      <c r="E1547" s="15" t="s">
        <v>11215</v>
      </c>
      <c r="F1547" s="16" t="str">
        <f>VLOOKUP(Table8[[#This Row],[Mã khách hàng]],code_khach_hang[],2,0)</f>
        <v>CHI NHÁNH HÀ NỘI - CÔNG TY CỔ PHẦN DỊCH VỤ THƯƠNG MẠI TỔNG HỢP WINCOMMERCE</v>
      </c>
      <c r="G1547" s="16"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c r="A1548" s="14" t="s">
        <v>7222</v>
      </c>
      <c r="B1548" s="15" t="s">
        <v>5</v>
      </c>
      <c r="C1548" s="10" t="s">
        <v>7223</v>
      </c>
      <c r="D1548" s="16" t="s">
        <v>5102</v>
      </c>
      <c r="E1548" s="15" t="s">
        <v>11215</v>
      </c>
      <c r="F1548" s="16" t="str">
        <f>VLOOKUP(Table8[[#This Row],[Mã khách hàng]],code_khach_hang[],2,0)</f>
        <v>CHI NHÁNH HÀ NỘI - CÔNG TY CỔ PHẦN DỊCH VỤ THƯƠNG MẠI TỔNG HỢP WINCOMMERCE</v>
      </c>
      <c r="G1548" s="16"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c r="A1549" s="14" t="s">
        <v>7768</v>
      </c>
      <c r="B1549" s="15" t="s">
        <v>5</v>
      </c>
      <c r="C1549" s="10" t="s">
        <v>7769</v>
      </c>
      <c r="D1549" s="16" t="s">
        <v>5105</v>
      </c>
      <c r="E1549" s="15" t="s">
        <v>11215</v>
      </c>
      <c r="F1549" s="16" t="str">
        <f>VLOOKUP(Table8[[#This Row],[Mã khách hàng]],code_khach_hang[],2,0)</f>
        <v>CHI NHÁNH HÀ NỘI - CÔNG TY CỔ PHẦN DỊCH VỤ THƯƠNG MẠI TỔNG HỢP WINCOMMERCE</v>
      </c>
      <c r="G1549" s="16"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c r="A1550" s="14" t="s">
        <v>5394</v>
      </c>
      <c r="B1550" s="15" t="s">
        <v>5</v>
      </c>
      <c r="C1550" s="10" t="s">
        <v>5395</v>
      </c>
      <c r="D1550" s="16" t="s">
        <v>5108</v>
      </c>
      <c r="E1550" s="15" t="s">
        <v>11215</v>
      </c>
      <c r="F1550" s="16" t="str">
        <f>VLOOKUP(Table8[[#This Row],[Mã khách hàng]],code_khach_hang[],2,0)</f>
        <v>CHI NHÁNH HÀ NỘI - CÔNG TY CỔ PHẦN DỊCH VỤ THƯƠNG MẠI TỔNG HỢP WINCOMMERCE</v>
      </c>
      <c r="G1550" s="16"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c r="A1551" s="14" t="s">
        <v>4827</v>
      </c>
      <c r="B1551" s="15" t="s">
        <v>5</v>
      </c>
      <c r="C1551" s="10" t="s">
        <v>4828</v>
      </c>
      <c r="D1551" s="16" t="s">
        <v>5111</v>
      </c>
      <c r="E1551" s="15" t="s">
        <v>11215</v>
      </c>
      <c r="F1551" s="16" t="str">
        <f>VLOOKUP(Table8[[#This Row],[Mã khách hàng]],code_khach_hang[],2,0)</f>
        <v>CHI NHÁNH HÀ NỘI - CÔNG TY CỔ PHẦN DỊCH VỤ THƯƠNG MẠI TỔNG HỢP WINCOMMERCE</v>
      </c>
      <c r="G1551" s="16"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c r="A1552" s="14" t="s">
        <v>5938</v>
      </c>
      <c r="B1552" s="15" t="s">
        <v>5</v>
      </c>
      <c r="C1552" s="10" t="s">
        <v>5939</v>
      </c>
      <c r="D1552" s="16" t="s">
        <v>5114</v>
      </c>
      <c r="E1552" s="15" t="s">
        <v>11215</v>
      </c>
      <c r="F1552" s="16" t="str">
        <f>VLOOKUP(Table8[[#This Row],[Mã khách hàng]],code_khach_hang[],2,0)</f>
        <v>CHI NHÁNH HÀ NỘI - CÔNG TY CỔ PHẦN DỊCH VỤ THƯƠNG MẠI TỔNG HỢP WINCOMMERCE</v>
      </c>
      <c r="G1552" s="16"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c r="A1553" s="14" t="s">
        <v>8585</v>
      </c>
      <c r="B1553" s="15" t="s">
        <v>5</v>
      </c>
      <c r="C1553" s="10" t="s">
        <v>8586</v>
      </c>
      <c r="D1553" s="16" t="s">
        <v>5117</v>
      </c>
      <c r="E1553" s="15" t="s">
        <v>11215</v>
      </c>
      <c r="F1553" s="16" t="str">
        <f>VLOOKUP(Table8[[#This Row],[Mã khách hàng]],code_khach_hang[],2,0)</f>
        <v>CHI NHÁNH HÀ NỘI - CÔNG TY CỔ PHẦN DỊCH VỤ THƯƠNG MẠI TỔNG HỢP WINCOMMERCE</v>
      </c>
      <c r="G1553" s="16"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c r="A1554" s="14" t="s">
        <v>8620</v>
      </c>
      <c r="B1554" s="15" t="s">
        <v>5</v>
      </c>
      <c r="C1554" s="10" t="s">
        <v>8621</v>
      </c>
      <c r="D1554" s="16" t="s">
        <v>5120</v>
      </c>
      <c r="E1554" s="15" t="s">
        <v>11215</v>
      </c>
      <c r="F1554" s="16" t="str">
        <f>VLOOKUP(Table8[[#This Row],[Mã khách hàng]],code_khach_hang[],2,0)</f>
        <v>CHI NHÁNH HÀ NỘI - CÔNG TY CỔ PHẦN DỊCH VỤ THƯƠNG MẠI TỔNG HỢP WINCOMMERCE</v>
      </c>
      <c r="G1554" s="16"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c r="A1555" s="14" t="s">
        <v>8815</v>
      </c>
      <c r="B1555" s="15" t="s">
        <v>5</v>
      </c>
      <c r="C1555" s="10" t="s">
        <v>8816</v>
      </c>
      <c r="D1555" s="16" t="s">
        <v>5123</v>
      </c>
      <c r="E1555" s="15" t="s">
        <v>11215</v>
      </c>
      <c r="F1555" s="16" t="str">
        <f>VLOOKUP(Table8[[#This Row],[Mã khách hàng]],code_khach_hang[],2,0)</f>
        <v>CHI NHÁNH HÀ NỘI - CÔNG TY CỔ PHẦN DỊCH VỤ THƯƠNG MẠI TỔNG HỢP WINCOMMERCE</v>
      </c>
      <c r="G1555" s="16"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c r="A1556" s="14" t="s">
        <v>9013</v>
      </c>
      <c r="B1556" s="15" t="s">
        <v>5</v>
      </c>
      <c r="C1556" s="10" t="s">
        <v>9014</v>
      </c>
      <c r="D1556" s="16" t="s">
        <v>5126</v>
      </c>
      <c r="E1556" s="15" t="s">
        <v>11215</v>
      </c>
      <c r="F1556" s="16" t="str">
        <f>VLOOKUP(Table8[[#This Row],[Mã khách hàng]],code_khach_hang[],2,0)</f>
        <v>CHI NHÁNH HÀ NỘI - CÔNG TY CỔ PHẦN DỊCH VỤ THƯƠNG MẠI TỔNG HỢP WINCOMMERCE</v>
      </c>
      <c r="G1556" s="16"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c r="A1557" s="14" t="s">
        <v>762</v>
      </c>
      <c r="B1557" s="15" t="s">
        <v>5</v>
      </c>
      <c r="C1557" s="10" t="s">
        <v>763</v>
      </c>
      <c r="D1557" s="16" t="s">
        <v>5129</v>
      </c>
      <c r="E1557" s="15" t="s">
        <v>11215</v>
      </c>
      <c r="F1557" s="16" t="str">
        <f>VLOOKUP(Table8[[#This Row],[Mã khách hàng]],code_khach_hang[],2,0)</f>
        <v>CHI NHÁNH HÀ NỘI - CÔNG TY CỔ PHẦN DỊCH VỤ THƯƠNG MẠI TỔNG HỢP WINCOMMERCE</v>
      </c>
      <c r="G1557" s="16"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c r="A1558" s="14" t="s">
        <v>1002</v>
      </c>
      <c r="B1558" s="15" t="s">
        <v>5</v>
      </c>
      <c r="C1558" s="10" t="s">
        <v>1003</v>
      </c>
      <c r="D1558" s="16" t="s">
        <v>5132</v>
      </c>
      <c r="E1558" s="15" t="s">
        <v>11215</v>
      </c>
      <c r="F1558" s="16" t="str">
        <f>VLOOKUP(Table8[[#This Row],[Mã khách hàng]],code_khach_hang[],2,0)</f>
        <v>CHI NHÁNH HÀ NỘI - CÔNG TY CỔ PHẦN DỊCH VỤ THƯƠNG MẠI TỔNG HỢP WINCOMMERCE</v>
      </c>
      <c r="G1558" s="16"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c r="A1559" s="14" t="s">
        <v>1056</v>
      </c>
      <c r="B1559" s="15" t="s">
        <v>5</v>
      </c>
      <c r="C1559" s="10" t="s">
        <v>1057</v>
      </c>
      <c r="D1559" s="16" t="s">
        <v>5135</v>
      </c>
      <c r="E1559" s="15" t="s">
        <v>11215</v>
      </c>
      <c r="F1559" s="16" t="str">
        <f>VLOOKUP(Table8[[#This Row],[Mã khách hàng]],code_khach_hang[],2,0)</f>
        <v>CHI NHÁNH HÀ NỘI - CÔNG TY CỔ PHẦN DỊCH VỤ THƯƠNG MẠI TỔNG HỢP WINCOMMERCE</v>
      </c>
      <c r="G1559" s="16"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c r="A1560" s="14" t="s">
        <v>1167</v>
      </c>
      <c r="B1560" s="15" t="s">
        <v>5</v>
      </c>
      <c r="C1560" s="10" t="s">
        <v>1168</v>
      </c>
      <c r="D1560" s="16" t="s">
        <v>5138</v>
      </c>
      <c r="E1560" s="15" t="s">
        <v>11215</v>
      </c>
      <c r="F1560" s="16" t="str">
        <f>VLOOKUP(Table8[[#This Row],[Mã khách hàng]],code_khach_hang[],2,0)</f>
        <v>CHI NHÁNH HÀ NỘI - CÔNG TY CỔ PHẦN DỊCH VỤ THƯƠNG MẠI TỔNG HỢP WINCOMMERCE</v>
      </c>
      <c r="G1560" s="16"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c r="A1561" s="14" t="s">
        <v>1275</v>
      </c>
      <c r="B1561" s="15" t="s">
        <v>5</v>
      </c>
      <c r="C1561" s="10" t="s">
        <v>1276</v>
      </c>
      <c r="D1561" s="16" t="s">
        <v>5141</v>
      </c>
      <c r="E1561" s="15" t="s">
        <v>11215</v>
      </c>
      <c r="F1561" s="16" t="str">
        <f>VLOOKUP(Table8[[#This Row],[Mã khách hàng]],code_khach_hang[],2,0)</f>
        <v>CHI NHÁNH HÀ NỘI - CÔNG TY CỔ PHẦN DỊCH VỤ THƯƠNG MẠI TỔNG HỢP WINCOMMERCE</v>
      </c>
      <c r="G1561" s="16"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c r="A1562" s="14" t="s">
        <v>4122</v>
      </c>
      <c r="B1562" s="15" t="s">
        <v>5</v>
      </c>
      <c r="C1562" s="10" t="s">
        <v>4123</v>
      </c>
      <c r="D1562" s="16" t="s">
        <v>5144</v>
      </c>
      <c r="E1562" s="15" t="s">
        <v>11215</v>
      </c>
      <c r="F1562" s="16" t="str">
        <f>VLOOKUP(Table8[[#This Row],[Mã khách hàng]],code_khach_hang[],2,0)</f>
        <v>CHI NHÁNH HÀ NỘI - CÔNG TY CỔ PHẦN DỊCH VỤ THƯƠNG MẠI TỔNG HỢP WINCOMMERCE</v>
      </c>
      <c r="G1562" s="16"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c r="A1563" s="14" t="s">
        <v>4248</v>
      </c>
      <c r="B1563" s="15" t="s">
        <v>5</v>
      </c>
      <c r="C1563" s="10" t="s">
        <v>4249</v>
      </c>
      <c r="D1563" s="16" t="s">
        <v>5147</v>
      </c>
      <c r="E1563" s="15" t="s">
        <v>11215</v>
      </c>
      <c r="F1563" s="16" t="str">
        <f>VLOOKUP(Table8[[#This Row],[Mã khách hàng]],code_khach_hang[],2,0)</f>
        <v>CHI NHÁNH HÀ NỘI - CÔNG TY CỔ PHẦN DỊCH VỤ THƯƠNG MẠI TỔNG HỢP WINCOMMERCE</v>
      </c>
      <c r="G1563" s="16"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c r="A1564" s="14" t="s">
        <v>4578</v>
      </c>
      <c r="B1564" s="15" t="s">
        <v>5</v>
      </c>
      <c r="C1564" s="10" t="s">
        <v>4579</v>
      </c>
      <c r="D1564" s="16" t="s">
        <v>5150</v>
      </c>
      <c r="E1564" s="15" t="s">
        <v>11215</v>
      </c>
      <c r="F1564" s="16" t="str">
        <f>VLOOKUP(Table8[[#This Row],[Mã khách hàng]],code_khach_hang[],2,0)</f>
        <v>CHI NHÁNH HÀ NỘI - CÔNG TY CỔ PHẦN DỊCH VỤ THƯƠNG MẠI TỔNG HỢP WINCOMMERCE</v>
      </c>
      <c r="G1564" s="16"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c r="A1565" s="14" t="s">
        <v>5193</v>
      </c>
      <c r="B1565" s="15" t="s">
        <v>5</v>
      </c>
      <c r="C1565" s="10" t="s">
        <v>5194</v>
      </c>
      <c r="D1565" s="16" t="s">
        <v>5153</v>
      </c>
      <c r="E1565" s="15" t="s">
        <v>11215</v>
      </c>
      <c r="F1565" s="16" t="str">
        <f>VLOOKUP(Table8[[#This Row],[Mã khách hàng]],code_khach_hang[],2,0)</f>
        <v>CHI NHÁNH HÀ NỘI - CÔNG TY CỔ PHẦN DỊCH VỤ THƯƠNG MẠI TỔNG HỢP WINCOMMERCE</v>
      </c>
      <c r="G1565" s="16"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c r="A1566" s="14" t="s">
        <v>6782</v>
      </c>
      <c r="B1566" s="15" t="s">
        <v>5</v>
      </c>
      <c r="C1566" s="10" t="s">
        <v>6783</v>
      </c>
      <c r="D1566" s="16" t="s">
        <v>5156</v>
      </c>
      <c r="E1566" s="15" t="s">
        <v>11215</v>
      </c>
      <c r="F1566" s="16" t="str">
        <f>VLOOKUP(Table8[[#This Row],[Mã khách hàng]],code_khach_hang[],2,0)</f>
        <v>CHI NHÁNH HÀ NỘI - CÔNG TY CỔ PHẦN DỊCH VỤ THƯƠNG MẠI TỔNG HỢP WINCOMMERCE</v>
      </c>
      <c r="G1566" s="16"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c r="A1567" s="14" t="s">
        <v>798</v>
      </c>
      <c r="B1567" s="15" t="s">
        <v>5</v>
      </c>
      <c r="C1567" s="10" t="s">
        <v>799</v>
      </c>
      <c r="D1567" s="16" t="s">
        <v>5159</v>
      </c>
      <c r="E1567" s="15" t="s">
        <v>11215</v>
      </c>
      <c r="F1567" s="16" t="str">
        <f>VLOOKUP(Table8[[#This Row],[Mã khách hàng]],code_khach_hang[],2,0)</f>
        <v>CHI NHÁNH HÀ NỘI - CÔNG TY CỔ PHẦN DỊCH VỤ THƯƠNG MẠI TỔNG HỢP WINCOMMERCE</v>
      </c>
      <c r="G1567" s="16"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c r="A1568" s="14" t="s">
        <v>825</v>
      </c>
      <c r="B1568" s="15" t="s">
        <v>5</v>
      </c>
      <c r="C1568" s="10" t="s">
        <v>826</v>
      </c>
      <c r="D1568" s="16" t="s">
        <v>5162</v>
      </c>
      <c r="E1568" s="15" t="s">
        <v>11215</v>
      </c>
      <c r="F1568" s="16" t="str">
        <f>VLOOKUP(Table8[[#This Row],[Mã khách hàng]],code_khach_hang[],2,0)</f>
        <v>CHI NHÁNH HÀ NỘI - CÔNG TY CỔ PHẦN DỊCH VỤ THƯƠNG MẠI TỔNG HỢP WINCOMMERCE</v>
      </c>
      <c r="G1568" s="16"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c r="A1569" s="14" t="s">
        <v>11117</v>
      </c>
      <c r="B1569" s="15" t="s">
        <v>5</v>
      </c>
      <c r="C1569" s="10" t="s">
        <v>13162</v>
      </c>
      <c r="D1569" s="16" t="s">
        <v>5165</v>
      </c>
      <c r="E1569" s="15" t="s">
        <v>11215</v>
      </c>
      <c r="F1569" s="16" t="str">
        <f>VLOOKUP(Table8[[#This Row],[Mã khách hàng]],code_khach_hang[],2,0)</f>
        <v>CHI NHÁNH HÀ NỘI - CÔNG TY CỔ PHẦN DỊCH VỤ THƯƠNG MẠI TỔNG HỢP WINCOMMERCE</v>
      </c>
      <c r="G1569" s="16"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c r="A1570" s="14" t="s">
        <v>954</v>
      </c>
      <c r="B1570" s="15" t="s">
        <v>5</v>
      </c>
      <c r="C1570" s="10" t="s">
        <v>955</v>
      </c>
      <c r="D1570" s="16" t="s">
        <v>5168</v>
      </c>
      <c r="E1570" s="15" t="s">
        <v>11215</v>
      </c>
      <c r="F1570" s="16" t="str">
        <f>VLOOKUP(Table8[[#This Row],[Mã khách hàng]],code_khach_hang[],2,0)</f>
        <v>CHI NHÁNH HÀ NỘI - CÔNG TY CỔ PHẦN DỊCH VỤ THƯƠNG MẠI TỔNG HỢP WINCOMMERCE</v>
      </c>
      <c r="G1570" s="16"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c r="A1571" s="14" t="s">
        <v>987</v>
      </c>
      <c r="B1571" s="15" t="s">
        <v>5</v>
      </c>
      <c r="C1571" s="10" t="s">
        <v>988</v>
      </c>
      <c r="D1571" s="16" t="s">
        <v>5171</v>
      </c>
      <c r="E1571" s="15" t="s">
        <v>11215</v>
      </c>
      <c r="F1571" s="16" t="str">
        <f>VLOOKUP(Table8[[#This Row],[Mã khách hàng]],code_khach_hang[],2,0)</f>
        <v>CHI NHÁNH HÀ NỘI - CÔNG TY CỔ PHẦN DỊCH VỤ THƯƠNG MẠI TỔNG HỢP WINCOMMERCE</v>
      </c>
      <c r="G1571" s="16"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c r="A1572" s="14" t="s">
        <v>996</v>
      </c>
      <c r="B1572" s="15" t="s">
        <v>5</v>
      </c>
      <c r="C1572" s="10" t="s">
        <v>997</v>
      </c>
      <c r="D1572" s="16" t="s">
        <v>5174</v>
      </c>
      <c r="E1572" s="15" t="s">
        <v>11215</v>
      </c>
      <c r="F1572" s="16" t="str">
        <f>VLOOKUP(Table8[[#This Row],[Mã khách hàng]],code_khach_hang[],2,0)</f>
        <v>CHI NHÁNH HÀ NỘI - CÔNG TY CỔ PHẦN DỊCH VỤ THƯƠNG MẠI TỔNG HỢP WINCOMMERCE</v>
      </c>
      <c r="G1572" s="16"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c r="A1573" s="14" t="s">
        <v>1068</v>
      </c>
      <c r="B1573" s="15" t="s">
        <v>5</v>
      </c>
      <c r="C1573" s="10" t="s">
        <v>1069</v>
      </c>
      <c r="D1573" s="16" t="s">
        <v>5177</v>
      </c>
      <c r="E1573" s="15" t="s">
        <v>11215</v>
      </c>
      <c r="F1573" s="16" t="str">
        <f>VLOOKUP(Table8[[#This Row],[Mã khách hàng]],code_khach_hang[],2,0)</f>
        <v>CHI NHÁNH HÀ NỘI - CÔNG TY CỔ PHẦN DỊCH VỤ THƯƠNG MẠI TỔNG HỢP WINCOMMERCE</v>
      </c>
      <c r="G1573" s="16"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c r="A1574" s="14" t="s">
        <v>1095</v>
      </c>
      <c r="B1574" s="15" t="s">
        <v>5</v>
      </c>
      <c r="C1574" s="10" t="s">
        <v>1096</v>
      </c>
      <c r="D1574" s="16" t="s">
        <v>5180</v>
      </c>
      <c r="E1574" s="15" t="s">
        <v>11215</v>
      </c>
      <c r="F1574" s="16" t="str">
        <f>VLOOKUP(Table8[[#This Row],[Mã khách hàng]],code_khach_hang[],2,0)</f>
        <v>CHI NHÁNH HÀ NỘI - CÔNG TY CỔ PHẦN DỊCH VỤ THƯƠNG MẠI TỔNG HỢP WINCOMMERCE</v>
      </c>
      <c r="G1574" s="16"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c r="A1575" s="14" t="s">
        <v>1098</v>
      </c>
      <c r="B1575" s="15" t="s">
        <v>5</v>
      </c>
      <c r="C1575" s="10" t="s">
        <v>1099</v>
      </c>
      <c r="D1575" s="16" t="s">
        <v>5183</v>
      </c>
      <c r="E1575" s="15" t="s">
        <v>11215</v>
      </c>
      <c r="F1575" s="16" t="str">
        <f>VLOOKUP(Table8[[#This Row],[Mã khách hàng]],code_khach_hang[],2,0)</f>
        <v>CHI NHÁNH HÀ NỘI - CÔNG TY CỔ PHẦN DỊCH VỤ THƯƠNG MẠI TỔNG HỢP WINCOMMERCE</v>
      </c>
      <c r="G1575" s="16"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c r="A1576" s="14" t="s">
        <v>1104</v>
      </c>
      <c r="B1576" s="15" t="s">
        <v>5</v>
      </c>
      <c r="C1576" s="10" t="s">
        <v>1105</v>
      </c>
      <c r="D1576" s="16" t="s">
        <v>5186</v>
      </c>
      <c r="E1576" s="15" t="s">
        <v>11215</v>
      </c>
      <c r="F1576" s="16" t="str">
        <f>VLOOKUP(Table8[[#This Row],[Mã khách hàng]],code_khach_hang[],2,0)</f>
        <v>CHI NHÁNH HÀ NỘI - CÔNG TY CỔ PHẦN DỊCH VỤ THƯƠNG MẠI TỔNG HỢP WINCOMMERCE</v>
      </c>
      <c r="G1576" s="16"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c r="A1577" s="14" t="s">
        <v>11118</v>
      </c>
      <c r="B1577" s="15" t="s">
        <v>5</v>
      </c>
      <c r="C1577" s="10" t="s">
        <v>13163</v>
      </c>
      <c r="D1577" s="16" t="s">
        <v>5189</v>
      </c>
      <c r="E1577" s="15" t="s">
        <v>11215</v>
      </c>
      <c r="F1577" s="16" t="str">
        <f>VLOOKUP(Table8[[#This Row],[Mã khách hàng]],code_khach_hang[],2,0)</f>
        <v>CHI NHÁNH HÀ NỘI - CÔNG TY CỔ PHẦN DỊCH VỤ THƯƠNG MẠI TỔNG HỢP WINCOMMERCE</v>
      </c>
      <c r="G1577" s="16"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c r="A1578" s="14" t="s">
        <v>1176</v>
      </c>
      <c r="B1578" s="15" t="s">
        <v>5</v>
      </c>
      <c r="C1578" s="10" t="s">
        <v>1177</v>
      </c>
      <c r="D1578" s="16" t="s">
        <v>5192</v>
      </c>
      <c r="E1578" s="15" t="s">
        <v>11215</v>
      </c>
      <c r="F1578" s="16" t="str">
        <f>VLOOKUP(Table8[[#This Row],[Mã khách hàng]],code_khach_hang[],2,0)</f>
        <v>CHI NHÁNH HÀ NỘI - CÔNG TY CỔ PHẦN DỊCH VỤ THƯƠNG MẠI TỔNG HỢP WINCOMMERCE</v>
      </c>
      <c r="G1578" s="16"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c r="A1579" s="14" t="s">
        <v>1206</v>
      </c>
      <c r="B1579" s="15" t="s">
        <v>5</v>
      </c>
      <c r="C1579" s="10" t="s">
        <v>1207</v>
      </c>
      <c r="D1579" s="16" t="s">
        <v>5195</v>
      </c>
      <c r="E1579" s="15" t="s">
        <v>11215</v>
      </c>
      <c r="F1579" s="16" t="str">
        <f>VLOOKUP(Table8[[#This Row],[Mã khách hàng]],code_khach_hang[],2,0)</f>
        <v>CHI NHÁNH HÀ NỘI - CÔNG TY CỔ PHẦN DỊCH VỤ THƯƠNG MẠI TỔNG HỢP WINCOMMERCE</v>
      </c>
      <c r="G1579" s="16"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c r="A1580" s="14" t="s">
        <v>1251</v>
      </c>
      <c r="B1580" s="15" t="s">
        <v>5</v>
      </c>
      <c r="C1580" s="10" t="s">
        <v>1252</v>
      </c>
      <c r="D1580" s="16" t="s">
        <v>5198</v>
      </c>
      <c r="E1580" s="15" t="s">
        <v>11215</v>
      </c>
      <c r="F1580" s="16" t="str">
        <f>VLOOKUP(Table8[[#This Row],[Mã khách hàng]],code_khach_hang[],2,0)</f>
        <v>CHI NHÁNH HÀ NỘI - CÔNG TY CỔ PHẦN DỊCH VỤ THƯƠNG MẠI TỔNG HỢP WINCOMMERCE</v>
      </c>
      <c r="G1580" s="16"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c r="A1581" s="14" t="s">
        <v>1254</v>
      </c>
      <c r="B1581" s="15" t="s">
        <v>5</v>
      </c>
      <c r="C1581" s="10" t="s">
        <v>1255</v>
      </c>
      <c r="D1581" s="16" t="s">
        <v>5201</v>
      </c>
      <c r="E1581" s="15" t="s">
        <v>11215</v>
      </c>
      <c r="F1581" s="16" t="str">
        <f>VLOOKUP(Table8[[#This Row],[Mã khách hàng]],code_khach_hang[],2,0)</f>
        <v>CHI NHÁNH HÀ NỘI - CÔNG TY CỔ PHẦN DỊCH VỤ THƯƠNG MẠI TỔNG HỢP WINCOMMERCE</v>
      </c>
      <c r="G1581" s="16"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c r="A1582" s="14" t="s">
        <v>1284</v>
      </c>
      <c r="B1582" s="15" t="s">
        <v>5</v>
      </c>
      <c r="C1582" s="10" t="s">
        <v>1285</v>
      </c>
      <c r="D1582" s="16" t="s">
        <v>5204</v>
      </c>
      <c r="E1582" s="15" t="s">
        <v>11215</v>
      </c>
      <c r="F1582" s="16" t="str">
        <f>VLOOKUP(Table8[[#This Row],[Mã khách hàng]],code_khach_hang[],2,0)</f>
        <v>CHI NHÁNH HÀ NỘI - CÔNG TY CỔ PHẦN DỊCH VỤ THƯƠNG MẠI TỔNG HỢP WINCOMMERCE</v>
      </c>
      <c r="G1582" s="16"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c r="A1583" s="14" t="s">
        <v>1311</v>
      </c>
      <c r="B1583" s="15" t="s">
        <v>5</v>
      </c>
      <c r="C1583" s="10" t="s">
        <v>1312</v>
      </c>
      <c r="D1583" s="16" t="s">
        <v>5207</v>
      </c>
      <c r="E1583" s="15" t="s">
        <v>11215</v>
      </c>
      <c r="F1583" s="16" t="str">
        <f>VLOOKUP(Table8[[#This Row],[Mã khách hàng]],code_khach_hang[],2,0)</f>
        <v>CHI NHÁNH HÀ NỘI - CÔNG TY CỔ PHẦN DỊCH VỤ THƯƠNG MẠI TỔNG HỢP WINCOMMERCE</v>
      </c>
      <c r="G1583" s="16"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c r="A1584" s="14" t="s">
        <v>1340</v>
      </c>
      <c r="B1584" s="15" t="s">
        <v>5</v>
      </c>
      <c r="C1584" s="10" t="s">
        <v>1341</v>
      </c>
      <c r="D1584" s="16" t="s">
        <v>5210</v>
      </c>
      <c r="E1584" s="15" t="s">
        <v>11215</v>
      </c>
      <c r="F1584" s="16" t="str">
        <f>VLOOKUP(Table8[[#This Row],[Mã khách hàng]],code_khach_hang[],2,0)</f>
        <v>CHI NHÁNH HÀ NỘI - CÔNG TY CỔ PHẦN DỊCH VỤ THƯƠNG MẠI TỔNG HỢP WINCOMMERCE</v>
      </c>
      <c r="G1584" s="16"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c r="A1585" s="14" t="s">
        <v>4104</v>
      </c>
      <c r="B1585" s="15" t="s">
        <v>5</v>
      </c>
      <c r="C1585" s="10" t="s">
        <v>4105</v>
      </c>
      <c r="D1585" s="16" t="s">
        <v>5213</v>
      </c>
      <c r="E1585" s="15" t="s">
        <v>11215</v>
      </c>
      <c r="F1585" s="16" t="str">
        <f>VLOOKUP(Table8[[#This Row],[Mã khách hàng]],code_khach_hang[],2,0)</f>
        <v>CHI NHÁNH HÀ NỘI - CÔNG TY CỔ PHẦN DỊCH VỤ THƯƠNG MẠI TỔNG HỢP WINCOMMERCE</v>
      </c>
      <c r="G1585" s="16"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c r="A1586" s="14" t="s">
        <v>4251</v>
      </c>
      <c r="B1586" s="15" t="s">
        <v>5</v>
      </c>
      <c r="C1586" s="10" t="s">
        <v>4252</v>
      </c>
      <c r="D1586" s="16" t="s">
        <v>5216</v>
      </c>
      <c r="E1586" s="15" t="s">
        <v>11215</v>
      </c>
      <c r="F1586" s="16" t="str">
        <f>VLOOKUP(Table8[[#This Row],[Mã khách hàng]],code_khach_hang[],2,0)</f>
        <v>CHI NHÁNH HÀ NỘI - CÔNG TY CỔ PHẦN DỊCH VỤ THƯƠNG MẠI TỔNG HỢP WINCOMMERCE</v>
      </c>
      <c r="G1586" s="16"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c r="A1587" s="14" t="s">
        <v>4743</v>
      </c>
      <c r="B1587" s="15" t="s">
        <v>5</v>
      </c>
      <c r="C1587" s="10" t="s">
        <v>4744</v>
      </c>
      <c r="D1587" s="16" t="s">
        <v>5219</v>
      </c>
      <c r="E1587" s="15" t="s">
        <v>11215</v>
      </c>
      <c r="F1587" s="16" t="str">
        <f>VLOOKUP(Table8[[#This Row],[Mã khách hàng]],code_khach_hang[],2,0)</f>
        <v>CHI NHÁNH HÀ NỘI - CÔNG TY CỔ PHẦN DỊCH VỤ THƯƠNG MẠI TỔNG HỢP WINCOMMERCE</v>
      </c>
      <c r="G1587" s="16"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c r="A1588" s="14" t="s">
        <v>5037</v>
      </c>
      <c r="B1588" s="15" t="s">
        <v>5</v>
      </c>
      <c r="C1588" s="10" t="s">
        <v>5038</v>
      </c>
      <c r="D1588" s="16" t="s">
        <v>5222</v>
      </c>
      <c r="E1588" s="15" t="s">
        <v>11215</v>
      </c>
      <c r="F1588" s="16" t="str">
        <f>VLOOKUP(Table8[[#This Row],[Mã khách hàng]],code_khach_hang[],2,0)</f>
        <v>CHI NHÁNH HÀ NỘI - CÔNG TY CỔ PHẦN DỊCH VỤ THƯƠNG MẠI TỔNG HỢP WINCOMMERCE</v>
      </c>
      <c r="G1588" s="16"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c r="A1589" s="14" t="s">
        <v>11119</v>
      </c>
      <c r="B1589" s="15" t="s">
        <v>5</v>
      </c>
      <c r="C1589" s="10" t="e">
        <v>#N/A</v>
      </c>
      <c r="D1589" s="16" t="s">
        <v>5225</v>
      </c>
      <c r="E1589" s="15" t="s">
        <v>11215</v>
      </c>
      <c r="F1589" s="16" t="str">
        <f>VLOOKUP(Table8[[#This Row],[Mã khách hàng]],code_khach_hang[],2,0)</f>
        <v>CHI NHÁNH HÀ NỘI - CÔNG TY CỔ PHẦN DỊCH VỤ THƯƠNG MẠI TỔNG HỢP WINCOMMERCE</v>
      </c>
      <c r="G1589" s="16"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c r="A1590" s="14" t="s">
        <v>5376</v>
      </c>
      <c r="B1590" s="15" t="s">
        <v>5</v>
      </c>
      <c r="C1590" s="10" t="s">
        <v>5377</v>
      </c>
      <c r="D1590" s="16" t="s">
        <v>5228</v>
      </c>
      <c r="E1590" s="15" t="s">
        <v>11215</v>
      </c>
      <c r="F1590" s="16" t="str">
        <f>VLOOKUP(Table8[[#This Row],[Mã khách hàng]],code_khach_hang[],2,0)</f>
        <v>CHI NHÁNH HÀ NỘI - CÔNG TY CỔ PHẦN DỊCH VỤ THƯƠNG MẠI TỔNG HỢP WINCOMMERCE</v>
      </c>
      <c r="G1590" s="16"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c r="A1591" s="14" t="s">
        <v>11120</v>
      </c>
      <c r="B1591" s="15" t="s">
        <v>5</v>
      </c>
      <c r="C1591" s="10" t="s">
        <v>13164</v>
      </c>
      <c r="D1591" s="16" t="s">
        <v>5231</v>
      </c>
      <c r="E1591" s="15" t="s">
        <v>11215</v>
      </c>
      <c r="F1591" s="16" t="str">
        <f>VLOOKUP(Table8[[#This Row],[Mã khách hàng]],code_khach_hang[],2,0)</f>
        <v>CHI NHÁNH HÀ NỘI - CÔNG TY CỔ PHẦN DỊCH VỤ THƯƠNG MẠI TỔNG HỢP WINCOMMERCE</v>
      </c>
      <c r="G1591" s="16"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c r="A1592" s="14" t="s">
        <v>5514</v>
      </c>
      <c r="B1592" s="15" t="s">
        <v>5</v>
      </c>
      <c r="C1592" s="10" t="s">
        <v>5515</v>
      </c>
      <c r="D1592" s="16" t="s">
        <v>5234</v>
      </c>
      <c r="E1592" s="15" t="s">
        <v>11215</v>
      </c>
      <c r="F1592" s="16" t="str">
        <f>VLOOKUP(Table8[[#This Row],[Mã khách hàng]],code_khach_hang[],2,0)</f>
        <v>CHI NHÁNH HÀ NỘI - CÔNG TY CỔ PHẦN DỊCH VỤ THƯƠNG MẠI TỔNG HỢP WINCOMMERCE</v>
      </c>
      <c r="G1592" s="16"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c r="A1593" s="14" t="s">
        <v>5962</v>
      </c>
      <c r="B1593" s="15" t="s">
        <v>5</v>
      </c>
      <c r="C1593" s="10" t="s">
        <v>5963</v>
      </c>
      <c r="D1593" s="16" t="s">
        <v>5237</v>
      </c>
      <c r="E1593" s="15" t="s">
        <v>11215</v>
      </c>
      <c r="F1593" s="16" t="str">
        <f>VLOOKUP(Table8[[#This Row],[Mã khách hàng]],code_khach_hang[],2,0)</f>
        <v>CHI NHÁNH HÀ NỘI - CÔNG TY CỔ PHẦN DỊCH VỤ THƯƠNG MẠI TỔNG HỢP WINCOMMERCE</v>
      </c>
      <c r="G1593" s="16"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c r="A1594" s="14" t="s">
        <v>6309</v>
      </c>
      <c r="B1594" s="15" t="s">
        <v>5</v>
      </c>
      <c r="C1594" s="10" t="s">
        <v>6310</v>
      </c>
      <c r="D1594" s="16" t="s">
        <v>5240</v>
      </c>
      <c r="E1594" s="15" t="s">
        <v>11215</v>
      </c>
      <c r="F1594" s="16" t="str">
        <f>VLOOKUP(Table8[[#This Row],[Mã khách hàng]],code_khach_hang[],2,0)</f>
        <v>CHI NHÁNH HÀ NỘI - CÔNG TY CỔ PHẦN DỊCH VỤ THƯƠNG MẠI TỔNG HỢP WINCOMMERCE</v>
      </c>
      <c r="G1594" s="16"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c r="A1595" s="14" t="s">
        <v>6378</v>
      </c>
      <c r="B1595" s="15" t="s">
        <v>5</v>
      </c>
      <c r="C1595" s="10" t="s">
        <v>6379</v>
      </c>
      <c r="D1595" s="16" t="s">
        <v>5243</v>
      </c>
      <c r="E1595" s="15" t="s">
        <v>11215</v>
      </c>
      <c r="F1595" s="16" t="str">
        <f>VLOOKUP(Table8[[#This Row],[Mã khách hàng]],code_khach_hang[],2,0)</f>
        <v>CHI NHÁNH HÀ NỘI - CÔNG TY CỔ PHẦN DỊCH VỤ THƯƠNG MẠI TỔNG HỢP WINCOMMERCE</v>
      </c>
      <c r="G1595" s="16"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c r="A1596" s="14" t="s">
        <v>7921</v>
      </c>
      <c r="B1596" s="15" t="s">
        <v>5</v>
      </c>
      <c r="C1596" s="10" t="s">
        <v>7922</v>
      </c>
      <c r="D1596" s="16" t="s">
        <v>5246</v>
      </c>
      <c r="E1596" s="15" t="s">
        <v>11215</v>
      </c>
      <c r="F1596" s="16" t="str">
        <f>VLOOKUP(Table8[[#This Row],[Mã khách hàng]],code_khach_hang[],2,0)</f>
        <v>CHI NHÁNH HÀ NỘI - CÔNG TY CỔ PHẦN DỊCH VỤ THƯƠNG MẠI TỔNG HỢP WINCOMMERCE</v>
      </c>
      <c r="G1596" s="16"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c r="A1597" s="14" t="s">
        <v>1128</v>
      </c>
      <c r="B1597" s="15" t="s">
        <v>5</v>
      </c>
      <c r="C1597" s="10" t="s">
        <v>1129</v>
      </c>
      <c r="D1597" s="16" t="s">
        <v>5249</v>
      </c>
      <c r="E1597" s="15" t="s">
        <v>11215</v>
      </c>
      <c r="F1597" s="16" t="str">
        <f>VLOOKUP(Table8[[#This Row],[Mã khách hàng]],code_khach_hang[],2,0)</f>
        <v>CHI NHÁNH HÀ NỘI - CÔNG TY CỔ PHẦN DỊCH VỤ THƯƠNG MẠI TỔNG HỢP WINCOMMERCE</v>
      </c>
      <c r="G1597" s="16"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c r="A1598" s="14" t="s">
        <v>4359</v>
      </c>
      <c r="B1598" s="15" t="s">
        <v>5</v>
      </c>
      <c r="C1598" s="10" t="s">
        <v>4360</v>
      </c>
      <c r="D1598" s="16" t="s">
        <v>5252</v>
      </c>
      <c r="E1598" s="15" t="s">
        <v>11215</v>
      </c>
      <c r="F1598" s="16" t="str">
        <f>VLOOKUP(Table8[[#This Row],[Mã khách hàng]],code_khach_hang[],2,0)</f>
        <v>CHI NHÁNH HÀ NỘI - CÔNG TY CỔ PHẦN DỊCH VỤ THƯƠNG MẠI TỔNG HỢP WINCOMMERCE</v>
      </c>
      <c r="G1598" s="16"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c r="A1599" s="14" t="s">
        <v>4812</v>
      </c>
      <c r="B1599" s="15" t="s">
        <v>5</v>
      </c>
      <c r="C1599" s="10" t="s">
        <v>4813</v>
      </c>
      <c r="D1599" s="16" t="s">
        <v>5255</v>
      </c>
      <c r="E1599" s="14" t="s">
        <v>11215</v>
      </c>
      <c r="F1599" s="16" t="str">
        <f>VLOOKUP(Table8[[#This Row],[Mã khách hàng]],code_khach_hang[],2,0)</f>
        <v>CHI NHÁNH HÀ NỘI - CÔNG TY CỔ PHẦN DỊCH VỤ THƯƠNG MẠI TỔNG HỢP WINCOMMERCE</v>
      </c>
      <c r="G1599" s="16"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c r="A1600" s="14" t="s">
        <v>1287</v>
      </c>
      <c r="B1600" s="15" t="s">
        <v>5</v>
      </c>
      <c r="C1600" s="10" t="s">
        <v>1288</v>
      </c>
      <c r="D1600" s="16" t="s">
        <v>5258</v>
      </c>
      <c r="E1600" s="15" t="s">
        <v>11215</v>
      </c>
      <c r="F1600" s="16" t="str">
        <f>VLOOKUP(Table8[[#This Row],[Mã khách hàng]],code_khach_hang[],2,0)</f>
        <v>CHI NHÁNH HÀ NỘI - CÔNG TY CỔ PHẦN DỊCH VỤ THƯƠNG MẠI TỔNG HỢP WINCOMMERCE</v>
      </c>
      <c r="G1600" s="16"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c r="A1601" s="14" t="s">
        <v>8800</v>
      </c>
      <c r="B1601" s="15" t="s">
        <v>5</v>
      </c>
      <c r="C1601" s="10" t="s">
        <v>8801</v>
      </c>
      <c r="D1601" s="16" t="s">
        <v>5261</v>
      </c>
      <c r="E1601" s="15" t="s">
        <v>11215</v>
      </c>
      <c r="F1601" s="16" t="str">
        <f>VLOOKUP(Table8[[#This Row],[Mã khách hàng]],code_khach_hang[],2,0)</f>
        <v>CHI NHÁNH HÀ NỘI - CÔNG TY CỔ PHẦN DỊCH VỤ THƯƠNG MẠI TỔNG HỢP WINCOMMERCE</v>
      </c>
      <c r="G1601" s="16"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c r="A1602" s="14" t="s">
        <v>8977</v>
      </c>
      <c r="B1602" s="15" t="s">
        <v>5</v>
      </c>
      <c r="C1602" s="10" t="s">
        <v>8978</v>
      </c>
      <c r="D1602" s="16" t="s">
        <v>5264</v>
      </c>
      <c r="E1602" s="15" t="s">
        <v>11215</v>
      </c>
      <c r="F1602" s="16" t="str">
        <f>VLOOKUP(Table8[[#This Row],[Mã khách hàng]],code_khach_hang[],2,0)</f>
        <v>CHI NHÁNH HÀ NỘI - CÔNG TY CỔ PHẦN DỊCH VỤ THƯƠNG MẠI TỔNG HỢP WINCOMMERCE</v>
      </c>
      <c r="G1602" s="16"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c r="A1603" s="14" t="s">
        <v>1704</v>
      </c>
      <c r="B1603" s="15" t="s">
        <v>5</v>
      </c>
      <c r="C1603" s="10" t="s">
        <v>1705</v>
      </c>
      <c r="D1603" s="16" t="s">
        <v>5267</v>
      </c>
      <c r="E1603" s="15" t="s">
        <v>11215</v>
      </c>
      <c r="F1603" s="16" t="str">
        <f>VLOOKUP(Table8[[#This Row],[Mã khách hàng]],code_khach_hang[],2,0)</f>
        <v>CHI NHÁNH HÀ NỘI - CÔNG TY CỔ PHẦN DỊCH VỤ THƯƠNG MẠI TỔNG HỢP WINCOMMERCE</v>
      </c>
      <c r="G1603" s="16"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c r="A1604" s="14" t="s">
        <v>1811</v>
      </c>
      <c r="B1604" s="15" t="s">
        <v>5</v>
      </c>
      <c r="C1604" s="10" t="s">
        <v>1812</v>
      </c>
      <c r="D1604" s="16" t="s">
        <v>5270</v>
      </c>
      <c r="E1604" s="15" t="s">
        <v>11215</v>
      </c>
      <c r="F1604" s="16" t="str">
        <f>VLOOKUP(Table8[[#This Row],[Mã khách hàng]],code_khach_hang[],2,0)</f>
        <v>CHI NHÁNH HÀ NỘI - CÔNG TY CỔ PHẦN DỊCH VỤ THƯƠNG MẠI TỔNG HỢP WINCOMMERCE</v>
      </c>
      <c r="G1604" s="16"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c r="A1605" s="14" t="s">
        <v>2105</v>
      </c>
      <c r="B1605" s="15" t="s">
        <v>5</v>
      </c>
      <c r="C1605" s="10" t="s">
        <v>2106</v>
      </c>
      <c r="D1605" s="16" t="s">
        <v>5273</v>
      </c>
      <c r="E1605" s="15" t="s">
        <v>11215</v>
      </c>
      <c r="F1605" s="16" t="str">
        <f>VLOOKUP(Table8[[#This Row],[Mã khách hàng]],code_khach_hang[],2,0)</f>
        <v>CHI NHÁNH HÀ NỘI - CÔNG TY CỔ PHẦN DỊCH VỤ THƯƠNG MẠI TỔNG HỢP WINCOMMERCE</v>
      </c>
      <c r="G1605" s="16"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c r="A1606" s="14" t="s">
        <v>2145</v>
      </c>
      <c r="B1606" s="15" t="s">
        <v>5</v>
      </c>
      <c r="C1606" s="10" t="s">
        <v>2146</v>
      </c>
      <c r="D1606" s="16" t="s">
        <v>5276</v>
      </c>
      <c r="E1606" s="15" t="s">
        <v>11215</v>
      </c>
      <c r="F1606" s="16" t="str">
        <f>VLOOKUP(Table8[[#This Row],[Mã khách hàng]],code_khach_hang[],2,0)</f>
        <v>CHI NHÁNH HÀ NỘI - CÔNG TY CỔ PHẦN DỊCH VỤ THƯƠNG MẠI TỔNG HỢP WINCOMMERCE</v>
      </c>
      <c r="G1606" s="16"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c r="A1607" s="14" t="s">
        <v>2272</v>
      </c>
      <c r="B1607" s="15" t="s">
        <v>5</v>
      </c>
      <c r="C1607" s="10" t="s">
        <v>2273</v>
      </c>
      <c r="D1607" s="16" t="s">
        <v>5279</v>
      </c>
      <c r="E1607" s="15" t="s">
        <v>11215</v>
      </c>
      <c r="F1607" s="16" t="str">
        <f>VLOOKUP(Table8[[#This Row],[Mã khách hàng]],code_khach_hang[],2,0)</f>
        <v>CHI NHÁNH HÀ NỘI - CÔNG TY CỔ PHẦN DỊCH VỤ THƯƠNG MẠI TỔNG HỢP WINCOMMERCE</v>
      </c>
      <c r="G1607" s="16"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c r="A1608" s="14" t="s">
        <v>2275</v>
      </c>
      <c r="B1608" s="15" t="s">
        <v>5</v>
      </c>
      <c r="C1608" s="10" t="s">
        <v>2276</v>
      </c>
      <c r="D1608" s="16" t="s">
        <v>5282</v>
      </c>
      <c r="E1608" s="15" t="s">
        <v>11215</v>
      </c>
      <c r="F1608" s="16" t="str">
        <f>VLOOKUP(Table8[[#This Row],[Mã khách hàng]],code_khach_hang[],2,0)</f>
        <v>CHI NHÁNH HÀ NỘI - CÔNG TY CỔ PHẦN DỊCH VỤ THƯƠNG MẠI TỔNG HỢP WINCOMMERCE</v>
      </c>
      <c r="G1608" s="16"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c r="A1609" s="14" t="s">
        <v>595</v>
      </c>
      <c r="B1609" s="15" t="s">
        <v>183</v>
      </c>
      <c r="C1609" s="10" t="s">
        <v>596</v>
      </c>
      <c r="D1609" s="16" t="s">
        <v>5285</v>
      </c>
      <c r="E1609" s="15" t="s">
        <v>11195</v>
      </c>
      <c r="F1609" s="16" t="str">
        <f>VLOOKUP(Table8[[#This Row],[Mã khách hàng]],code_khach_hang[],2,0)</f>
        <v>CHI NHÁNH HÀ NỘI - CÔNG TY CỔ PHẦN DỊCH VỤ THƯƠNG MẠI TỔNG HỢP WINCOMMERCE</v>
      </c>
      <c r="G1609" s="16"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c r="A1610" s="14" t="s">
        <v>622</v>
      </c>
      <c r="B1610" s="15" t="s">
        <v>183</v>
      </c>
      <c r="C1610" s="10" t="s">
        <v>623</v>
      </c>
      <c r="D1610" s="16" t="s">
        <v>5288</v>
      </c>
      <c r="E1610" s="15" t="s">
        <v>11195</v>
      </c>
      <c r="F1610" s="16" t="str">
        <f>VLOOKUP(Table8[[#This Row],[Mã khách hàng]],code_khach_hang[],2,0)</f>
        <v>CHI NHÁNH HÀ NỘI - CÔNG TY CỔ PHẦN DỊCH VỤ THƯƠNG MẠI TỔNG HỢP WINCOMMERCE</v>
      </c>
      <c r="G1610" s="16"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c r="A1611" s="14" t="s">
        <v>528</v>
      </c>
      <c r="B1611" s="15" t="s">
        <v>183</v>
      </c>
      <c r="C1611" s="10" t="s">
        <v>529</v>
      </c>
      <c r="D1611" s="16" t="s">
        <v>5291</v>
      </c>
      <c r="E1611" s="15" t="s">
        <v>11195</v>
      </c>
      <c r="F1611" s="16" t="str">
        <f>VLOOKUP(Table8[[#This Row],[Mã khách hàng]],code_khach_hang[],2,0)</f>
        <v>CHI NHÁNH HÀ NỘI - CÔNG TY CỔ PHẦN DỊCH VỤ THƯƠNG MẠI TỔNG HỢP WINCOMMERCE</v>
      </c>
      <c r="G1611" s="16"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c r="A1612" s="14" t="s">
        <v>550</v>
      </c>
      <c r="B1612" s="15" t="s">
        <v>183</v>
      </c>
      <c r="C1612" s="10" t="s">
        <v>551</v>
      </c>
      <c r="D1612" s="16" t="s">
        <v>5294</v>
      </c>
      <c r="E1612" s="15" t="s">
        <v>11195</v>
      </c>
      <c r="F1612" s="16" t="str">
        <f>VLOOKUP(Table8[[#This Row],[Mã khách hàng]],code_khach_hang[],2,0)</f>
        <v>CHI NHÁNH HÀ NỘI - CÔNG TY CỔ PHẦN DỊCH VỤ THƯƠNG MẠI TỔNG HỢP WINCOMMERCE</v>
      </c>
      <c r="G1612" s="16"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c r="A1613" s="14" t="s">
        <v>601</v>
      </c>
      <c r="B1613" s="15" t="s">
        <v>183</v>
      </c>
      <c r="C1613" s="10" t="s">
        <v>602</v>
      </c>
      <c r="D1613" s="16" t="s">
        <v>5297</v>
      </c>
      <c r="E1613" s="15" t="s">
        <v>11195</v>
      </c>
      <c r="F1613" s="16" t="str">
        <f>VLOOKUP(Table8[[#This Row],[Mã khách hàng]],code_khach_hang[],2,0)</f>
        <v>CHI NHÁNH HÀ NỘI - CÔNG TY CỔ PHẦN DỊCH VỤ THƯƠNG MẠI TỔNG HỢP WINCOMMERCE</v>
      </c>
      <c r="G1613" s="16"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c r="A1614" s="14" t="s">
        <v>960</v>
      </c>
      <c r="B1614" s="15" t="s">
        <v>5</v>
      </c>
      <c r="C1614" s="10" t="s">
        <v>961</v>
      </c>
      <c r="D1614" s="16" t="s">
        <v>5300</v>
      </c>
      <c r="E1614" s="15" t="s">
        <v>11215</v>
      </c>
      <c r="F1614" s="16" t="str">
        <f>VLOOKUP(Table8[[#This Row],[Mã khách hàng]],code_khach_hang[],2,0)</f>
        <v>CHI NHÁNH HÀ NỘI - CÔNG TY CỔ PHẦN DỊCH VỤ THƯƠNG MẠI TỔNG HỢP WINCOMMERCE</v>
      </c>
      <c r="G1614" s="16"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c r="A1615" s="14" t="s">
        <v>1149</v>
      </c>
      <c r="B1615" s="15" t="s">
        <v>5</v>
      </c>
      <c r="C1615" s="10" t="s">
        <v>1150</v>
      </c>
      <c r="D1615" s="16" t="s">
        <v>5303</v>
      </c>
      <c r="E1615" s="15" t="s">
        <v>11215</v>
      </c>
      <c r="F1615" s="16" t="str">
        <f>VLOOKUP(Table8[[#This Row],[Mã khách hàng]],code_khach_hang[],2,0)</f>
        <v>CHI NHÁNH HÀ NỘI - CÔNG TY CỔ PHẦN DỊCH VỤ THƯƠNG MẠI TỔNG HỢP WINCOMMERCE</v>
      </c>
      <c r="G1615" s="16"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c r="A1616" s="14" t="s">
        <v>1170</v>
      </c>
      <c r="B1616" s="15" t="s">
        <v>5</v>
      </c>
      <c r="C1616" s="10" t="s">
        <v>1171</v>
      </c>
      <c r="D1616" s="16" t="s">
        <v>5306</v>
      </c>
      <c r="E1616" s="15" t="s">
        <v>11215</v>
      </c>
      <c r="F1616" s="16" t="str">
        <f>VLOOKUP(Table8[[#This Row],[Mã khách hàng]],code_khach_hang[],2,0)</f>
        <v>CHI NHÁNH HÀ NỘI - CÔNG TY CỔ PHẦN DỊCH VỤ THƯƠNG MẠI TỔNG HỢP WINCOMMERCE</v>
      </c>
      <c r="G1616" s="16"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c r="A1617" s="14" t="s">
        <v>1302</v>
      </c>
      <c r="B1617" s="15" t="s">
        <v>5</v>
      </c>
      <c r="C1617" s="10" t="s">
        <v>1303</v>
      </c>
      <c r="D1617" s="16" t="s">
        <v>5309</v>
      </c>
      <c r="E1617" s="15" t="s">
        <v>11215</v>
      </c>
      <c r="F1617" s="16" t="str">
        <f>VLOOKUP(Table8[[#This Row],[Mã khách hàng]],code_khach_hang[],2,0)</f>
        <v>CHI NHÁNH HÀ NỘI - CÔNG TY CỔ PHẦN DỊCH VỤ THƯƠNG MẠI TỔNG HỢP WINCOMMERCE</v>
      </c>
      <c r="G1617" s="16"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c r="A1618" s="14" t="s">
        <v>4566</v>
      </c>
      <c r="B1618" s="15" t="s">
        <v>5</v>
      </c>
      <c r="C1618" s="10" t="s">
        <v>4567</v>
      </c>
      <c r="D1618" s="16" t="s">
        <v>5312</v>
      </c>
      <c r="E1618" s="15" t="s">
        <v>11215</v>
      </c>
      <c r="F1618" s="16" t="str">
        <f>VLOOKUP(Table8[[#This Row],[Mã khách hàng]],code_khach_hang[],2,0)</f>
        <v>CHI NHÁNH HÀ NỘI - CÔNG TY CỔ PHẦN DỊCH VỤ THƯƠNG MẠI TỔNG HỢP WINCOMMERCE</v>
      </c>
      <c r="G1618" s="16"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c r="A1619" s="14" t="s">
        <v>4866</v>
      </c>
      <c r="B1619" s="15" t="s">
        <v>5</v>
      </c>
      <c r="C1619" s="10" t="s">
        <v>4867</v>
      </c>
      <c r="D1619" s="16" t="s">
        <v>5315</v>
      </c>
      <c r="E1619" s="15" t="s">
        <v>11215</v>
      </c>
      <c r="F1619" s="16" t="str">
        <f>VLOOKUP(Table8[[#This Row],[Mã khách hàng]],code_khach_hang[],2,0)</f>
        <v>CHI NHÁNH HÀ NỘI - CÔNG TY CỔ PHẦN DỊCH VỤ THƯƠNG MẠI TỔNG HỢP WINCOMMERCE</v>
      </c>
      <c r="G1619" s="16"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c r="A1620" s="14" t="s">
        <v>4917</v>
      </c>
      <c r="B1620" s="15" t="s">
        <v>5</v>
      </c>
      <c r="C1620" s="10" t="s">
        <v>4918</v>
      </c>
      <c r="D1620" s="16" t="s">
        <v>5318</v>
      </c>
      <c r="E1620" s="15" t="s">
        <v>11215</v>
      </c>
      <c r="F1620" s="16" t="str">
        <f>VLOOKUP(Table8[[#This Row],[Mã khách hàng]],code_khach_hang[],2,0)</f>
        <v>CHI NHÁNH HÀ NỘI - CÔNG TY CỔ PHẦN DỊCH VỤ THƯƠNG MẠI TỔNG HỢP WINCOMMERCE</v>
      </c>
      <c r="G1620" s="16"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c r="A1621" s="14" t="s">
        <v>5034</v>
      </c>
      <c r="B1621" s="15" t="s">
        <v>5</v>
      </c>
      <c r="C1621" s="10" t="s">
        <v>5035</v>
      </c>
      <c r="D1621" s="16" t="s">
        <v>5321</v>
      </c>
      <c r="E1621" s="15" t="s">
        <v>11215</v>
      </c>
      <c r="F1621" s="16" t="str">
        <f>VLOOKUP(Table8[[#This Row],[Mã khách hàng]],code_khach_hang[],2,0)</f>
        <v>CHI NHÁNH HÀ NỘI - CÔNG TY CỔ PHẦN DỊCH VỤ THƯƠNG MẠI TỔNG HỢP WINCOMMERCE</v>
      </c>
      <c r="G1621" s="16"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c r="A1622" s="14" t="s">
        <v>5196</v>
      </c>
      <c r="B1622" s="15" t="s">
        <v>5</v>
      </c>
      <c r="C1622" s="10" t="s">
        <v>5197</v>
      </c>
      <c r="D1622" s="16" t="s">
        <v>5324</v>
      </c>
      <c r="E1622" s="14" t="s">
        <v>11215</v>
      </c>
      <c r="F1622" s="16" t="str">
        <f>VLOOKUP(Table8[[#This Row],[Mã khách hàng]],code_khach_hang[],2,0)</f>
        <v>CHI NHÁNH HÀ NỘI - CÔNG TY CỔ PHẦN DỊCH VỤ THƯƠNG MẠI TỔNG HỢP WINCOMMERCE</v>
      </c>
      <c r="G1622" s="16"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c r="A1623" s="14" t="s">
        <v>5579</v>
      </c>
      <c r="B1623" s="15" t="s">
        <v>5</v>
      </c>
      <c r="C1623" s="10" t="s">
        <v>5580</v>
      </c>
      <c r="D1623" s="16" t="s">
        <v>5327</v>
      </c>
      <c r="E1623" s="15" t="s">
        <v>11215</v>
      </c>
      <c r="F1623" s="16" t="str">
        <f>VLOOKUP(Table8[[#This Row],[Mã khách hàng]],code_khach_hang[],2,0)</f>
        <v>CHI NHÁNH HÀ NỘI - CÔNG TY CỔ PHẦN DỊCH VỤ THƯƠNG MẠI TỔNG HỢP WINCOMMERCE</v>
      </c>
      <c r="G1623" s="16"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c r="A1624" s="14" t="s">
        <v>6016</v>
      </c>
      <c r="B1624" s="15" t="s">
        <v>5</v>
      </c>
      <c r="C1624" s="10" t="s">
        <v>6017</v>
      </c>
      <c r="D1624" s="16" t="s">
        <v>5330</v>
      </c>
      <c r="E1624" s="15" t="s">
        <v>11215</v>
      </c>
      <c r="F1624" s="16" t="str">
        <f>VLOOKUP(Table8[[#This Row],[Mã khách hàng]],code_khach_hang[],2,0)</f>
        <v>CHI NHÁNH HÀ NỘI - CÔNG TY CỔ PHẦN DỊCH VỤ THƯƠNG MẠI TỔNG HỢP WINCOMMERCE</v>
      </c>
      <c r="G1624" s="16"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c r="A1625" s="14" t="s">
        <v>6566</v>
      </c>
      <c r="B1625" s="15" t="s">
        <v>5</v>
      </c>
      <c r="C1625" s="10" t="s">
        <v>6567</v>
      </c>
      <c r="D1625" s="16" t="s">
        <v>5333</v>
      </c>
      <c r="E1625" s="15" t="s">
        <v>11215</v>
      </c>
      <c r="F1625" s="16" t="str">
        <f>VLOOKUP(Table8[[#This Row],[Mã khách hàng]],code_khach_hang[],2,0)</f>
        <v>CHI NHÁNH HÀ NỘI - CÔNG TY CỔ PHẦN DỊCH VỤ THƯƠNG MẠI TỔNG HỢP WINCOMMERCE</v>
      </c>
      <c r="G1625" s="16"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c r="A1626" s="14" t="s">
        <v>6680</v>
      </c>
      <c r="B1626" s="15" t="s">
        <v>5</v>
      </c>
      <c r="C1626" s="10" t="s">
        <v>6681</v>
      </c>
      <c r="D1626" s="16" t="s">
        <v>5336</v>
      </c>
      <c r="E1626" s="15" t="s">
        <v>11215</v>
      </c>
      <c r="F1626" s="16" t="str">
        <f>VLOOKUP(Table8[[#This Row],[Mã khách hàng]],code_khach_hang[],2,0)</f>
        <v>CHI NHÁNH HÀ NỘI - CÔNG TY CỔ PHẦN DỊCH VỤ THƯƠNG MẠI TỔNG HỢP WINCOMMERCE</v>
      </c>
      <c r="G1626" s="16"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c r="A1627" s="14" t="s">
        <v>6743</v>
      </c>
      <c r="B1627" s="15" t="s">
        <v>5</v>
      </c>
      <c r="C1627" s="10" t="s">
        <v>6744</v>
      </c>
      <c r="D1627" s="16" t="s">
        <v>5339</v>
      </c>
      <c r="E1627" s="15" t="s">
        <v>11215</v>
      </c>
      <c r="F1627" s="16" t="str">
        <f>VLOOKUP(Table8[[#This Row],[Mã khách hàng]],code_khach_hang[],2,0)</f>
        <v>CHI NHÁNH HÀ NỘI - CÔNG TY CỔ PHẦN DỊCH VỤ THƯƠNG MẠI TỔNG HỢP WINCOMMERCE</v>
      </c>
      <c r="G1627" s="16"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c r="A1628" s="14" t="s">
        <v>7074</v>
      </c>
      <c r="B1628" s="15" t="s">
        <v>5</v>
      </c>
      <c r="C1628" s="10" t="s">
        <v>7075</v>
      </c>
      <c r="D1628" s="16" t="s">
        <v>5342</v>
      </c>
      <c r="E1628" s="15" t="s">
        <v>11215</v>
      </c>
      <c r="F1628" s="16" t="str">
        <f>VLOOKUP(Table8[[#This Row],[Mã khách hàng]],code_khach_hang[],2,0)</f>
        <v>CHI NHÁNH HÀ NỘI - CÔNG TY CỔ PHẦN DỊCH VỤ THƯƠNG MẠI TỔNG HỢP WINCOMMERCE</v>
      </c>
      <c r="G1628" s="16"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c r="A1629" s="14" t="s">
        <v>6803</v>
      </c>
      <c r="B1629" s="15" t="s">
        <v>5</v>
      </c>
      <c r="C1629" s="10" t="s">
        <v>6804</v>
      </c>
      <c r="D1629" s="16" t="s">
        <v>5345</v>
      </c>
      <c r="E1629" s="15" t="s">
        <v>11215</v>
      </c>
      <c r="F1629" s="16" t="str">
        <f>VLOOKUP(Table8[[#This Row],[Mã khách hàng]],code_khach_hang[],2,0)</f>
        <v>CHI NHÁNH HÀ NỘI - CÔNG TY CỔ PHẦN DỊCH VỤ THƯƠNG MẠI TỔNG HỢP WINCOMMERCE</v>
      </c>
      <c r="G1629" s="16"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c r="A1630" s="14" t="s">
        <v>5151</v>
      </c>
      <c r="B1630" s="15" t="s">
        <v>5</v>
      </c>
      <c r="C1630" s="10" t="s">
        <v>5152</v>
      </c>
      <c r="D1630" s="16" t="s">
        <v>5348</v>
      </c>
      <c r="E1630" s="15" t="s">
        <v>11215</v>
      </c>
      <c r="F1630" s="16" t="str">
        <f>VLOOKUP(Table8[[#This Row],[Mã khách hàng]],code_khach_hang[],2,0)</f>
        <v>CHI NHÁNH HÀ NỘI - CÔNG TY CỔ PHẦN DỊCH VỤ THƯƠNG MẠI TỔNG HỢP WINCOMMERCE</v>
      </c>
      <c r="G1630" s="16"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c r="A1631" s="14" t="s">
        <v>4410</v>
      </c>
      <c r="B1631" s="15" t="s">
        <v>5</v>
      </c>
      <c r="C1631" s="10" t="s">
        <v>4411</v>
      </c>
      <c r="D1631" s="16" t="s">
        <v>5351</v>
      </c>
      <c r="E1631" s="15" t="s">
        <v>11215</v>
      </c>
      <c r="F1631" s="16" t="str">
        <f>VLOOKUP(Table8[[#This Row],[Mã khách hàng]],code_khach_hang[],2,0)</f>
        <v>CHI NHÁNH HÀ NỘI - CÔNG TY CỔ PHẦN DỊCH VỤ THƯƠNG MẠI TỔNG HỢP WINCOMMERCE</v>
      </c>
      <c r="G1631" s="16"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c r="A1632" s="14" t="s">
        <v>6587</v>
      </c>
      <c r="B1632" s="15" t="s">
        <v>5</v>
      </c>
      <c r="C1632" s="10" t="s">
        <v>6588</v>
      </c>
      <c r="D1632" s="16" t="s">
        <v>5354</v>
      </c>
      <c r="E1632" s="15" t="s">
        <v>11215</v>
      </c>
      <c r="F1632" s="16" t="str">
        <f>VLOOKUP(Table8[[#This Row],[Mã khách hàng]],code_khach_hang[],2,0)</f>
        <v>CHI NHÁNH HÀ NỘI - CÔNG TY CỔ PHẦN DỊCH VỤ THƯƠNG MẠI TỔNG HỢP WINCOMMERCE</v>
      </c>
      <c r="G1632" s="16"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c r="A1633" s="14" t="s">
        <v>4164</v>
      </c>
      <c r="B1633" s="15" t="s">
        <v>5</v>
      </c>
      <c r="C1633" s="10" t="s">
        <v>4165</v>
      </c>
      <c r="D1633" s="16" t="s">
        <v>5357</v>
      </c>
      <c r="E1633" s="15" t="s">
        <v>11215</v>
      </c>
      <c r="F1633" s="16" t="str">
        <f>VLOOKUP(Table8[[#This Row],[Mã khách hàng]],code_khach_hang[],2,0)</f>
        <v>CHI NHÁNH HÀ NỘI - CÔNG TY CỔ PHẦN DỊCH VỤ THƯƠNG MẠI TỔNG HỢP WINCOMMERCE</v>
      </c>
      <c r="G1633" s="16"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c r="A1634" s="14" t="s">
        <v>4560</v>
      </c>
      <c r="B1634" s="15" t="s">
        <v>5</v>
      </c>
      <c r="C1634" s="10" t="s">
        <v>4561</v>
      </c>
      <c r="D1634" s="16" t="s">
        <v>5360</v>
      </c>
      <c r="E1634" s="15" t="s">
        <v>11215</v>
      </c>
      <c r="F1634" s="16" t="str">
        <f>VLOOKUP(Table8[[#This Row],[Mã khách hàng]],code_khach_hang[],2,0)</f>
        <v>CHI NHÁNH HÀ NỘI - CÔNG TY CỔ PHẦN DỊCH VỤ THƯƠNG MẠI TỔNG HỢP WINCOMMERCE</v>
      </c>
      <c r="G1634" s="16"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c r="A1635" s="14" t="s">
        <v>4593</v>
      </c>
      <c r="B1635" s="15" t="s">
        <v>5</v>
      </c>
      <c r="C1635" s="10" t="s">
        <v>4594</v>
      </c>
      <c r="D1635" s="16" t="s">
        <v>5363</v>
      </c>
      <c r="E1635" s="15" t="s">
        <v>11215</v>
      </c>
      <c r="F1635" s="16" t="str">
        <f>VLOOKUP(Table8[[#This Row],[Mã khách hàng]],code_khach_hang[],2,0)</f>
        <v>CHI NHÁNH HÀ NỘI - CÔNG TY CỔ PHẦN DỊCH VỤ THƯƠNG MẠI TỔNG HỢP WINCOMMERCE</v>
      </c>
      <c r="G1635" s="16"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c r="A1636" s="14" t="s">
        <v>5810</v>
      </c>
      <c r="B1636" s="15" t="s">
        <v>5</v>
      </c>
      <c r="C1636" s="10" t="s">
        <v>5811</v>
      </c>
      <c r="D1636" s="16" t="s">
        <v>5366</v>
      </c>
      <c r="E1636" s="15" t="s">
        <v>11215</v>
      </c>
      <c r="F1636" s="16" t="str">
        <f>VLOOKUP(Table8[[#This Row],[Mã khách hàng]],code_khach_hang[],2,0)</f>
        <v>CHI NHÁNH HÀ NỘI - CÔNG TY CỔ PHẦN DỊCH VỤ THƯƠNG MẠI TỔNG HỢP WINCOMMERCE</v>
      </c>
      <c r="G1636" s="16"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c r="A1637" s="14" t="s">
        <v>8019</v>
      </c>
      <c r="B1637" s="15" t="s">
        <v>5</v>
      </c>
      <c r="C1637" s="10" t="s">
        <v>8020</v>
      </c>
      <c r="D1637" s="16" t="s">
        <v>5369</v>
      </c>
      <c r="E1637" s="15" t="s">
        <v>11215</v>
      </c>
      <c r="F1637" s="16" t="str">
        <f>VLOOKUP(Table8[[#This Row],[Mã khách hàng]],code_khach_hang[],2,0)</f>
        <v>CHI NHÁNH HÀ NỘI - CÔNG TY CỔ PHẦN DỊCH VỤ THƯƠNG MẠI TỔNG HỢP WINCOMMERCE</v>
      </c>
      <c r="G1637" s="16"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c r="A1638" s="14" t="s">
        <v>765</v>
      </c>
      <c r="B1638" s="15" t="s">
        <v>5</v>
      </c>
      <c r="C1638" s="10" t="s">
        <v>766</v>
      </c>
      <c r="D1638" s="16" t="s">
        <v>5372</v>
      </c>
      <c r="E1638" s="15" t="s">
        <v>11215</v>
      </c>
      <c r="F1638" s="16" t="str">
        <f>VLOOKUP(Table8[[#This Row],[Mã khách hàng]],code_khach_hang[],2,0)</f>
        <v>CHI NHÁNH HÀ NỘI - CÔNG TY CỔ PHẦN DỊCH VỤ THƯƠNG MẠI TỔNG HỢP WINCOMMERCE</v>
      </c>
      <c r="G1638" s="16"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c r="A1639" s="14" t="s">
        <v>840</v>
      </c>
      <c r="B1639" s="15" t="s">
        <v>5</v>
      </c>
      <c r="C1639" s="10" t="s">
        <v>841</v>
      </c>
      <c r="D1639" s="16" t="s">
        <v>5375</v>
      </c>
      <c r="E1639" s="15" t="s">
        <v>11215</v>
      </c>
      <c r="F1639" s="16" t="str">
        <f>VLOOKUP(Table8[[#This Row],[Mã khách hàng]],code_khach_hang[],2,0)</f>
        <v>CHI NHÁNH HÀ NỘI - CÔNG TY CỔ PHẦN DỊCH VỤ THƯƠNG MẠI TỔNG HỢP WINCOMMERCE</v>
      </c>
      <c r="G1639" s="16"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c r="A1640" s="14" t="s">
        <v>924</v>
      </c>
      <c r="B1640" s="15" t="s">
        <v>5</v>
      </c>
      <c r="C1640" s="10" t="s">
        <v>925</v>
      </c>
      <c r="D1640" s="16" t="s">
        <v>5378</v>
      </c>
      <c r="E1640" s="15" t="s">
        <v>11215</v>
      </c>
      <c r="F1640" s="16" t="str">
        <f>VLOOKUP(Table8[[#This Row],[Mã khách hàng]],code_khach_hang[],2,0)</f>
        <v>CHI NHÁNH HÀ NỘI - CÔNG TY CỔ PHẦN DỊCH VỤ THƯƠNG MẠI TỔNG HỢP WINCOMMERCE</v>
      </c>
      <c r="G1640" s="16"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c r="A1641" s="14" t="s">
        <v>1035</v>
      </c>
      <c r="B1641" s="15" t="s">
        <v>5</v>
      </c>
      <c r="C1641" s="10" t="s">
        <v>1036</v>
      </c>
      <c r="D1641" s="16" t="s">
        <v>5381</v>
      </c>
      <c r="E1641" s="15" t="s">
        <v>11215</v>
      </c>
      <c r="F1641" s="16" t="str">
        <f>VLOOKUP(Table8[[#This Row],[Mã khách hàng]],code_khach_hang[],2,0)</f>
        <v>CHI NHÁNH HÀ NỘI - CÔNG TY CỔ PHẦN DỊCH VỤ THƯƠNG MẠI TỔNG HỢP WINCOMMERCE</v>
      </c>
      <c r="G1641" s="16"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c r="A1642" s="14" t="s">
        <v>1131</v>
      </c>
      <c r="B1642" s="15" t="s">
        <v>5</v>
      </c>
      <c r="C1642" s="10" t="s">
        <v>1132</v>
      </c>
      <c r="D1642" s="16" t="s">
        <v>5384</v>
      </c>
      <c r="E1642" s="15" t="s">
        <v>11215</v>
      </c>
      <c r="F1642" s="16" t="str">
        <f>VLOOKUP(Table8[[#This Row],[Mã khách hàng]],code_khach_hang[],2,0)</f>
        <v>CHI NHÁNH HÀ NỘI - CÔNG TY CỔ PHẦN DỊCH VỤ THƯƠNG MẠI TỔNG HỢP WINCOMMERCE</v>
      </c>
      <c r="G1642" s="16"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c r="A1643" s="14" t="s">
        <v>4227</v>
      </c>
      <c r="B1643" s="15" t="s">
        <v>5</v>
      </c>
      <c r="C1643" s="10" t="s">
        <v>4228</v>
      </c>
      <c r="D1643" s="16" t="s">
        <v>5387</v>
      </c>
      <c r="E1643" s="15" t="s">
        <v>11215</v>
      </c>
      <c r="F1643" s="16" t="str">
        <f>VLOOKUP(Table8[[#This Row],[Mã khách hàng]],code_khach_hang[],2,0)</f>
        <v>CHI NHÁNH HÀ NỘI - CÔNG TY CỔ PHẦN DỊCH VỤ THƯƠNG MẠI TỔNG HỢP WINCOMMERCE</v>
      </c>
      <c r="G1643" s="16"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c r="A1644" s="14" t="s">
        <v>4239</v>
      </c>
      <c r="B1644" s="15" t="s">
        <v>5</v>
      </c>
      <c r="C1644" s="10" t="s">
        <v>4240</v>
      </c>
      <c r="D1644" s="16" t="s">
        <v>5390</v>
      </c>
      <c r="E1644" s="15" t="s">
        <v>11215</v>
      </c>
      <c r="F1644" s="16" t="str">
        <f>VLOOKUP(Table8[[#This Row],[Mã khách hàng]],code_khach_hang[],2,0)</f>
        <v>CHI NHÁNH HÀ NỘI - CÔNG TY CỔ PHẦN DỊCH VỤ THƯƠNG MẠI TỔNG HỢP WINCOMMERCE</v>
      </c>
      <c r="G1644" s="16"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c r="A1645" s="14" t="s">
        <v>4320</v>
      </c>
      <c r="B1645" s="15" t="s">
        <v>5</v>
      </c>
      <c r="C1645" s="10" t="s">
        <v>4321</v>
      </c>
      <c r="D1645" s="16" t="s">
        <v>5393</v>
      </c>
      <c r="E1645" s="15" t="s">
        <v>11215</v>
      </c>
      <c r="F1645" s="16" t="str">
        <f>VLOOKUP(Table8[[#This Row],[Mã khách hàng]],code_khach_hang[],2,0)</f>
        <v>CHI NHÁNH HÀ NỘI - CÔNG TY CỔ PHẦN DỊCH VỤ THƯƠNG MẠI TỔNG HỢP WINCOMMERCE</v>
      </c>
      <c r="G1645" s="16"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c r="A1646" s="14" t="s">
        <v>4428</v>
      </c>
      <c r="B1646" s="15" t="s">
        <v>5</v>
      </c>
      <c r="C1646" s="10" t="s">
        <v>4429</v>
      </c>
      <c r="D1646" s="16" t="s">
        <v>5396</v>
      </c>
      <c r="E1646" s="15" t="s">
        <v>11215</v>
      </c>
      <c r="F1646" s="16" t="str">
        <f>VLOOKUP(Table8[[#This Row],[Mã khách hàng]],code_khach_hang[],2,0)</f>
        <v>CHI NHÁNH HÀ NỘI - CÔNG TY CỔ PHẦN DỊCH VỤ THƯƠNG MẠI TỔNG HỢP WINCOMMERCE</v>
      </c>
      <c r="G1646" s="16"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c r="A1647" s="14" t="s">
        <v>4653</v>
      </c>
      <c r="B1647" s="15" t="s">
        <v>5</v>
      </c>
      <c r="C1647" s="10" t="s">
        <v>4654</v>
      </c>
      <c r="D1647" s="16" t="s">
        <v>5399</v>
      </c>
      <c r="E1647" s="15" t="s">
        <v>11215</v>
      </c>
      <c r="F1647" s="16" t="str">
        <f>VLOOKUP(Table8[[#This Row],[Mã khách hàng]],code_khach_hang[],2,0)</f>
        <v>CHI NHÁNH HÀ NỘI - CÔNG TY CỔ PHẦN DỊCH VỤ THƯƠNG MẠI TỔNG HỢP WINCOMMERCE</v>
      </c>
      <c r="G1647" s="16"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c r="A1648" s="14" t="s">
        <v>5295</v>
      </c>
      <c r="B1648" s="15" t="s">
        <v>5</v>
      </c>
      <c r="C1648" s="10" t="s">
        <v>5296</v>
      </c>
      <c r="D1648" s="16" t="s">
        <v>5402</v>
      </c>
      <c r="E1648" s="15" t="s">
        <v>11215</v>
      </c>
      <c r="F1648" s="16" t="str">
        <f>VLOOKUP(Table8[[#This Row],[Mã khách hàng]],code_khach_hang[],2,0)</f>
        <v>CHI NHÁNH HÀ NỘI - CÔNG TY CỔ PHẦN DỊCH VỤ THƯƠNG MẠI TỔNG HỢP WINCOMMERCE</v>
      </c>
      <c r="G1648" s="16"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c r="A1649" s="14" t="s">
        <v>5331</v>
      </c>
      <c r="B1649" s="15" t="s">
        <v>5</v>
      </c>
      <c r="C1649" s="10" t="s">
        <v>5332</v>
      </c>
      <c r="D1649" s="16" t="s">
        <v>5405</v>
      </c>
      <c r="E1649" s="15" t="s">
        <v>11215</v>
      </c>
      <c r="F1649" s="16" t="str">
        <f>VLOOKUP(Table8[[#This Row],[Mã khách hàng]],code_khach_hang[],2,0)</f>
        <v>CHI NHÁNH HÀ NỘI - CÔNG TY CỔ PHẦN DỊCH VỤ THƯƠNG MẠI TỔNG HỢP WINCOMMERCE</v>
      </c>
      <c r="G1649" s="16"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c r="A1650" s="14" t="s">
        <v>5337</v>
      </c>
      <c r="B1650" s="15" t="s">
        <v>5</v>
      </c>
      <c r="C1650" s="10" t="s">
        <v>5338</v>
      </c>
      <c r="D1650" s="16" t="s">
        <v>5408</v>
      </c>
      <c r="E1650" s="15" t="s">
        <v>11215</v>
      </c>
      <c r="F1650" s="16" t="str">
        <f>VLOOKUP(Table8[[#This Row],[Mã khách hàng]],code_khach_hang[],2,0)</f>
        <v>CHI NHÁNH HÀ NỘI - CÔNG TY CỔ PHẦN DỊCH VỤ THƯƠNG MẠI TỔNG HỢP WINCOMMERCE</v>
      </c>
      <c r="G1650" s="16"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c r="A1651" s="14" t="s">
        <v>5343</v>
      </c>
      <c r="B1651" s="15" t="s">
        <v>5</v>
      </c>
      <c r="C1651" s="10" t="s">
        <v>5344</v>
      </c>
      <c r="D1651" s="16" t="s">
        <v>5411</v>
      </c>
      <c r="E1651" s="15" t="s">
        <v>11215</v>
      </c>
      <c r="F1651" s="16" t="str">
        <f>VLOOKUP(Table8[[#This Row],[Mã khách hàng]],code_khach_hang[],2,0)</f>
        <v>CHI NHÁNH HÀ NỘI - CÔNG TY CỔ PHẦN DỊCH VỤ THƯƠNG MẠI TỔNG HỢP WINCOMMERCE</v>
      </c>
      <c r="G1651" s="16"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c r="A1652" s="14" t="s">
        <v>5406</v>
      </c>
      <c r="B1652" s="15" t="s">
        <v>5</v>
      </c>
      <c r="C1652" s="10" t="s">
        <v>5407</v>
      </c>
      <c r="D1652" s="16" t="s">
        <v>5414</v>
      </c>
      <c r="E1652" s="15" t="s">
        <v>11215</v>
      </c>
      <c r="F1652" s="16" t="str">
        <f>VLOOKUP(Table8[[#This Row],[Mã khách hàng]],code_khach_hang[],2,0)</f>
        <v>CHI NHÁNH HÀ NỘI - CÔNG TY CỔ PHẦN DỊCH VỤ THƯƠNG MẠI TỔNG HỢP WINCOMMERCE</v>
      </c>
      <c r="G1652" s="16"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c r="A1653" s="14" t="s">
        <v>6440</v>
      </c>
      <c r="B1653" s="15" t="s">
        <v>5</v>
      </c>
      <c r="C1653" s="10" t="s">
        <v>6441</v>
      </c>
      <c r="D1653" s="16" t="s">
        <v>5417</v>
      </c>
      <c r="E1653" s="15" t="s">
        <v>11215</v>
      </c>
      <c r="F1653" s="16" t="str">
        <f>VLOOKUP(Table8[[#This Row],[Mã khách hàng]],code_khach_hang[],2,0)</f>
        <v>CHI NHÁNH HÀ NỘI - CÔNG TY CỔ PHẦN DỊCH VỤ THƯƠNG MẠI TỔNG HỢP WINCOMMERCE</v>
      </c>
      <c r="G1653" s="16"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c r="A1654" s="14" t="s">
        <v>6512</v>
      </c>
      <c r="B1654" s="15" t="s">
        <v>5</v>
      </c>
      <c r="C1654" s="10" t="s">
        <v>6513</v>
      </c>
      <c r="D1654" s="16" t="s">
        <v>5420</v>
      </c>
      <c r="E1654" s="15" t="s">
        <v>11215</v>
      </c>
      <c r="F1654" s="16" t="str">
        <f>VLOOKUP(Table8[[#This Row],[Mã khách hàng]],code_khach_hang[],2,0)</f>
        <v>CHI NHÁNH HÀ NỘI - CÔNG TY CỔ PHẦN DỊCH VỤ THƯƠNG MẠI TỔNG HỢP WINCOMMERCE</v>
      </c>
      <c r="G1654" s="16"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c r="A1655" s="14" t="s">
        <v>11121</v>
      </c>
      <c r="B1655" s="15" t="s">
        <v>5</v>
      </c>
      <c r="C1655" s="10" t="e">
        <v>#N/A</v>
      </c>
      <c r="D1655" s="16" t="s">
        <v>5423</v>
      </c>
      <c r="E1655" s="15" t="s">
        <v>11215</v>
      </c>
      <c r="F1655" s="16" t="str">
        <f>VLOOKUP(Table8[[#This Row],[Mã khách hàng]],code_khach_hang[],2,0)</f>
        <v>CHI NHÁNH HÀ NỘI - CÔNG TY CỔ PHẦN DỊCH VỤ THƯƠNG MẠI TỔNG HỢP WINCOMMERCE</v>
      </c>
      <c r="G1655" s="16"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c r="A1656" s="14" t="s">
        <v>1158</v>
      </c>
      <c r="B1656" s="15" t="s">
        <v>5</v>
      </c>
      <c r="C1656" s="10" t="s">
        <v>1159</v>
      </c>
      <c r="D1656" s="16" t="s">
        <v>5426</v>
      </c>
      <c r="E1656" s="15" t="s">
        <v>11215</v>
      </c>
      <c r="F1656" s="16" t="str">
        <f>VLOOKUP(Table8[[#This Row],[Mã khách hàng]],code_khach_hang[],2,0)</f>
        <v>CHI NHÁNH HÀ NỘI - CÔNG TY CỔ PHẦN DỊCH VỤ THƯƠNG MẠI TỔNG HỢP WINCOMMERCE</v>
      </c>
      <c r="G1656" s="16"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c r="A1657" s="14" t="s">
        <v>7813</v>
      </c>
      <c r="B1657" s="15" t="s">
        <v>5</v>
      </c>
      <c r="C1657" s="10" t="s">
        <v>7814</v>
      </c>
      <c r="D1657" s="16" t="s">
        <v>5429</v>
      </c>
      <c r="E1657" s="15" t="s">
        <v>11215</v>
      </c>
      <c r="F1657" s="16" t="str">
        <f>VLOOKUP(Table8[[#This Row],[Mã khách hàng]],code_khach_hang[],2,0)</f>
        <v>CHI NHÁNH HÀ NỘI - CÔNG TY CỔ PHẦN DỊCH VỤ THƯƠNG MẠI TỔNG HỢP WINCOMMERCE</v>
      </c>
      <c r="G1657" s="16"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c r="A1658" s="14" t="s">
        <v>625</v>
      </c>
      <c r="B1658" s="15" t="s">
        <v>183</v>
      </c>
      <c r="C1658" s="10" t="s">
        <v>626</v>
      </c>
      <c r="D1658" s="16" t="s">
        <v>5432</v>
      </c>
      <c r="E1658" s="15" t="s">
        <v>11195</v>
      </c>
      <c r="F1658" s="16" t="str">
        <f>VLOOKUP(Table8[[#This Row],[Mã khách hàng]],code_khach_hang[],2,0)</f>
        <v>CHI NHÁNH HÀ NỘI - CÔNG TY CỔ PHẦN DỊCH VỤ THƯƠNG MẠI TỔNG HỢP WINCOMMERCE</v>
      </c>
      <c r="G1658" s="16"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c r="A1659" s="14" t="s">
        <v>11122</v>
      </c>
      <c r="B1659" s="15" t="s">
        <v>183</v>
      </c>
      <c r="C1659" s="10" t="s">
        <v>13165</v>
      </c>
      <c r="D1659" s="16" t="s">
        <v>5435</v>
      </c>
      <c r="E1659" s="15" t="s">
        <v>11195</v>
      </c>
      <c r="F1659" s="16" t="str">
        <f>VLOOKUP(Table8[[#This Row],[Mã khách hàng]],code_khach_hang[],2,0)</f>
        <v>CHI NHÁNH HÀ NỘI - CÔNG TY CỔ PHẦN DỊCH VỤ THƯƠNG MẠI TỔNG HỢP WINCOMMERCE</v>
      </c>
      <c r="G1659" s="16"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c r="A1660" s="14" t="s">
        <v>586</v>
      </c>
      <c r="B1660" s="15" t="s">
        <v>183</v>
      </c>
      <c r="C1660" s="10" t="s">
        <v>587</v>
      </c>
      <c r="D1660" s="16" t="s">
        <v>5438</v>
      </c>
      <c r="E1660" s="15" t="s">
        <v>11195</v>
      </c>
      <c r="F1660" s="16" t="str">
        <f>VLOOKUP(Table8[[#This Row],[Mã khách hàng]],code_khach_hang[],2,0)</f>
        <v>CHI NHÁNH HÀ NỘI - CÔNG TY CỔ PHẦN DỊCH VỤ THƯƠNG MẠI TỔNG HỢP WINCOMMERCE</v>
      </c>
      <c r="G1660" s="16"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c r="A1661" s="14" t="s">
        <v>538</v>
      </c>
      <c r="B1661" s="15" t="s">
        <v>183</v>
      </c>
      <c r="C1661" s="10" t="s">
        <v>539</v>
      </c>
      <c r="D1661" s="16" t="s">
        <v>5441</v>
      </c>
      <c r="E1661" s="15" t="s">
        <v>11195</v>
      </c>
      <c r="F1661" s="16" t="str">
        <f>VLOOKUP(Table8[[#This Row],[Mã khách hàng]],code_khach_hang[],2,0)</f>
        <v>CHI NHÁNH HÀ NỘI - CÔNG TY CỔ PHẦN DỊCH VỤ THƯƠNG MẠI TỔNG HỢP WINCOMMERCE</v>
      </c>
      <c r="G1661" s="16"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c r="A1662" s="14" t="s">
        <v>589</v>
      </c>
      <c r="B1662" s="15" t="s">
        <v>183</v>
      </c>
      <c r="C1662" s="10" t="s">
        <v>590</v>
      </c>
      <c r="D1662" s="16" t="s">
        <v>5444</v>
      </c>
      <c r="E1662" s="15" t="s">
        <v>11195</v>
      </c>
      <c r="F1662" s="16" t="str">
        <f>VLOOKUP(Table8[[#This Row],[Mã khách hàng]],code_khach_hang[],2,0)</f>
        <v>CHI NHÁNH HÀ NỘI - CÔNG TY CỔ PHẦN DỊCH VỤ THƯƠNG MẠI TỔNG HỢP WINCOMMERCE</v>
      </c>
      <c r="G1662" s="16"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c r="A1663" s="14" t="s">
        <v>646</v>
      </c>
      <c r="B1663" s="15" t="s">
        <v>183</v>
      </c>
      <c r="C1663" s="10" t="s">
        <v>647</v>
      </c>
      <c r="D1663" s="16" t="s">
        <v>5447</v>
      </c>
      <c r="E1663" s="15" t="s">
        <v>11195</v>
      </c>
      <c r="F1663" s="16" t="str">
        <f>VLOOKUP(Table8[[#This Row],[Mã khách hàng]],code_khach_hang[],2,0)</f>
        <v>CHI NHÁNH HÀ NỘI - CÔNG TY CỔ PHẦN DỊCH VỤ THƯƠNG MẠI TỔNG HỢP WINCOMMERCE</v>
      </c>
      <c r="G1663" s="16"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c r="A1664" s="14" t="s">
        <v>759</v>
      </c>
      <c r="B1664" s="15" t="s">
        <v>5</v>
      </c>
      <c r="C1664" s="10" t="s">
        <v>760</v>
      </c>
      <c r="D1664" s="16" t="s">
        <v>5450</v>
      </c>
      <c r="E1664" s="15" t="s">
        <v>11215</v>
      </c>
      <c r="F1664" s="16" t="str">
        <f>VLOOKUP(Table8[[#This Row],[Mã khách hàng]],code_khach_hang[],2,0)</f>
        <v>CHI NHÁNH HÀ NỘI - CÔNG TY CỔ PHẦN DỊCH VỤ THƯƠNG MẠI TỔNG HỢP WINCOMMERCE</v>
      </c>
      <c r="G1664" s="16"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c r="A1665" s="14" t="s">
        <v>777</v>
      </c>
      <c r="B1665" s="15" t="s">
        <v>5</v>
      </c>
      <c r="C1665" s="10" t="s">
        <v>778</v>
      </c>
      <c r="D1665" s="16" t="s">
        <v>5453</v>
      </c>
      <c r="E1665" s="15" t="s">
        <v>11215</v>
      </c>
      <c r="F1665" s="16" t="str">
        <f>VLOOKUP(Table8[[#This Row],[Mã khách hàng]],code_khach_hang[],2,0)</f>
        <v>CHI NHÁNH HÀ NỘI - CÔNG TY CỔ PHẦN DỊCH VỤ THƯƠNG MẠI TỔNG HỢP WINCOMMERCE</v>
      </c>
      <c r="G1665" s="16"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c r="A1666" s="14" t="s">
        <v>792</v>
      </c>
      <c r="B1666" s="15" t="s">
        <v>5</v>
      </c>
      <c r="C1666" s="10" t="s">
        <v>793</v>
      </c>
      <c r="D1666" s="16" t="s">
        <v>5456</v>
      </c>
      <c r="E1666" s="15" t="s">
        <v>11215</v>
      </c>
      <c r="F1666" s="16" t="str">
        <f>VLOOKUP(Table8[[#This Row],[Mã khách hàng]],code_khach_hang[],2,0)</f>
        <v>CHI NHÁNH HÀ NỘI - CÔNG TY CỔ PHẦN DỊCH VỤ THƯƠNG MẠI TỔNG HỢP WINCOMMERCE</v>
      </c>
      <c r="G1666" s="16"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c r="A1667" s="14" t="s">
        <v>4161</v>
      </c>
      <c r="B1667" s="15" t="s">
        <v>5</v>
      </c>
      <c r="C1667" s="10" t="s">
        <v>4162</v>
      </c>
      <c r="D1667" s="16" t="s">
        <v>5459</v>
      </c>
      <c r="E1667" s="15" t="s">
        <v>11215</v>
      </c>
      <c r="F1667" s="16" t="str">
        <f>VLOOKUP(Table8[[#This Row],[Mã khách hàng]],code_khach_hang[],2,0)</f>
        <v>CHI NHÁNH HÀ NỘI - CÔNG TY CỔ PHẦN DỊCH VỤ THƯƠNG MẠI TỔNG HỢP WINCOMMERCE</v>
      </c>
      <c r="G1667" s="16"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c r="A1668" s="14" t="s">
        <v>4110</v>
      </c>
      <c r="B1668" s="15" t="s">
        <v>5</v>
      </c>
      <c r="C1668" s="10" t="s">
        <v>4111</v>
      </c>
      <c r="D1668" s="16" t="s">
        <v>5462</v>
      </c>
      <c r="E1668" s="15" t="s">
        <v>11215</v>
      </c>
      <c r="F1668" s="16" t="str">
        <f>VLOOKUP(Table8[[#This Row],[Mã khách hàng]],code_khach_hang[],2,0)</f>
        <v>CHI NHÁNH HÀ NỘI - CÔNG TY CỔ PHẦN DỊCH VỤ THƯƠNG MẠI TỔNG HỢP WINCOMMERCE</v>
      </c>
      <c r="G1668" s="16"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c r="A1669" s="14" t="s">
        <v>4128</v>
      </c>
      <c r="B1669" s="15" t="s">
        <v>5</v>
      </c>
      <c r="C1669" s="10" t="s">
        <v>4129</v>
      </c>
      <c r="D1669" s="16" t="s">
        <v>5465</v>
      </c>
      <c r="E1669" s="15" t="s">
        <v>11215</v>
      </c>
      <c r="F1669" s="16" t="str">
        <f>VLOOKUP(Table8[[#This Row],[Mã khách hàng]],code_khach_hang[],2,0)</f>
        <v>CHI NHÁNH HÀ NỘI - CÔNG TY CỔ PHẦN DỊCH VỤ THƯƠNG MẠI TỔNG HỢP WINCOMMERCE</v>
      </c>
      <c r="G1669" s="16"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c r="A1670" s="14" t="s">
        <v>4176</v>
      </c>
      <c r="B1670" s="15" t="s">
        <v>5</v>
      </c>
      <c r="C1670" s="10" t="s">
        <v>4177</v>
      </c>
      <c r="D1670" s="16" t="s">
        <v>5468</v>
      </c>
      <c r="E1670" s="15" t="s">
        <v>11215</v>
      </c>
      <c r="F1670" s="16" t="str">
        <f>VLOOKUP(Table8[[#This Row],[Mã khách hàng]],code_khach_hang[],2,0)</f>
        <v>CHI NHÁNH HÀ NỘI - CÔNG TY CỔ PHẦN DỊCH VỤ THƯƠNG MẠI TỔNG HỢP WINCOMMERCE</v>
      </c>
      <c r="G1670" s="16"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c r="A1671" s="14" t="s">
        <v>11123</v>
      </c>
      <c r="B1671" s="15" t="s">
        <v>5</v>
      </c>
      <c r="C1671" s="10" t="s">
        <v>13166</v>
      </c>
      <c r="D1671" s="16" t="s">
        <v>5471</v>
      </c>
      <c r="E1671" s="15" t="s">
        <v>11215</v>
      </c>
      <c r="F1671" s="16" t="str">
        <f>VLOOKUP(Table8[[#This Row],[Mã khách hàng]],code_khach_hang[],2,0)</f>
        <v>CHI NHÁNH HÀ NỘI - CÔNG TY CỔ PHẦN DỊCH VỤ THƯƠNG MẠI TỔNG HỢP WINCOMMERCE</v>
      </c>
      <c r="G1671" s="16"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c r="A1672" s="14" t="s">
        <v>1119</v>
      </c>
      <c r="B1672" s="15" t="s">
        <v>5</v>
      </c>
      <c r="C1672" s="10" t="s">
        <v>1120</v>
      </c>
      <c r="D1672" s="16" t="s">
        <v>5474</v>
      </c>
      <c r="E1672" s="15" t="s">
        <v>11215</v>
      </c>
      <c r="F1672" s="16" t="str">
        <f>VLOOKUP(Table8[[#This Row],[Mã khách hàng]],code_khach_hang[],2,0)</f>
        <v>CHI NHÁNH HÀ NỘI - CÔNG TY CỔ PHẦN DỊCH VỤ THƯƠNG MẠI TỔNG HỢP WINCOMMERCE</v>
      </c>
      <c r="G1672" s="16"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c r="A1673" s="14" t="s">
        <v>1143</v>
      </c>
      <c r="B1673" s="15" t="s">
        <v>5</v>
      </c>
      <c r="C1673" s="10" t="s">
        <v>1144</v>
      </c>
      <c r="D1673" s="16" t="s">
        <v>5477</v>
      </c>
      <c r="E1673" s="15" t="s">
        <v>11215</v>
      </c>
      <c r="F1673" s="16" t="str">
        <f>VLOOKUP(Table8[[#This Row],[Mã khách hàng]],code_khach_hang[],2,0)</f>
        <v>CHI NHÁNH HÀ NỘI - CÔNG TY CỔ PHẦN DỊCH VỤ THƯƠNG MẠI TỔNG HỢP WINCOMMERCE</v>
      </c>
      <c r="G1673" s="16"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c r="A1674" s="14" t="s">
        <v>4383</v>
      </c>
      <c r="B1674" s="15" t="s">
        <v>5</v>
      </c>
      <c r="C1674" s="10" t="s">
        <v>4384</v>
      </c>
      <c r="D1674" s="16" t="s">
        <v>5480</v>
      </c>
      <c r="E1674" s="15" t="s">
        <v>11215</v>
      </c>
      <c r="F1674" s="16" t="str">
        <f>VLOOKUP(Table8[[#This Row],[Mã khách hàng]],code_khach_hang[],2,0)</f>
        <v>CHI NHÁNH HÀ NỘI - CÔNG TY CỔ PHẦN DỊCH VỤ THƯƠNG MẠI TỔNG HỢP WINCOMMERCE</v>
      </c>
      <c r="G1674" s="16"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c r="A1675" s="14" t="s">
        <v>4398</v>
      </c>
      <c r="B1675" s="15" t="s">
        <v>5</v>
      </c>
      <c r="C1675" s="10" t="s">
        <v>4399</v>
      </c>
      <c r="D1675" s="16" t="s">
        <v>5483</v>
      </c>
      <c r="E1675" s="15" t="s">
        <v>11215</v>
      </c>
      <c r="F1675" s="16" t="str">
        <f>VLOOKUP(Table8[[#This Row],[Mã khách hàng]],code_khach_hang[],2,0)</f>
        <v>CHI NHÁNH HÀ NỘI - CÔNG TY CỔ PHẦN DỊCH VỤ THƯƠNG MẠI TỔNG HỢP WINCOMMERCE</v>
      </c>
      <c r="G1675" s="16"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c r="A1676" s="14" t="s">
        <v>4563</v>
      </c>
      <c r="B1676" s="15" t="s">
        <v>5</v>
      </c>
      <c r="C1676" s="10" t="s">
        <v>4564</v>
      </c>
      <c r="D1676" s="16" t="s">
        <v>5486</v>
      </c>
      <c r="E1676" s="15" t="s">
        <v>11215</v>
      </c>
      <c r="F1676" s="16" t="str">
        <f>VLOOKUP(Table8[[#This Row],[Mã khách hàng]],code_khach_hang[],2,0)</f>
        <v>CHI NHÁNH HÀ NỘI - CÔNG TY CỔ PHẦN DỊCH VỤ THƯƠNG MẠI TỔNG HỢP WINCOMMERCE</v>
      </c>
      <c r="G1676" s="16"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c r="A1677" s="14" t="s">
        <v>5277</v>
      </c>
      <c r="B1677" s="15" t="s">
        <v>5</v>
      </c>
      <c r="C1677" s="10" t="s">
        <v>5278</v>
      </c>
      <c r="D1677" s="16" t="s">
        <v>5489</v>
      </c>
      <c r="E1677" s="15" t="s">
        <v>11215</v>
      </c>
      <c r="F1677" s="16" t="str">
        <f>VLOOKUP(Table8[[#This Row],[Mã khách hàng]],code_khach_hang[],2,0)</f>
        <v>CHI NHÁNH HÀ NỘI - CÔNG TY CỔ PHẦN DỊCH VỤ THƯƠNG MẠI TỔNG HỢP WINCOMMERCE</v>
      </c>
      <c r="G1677" s="16"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c r="A1678" s="14" t="s">
        <v>6046</v>
      </c>
      <c r="B1678" s="15" t="s">
        <v>5</v>
      </c>
      <c r="C1678" s="10" t="s">
        <v>6047</v>
      </c>
      <c r="D1678" s="16" t="s">
        <v>5492</v>
      </c>
      <c r="E1678" s="15" t="s">
        <v>11215</v>
      </c>
      <c r="F1678" s="16" t="str">
        <f>VLOOKUP(Table8[[#This Row],[Mã khách hàng]],code_khach_hang[],2,0)</f>
        <v>CHI NHÁNH HÀ NỘI - CÔNG TY CỔ PHẦN DỊCH VỤ THƯƠNG MẠI TỔNG HỢP WINCOMMERCE</v>
      </c>
      <c r="G1678" s="16"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c r="A1679" s="14" t="s">
        <v>6752</v>
      </c>
      <c r="B1679" s="15" t="s">
        <v>5</v>
      </c>
      <c r="C1679" s="10" t="s">
        <v>6753</v>
      </c>
      <c r="D1679" s="16" t="s">
        <v>5495</v>
      </c>
      <c r="E1679" s="15" t="s">
        <v>11215</v>
      </c>
      <c r="F1679" s="16" t="str">
        <f>VLOOKUP(Table8[[#This Row],[Mã khách hàng]],code_khach_hang[],2,0)</f>
        <v>CHI NHÁNH HÀ NỘI - CÔNG TY CỔ PHẦN DỊCH VỤ THƯƠNG MẠI TỔNG HỢP WINCOMMERCE</v>
      </c>
      <c r="G1679" s="16"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c r="A1680" s="14" t="s">
        <v>6788</v>
      </c>
      <c r="B1680" s="15" t="s">
        <v>5</v>
      </c>
      <c r="C1680" s="10" t="s">
        <v>6789</v>
      </c>
      <c r="D1680" s="16" t="s">
        <v>5498</v>
      </c>
      <c r="E1680" s="15" t="s">
        <v>11215</v>
      </c>
      <c r="F1680" s="16" t="str">
        <f>VLOOKUP(Table8[[#This Row],[Mã khách hàng]],code_khach_hang[],2,0)</f>
        <v>CHI NHÁNH HÀ NỘI - CÔNG TY CỔ PHẦN DỊCH VỤ THƯƠNG MẠI TỔNG HỢP WINCOMMERCE</v>
      </c>
      <c r="G1680" s="16"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c r="A1681" s="14" t="s">
        <v>7010</v>
      </c>
      <c r="B1681" s="15" t="s">
        <v>5</v>
      </c>
      <c r="C1681" s="10" t="s">
        <v>7011</v>
      </c>
      <c r="D1681" s="16" t="s">
        <v>5501</v>
      </c>
      <c r="E1681" s="15" t="s">
        <v>11215</v>
      </c>
      <c r="F1681" s="16" t="str">
        <f>VLOOKUP(Table8[[#This Row],[Mã khách hàng]],code_khach_hang[],2,0)</f>
        <v>CHI NHÁNH HÀ NỘI - CÔNG TY CỔ PHẦN DỊCH VỤ THƯƠNG MẠI TỔNG HỢP WINCOMMERCE</v>
      </c>
      <c r="G1681" s="16"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c r="A1682" s="14" t="s">
        <v>7514</v>
      </c>
      <c r="B1682" s="15" t="s">
        <v>5</v>
      </c>
      <c r="C1682" s="10" t="s">
        <v>7515</v>
      </c>
      <c r="D1682" s="16" t="s">
        <v>5504</v>
      </c>
      <c r="E1682" s="15" t="s">
        <v>11215</v>
      </c>
      <c r="F1682" s="16" t="str">
        <f>VLOOKUP(Table8[[#This Row],[Mã khách hàng]],code_khach_hang[],2,0)</f>
        <v>CHI NHÁNH HÀ NỘI - CÔNG TY CỔ PHẦN DỊCH VỤ THƯƠNG MẠI TỔNG HỢP WINCOMMERCE</v>
      </c>
      <c r="G1682" s="16"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c r="A1683" s="14" t="s">
        <v>885</v>
      </c>
      <c r="B1683" s="15" t="s">
        <v>5</v>
      </c>
      <c r="C1683" s="10" t="s">
        <v>886</v>
      </c>
      <c r="D1683" s="16" t="s">
        <v>5507</v>
      </c>
      <c r="E1683" s="15" t="s">
        <v>11215</v>
      </c>
      <c r="F1683" s="16" t="str">
        <f>VLOOKUP(Table8[[#This Row],[Mã khách hàng]],code_khach_hang[],2,0)</f>
        <v>CHI NHÁNH HÀ NỘI - CÔNG TY CỔ PHẦN DỊCH VỤ THƯƠNG MẠI TỔNG HỢP WINCOMMERCE</v>
      </c>
      <c r="G1683" s="16"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c r="A1684" s="14" t="s">
        <v>1179</v>
      </c>
      <c r="B1684" s="15" t="s">
        <v>5</v>
      </c>
      <c r="C1684" s="10" t="s">
        <v>1180</v>
      </c>
      <c r="D1684" s="16" t="s">
        <v>5510</v>
      </c>
      <c r="E1684" s="15" t="s">
        <v>11215</v>
      </c>
      <c r="F1684" s="16" t="str">
        <f>VLOOKUP(Table8[[#This Row],[Mã khách hàng]],code_khach_hang[],2,0)</f>
        <v>CHI NHÁNH HÀ NỘI - CÔNG TY CỔ PHẦN DỊCH VỤ THƯƠNG MẠI TỔNG HỢP WINCOMMERCE</v>
      </c>
      <c r="G1684" s="16"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c r="A1685" s="14" t="s">
        <v>4407</v>
      </c>
      <c r="B1685" s="15" t="s">
        <v>5</v>
      </c>
      <c r="C1685" s="10" t="s">
        <v>4408</v>
      </c>
      <c r="D1685" s="16" t="s">
        <v>5513</v>
      </c>
      <c r="E1685" s="15" t="s">
        <v>11215</v>
      </c>
      <c r="F1685" s="16" t="str">
        <f>VLOOKUP(Table8[[#This Row],[Mã khách hàng]],code_khach_hang[],2,0)</f>
        <v>CHI NHÁNH HÀ NỘI - CÔNG TY CỔ PHẦN DỊCH VỤ THƯƠNG MẠI TỔNG HỢP WINCOMMERCE</v>
      </c>
      <c r="G1685" s="16"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c r="A1686" s="14" t="s">
        <v>4629</v>
      </c>
      <c r="B1686" s="15" t="s">
        <v>5</v>
      </c>
      <c r="C1686" s="10" t="s">
        <v>4630</v>
      </c>
      <c r="D1686" s="16" t="s">
        <v>5516</v>
      </c>
      <c r="E1686" s="15" t="s">
        <v>11215</v>
      </c>
      <c r="F1686" s="16" t="str">
        <f>VLOOKUP(Table8[[#This Row],[Mã khách hàng]],code_khach_hang[],2,0)</f>
        <v>CHI NHÁNH HÀ NỘI - CÔNG TY CỔ PHẦN DỊCH VỤ THƯƠNG MẠI TỔNG HỢP WINCOMMERCE</v>
      </c>
      <c r="G1686" s="16"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c r="A1687" s="14" t="s">
        <v>4659</v>
      </c>
      <c r="B1687" s="15" t="s">
        <v>5</v>
      </c>
      <c r="C1687" s="10" t="s">
        <v>4660</v>
      </c>
      <c r="D1687" s="16" t="s">
        <v>5519</v>
      </c>
      <c r="E1687" s="15" t="s">
        <v>11215</v>
      </c>
      <c r="F1687" s="16" t="str">
        <f>VLOOKUP(Table8[[#This Row],[Mã khách hàng]],code_khach_hang[],2,0)</f>
        <v>CHI NHÁNH HÀ NỘI - CÔNG TY CỔ PHẦN DỊCH VỤ THƯƠNG MẠI TỔNG HỢP WINCOMMERCE</v>
      </c>
      <c r="G1687" s="16"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c r="A1688" s="14" t="s">
        <v>4803</v>
      </c>
      <c r="B1688" s="15" t="s">
        <v>5</v>
      </c>
      <c r="C1688" s="10" t="s">
        <v>4804</v>
      </c>
      <c r="D1688" s="16" t="s">
        <v>5522</v>
      </c>
      <c r="E1688" s="15" t="s">
        <v>11215</v>
      </c>
      <c r="F1688" s="16" t="str">
        <f>VLOOKUP(Table8[[#This Row],[Mã khách hàng]],code_khach_hang[],2,0)</f>
        <v>CHI NHÁNH HÀ NỘI - CÔNG TY CỔ PHẦN DỊCH VỤ THƯƠNG MẠI TỔNG HỢP WINCOMMERCE</v>
      </c>
      <c r="G1688" s="16"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c r="A1689" s="14" t="s">
        <v>5591</v>
      </c>
      <c r="B1689" s="15" t="s">
        <v>5</v>
      </c>
      <c r="C1689" s="10" t="s">
        <v>5592</v>
      </c>
      <c r="D1689" s="16" t="s">
        <v>5525</v>
      </c>
      <c r="E1689" s="15" t="s">
        <v>11215</v>
      </c>
      <c r="F1689" s="16" t="str">
        <f>VLOOKUP(Table8[[#This Row],[Mã khách hàng]],code_khach_hang[],2,0)</f>
        <v>CHI NHÁNH HÀ NỘI - CÔNG TY CỔ PHẦN DỊCH VỤ THƯƠNG MẠI TỔNG HỢP WINCOMMERCE</v>
      </c>
      <c r="G1689" s="16"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c r="A1690" s="14" t="s">
        <v>7613</v>
      </c>
      <c r="B1690" s="15" t="s">
        <v>5</v>
      </c>
      <c r="C1690" s="10" t="s">
        <v>7614</v>
      </c>
      <c r="D1690" s="16" t="s">
        <v>5528</v>
      </c>
      <c r="E1690" s="15" t="s">
        <v>11215</v>
      </c>
      <c r="F1690" s="16" t="str">
        <f>VLOOKUP(Table8[[#This Row],[Mã khách hàng]],code_khach_hang[],2,0)</f>
        <v>CHI NHÁNH HÀ NỘI - CÔNG TY CỔ PHẦN DỊCH VỤ THƯƠNG MẠI TỔNG HỢP WINCOMMERCE</v>
      </c>
      <c r="G1690" s="16"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c r="A1691" s="14" t="s">
        <v>7804</v>
      </c>
      <c r="B1691" s="15" t="s">
        <v>5</v>
      </c>
      <c r="C1691" s="10" t="s">
        <v>7805</v>
      </c>
      <c r="D1691" s="16" t="s">
        <v>5531</v>
      </c>
      <c r="E1691" s="15" t="s">
        <v>11215</v>
      </c>
      <c r="F1691" s="16" t="str">
        <f>VLOOKUP(Table8[[#This Row],[Mã khách hàng]],code_khach_hang[],2,0)</f>
        <v>CHI NHÁNH HÀ NỘI - CÔNG TY CỔ PHẦN DỊCH VỤ THƯƠNG MẠI TỔNG HỢP WINCOMMERCE</v>
      </c>
      <c r="G1691" s="16"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c r="A1692" s="14" t="s">
        <v>7837</v>
      </c>
      <c r="B1692" s="15" t="s">
        <v>5</v>
      </c>
      <c r="C1692" s="10" t="s">
        <v>7838</v>
      </c>
      <c r="D1692" s="16" t="s">
        <v>5534</v>
      </c>
      <c r="E1692" s="15" t="s">
        <v>11215</v>
      </c>
      <c r="F1692" s="16" t="str">
        <f>VLOOKUP(Table8[[#This Row],[Mã khách hàng]],code_khach_hang[],2,0)</f>
        <v>CHI NHÁNH HÀ NỘI - CÔNG TY CỔ PHẦN DỊCH VỤ THƯƠNG MẠI TỔNG HỢP WINCOMMERCE</v>
      </c>
      <c r="G1692" s="16"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c r="A1693" s="14" t="s">
        <v>7849</v>
      </c>
      <c r="B1693" s="15" t="s">
        <v>5</v>
      </c>
      <c r="C1693" s="10" t="s">
        <v>7850</v>
      </c>
      <c r="D1693" s="16" t="s">
        <v>5537</v>
      </c>
      <c r="E1693" s="15" t="s">
        <v>11215</v>
      </c>
      <c r="F1693" s="16" t="str">
        <f>VLOOKUP(Table8[[#This Row],[Mã khách hàng]],code_khach_hang[],2,0)</f>
        <v>CHI NHÁNH HÀ NỘI - CÔNG TY CỔ PHẦN DỊCH VỤ THƯƠNG MẠI TỔNG HỢP WINCOMMERCE</v>
      </c>
      <c r="G1693" s="16"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c r="A1694" s="14" t="s">
        <v>8169</v>
      </c>
      <c r="B1694" s="15" t="s">
        <v>5</v>
      </c>
      <c r="C1694" s="10" t="s">
        <v>8170</v>
      </c>
      <c r="D1694" s="16" t="s">
        <v>5540</v>
      </c>
      <c r="E1694" s="15" t="s">
        <v>11215</v>
      </c>
      <c r="F1694" s="16" t="str">
        <f>VLOOKUP(Table8[[#This Row],[Mã khách hàng]],code_khach_hang[],2,0)</f>
        <v>CHI NHÁNH HÀ NỘI - CÔNG TY CỔ PHẦN DỊCH VỤ THƯƠNG MẠI TỔNG HỢP WINCOMMERCE</v>
      </c>
      <c r="G1694" s="16"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c r="A1695" s="14" t="s">
        <v>4293</v>
      </c>
      <c r="B1695" s="15" t="s">
        <v>5</v>
      </c>
      <c r="C1695" s="10" t="s">
        <v>4294</v>
      </c>
      <c r="D1695" s="16" t="s">
        <v>5543</v>
      </c>
      <c r="E1695" s="15" t="s">
        <v>11215</v>
      </c>
      <c r="F1695" s="16" t="str">
        <f>VLOOKUP(Table8[[#This Row],[Mã khách hàng]],code_khach_hang[],2,0)</f>
        <v>CHI NHÁNH HÀ NỘI - CÔNG TY CỔ PHẦN DỊCH VỤ THƯƠNG MẠI TỔNG HỢP WINCOMMERCE</v>
      </c>
      <c r="G1695" s="16"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c r="A1696" s="14" t="s">
        <v>5647</v>
      </c>
      <c r="B1696" s="15" t="s">
        <v>5</v>
      </c>
      <c r="C1696" s="10" t="s">
        <v>5648</v>
      </c>
      <c r="D1696" s="16" t="s">
        <v>5546</v>
      </c>
      <c r="E1696" s="15" t="s">
        <v>11215</v>
      </c>
      <c r="F1696" s="16" t="str">
        <f>VLOOKUP(Table8[[#This Row],[Mã khách hàng]],code_khach_hang[],2,0)</f>
        <v>CHI NHÁNH HÀ NỘI - CÔNG TY CỔ PHẦN DỊCH VỤ THƯƠNG MẠI TỔNG HỢP WINCOMMERCE</v>
      </c>
      <c r="G1696" s="16"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c r="A1697" s="14" t="s">
        <v>1020</v>
      </c>
      <c r="B1697" s="15" t="s">
        <v>5</v>
      </c>
      <c r="C1697" s="10" t="s">
        <v>1021</v>
      </c>
      <c r="D1697" s="16" t="s">
        <v>5549</v>
      </c>
      <c r="E1697" s="15" t="s">
        <v>11215</v>
      </c>
      <c r="F1697" s="16" t="str">
        <f>VLOOKUP(Table8[[#This Row],[Mã khách hàng]],code_khach_hang[],2,0)</f>
        <v>CHI NHÁNH HÀ NỘI - CÔNG TY CỔ PHẦN DỊCH VỤ THƯƠNG MẠI TỔNG HỢP WINCOMMERCE</v>
      </c>
      <c r="G1697" s="16"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c r="A1698" s="14" t="s">
        <v>8883</v>
      </c>
      <c r="B1698" s="15" t="s">
        <v>5</v>
      </c>
      <c r="C1698" s="10" t="s">
        <v>8884</v>
      </c>
      <c r="D1698" s="16" t="s">
        <v>5552</v>
      </c>
      <c r="E1698" s="15" t="s">
        <v>11215</v>
      </c>
      <c r="F1698" s="16" t="str">
        <f>VLOOKUP(Table8[[#This Row],[Mã khách hàng]],code_khach_hang[],2,0)</f>
        <v>CHI NHÁNH HÀ NỘI - CÔNG TY CỔ PHẦN DỊCH VỤ THƯƠNG MẠI TỔNG HỢP WINCOMMERCE</v>
      </c>
      <c r="G1698" s="16"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c r="A1699" s="14" t="s">
        <v>1089</v>
      </c>
      <c r="B1699" s="15" t="s">
        <v>5</v>
      </c>
      <c r="C1699" s="10" t="s">
        <v>1090</v>
      </c>
      <c r="D1699" s="16" t="s">
        <v>5555</v>
      </c>
      <c r="E1699" s="15" t="s">
        <v>11215</v>
      </c>
      <c r="F1699" s="16" t="str">
        <f>VLOOKUP(Table8[[#This Row],[Mã khách hàng]],code_khach_hang[],2,0)</f>
        <v>CHI NHÁNH HÀ NỘI - CÔNG TY CỔ PHẦN DỊCH VỤ THƯƠNG MẠI TỔNG HỢP WINCOMMERCE</v>
      </c>
      <c r="G1699" s="16"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c r="A1700" s="14" t="s">
        <v>7274</v>
      </c>
      <c r="B1700" s="15" t="s">
        <v>5</v>
      </c>
      <c r="C1700" s="10" t="s">
        <v>7275</v>
      </c>
      <c r="D1700" s="16" t="s">
        <v>5558</v>
      </c>
      <c r="E1700" s="15" t="s">
        <v>11215</v>
      </c>
      <c r="F1700" s="16" t="str">
        <f>VLOOKUP(Table8[[#This Row],[Mã khách hàng]],code_khach_hang[],2,0)</f>
        <v>CHI NHÁNH HÀ NỘI - CÔNG TY CỔ PHẦN DỊCH VỤ THƯƠNG MẠI TỔNG HỢP WINCOMMERCE</v>
      </c>
      <c r="G1700" s="16"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c r="A1701" s="14" t="s">
        <v>942</v>
      </c>
      <c r="B1701" s="15" t="s">
        <v>5</v>
      </c>
      <c r="C1701" s="10" t="s">
        <v>943</v>
      </c>
      <c r="D1701" s="16" t="s">
        <v>5561</v>
      </c>
      <c r="E1701" s="15" t="s">
        <v>11215</v>
      </c>
      <c r="F1701" s="16" t="str">
        <f>VLOOKUP(Table8[[#This Row],[Mã khách hàng]],code_khach_hang[],2,0)</f>
        <v>CHI NHÁNH HÀ NỘI - CÔNG TY CỔ PHẦN DỊCH VỤ THƯƠNG MẠI TỔNG HỢP WINCOMMERCE</v>
      </c>
      <c r="G1701" s="16"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c r="A1702" s="14" t="s">
        <v>963</v>
      </c>
      <c r="B1702" s="15" t="s">
        <v>5</v>
      </c>
      <c r="C1702" s="10" t="s">
        <v>964</v>
      </c>
      <c r="D1702" s="16" t="s">
        <v>5563</v>
      </c>
      <c r="E1702" s="15" t="s">
        <v>11215</v>
      </c>
      <c r="F1702" s="16" t="str">
        <f>VLOOKUP(Table8[[#This Row],[Mã khách hàng]],code_khach_hang[],2,0)</f>
        <v>CHI NHÁNH HÀ NỘI - CÔNG TY CỔ PHẦN DỊCH VỤ THƯƠNG MẠI TỔNG HỢP WINCOMMERCE</v>
      </c>
      <c r="G1702" s="16"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c r="A1703" s="14" t="s">
        <v>1164</v>
      </c>
      <c r="B1703" s="15" t="s">
        <v>5</v>
      </c>
      <c r="C1703" s="10" t="s">
        <v>1165</v>
      </c>
      <c r="D1703" s="16" t="s">
        <v>5566</v>
      </c>
      <c r="E1703" s="15" t="s">
        <v>11215</v>
      </c>
      <c r="F1703" s="16" t="str">
        <f>VLOOKUP(Table8[[#This Row],[Mã khách hàng]],code_khach_hang[],2,0)</f>
        <v>CHI NHÁNH HÀ NỘI - CÔNG TY CỔ PHẦN DỊCH VỤ THƯƠNG MẠI TỔNG HỢP WINCOMMERCE</v>
      </c>
      <c r="G1703" s="16"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c r="A1704" s="14" t="s">
        <v>4125</v>
      </c>
      <c r="B1704" s="15" t="s">
        <v>5</v>
      </c>
      <c r="C1704" s="10" t="s">
        <v>4126</v>
      </c>
      <c r="D1704" s="16" t="s">
        <v>5569</v>
      </c>
      <c r="E1704" s="15" t="s">
        <v>11215</v>
      </c>
      <c r="F1704" s="16" t="str">
        <f>VLOOKUP(Table8[[#This Row],[Mã khách hàng]],code_khach_hang[],2,0)</f>
        <v>CHI NHÁNH HÀ NỘI - CÔNG TY CỔ PHẦN DỊCH VỤ THƯƠNG MẠI TỔNG HỢP WINCOMMERCE</v>
      </c>
      <c r="G1704" s="16"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c r="A1705" s="14" t="s">
        <v>4584</v>
      </c>
      <c r="B1705" s="15" t="s">
        <v>5</v>
      </c>
      <c r="C1705" s="10" t="s">
        <v>4585</v>
      </c>
      <c r="D1705" s="16" t="s">
        <v>5572</v>
      </c>
      <c r="E1705" s="15" t="s">
        <v>11215</v>
      </c>
      <c r="F1705" s="16" t="str">
        <f>VLOOKUP(Table8[[#This Row],[Mã khách hàng]],code_khach_hang[],2,0)</f>
        <v>CHI NHÁNH HÀ NỘI - CÔNG TY CỔ PHẦN DỊCH VỤ THƯƠNG MẠI TỔNG HỢP WINCOMMERCE</v>
      </c>
      <c r="G1705" s="16"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c r="A1706" s="14" t="s">
        <v>4641</v>
      </c>
      <c r="B1706" s="15" t="s">
        <v>5</v>
      </c>
      <c r="C1706" s="10" t="s">
        <v>4642</v>
      </c>
      <c r="D1706" s="16" t="s">
        <v>5575</v>
      </c>
      <c r="E1706" s="15" t="s">
        <v>11215</v>
      </c>
      <c r="F1706" s="16" t="str">
        <f>VLOOKUP(Table8[[#This Row],[Mã khách hàng]],code_khach_hang[],2,0)</f>
        <v>CHI NHÁNH HÀ NỘI - CÔNG TY CỔ PHẦN DỊCH VỤ THƯƠNG MẠI TỔNG HỢP WINCOMMERCE</v>
      </c>
      <c r="G1706" s="16"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c r="A1707" s="14" t="s">
        <v>4788</v>
      </c>
      <c r="B1707" s="15" t="s">
        <v>5</v>
      </c>
      <c r="C1707" s="10" t="s">
        <v>4789</v>
      </c>
      <c r="D1707" s="16" t="s">
        <v>5578</v>
      </c>
      <c r="E1707" s="15" t="s">
        <v>11215</v>
      </c>
      <c r="F1707" s="16" t="str">
        <f>VLOOKUP(Table8[[#This Row],[Mã khách hàng]],code_khach_hang[],2,0)</f>
        <v>CHI NHÁNH HÀ NỘI - CÔNG TY CỔ PHẦN DỊCH VỤ THƯƠNG MẠI TỔNG HỢP WINCOMMERCE</v>
      </c>
      <c r="G1707" s="16"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c r="A1708" s="14" t="s">
        <v>5097</v>
      </c>
      <c r="B1708" s="15" t="s">
        <v>5</v>
      </c>
      <c r="C1708" s="10" t="s">
        <v>5098</v>
      </c>
      <c r="D1708" s="16" t="s">
        <v>5581</v>
      </c>
      <c r="E1708" s="15" t="s">
        <v>11215</v>
      </c>
      <c r="F1708" s="16" t="str">
        <f>VLOOKUP(Table8[[#This Row],[Mã khách hàng]],code_khach_hang[],2,0)</f>
        <v>CHI NHÁNH HÀ NỘI - CÔNG TY CỔ PHẦN DỊCH VỤ THƯƠNG MẠI TỔNG HỢP WINCOMMERCE</v>
      </c>
      <c r="G1708" s="16"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c r="A1709" s="14" t="s">
        <v>5184</v>
      </c>
      <c r="B1709" s="15" t="s">
        <v>5</v>
      </c>
      <c r="C1709" s="10" t="s">
        <v>5185</v>
      </c>
      <c r="D1709" s="16" t="s">
        <v>5584</v>
      </c>
      <c r="E1709" s="15" t="s">
        <v>11215</v>
      </c>
      <c r="F1709" s="16" t="str">
        <f>VLOOKUP(Table8[[#This Row],[Mã khách hàng]],code_khach_hang[],2,0)</f>
        <v>CHI NHÁNH HÀ NỘI - CÔNG TY CỔ PHẦN DỊCH VỤ THƯƠNG MẠI TỔNG HỢP WINCOMMERCE</v>
      </c>
      <c r="G1709" s="16"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c r="A1710" s="14" t="s">
        <v>5202</v>
      </c>
      <c r="B1710" s="15" t="s">
        <v>5</v>
      </c>
      <c r="C1710" s="10" t="s">
        <v>5203</v>
      </c>
      <c r="D1710" s="16" t="s">
        <v>5587</v>
      </c>
      <c r="E1710" s="15" t="s">
        <v>11215</v>
      </c>
      <c r="F1710" s="16" t="str">
        <f>VLOOKUP(Table8[[#This Row],[Mã khách hàng]],code_khach_hang[],2,0)</f>
        <v>CHI NHÁNH HÀ NỘI - CÔNG TY CỔ PHẦN DỊCH VỤ THƯƠNG MẠI TỔNG HỢP WINCOMMERCE</v>
      </c>
      <c r="G1710" s="16"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c r="A1711" s="14" t="s">
        <v>5214</v>
      </c>
      <c r="B1711" s="15" t="s">
        <v>5</v>
      </c>
      <c r="C1711" s="10" t="s">
        <v>5215</v>
      </c>
      <c r="D1711" s="16" t="s">
        <v>5590</v>
      </c>
      <c r="E1711" s="15" t="s">
        <v>11215</v>
      </c>
      <c r="F1711" s="16" t="str">
        <f>VLOOKUP(Table8[[#This Row],[Mã khách hàng]],code_khach_hang[],2,0)</f>
        <v>CHI NHÁNH HÀ NỘI - CÔNG TY CỔ PHẦN DỊCH VỤ THƯƠNG MẠI TỔNG HỢP WINCOMMERCE</v>
      </c>
      <c r="G1711" s="16"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c r="A1712" s="14" t="s">
        <v>11124</v>
      </c>
      <c r="B1712" s="15" t="s">
        <v>5</v>
      </c>
      <c r="C1712" s="10" t="e">
        <v>#N/A</v>
      </c>
      <c r="D1712" s="16" t="s">
        <v>5593</v>
      </c>
      <c r="E1712" s="14" t="s">
        <v>11215</v>
      </c>
      <c r="F1712" s="16" t="str">
        <f>VLOOKUP(Table8[[#This Row],[Mã khách hàng]],code_khach_hang[],2,0)</f>
        <v>CHI NHÁNH HÀ NỘI - CÔNG TY CỔ PHẦN DỊCH VỤ THƯƠNG MẠI TỔNG HỢP WINCOMMERCE</v>
      </c>
      <c r="G1712" s="16"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c r="A1713" s="14" t="s">
        <v>7715</v>
      </c>
      <c r="B1713" s="15" t="s">
        <v>5</v>
      </c>
      <c r="C1713" s="10" t="s">
        <v>7716</v>
      </c>
      <c r="D1713" s="16" t="s">
        <v>5596</v>
      </c>
      <c r="E1713" s="15" t="s">
        <v>11215</v>
      </c>
      <c r="F1713" s="16" t="str">
        <f>VLOOKUP(Table8[[#This Row],[Mã khách hàng]],code_khach_hang[],2,0)</f>
        <v>CHI NHÁNH HÀ NỘI - CÔNG TY CỔ PHẦN DỊCH VỤ THƯƠNG MẠI TỔNG HỢP WINCOMMERCE</v>
      </c>
      <c r="G1713" s="16"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c r="A1714" s="14" t="s">
        <v>7798</v>
      </c>
      <c r="B1714" s="15" t="s">
        <v>5</v>
      </c>
      <c r="C1714" s="10" t="s">
        <v>7799</v>
      </c>
      <c r="D1714" s="16" t="s">
        <v>5599</v>
      </c>
      <c r="E1714" s="15" t="s">
        <v>11215</v>
      </c>
      <c r="F1714" s="16" t="str">
        <f>VLOOKUP(Table8[[#This Row],[Mã khách hàng]],code_khach_hang[],2,0)</f>
        <v>CHI NHÁNH HÀ NỘI - CÔNG TY CỔ PHẦN DỊCH VỤ THƯƠNG MẠI TỔNG HỢP WINCOMMERCE</v>
      </c>
      <c r="G1714" s="16"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c r="A1715" s="14" t="s">
        <v>906</v>
      </c>
      <c r="B1715" s="15" t="s">
        <v>5</v>
      </c>
      <c r="C1715" s="10" t="s">
        <v>907</v>
      </c>
      <c r="D1715" s="16" t="s">
        <v>5602</v>
      </c>
      <c r="E1715" s="15" t="s">
        <v>11215</v>
      </c>
      <c r="F1715" s="16" t="str">
        <f>VLOOKUP(Table8[[#This Row],[Mã khách hàng]],code_khach_hang[],2,0)</f>
        <v>CHI NHÁNH HÀ NỘI - CÔNG TY CỔ PHẦN DỊCH VỤ THƯƠNG MẠI TỔNG HỢP WINCOMMERCE</v>
      </c>
      <c r="G1715" s="16"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c r="A1716" s="14" t="s">
        <v>4173</v>
      </c>
      <c r="B1716" s="15" t="s">
        <v>5</v>
      </c>
      <c r="C1716" s="10" t="s">
        <v>4174</v>
      </c>
      <c r="D1716" s="16" t="s">
        <v>5605</v>
      </c>
      <c r="E1716" s="15" t="s">
        <v>11215</v>
      </c>
      <c r="F1716" s="16" t="str">
        <f>VLOOKUP(Table8[[#This Row],[Mã khách hàng]],code_khach_hang[],2,0)</f>
        <v>CHI NHÁNH HÀ NỘI - CÔNG TY CỔ PHẦN DỊCH VỤ THƯƠNG MẠI TỔNG HỢP WINCOMMERCE</v>
      </c>
      <c r="G1716" s="16"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c r="A1717" s="14" t="s">
        <v>4197</v>
      </c>
      <c r="B1717" s="15" t="s">
        <v>5</v>
      </c>
      <c r="C1717" s="10" t="s">
        <v>4198</v>
      </c>
      <c r="D1717" s="16" t="s">
        <v>5608</v>
      </c>
      <c r="E1717" s="15" t="s">
        <v>11215</v>
      </c>
      <c r="F1717" s="16" t="str">
        <f>VLOOKUP(Table8[[#This Row],[Mã khách hàng]],code_khach_hang[],2,0)</f>
        <v>CHI NHÁNH HÀ NỘI - CÔNG TY CỔ PHẦN DỊCH VỤ THƯƠNG MẠI TỔNG HỢP WINCOMMERCE</v>
      </c>
      <c r="G1717" s="16"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c r="A1718" s="14" t="s">
        <v>4263</v>
      </c>
      <c r="B1718" s="15" t="s">
        <v>5</v>
      </c>
      <c r="C1718" s="10" t="s">
        <v>4264</v>
      </c>
      <c r="D1718" s="16" t="s">
        <v>5611</v>
      </c>
      <c r="E1718" s="15" t="s">
        <v>11215</v>
      </c>
      <c r="F1718" s="16" t="str">
        <f>VLOOKUP(Table8[[#This Row],[Mã khách hàng]],code_khach_hang[],2,0)</f>
        <v>CHI NHÁNH HÀ NỘI - CÔNG TY CỔ PHẦN DỊCH VỤ THƯƠNG MẠI TỔNG HỢP WINCOMMERCE</v>
      </c>
      <c r="G1718" s="16"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c r="A1719" s="14" t="s">
        <v>6109</v>
      </c>
      <c r="B1719" s="15" t="s">
        <v>5</v>
      </c>
      <c r="C1719" s="10" t="s">
        <v>6110</v>
      </c>
      <c r="D1719" s="16" t="s">
        <v>5614</v>
      </c>
      <c r="E1719" s="15" t="s">
        <v>11215</v>
      </c>
      <c r="F1719" s="16" t="str">
        <f>VLOOKUP(Table8[[#This Row],[Mã khách hàng]],code_khach_hang[],2,0)</f>
        <v>CHI NHÁNH HÀ NỘI - CÔNG TY CỔ PHẦN DỊCH VỤ THƯƠNG MẠI TỔNG HỢP WINCOMMERCE</v>
      </c>
      <c r="G1719" s="16"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c r="A1720" s="14" t="s">
        <v>6124</v>
      </c>
      <c r="B1720" s="15" t="s">
        <v>5</v>
      </c>
      <c r="C1720" s="10" t="s">
        <v>6125</v>
      </c>
      <c r="D1720" s="16" t="s">
        <v>5617</v>
      </c>
      <c r="E1720" s="15" t="s">
        <v>11215</v>
      </c>
      <c r="F1720" s="16" t="str">
        <f>VLOOKUP(Table8[[#This Row],[Mã khách hàng]],code_khach_hang[],2,0)</f>
        <v>CHI NHÁNH HÀ NỘI - CÔNG TY CỔ PHẦN DỊCH VỤ THƯƠNG MẠI TỔNG HỢP WINCOMMERCE</v>
      </c>
      <c r="G1720" s="16"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c r="A1721" s="14" t="s">
        <v>11125</v>
      </c>
      <c r="B1721" s="15" t="s">
        <v>5</v>
      </c>
      <c r="C1721" s="10" t="s">
        <v>13167</v>
      </c>
      <c r="D1721" s="16" t="s">
        <v>5620</v>
      </c>
      <c r="E1721" s="15" t="s">
        <v>11215</v>
      </c>
      <c r="F1721" s="16" t="str">
        <f>VLOOKUP(Table8[[#This Row],[Mã khách hàng]],code_khach_hang[],2,0)</f>
        <v>CHI NHÁNH HÀ NỘI - CÔNG TY CỔ PHẦN DỊCH VỤ THƯƠNG MẠI TỔNG HỢP WINCOMMERCE</v>
      </c>
      <c r="G1721" s="16"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c r="A1722" s="14" t="s">
        <v>1191</v>
      </c>
      <c r="B1722" s="15" t="s">
        <v>5</v>
      </c>
      <c r="C1722" s="10" t="s">
        <v>1192</v>
      </c>
      <c r="D1722" s="16" t="s">
        <v>5623</v>
      </c>
      <c r="E1722" s="15" t="s">
        <v>11215</v>
      </c>
      <c r="F1722" s="16" t="str">
        <f>VLOOKUP(Table8[[#This Row],[Mã khách hàng]],code_khach_hang[],2,0)</f>
        <v>CHI NHÁNH HÀ NỘI - CÔNG TY CỔ PHẦN DỊCH VỤ THƯƠNG MẠI TỔNG HỢP WINCOMMERCE</v>
      </c>
      <c r="G1722" s="16"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c r="A1723" s="14" t="s">
        <v>5917</v>
      </c>
      <c r="B1723" s="15" t="s">
        <v>5</v>
      </c>
      <c r="C1723" s="10" t="s">
        <v>5918</v>
      </c>
      <c r="D1723" s="16" t="s">
        <v>5626</v>
      </c>
      <c r="E1723" s="15" t="s">
        <v>11215</v>
      </c>
      <c r="F1723" s="16" t="str">
        <f>VLOOKUP(Table8[[#This Row],[Mã khách hàng]],code_khach_hang[],2,0)</f>
        <v>CHI NHÁNH HÀ NỘI - CÔNG TY CỔ PHẦN DỊCH VỤ THƯƠNG MẠI TỔNG HỢP WINCOMMERCE</v>
      </c>
      <c r="G1723" s="16"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c r="A1724" s="14" t="s">
        <v>6166</v>
      </c>
      <c r="B1724" s="15" t="s">
        <v>5</v>
      </c>
      <c r="C1724" s="10" t="s">
        <v>6167</v>
      </c>
      <c r="D1724" s="16" t="s">
        <v>5629</v>
      </c>
      <c r="E1724" s="15" t="s">
        <v>11215</v>
      </c>
      <c r="F1724" s="16" t="str">
        <f>VLOOKUP(Table8[[#This Row],[Mã khách hàng]],code_khach_hang[],2,0)</f>
        <v>CHI NHÁNH HÀ NỘI - CÔNG TY CỔ PHẦN DỊCH VỤ THƯƠNG MẠI TỔNG HỢP WINCOMMERCE</v>
      </c>
      <c r="G1724" s="16"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c r="A1725" s="14" t="s">
        <v>8304</v>
      </c>
      <c r="B1725" s="15" t="s">
        <v>5</v>
      </c>
      <c r="C1725" s="10" t="s">
        <v>8305</v>
      </c>
      <c r="D1725" s="16" t="s">
        <v>5632</v>
      </c>
      <c r="E1725" s="15" t="s">
        <v>11215</v>
      </c>
      <c r="F1725" s="16" t="str">
        <f>VLOOKUP(Table8[[#This Row],[Mã khách hàng]],code_khach_hang[],2,0)</f>
        <v>CHI NHÁNH HÀ NỘI - CÔNG TY CỔ PHẦN DỊCH VỤ THƯƠNG MẠI TỔNG HỢP WINCOMMERCE</v>
      </c>
      <c r="G1725" s="16"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c r="A1726" s="14" t="s">
        <v>8448</v>
      </c>
      <c r="B1726" s="15" t="s">
        <v>5</v>
      </c>
      <c r="C1726" s="10" t="s">
        <v>8449</v>
      </c>
      <c r="D1726" s="16" t="s">
        <v>5634</v>
      </c>
      <c r="E1726" s="15" t="s">
        <v>11215</v>
      </c>
      <c r="F1726" s="16" t="str">
        <f>VLOOKUP(Table8[[#This Row],[Mã khách hàng]],code_khach_hang[],2,0)</f>
        <v>CHI NHÁNH HÀ NỘI - CÔNG TY CỔ PHẦN DỊCH VỤ THƯƠNG MẠI TỔNG HỢP WINCOMMERCE</v>
      </c>
      <c r="G1726" s="16"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c r="A1727" s="14" t="s">
        <v>8659</v>
      </c>
      <c r="B1727" s="15" t="s">
        <v>5</v>
      </c>
      <c r="C1727" s="10" t="s">
        <v>8660</v>
      </c>
      <c r="D1727" s="16" t="s">
        <v>5637</v>
      </c>
      <c r="E1727" s="15" t="s">
        <v>11215</v>
      </c>
      <c r="F1727" s="16" t="str">
        <f>VLOOKUP(Table8[[#This Row],[Mã khách hàng]],code_khach_hang[],2,0)</f>
        <v>CHI NHÁNH HÀ NỘI - CÔNG TY CỔ PHẦN DỊCH VỤ THƯƠNG MẠI TỔNG HỢP WINCOMMERCE</v>
      </c>
      <c r="G1727" s="16"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c r="A1728" s="14" t="s">
        <v>8697</v>
      </c>
      <c r="B1728" s="15" t="s">
        <v>5</v>
      </c>
      <c r="C1728" s="10" t="s">
        <v>8698</v>
      </c>
      <c r="D1728" s="16" t="s">
        <v>5640</v>
      </c>
      <c r="E1728" s="15" t="s">
        <v>11215</v>
      </c>
      <c r="F1728" s="16" t="str">
        <f>VLOOKUP(Table8[[#This Row],[Mã khách hàng]],code_khach_hang[],2,0)</f>
        <v>CHI NHÁNH HÀ NỘI - CÔNG TY CỔ PHẦN DỊCH VỤ THƯƠNG MẠI TỔNG HỢP WINCOMMERCE</v>
      </c>
      <c r="G1728" s="16"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c r="A1729" s="14" t="s">
        <v>8791</v>
      </c>
      <c r="B1729" s="15" t="s">
        <v>5</v>
      </c>
      <c r="C1729" s="10" t="s">
        <v>8792</v>
      </c>
      <c r="D1729" s="16" t="s">
        <v>5642</v>
      </c>
      <c r="E1729" s="15" t="s">
        <v>11215</v>
      </c>
      <c r="F1729" s="16" t="str">
        <f>VLOOKUP(Table8[[#This Row],[Mã khách hàng]],code_khach_hang[],2,0)</f>
        <v>CHI NHÁNH HÀ NỘI - CÔNG TY CỔ PHẦN DỊCH VỤ THƯƠNG MẠI TỔNG HỢP WINCOMMERCE</v>
      </c>
      <c r="G1729" s="16"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c r="A1730" s="14" t="s">
        <v>4269</v>
      </c>
      <c r="B1730" s="15" t="s">
        <v>5</v>
      </c>
      <c r="C1730" s="10" t="s">
        <v>4270</v>
      </c>
      <c r="D1730" s="16" t="s">
        <v>5644</v>
      </c>
      <c r="E1730" s="15" t="s">
        <v>11215</v>
      </c>
      <c r="F1730" s="16" t="str">
        <f>VLOOKUP(Table8[[#This Row],[Mã khách hàng]],code_khach_hang[],2,0)</f>
        <v>CHI NHÁNH HÀ NỘI - CÔNG TY CỔ PHẦN DỊCH VỤ THƯƠNG MẠI TỔNG HỢP WINCOMMERCE</v>
      </c>
      <c r="G1730" s="16"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c r="A1731" s="14" t="s">
        <v>4524</v>
      </c>
      <c r="B1731" s="15" t="s">
        <v>5</v>
      </c>
      <c r="C1731" s="10" t="s">
        <v>4525</v>
      </c>
      <c r="D1731" s="16" t="s">
        <v>5646</v>
      </c>
      <c r="E1731" s="15" t="s">
        <v>11215</v>
      </c>
      <c r="F1731" s="16" t="str">
        <f>VLOOKUP(Table8[[#This Row],[Mã khách hàng]],code_khach_hang[],2,0)</f>
        <v>CHI NHÁNH HÀ NỘI - CÔNG TY CỔ PHẦN DỊCH VỤ THƯƠNG MẠI TỔNG HỢP WINCOMMERCE</v>
      </c>
      <c r="G1731" s="16"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c r="A1732" s="14" t="s">
        <v>5175</v>
      </c>
      <c r="B1732" s="15" t="s">
        <v>5</v>
      </c>
      <c r="C1732" s="10" t="s">
        <v>5176</v>
      </c>
      <c r="D1732" s="16" t="s">
        <v>5649</v>
      </c>
      <c r="E1732" s="15" t="s">
        <v>11215</v>
      </c>
      <c r="F1732" s="16" t="str">
        <f>VLOOKUP(Table8[[#This Row],[Mã khách hàng]],code_khach_hang[],2,0)</f>
        <v>CHI NHÁNH HÀ NỘI - CÔNG TY CỔ PHẦN DỊCH VỤ THƯƠNG MẠI TỔNG HỢP WINCOMMERCE</v>
      </c>
      <c r="G1732" s="16"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c r="A1733" s="14" t="s">
        <v>5400</v>
      </c>
      <c r="B1733" s="15" t="s">
        <v>5</v>
      </c>
      <c r="C1733" s="10" t="s">
        <v>5401</v>
      </c>
      <c r="D1733" s="16" t="s">
        <v>5652</v>
      </c>
      <c r="E1733" s="15" t="s">
        <v>11215</v>
      </c>
      <c r="F1733" s="16" t="str">
        <f>VLOOKUP(Table8[[#This Row],[Mã khách hàng]],code_khach_hang[],2,0)</f>
        <v>CHI NHÁNH HÀ NỘI - CÔNG TY CỔ PHẦN DỊCH VỤ THƯƠNG MẠI TỔNG HỢP WINCOMMERCE</v>
      </c>
      <c r="G1733" s="16"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c r="A1734" s="14" t="s">
        <v>11126</v>
      </c>
      <c r="B1734" s="15" t="s">
        <v>5</v>
      </c>
      <c r="C1734" s="10" t="e">
        <v>#N/A</v>
      </c>
      <c r="D1734" s="16" t="s">
        <v>5655</v>
      </c>
      <c r="E1734" s="15" t="s">
        <v>11215</v>
      </c>
      <c r="F1734" s="16" t="str">
        <f>VLOOKUP(Table8[[#This Row],[Mã khách hàng]],code_khach_hang[],2,0)</f>
        <v>CHI NHÁNH HÀ NỘI - CÔNG TY CỔ PHẦN DỊCH VỤ THƯƠNG MẠI TỔNG HỢP WINCOMMERCE</v>
      </c>
      <c r="G1734" s="16"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c r="A1735" s="14" t="s">
        <v>1038</v>
      </c>
      <c r="B1735" s="15" t="s">
        <v>5</v>
      </c>
      <c r="C1735" s="10" t="s">
        <v>1039</v>
      </c>
      <c r="D1735" s="16" t="s">
        <v>5658</v>
      </c>
      <c r="E1735" s="15" t="s">
        <v>11215</v>
      </c>
      <c r="F1735" s="16" t="str">
        <f>VLOOKUP(Table8[[#This Row],[Mã khách hàng]],code_khach_hang[],2,0)</f>
        <v>CHI NHÁNH HÀ NỘI - CÔNG TY CỔ PHẦN DỊCH VỤ THƯƠNG MẠI TỔNG HỢP WINCOMMERCE</v>
      </c>
      <c r="G1735" s="16"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c r="A1736" s="14" t="s">
        <v>1044</v>
      </c>
      <c r="B1736" s="15" t="s">
        <v>5</v>
      </c>
      <c r="C1736" s="10" t="s">
        <v>1045</v>
      </c>
      <c r="D1736" s="16" t="s">
        <v>5661</v>
      </c>
      <c r="E1736" s="15" t="s">
        <v>11215</v>
      </c>
      <c r="F1736" s="16" t="str">
        <f>VLOOKUP(Table8[[#This Row],[Mã khách hàng]],code_khach_hang[],2,0)</f>
        <v>CHI NHÁNH HÀ NỘI - CÔNG TY CỔ PHẦN DỊCH VỤ THƯƠNG MẠI TỔNG HỢP WINCOMMERCE</v>
      </c>
      <c r="G1736" s="16"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c r="A1737" s="14" t="s">
        <v>1266</v>
      </c>
      <c r="B1737" s="15" t="s">
        <v>5</v>
      </c>
      <c r="C1737" s="10" t="s">
        <v>1267</v>
      </c>
      <c r="D1737" s="16" t="s">
        <v>5664</v>
      </c>
      <c r="E1737" s="15" t="s">
        <v>11215</v>
      </c>
      <c r="F1737" s="16" t="str">
        <f>VLOOKUP(Table8[[#This Row],[Mã khách hàng]],code_khach_hang[],2,0)</f>
        <v>CHI NHÁNH HÀ NỘI - CÔNG TY CỔ PHẦN DỊCH VỤ THƯƠNG MẠI TỔNG HỢP WINCOMMERCE</v>
      </c>
      <c r="G1737" s="16"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c r="A1738" s="14" t="s">
        <v>1317</v>
      </c>
      <c r="B1738" s="15" t="s">
        <v>5</v>
      </c>
      <c r="C1738" s="10" t="s">
        <v>1318</v>
      </c>
      <c r="D1738" s="16" t="s">
        <v>5667</v>
      </c>
      <c r="E1738" s="15" t="s">
        <v>11215</v>
      </c>
      <c r="F1738" s="16" t="str">
        <f>VLOOKUP(Table8[[#This Row],[Mã khách hàng]],code_khach_hang[],2,0)</f>
        <v>CHI NHÁNH HÀ NỘI - CÔNG TY CỔ PHẦN DỊCH VỤ THƯƠNG MẠI TỔNG HỢP WINCOMMERCE</v>
      </c>
      <c r="G1738" s="16"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c r="A1739" s="14" t="s">
        <v>1346</v>
      </c>
      <c r="B1739" s="15" t="s">
        <v>5</v>
      </c>
      <c r="C1739" s="10" t="s">
        <v>1347</v>
      </c>
      <c r="D1739" s="16" t="s">
        <v>5670</v>
      </c>
      <c r="E1739" s="15" t="s">
        <v>11215</v>
      </c>
      <c r="F1739" s="16" t="str">
        <f>VLOOKUP(Table8[[#This Row],[Mã khách hàng]],code_khach_hang[],2,0)</f>
        <v>CHI NHÁNH HÀ NỘI - CÔNG TY CỔ PHẦN DỊCH VỤ THƯƠNG MẠI TỔNG HỢP WINCOMMERCE</v>
      </c>
      <c r="G1739" s="16"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c r="A1740" s="14" t="s">
        <v>4203</v>
      </c>
      <c r="B1740" s="15" t="s">
        <v>5</v>
      </c>
      <c r="C1740" s="10" t="s">
        <v>4204</v>
      </c>
      <c r="D1740" s="16" t="s">
        <v>5673</v>
      </c>
      <c r="E1740" s="15" t="s">
        <v>11215</v>
      </c>
      <c r="F1740" s="16" t="str">
        <f>VLOOKUP(Table8[[#This Row],[Mã khách hàng]],code_khach_hang[],2,0)</f>
        <v>CHI NHÁNH HÀ NỘI - CÔNG TY CỔ PHẦN DỊCH VỤ THƯƠNG MẠI TỔNG HỢP WINCOMMERCE</v>
      </c>
      <c r="G1740" s="16"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c r="A1741" s="14" t="s">
        <v>4506</v>
      </c>
      <c r="B1741" s="15" t="s">
        <v>5</v>
      </c>
      <c r="C1741" s="10" t="s">
        <v>4507</v>
      </c>
      <c r="D1741" s="16" t="s">
        <v>5676</v>
      </c>
      <c r="E1741" s="15" t="s">
        <v>11215</v>
      </c>
      <c r="F1741" s="16" t="str">
        <f>VLOOKUP(Table8[[#This Row],[Mã khách hàng]],code_khach_hang[],2,0)</f>
        <v>CHI NHÁNH HÀ NỘI - CÔNG TY CỔ PHẦN DỊCH VỤ THƯƠNG MẠI TỔNG HỢP WINCOMMERCE</v>
      </c>
      <c r="G1741" s="16"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c r="A1742" s="14" t="s">
        <v>4599</v>
      </c>
      <c r="B1742" s="15" t="s">
        <v>5</v>
      </c>
      <c r="C1742" s="10" t="s">
        <v>4600</v>
      </c>
      <c r="D1742" s="16" t="s">
        <v>5679</v>
      </c>
      <c r="E1742" s="15" t="s">
        <v>11215</v>
      </c>
      <c r="F1742" s="16" t="str">
        <f>VLOOKUP(Table8[[#This Row],[Mã khách hàng]],code_khach_hang[],2,0)</f>
        <v>CHI NHÁNH HÀ NỘI - CÔNG TY CỔ PHẦN DỊCH VỤ THƯƠNG MẠI TỔNG HỢP WINCOMMERCE</v>
      </c>
      <c r="G1742" s="16"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c r="A1743" s="14" t="s">
        <v>4782</v>
      </c>
      <c r="B1743" s="15" t="s">
        <v>5</v>
      </c>
      <c r="C1743" s="10" t="s">
        <v>4783</v>
      </c>
      <c r="D1743" s="16" t="s">
        <v>5682</v>
      </c>
      <c r="E1743" s="15" t="s">
        <v>11215</v>
      </c>
      <c r="F1743" s="16" t="str">
        <f>VLOOKUP(Table8[[#This Row],[Mã khách hàng]],code_khach_hang[],2,0)</f>
        <v>CHI NHÁNH HÀ NỘI - CÔNG TY CỔ PHẦN DỊCH VỤ THƯƠNG MẠI TỔNG HỢP WINCOMMERCE</v>
      </c>
      <c r="G1743" s="16"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c r="A1744" s="14" t="s">
        <v>4794</v>
      </c>
      <c r="B1744" s="15" t="s">
        <v>5</v>
      </c>
      <c r="C1744" s="10" t="s">
        <v>4795</v>
      </c>
      <c r="D1744" s="16" t="s">
        <v>5685</v>
      </c>
      <c r="E1744" s="15" t="s">
        <v>11215</v>
      </c>
      <c r="F1744" s="16" t="str">
        <f>VLOOKUP(Table8[[#This Row],[Mã khách hàng]],code_khach_hang[],2,0)</f>
        <v>CHI NHÁNH HÀ NỘI - CÔNG TY CỔ PHẦN DỊCH VỤ THƯƠNG MẠI TỔNG HỢP WINCOMMERCE</v>
      </c>
      <c r="G1744" s="16"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c r="A1745" s="14" t="s">
        <v>4878</v>
      </c>
      <c r="B1745" s="15" t="s">
        <v>5</v>
      </c>
      <c r="C1745" s="10" t="s">
        <v>4879</v>
      </c>
      <c r="D1745" s="16" t="s">
        <v>5688</v>
      </c>
      <c r="E1745" s="15" t="s">
        <v>11215</v>
      </c>
      <c r="F1745" s="16" t="str">
        <f>VLOOKUP(Table8[[#This Row],[Mã khách hàng]],code_khach_hang[],2,0)</f>
        <v>CHI NHÁNH HÀ NỘI - CÔNG TY CỔ PHẦN DỊCH VỤ THƯƠNG MẠI TỔNG HỢP WINCOMMERCE</v>
      </c>
      <c r="G1745" s="16"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c r="A1746" s="14" t="s">
        <v>4890</v>
      </c>
      <c r="B1746" s="15" t="s">
        <v>5</v>
      </c>
      <c r="C1746" s="10" t="s">
        <v>4891</v>
      </c>
      <c r="D1746" s="16" t="s">
        <v>5691</v>
      </c>
      <c r="E1746" s="15" t="s">
        <v>11215</v>
      </c>
      <c r="F1746" s="16" t="str">
        <f>VLOOKUP(Table8[[#This Row],[Mã khách hàng]],code_khach_hang[],2,0)</f>
        <v>CHI NHÁNH HÀ NỘI - CÔNG TY CỔ PHẦN DỊCH VỤ THƯƠNG MẠI TỔNG HỢP WINCOMMERCE</v>
      </c>
      <c r="G1746" s="16"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c r="A1747" s="14" t="s">
        <v>4974</v>
      </c>
      <c r="B1747" s="15" t="s">
        <v>5</v>
      </c>
      <c r="C1747" s="10" t="s">
        <v>4975</v>
      </c>
      <c r="D1747" s="16" t="s">
        <v>5694</v>
      </c>
      <c r="E1747" s="15" t="s">
        <v>11215</v>
      </c>
      <c r="F1747" s="16" t="str">
        <f>VLOOKUP(Table8[[#This Row],[Mã khách hàng]],code_khach_hang[],2,0)</f>
        <v>CHI NHÁNH HÀ NỘI - CÔNG TY CỔ PHẦN DỊCH VỤ THƯƠNG MẠI TỔNG HỢP WINCOMMERCE</v>
      </c>
      <c r="G1747" s="16"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c r="A1748" s="14" t="s">
        <v>5046</v>
      </c>
      <c r="B1748" s="15" t="s">
        <v>5</v>
      </c>
      <c r="C1748" s="10" t="s">
        <v>5047</v>
      </c>
      <c r="D1748" s="16" t="s">
        <v>5697</v>
      </c>
      <c r="E1748" s="15" t="s">
        <v>11215</v>
      </c>
      <c r="F1748" s="16" t="str">
        <f>VLOOKUP(Table8[[#This Row],[Mã khách hàng]],code_khach_hang[],2,0)</f>
        <v>CHI NHÁNH HÀ NỘI - CÔNG TY CỔ PHẦN DỊCH VỤ THƯƠNG MẠI TỔNG HỢP WINCOMMERCE</v>
      </c>
      <c r="G1748" s="16"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c r="A1749" s="14" t="s">
        <v>5145</v>
      </c>
      <c r="B1749" s="15" t="s">
        <v>5</v>
      </c>
      <c r="C1749" s="10" t="s">
        <v>5146</v>
      </c>
      <c r="D1749" s="16" t="s">
        <v>5700</v>
      </c>
      <c r="E1749" s="15" t="s">
        <v>11215</v>
      </c>
      <c r="F1749" s="16" t="str">
        <f>VLOOKUP(Table8[[#This Row],[Mã khách hàng]],code_khach_hang[],2,0)</f>
        <v>CHI NHÁNH HÀ NỘI - CÔNG TY CỔ PHẦN DỊCH VỤ THƯƠNG MẠI TỔNG HỢP WINCOMMERCE</v>
      </c>
      <c r="G1749" s="16"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c r="A1750" s="14" t="s">
        <v>5553</v>
      </c>
      <c r="B1750" s="15" t="s">
        <v>5</v>
      </c>
      <c r="C1750" s="10" t="s">
        <v>5554</v>
      </c>
      <c r="D1750" s="16" t="s">
        <v>5703</v>
      </c>
      <c r="E1750" s="15" t="s">
        <v>11215</v>
      </c>
      <c r="F1750" s="16" t="str">
        <f>VLOOKUP(Table8[[#This Row],[Mã khách hàng]],code_khach_hang[],2,0)</f>
        <v>CHI NHÁNH HÀ NỘI - CÔNG TY CỔ PHẦN DỊCH VỤ THƯƠNG MẠI TỔNG HỢP WINCOMMERCE</v>
      </c>
      <c r="G1750" s="16"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c r="A1751" s="14" t="s">
        <v>5686</v>
      </c>
      <c r="B1751" s="15" t="s">
        <v>5</v>
      </c>
      <c r="C1751" s="10" t="s">
        <v>5687</v>
      </c>
      <c r="D1751" s="16" t="s">
        <v>5706</v>
      </c>
      <c r="E1751" s="15" t="s">
        <v>11215</v>
      </c>
      <c r="F1751" s="16" t="str">
        <f>VLOOKUP(Table8[[#This Row],[Mã khách hàng]],code_khach_hang[],2,0)</f>
        <v>CHI NHÁNH HÀ NỘI - CÔNG TY CỔ PHẦN DỊCH VỤ THƯƠNG MẠI TỔNG HỢP WINCOMMERCE</v>
      </c>
      <c r="G1751" s="16"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c r="A1752" s="14" t="s">
        <v>6273</v>
      </c>
      <c r="B1752" s="15" t="s">
        <v>5</v>
      </c>
      <c r="C1752" s="10" t="s">
        <v>6274</v>
      </c>
      <c r="D1752" s="16" t="s">
        <v>5708</v>
      </c>
      <c r="E1752" s="15" t="s">
        <v>11215</v>
      </c>
      <c r="F1752" s="16" t="str">
        <f>VLOOKUP(Table8[[#This Row],[Mã khách hàng]],code_khach_hang[],2,0)</f>
        <v>CHI NHÁNH HÀ NỘI - CÔNG TY CỔ PHẦN DỊCH VỤ THƯƠNG MẠI TỔNG HỢP WINCOMMERCE</v>
      </c>
      <c r="G1752" s="16"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c r="A1753" s="14" t="s">
        <v>11127</v>
      </c>
      <c r="B1753" s="15" t="s">
        <v>5</v>
      </c>
      <c r="C1753" s="10" t="e">
        <v>#N/A</v>
      </c>
      <c r="D1753" s="16" t="s">
        <v>5711</v>
      </c>
      <c r="E1753" s="15" t="s">
        <v>11215</v>
      </c>
      <c r="F1753" s="16" t="str">
        <f>VLOOKUP(Table8[[#This Row],[Mã khách hàng]],code_khach_hang[],2,0)</f>
        <v>CHI NHÁNH HÀ NỘI - CÔNG TY CỔ PHẦN DỊCH VỤ THƯƠNG MẠI TỔNG HỢP WINCOMMERCE</v>
      </c>
      <c r="G1753" s="16"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c r="A1754" s="14" t="s">
        <v>6357</v>
      </c>
      <c r="B1754" s="15" t="s">
        <v>5</v>
      </c>
      <c r="C1754" s="10" t="s">
        <v>6358</v>
      </c>
      <c r="D1754" s="16" t="s">
        <v>5714</v>
      </c>
      <c r="E1754" s="15" t="s">
        <v>11215</v>
      </c>
      <c r="F1754" s="16" t="str">
        <f>VLOOKUP(Table8[[#This Row],[Mã khách hàng]],code_khach_hang[],2,0)</f>
        <v>CHI NHÁNH HÀ NỘI - CÔNG TY CỔ PHẦN DỊCH VỤ THƯƠNG MẠI TỔNG HỢP WINCOMMERCE</v>
      </c>
      <c r="G1754" s="16"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c r="A1755" s="14" t="s">
        <v>6740</v>
      </c>
      <c r="B1755" s="15" t="s">
        <v>5</v>
      </c>
      <c r="C1755" s="10" t="s">
        <v>6741</v>
      </c>
      <c r="D1755" s="16" t="s">
        <v>5717</v>
      </c>
      <c r="E1755" s="15" t="s">
        <v>11215</v>
      </c>
      <c r="F1755" s="16" t="str">
        <f>VLOOKUP(Table8[[#This Row],[Mã khách hàng]],code_khach_hang[],2,0)</f>
        <v>CHI NHÁNH HÀ NỘI - CÔNG TY CỔ PHẦN DỊCH VỤ THƯƠNG MẠI TỔNG HỢP WINCOMMERCE</v>
      </c>
      <c r="G1755" s="16"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c r="A1756" s="14" t="s">
        <v>7171</v>
      </c>
      <c r="B1756" s="15" t="s">
        <v>5</v>
      </c>
      <c r="C1756" s="10" t="s">
        <v>7172</v>
      </c>
      <c r="D1756" s="16" t="s">
        <v>5720</v>
      </c>
      <c r="E1756" s="15" t="s">
        <v>11215</v>
      </c>
      <c r="F1756" s="16" t="str">
        <f>VLOOKUP(Table8[[#This Row],[Mã khách hàng]],code_khach_hang[],2,0)</f>
        <v>CHI NHÁNH HÀ NỘI - CÔNG TY CỔ PHẦN DỊCH VỤ THƯƠNG MẠI TỔNG HỢP WINCOMMERCE</v>
      </c>
      <c r="G1756" s="16"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c r="A1757" s="14" t="s">
        <v>7268</v>
      </c>
      <c r="B1757" s="15" t="s">
        <v>5</v>
      </c>
      <c r="C1757" s="10" t="s">
        <v>7269</v>
      </c>
      <c r="D1757" s="16" t="s">
        <v>5723</v>
      </c>
      <c r="E1757" s="15" t="s">
        <v>11215</v>
      </c>
      <c r="F1757" s="16" t="str">
        <f>VLOOKUP(Table8[[#This Row],[Mã khách hàng]],code_khach_hang[],2,0)</f>
        <v>CHI NHÁNH HÀ NỘI - CÔNG TY CỔ PHẦN DỊCH VỤ THƯƠNG MẠI TỔNG HỢP WINCOMMERCE</v>
      </c>
      <c r="G1757" s="16"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c r="A1758" s="14" t="s">
        <v>4350</v>
      </c>
      <c r="B1758" s="15" t="s">
        <v>5</v>
      </c>
      <c r="C1758" s="10" t="s">
        <v>4351</v>
      </c>
      <c r="D1758" s="16" t="s">
        <v>5726</v>
      </c>
      <c r="E1758" s="15" t="s">
        <v>11215</v>
      </c>
      <c r="F1758" s="16" t="str">
        <f>VLOOKUP(Table8[[#This Row],[Mã khách hàng]],code_khach_hang[],2,0)</f>
        <v>CHI NHÁNH HÀ NỘI - CÔNG TY CỔ PHẦN DỊCH VỤ THƯƠNG MẠI TỔNG HỢP WINCOMMERCE</v>
      </c>
      <c r="G1758" s="16"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c r="A1759" s="14" t="s">
        <v>4536</v>
      </c>
      <c r="B1759" s="15" t="s">
        <v>5</v>
      </c>
      <c r="C1759" s="10" t="s">
        <v>4537</v>
      </c>
      <c r="D1759" s="16" t="s">
        <v>5729</v>
      </c>
      <c r="E1759" s="15" t="s">
        <v>11215</v>
      </c>
      <c r="F1759" s="16" t="str">
        <f>VLOOKUP(Table8[[#This Row],[Mã khách hàng]],code_khach_hang[],2,0)</f>
        <v>CHI NHÁNH HÀ NỘI - CÔNG TY CỔ PHẦN DỊCH VỤ THƯƠNG MẠI TỔNG HỢP WINCOMMERCE</v>
      </c>
      <c r="G1759" s="16"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c r="A1760" s="14" t="s">
        <v>4590</v>
      </c>
      <c r="B1760" s="15" t="s">
        <v>5</v>
      </c>
      <c r="C1760" s="10" t="s">
        <v>4591</v>
      </c>
      <c r="D1760" s="16" t="s">
        <v>5732</v>
      </c>
      <c r="E1760" s="15" t="s">
        <v>11215</v>
      </c>
      <c r="F1760" s="16" t="str">
        <f>VLOOKUP(Table8[[#This Row],[Mã khách hàng]],code_khach_hang[],2,0)</f>
        <v>CHI NHÁNH HÀ NỘI - CÔNG TY CỔ PHẦN DỊCH VỤ THƯƠNG MẠI TỔNG HỢP WINCOMMERCE</v>
      </c>
      <c r="G1760" s="16"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c r="A1761" s="14" t="s">
        <v>4809</v>
      </c>
      <c r="B1761" s="15" t="s">
        <v>5</v>
      </c>
      <c r="C1761" s="10" t="s">
        <v>4810</v>
      </c>
      <c r="D1761" s="16" t="s">
        <v>5735</v>
      </c>
      <c r="E1761" s="15" t="s">
        <v>11215</v>
      </c>
      <c r="F1761" s="16" t="str">
        <f>VLOOKUP(Table8[[#This Row],[Mã khách hàng]],code_khach_hang[],2,0)</f>
        <v>CHI NHÁNH HÀ NỘI - CÔNG TY CỔ PHẦN DỊCH VỤ THƯƠNG MẠI TỔNG HỢP WINCOMMERCE</v>
      </c>
      <c r="G1761" s="16"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c r="A1762" s="14" t="s">
        <v>4977</v>
      </c>
      <c r="B1762" s="15" t="s">
        <v>5</v>
      </c>
      <c r="C1762" s="10" t="s">
        <v>4978</v>
      </c>
      <c r="D1762" s="16" t="s">
        <v>5737</v>
      </c>
      <c r="E1762" s="15" t="s">
        <v>11215</v>
      </c>
      <c r="F1762" s="16" t="str">
        <f>VLOOKUP(Table8[[#This Row],[Mã khách hàng]],code_khach_hang[],2,0)</f>
        <v>CHI NHÁNH HÀ NỘI - CÔNG TY CỔ PHẦN DỊCH VỤ THƯƠNG MẠI TỔNG HỢP WINCOMMERCE</v>
      </c>
      <c r="G1762" s="16"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c r="A1763" s="14" t="s">
        <v>5031</v>
      </c>
      <c r="B1763" s="15" t="s">
        <v>5</v>
      </c>
      <c r="C1763" s="10" t="s">
        <v>5032</v>
      </c>
      <c r="D1763" s="16" t="s">
        <v>5740</v>
      </c>
      <c r="E1763" s="15" t="s">
        <v>11215</v>
      </c>
      <c r="F1763" s="16" t="str">
        <f>VLOOKUP(Table8[[#This Row],[Mã khách hàng]],code_khach_hang[],2,0)</f>
        <v>CHI NHÁNH HÀ NỘI - CÔNG TY CỔ PHẦN DỊCH VỤ THƯƠNG MẠI TỔNG HỢP WINCOMMERCE</v>
      </c>
      <c r="G1763" s="16"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c r="A1764" s="14" t="s">
        <v>5100</v>
      </c>
      <c r="B1764" s="15" t="s">
        <v>5</v>
      </c>
      <c r="C1764" s="10" t="s">
        <v>5101</v>
      </c>
      <c r="D1764" s="16" t="s">
        <v>5743</v>
      </c>
      <c r="E1764" s="15" t="s">
        <v>11215</v>
      </c>
      <c r="F1764" s="16" t="str">
        <f>VLOOKUP(Table8[[#This Row],[Mã khách hàng]],code_khach_hang[],2,0)</f>
        <v>CHI NHÁNH HÀ NỘI - CÔNG TY CỔ PHẦN DỊCH VỤ THƯƠNG MẠI TỔNG HỢP WINCOMMERCE</v>
      </c>
      <c r="G1764" s="16"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c r="A1765" s="14" t="s">
        <v>5139</v>
      </c>
      <c r="B1765" s="15" t="s">
        <v>5</v>
      </c>
      <c r="C1765" s="10" t="s">
        <v>5140</v>
      </c>
      <c r="D1765" s="16" t="s">
        <v>5746</v>
      </c>
      <c r="E1765" s="15" t="s">
        <v>11215</v>
      </c>
      <c r="F1765" s="16" t="str">
        <f>VLOOKUP(Table8[[#This Row],[Mã khách hàng]],code_khach_hang[],2,0)</f>
        <v>CHI NHÁNH HÀ NỘI - CÔNG TY CỔ PHẦN DỊCH VỤ THƯƠNG MẠI TỔNG HỢP WINCOMMERCE</v>
      </c>
      <c r="G1765" s="16"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c r="A1766" s="14" t="s">
        <v>5235</v>
      </c>
      <c r="B1766" s="15" t="s">
        <v>5</v>
      </c>
      <c r="C1766" s="10" t="s">
        <v>5236</v>
      </c>
      <c r="D1766" s="16" t="s">
        <v>5749</v>
      </c>
      <c r="E1766" s="15" t="s">
        <v>11215</v>
      </c>
      <c r="F1766" s="16" t="str">
        <f>VLOOKUP(Table8[[#This Row],[Mã khách hàng]],code_khach_hang[],2,0)</f>
        <v>CHI NHÁNH HÀ NỘI - CÔNG TY CỔ PHẦN DỊCH VỤ THƯƠNG MẠI TỔNG HỢP WINCOMMERCE</v>
      </c>
      <c r="G1766" s="16"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c r="A1767" s="14" t="s">
        <v>5550</v>
      </c>
      <c r="B1767" s="15" t="s">
        <v>5</v>
      </c>
      <c r="C1767" s="10" t="s">
        <v>5551</v>
      </c>
      <c r="D1767" s="16" t="s">
        <v>5752</v>
      </c>
      <c r="E1767" s="15" t="s">
        <v>11215</v>
      </c>
      <c r="F1767" s="16" t="str">
        <f>VLOOKUP(Table8[[#This Row],[Mã khách hàng]],code_khach_hang[],2,0)</f>
        <v>CHI NHÁNH HÀ NỘI - CÔNG TY CỔ PHẦN DỊCH VỤ THƯƠNG MẠI TỔNG HỢP WINCOMMERCE</v>
      </c>
      <c r="G1767" s="16"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c r="A1768" s="14" t="s">
        <v>5609</v>
      </c>
      <c r="B1768" s="15" t="s">
        <v>5</v>
      </c>
      <c r="C1768" s="10" t="s">
        <v>5610</v>
      </c>
      <c r="D1768" s="16" t="s">
        <v>5755</v>
      </c>
      <c r="E1768" s="15" t="s">
        <v>11215</v>
      </c>
      <c r="F1768" s="16" t="str">
        <f>VLOOKUP(Table8[[#This Row],[Mã khách hàng]],code_khach_hang[],2,0)</f>
        <v>CHI NHÁNH HÀ NỘI - CÔNG TY CỔ PHẦN DỊCH VỤ THƯƠNG MẠI TỔNG HỢP WINCOMMERCE</v>
      </c>
      <c r="G1768" s="16"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c r="A1769" s="14" t="s">
        <v>5650</v>
      </c>
      <c r="B1769" s="15" t="s">
        <v>5</v>
      </c>
      <c r="C1769" s="10" t="s">
        <v>5651</v>
      </c>
      <c r="D1769" s="16" t="s">
        <v>5758</v>
      </c>
      <c r="E1769" s="15" t="s">
        <v>11215</v>
      </c>
      <c r="F1769" s="16" t="str">
        <f>VLOOKUP(Table8[[#This Row],[Mã khách hàng]],code_khach_hang[],2,0)</f>
        <v>CHI NHÁNH HÀ NỘI - CÔNG TY CỔ PHẦN DỊCH VỤ THƯƠNG MẠI TỔNG HỢP WINCOMMERCE</v>
      </c>
      <c r="G1769" s="16"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c r="A1770" s="14" t="s">
        <v>5698</v>
      </c>
      <c r="B1770" s="15" t="s">
        <v>5</v>
      </c>
      <c r="C1770" s="10" t="s">
        <v>5699</v>
      </c>
      <c r="D1770" s="16" t="s">
        <v>5761</v>
      </c>
      <c r="E1770" s="15" t="s">
        <v>11215</v>
      </c>
      <c r="F1770" s="16" t="str">
        <f>VLOOKUP(Table8[[#This Row],[Mã khách hàng]],code_khach_hang[],2,0)</f>
        <v>CHI NHÁNH HÀ NỘI - CÔNG TY CỔ PHẦN DỊCH VỤ THƯƠNG MẠI TỔNG HỢP WINCOMMERCE</v>
      </c>
      <c r="G1770" s="16"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c r="A1771" s="14" t="s">
        <v>6228</v>
      </c>
      <c r="B1771" s="15" t="s">
        <v>5</v>
      </c>
      <c r="C1771" s="10" t="s">
        <v>6229</v>
      </c>
      <c r="D1771" s="16" t="s">
        <v>5764</v>
      </c>
      <c r="E1771" s="15" t="s">
        <v>11215</v>
      </c>
      <c r="F1771" s="16" t="str">
        <f>VLOOKUP(Table8[[#This Row],[Mã khách hàng]],code_khach_hang[],2,0)</f>
        <v>CHI NHÁNH HÀ NỘI - CÔNG TY CỔ PHẦN DỊCH VỤ THƯƠNG MẠI TỔNG HỢP WINCOMMERCE</v>
      </c>
      <c r="G1771" s="16"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c r="A1772" s="14" t="s">
        <v>6470</v>
      </c>
      <c r="B1772" s="15" t="s">
        <v>5</v>
      </c>
      <c r="C1772" s="10" t="s">
        <v>6471</v>
      </c>
      <c r="D1772" s="16" t="s">
        <v>5767</v>
      </c>
      <c r="E1772" s="15" t="s">
        <v>11215</v>
      </c>
      <c r="F1772" s="16" t="str">
        <f>VLOOKUP(Table8[[#This Row],[Mã khách hàng]],code_khach_hang[],2,0)</f>
        <v>CHI NHÁNH HÀ NỘI - CÔNG TY CỔ PHẦN DỊCH VỤ THƯƠNG MẠI TỔNG HỢP WINCOMMERCE</v>
      </c>
      <c r="G1772" s="16"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c r="A1773" s="14" t="s">
        <v>6611</v>
      </c>
      <c r="B1773" s="15" t="s">
        <v>5</v>
      </c>
      <c r="C1773" s="10" t="s">
        <v>6612</v>
      </c>
      <c r="D1773" s="16" t="s">
        <v>5770</v>
      </c>
      <c r="E1773" s="15" t="s">
        <v>11215</v>
      </c>
      <c r="F1773" s="16" t="str">
        <f>VLOOKUP(Table8[[#This Row],[Mã khách hàng]],code_khach_hang[],2,0)</f>
        <v>CHI NHÁNH HÀ NỘI - CÔNG TY CỔ PHẦN DỊCH VỤ THƯƠNG MẠI TỔNG HỢP WINCOMMERCE</v>
      </c>
      <c r="G1773" s="16"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c r="A1774" s="14" t="s">
        <v>6704</v>
      </c>
      <c r="B1774" s="15" t="s">
        <v>5</v>
      </c>
      <c r="C1774" s="10" t="s">
        <v>6705</v>
      </c>
      <c r="D1774" s="16" t="s">
        <v>5773</v>
      </c>
      <c r="E1774" s="15" t="s">
        <v>11215</v>
      </c>
      <c r="F1774" s="16" t="str">
        <f>VLOOKUP(Table8[[#This Row],[Mã khách hàng]],code_khach_hang[],2,0)</f>
        <v>CHI NHÁNH HÀ NỘI - CÔNG TY CỔ PHẦN DỊCH VỤ THƯƠNG MẠI TỔNG HỢP WINCOMMERCE</v>
      </c>
      <c r="G1774" s="16"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c r="A1775" s="14" t="s">
        <v>7077</v>
      </c>
      <c r="B1775" s="15" t="s">
        <v>5</v>
      </c>
      <c r="C1775" s="10" t="s">
        <v>7078</v>
      </c>
      <c r="D1775" s="16" t="s">
        <v>5776</v>
      </c>
      <c r="E1775" s="15" t="s">
        <v>11215</v>
      </c>
      <c r="F1775" s="16" t="str">
        <f>VLOOKUP(Table8[[#This Row],[Mã khách hàng]],code_khach_hang[],2,0)</f>
        <v>CHI NHÁNH HÀ NỘI - CÔNG TY CỔ PHẦN DỊCH VỤ THƯƠNG MẠI TỔNG HỢP WINCOMMERCE</v>
      </c>
      <c r="G1775" s="16"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c r="A1776" s="14" t="s">
        <v>8067</v>
      </c>
      <c r="B1776" s="15" t="s">
        <v>5</v>
      </c>
      <c r="C1776" s="10" t="s">
        <v>8068</v>
      </c>
      <c r="D1776" s="16" t="s">
        <v>5779</v>
      </c>
      <c r="E1776" s="15" t="s">
        <v>11215</v>
      </c>
      <c r="F1776" s="16" t="str">
        <f>VLOOKUP(Table8[[#This Row],[Mã khách hàng]],code_khach_hang[],2,0)</f>
        <v>CHI NHÁNH HÀ NỘI - CÔNG TY CỔ PHẦN DỊCH VỤ THƯƠNG MẠI TỔNG HỢP WINCOMMERCE</v>
      </c>
      <c r="G1776" s="16"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c r="A1777" s="14" t="s">
        <v>8381</v>
      </c>
      <c r="B1777" s="15" t="s">
        <v>5</v>
      </c>
      <c r="C1777" s="10" t="s">
        <v>8382</v>
      </c>
      <c r="D1777" s="16" t="s">
        <v>5782</v>
      </c>
      <c r="E1777" s="15" t="s">
        <v>11215</v>
      </c>
      <c r="F1777" s="16" t="str">
        <f>VLOOKUP(Table8[[#This Row],[Mã khách hàng]],code_khach_hang[],2,0)</f>
        <v>CHI NHÁNH HÀ NỘI - CÔNG TY CỔ PHẦN DỊCH VỤ THƯƠNG MẠI TỔNG HỢP WINCOMMERCE</v>
      </c>
      <c r="G1777" s="16"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c r="A1778" s="14" t="s">
        <v>8788</v>
      </c>
      <c r="B1778" s="15" t="s">
        <v>5</v>
      </c>
      <c r="C1778" s="10" t="s">
        <v>8789</v>
      </c>
      <c r="D1778" s="16" t="s">
        <v>5785</v>
      </c>
      <c r="E1778" s="15" t="s">
        <v>11215</v>
      </c>
      <c r="F1778" s="16" t="str">
        <f>VLOOKUP(Table8[[#This Row],[Mã khách hàng]],code_khach_hang[],2,0)</f>
        <v>CHI NHÁNH HÀ NỘI - CÔNG TY CỔ PHẦN DỊCH VỤ THƯƠNG MẠI TỔNG HỢP WINCOMMERCE</v>
      </c>
      <c r="G1778" s="16"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c r="A1779" s="14" t="s">
        <v>1352</v>
      </c>
      <c r="B1779" s="15" t="s">
        <v>5</v>
      </c>
      <c r="C1779" s="10" t="s">
        <v>1353</v>
      </c>
      <c r="D1779" s="16" t="s">
        <v>5788</v>
      </c>
      <c r="E1779" s="15" t="s">
        <v>11215</v>
      </c>
      <c r="F1779" s="16" t="str">
        <f>VLOOKUP(Table8[[#This Row],[Mã khách hàng]],code_khach_hang[],2,0)</f>
        <v>CHI NHÁNH HÀ NỘI - CÔNG TY CỔ PHẦN DỊCH VỤ THƯƠNG MẠI TỔNG HỢP WINCOMMERCE</v>
      </c>
      <c r="G1779" s="16"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c r="A1780" s="14" t="s">
        <v>1615</v>
      </c>
      <c r="B1780" s="15" t="s">
        <v>5</v>
      </c>
      <c r="C1780" s="10" t="s">
        <v>1616</v>
      </c>
      <c r="D1780" s="16" t="s">
        <v>5791</v>
      </c>
      <c r="E1780" s="15" t="s">
        <v>11215</v>
      </c>
      <c r="F1780" s="16" t="str">
        <f>VLOOKUP(Table8[[#This Row],[Mã khách hàng]],code_khach_hang[],2,0)</f>
        <v>CHI NHÁNH HÀ NỘI - CÔNG TY CỔ PHẦN DỊCH VỤ THƯƠNG MẠI TỔNG HỢP WINCOMMERCE</v>
      </c>
      <c r="G1780" s="16"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c r="A1781" s="14" t="s">
        <v>1858</v>
      </c>
      <c r="B1781" s="15" t="s">
        <v>5</v>
      </c>
      <c r="C1781" s="10" t="s">
        <v>1859</v>
      </c>
      <c r="D1781" s="16" t="s">
        <v>5794</v>
      </c>
      <c r="E1781" s="15" t="s">
        <v>11215</v>
      </c>
      <c r="F1781" s="16" t="str">
        <f>VLOOKUP(Table8[[#This Row],[Mã khách hàng]],code_khach_hang[],2,0)</f>
        <v>CHI NHÁNH HÀ NỘI - CÔNG TY CỔ PHẦN DỊCH VỤ THƯƠNG MẠI TỔNG HỢP WINCOMMERCE</v>
      </c>
      <c r="G1781" s="16"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c r="A1782" s="14" t="s">
        <v>1570</v>
      </c>
      <c r="B1782" s="15" t="s">
        <v>5</v>
      </c>
      <c r="C1782" s="10" t="s">
        <v>1571</v>
      </c>
      <c r="D1782" s="16" t="s">
        <v>5797</v>
      </c>
      <c r="E1782" s="15" t="s">
        <v>11215</v>
      </c>
      <c r="F1782" s="16" t="str">
        <f>VLOOKUP(Table8[[#This Row],[Mã khách hàng]],code_khach_hang[],2,0)</f>
        <v>CHI NHÁNH HÀ NỘI - CÔNG TY CỔ PHẦN DỊCH VỤ THƯƠNG MẠI TỔNG HỢP WINCOMMERCE</v>
      </c>
      <c r="G1782" s="16"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c r="A1783" s="14" t="s">
        <v>583</v>
      </c>
      <c r="B1783" s="15" t="s">
        <v>183</v>
      </c>
      <c r="C1783" s="10" t="s">
        <v>584</v>
      </c>
      <c r="D1783" s="16" t="s">
        <v>5800</v>
      </c>
      <c r="E1783" s="15" t="s">
        <v>11195</v>
      </c>
      <c r="F1783" s="16" t="str">
        <f>VLOOKUP(Table8[[#This Row],[Mã khách hàng]],code_khach_hang[],2,0)</f>
        <v>CHI NHÁNH HÀ NỘI - CÔNG TY CỔ PHẦN DỊCH VỤ THƯƠNG MẠI TỔNG HỢP WINCOMMERCE</v>
      </c>
      <c r="G1783" s="16"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c r="A1784" s="14" t="s">
        <v>8653</v>
      </c>
      <c r="B1784" s="15" t="s">
        <v>5</v>
      </c>
      <c r="C1784" s="10" t="s">
        <v>8654</v>
      </c>
      <c r="D1784" s="16" t="s">
        <v>5803</v>
      </c>
      <c r="E1784" s="15" t="s">
        <v>11215</v>
      </c>
      <c r="F1784" s="16" t="str">
        <f>VLOOKUP(Table8[[#This Row],[Mã khách hàng]],code_khach_hang[],2,0)</f>
        <v>CHI NHÁNH HÀ NỘI - CÔNG TY CỔ PHẦN DỊCH VỤ THƯƠNG MẠI TỔNG HỢP WINCOMMERCE</v>
      </c>
      <c r="G1784" s="16"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c r="A1785" s="14" t="s">
        <v>819</v>
      </c>
      <c r="B1785" s="15" t="s">
        <v>5</v>
      </c>
      <c r="C1785" s="10" t="s">
        <v>820</v>
      </c>
      <c r="D1785" s="16" t="s">
        <v>5806</v>
      </c>
      <c r="E1785" s="15" t="s">
        <v>11215</v>
      </c>
      <c r="F1785" s="16" t="str">
        <f>VLOOKUP(Table8[[#This Row],[Mã khách hàng]],code_khach_hang[],2,0)</f>
        <v>CHI NHÁNH HÀ NỘI - CÔNG TY CỔ PHẦN DỊCH VỤ THƯƠNG MẠI TỔNG HỢP WINCOMMERCE</v>
      </c>
      <c r="G1785" s="16"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c r="A1786" s="14" t="s">
        <v>855</v>
      </c>
      <c r="B1786" s="15" t="s">
        <v>5</v>
      </c>
      <c r="C1786" s="10" t="s">
        <v>856</v>
      </c>
      <c r="D1786" s="16" t="s">
        <v>5809</v>
      </c>
      <c r="E1786" s="15" t="s">
        <v>11215</v>
      </c>
      <c r="F1786" s="16" t="str">
        <f>VLOOKUP(Table8[[#This Row],[Mã khách hàng]],code_khach_hang[],2,0)</f>
        <v>CHI NHÁNH HÀ NỘI - CÔNG TY CỔ PHẦN DỊCH VỤ THƯƠNG MẠI TỔNG HỢP WINCOMMERCE</v>
      </c>
      <c r="G1786" s="16"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c r="A1787" s="14" t="s">
        <v>888</v>
      </c>
      <c r="B1787" s="15" t="s">
        <v>5</v>
      </c>
      <c r="C1787" s="10" t="s">
        <v>889</v>
      </c>
      <c r="D1787" s="16" t="s">
        <v>5812</v>
      </c>
      <c r="E1787" s="15" t="s">
        <v>11215</v>
      </c>
      <c r="F1787" s="16" t="str">
        <f>VLOOKUP(Table8[[#This Row],[Mã khách hàng]],code_khach_hang[],2,0)</f>
        <v>CHI NHÁNH HÀ NỘI - CÔNG TY CỔ PHẦN DỊCH VỤ THƯƠNG MẠI TỔNG HỢP WINCOMMERCE</v>
      </c>
      <c r="G1787" s="16"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c r="A1788" s="14" t="s">
        <v>900</v>
      </c>
      <c r="B1788" s="15" t="s">
        <v>5</v>
      </c>
      <c r="C1788" s="10" t="s">
        <v>901</v>
      </c>
      <c r="D1788" s="16" t="s">
        <v>5815</v>
      </c>
      <c r="E1788" s="15" t="s">
        <v>11215</v>
      </c>
      <c r="F1788" s="16" t="str">
        <f>VLOOKUP(Table8[[#This Row],[Mã khách hàng]],code_khach_hang[],2,0)</f>
        <v>CHI NHÁNH HÀ NỘI - CÔNG TY CỔ PHẦN DỊCH VỤ THƯƠNG MẠI TỔNG HỢP WINCOMMERCE</v>
      </c>
      <c r="G1788" s="16"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c r="A1789" s="14" t="s">
        <v>945</v>
      </c>
      <c r="B1789" s="15" t="s">
        <v>5</v>
      </c>
      <c r="C1789" s="10" t="s">
        <v>946</v>
      </c>
      <c r="D1789" s="16" t="s">
        <v>5818</v>
      </c>
      <c r="E1789" s="15" t="s">
        <v>11215</v>
      </c>
      <c r="F1789" s="16" t="str">
        <f>VLOOKUP(Table8[[#This Row],[Mã khách hàng]],code_khach_hang[],2,0)</f>
        <v>CHI NHÁNH HÀ NỘI - CÔNG TY CỔ PHẦN DỊCH VỤ THƯƠNG MẠI TỔNG HỢP WINCOMMERCE</v>
      </c>
      <c r="G1789" s="16"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c r="A1790" s="14" t="s">
        <v>948</v>
      </c>
      <c r="B1790" s="15" t="s">
        <v>5</v>
      </c>
      <c r="C1790" s="10" t="s">
        <v>949</v>
      </c>
      <c r="D1790" s="16" t="s">
        <v>5821</v>
      </c>
      <c r="E1790" s="15" t="s">
        <v>11215</v>
      </c>
      <c r="F1790" s="16" t="str">
        <f>VLOOKUP(Table8[[#This Row],[Mã khách hàng]],code_khach_hang[],2,0)</f>
        <v>CHI NHÁNH HÀ NỘI - CÔNG TY CỔ PHẦN DỊCH VỤ THƯƠNG MẠI TỔNG HỢP WINCOMMERCE</v>
      </c>
      <c r="G1790" s="16"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c r="A1791" s="14" t="s">
        <v>11128</v>
      </c>
      <c r="B1791" s="15" t="s">
        <v>5</v>
      </c>
      <c r="C1791" s="10" t="s">
        <v>13168</v>
      </c>
      <c r="D1791" s="16" t="s">
        <v>5823</v>
      </c>
      <c r="E1791" s="15" t="s">
        <v>11215</v>
      </c>
      <c r="F1791" s="16" t="str">
        <f>VLOOKUP(Table8[[#This Row],[Mã khách hàng]],code_khach_hang[],2,0)</f>
        <v>CHI NHÁNH HÀ NỘI - CÔNG TY CỔ PHẦN DỊCH VỤ THƯƠNG MẠI TỔNG HỢP WINCOMMERCE</v>
      </c>
      <c r="G1791" s="16"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c r="A1792" s="14" t="s">
        <v>993</v>
      </c>
      <c r="B1792" s="15" t="s">
        <v>5</v>
      </c>
      <c r="C1792" s="10" t="s">
        <v>994</v>
      </c>
      <c r="D1792" s="16" t="s">
        <v>5826</v>
      </c>
      <c r="E1792" s="15" t="s">
        <v>11215</v>
      </c>
      <c r="F1792" s="16" t="str">
        <f>VLOOKUP(Table8[[#This Row],[Mã khách hàng]],code_khach_hang[],2,0)</f>
        <v>CHI NHÁNH HÀ NỘI - CÔNG TY CỔ PHẦN DỊCH VỤ THƯƠNG MẠI TỔNG HỢP WINCOMMERCE</v>
      </c>
      <c r="G1792" s="16"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c r="A1793" s="14" t="s">
        <v>1017</v>
      </c>
      <c r="B1793" s="15" t="s">
        <v>5</v>
      </c>
      <c r="C1793" s="10" t="s">
        <v>1018</v>
      </c>
      <c r="D1793" s="16" t="s">
        <v>5829</v>
      </c>
      <c r="E1793" s="15" t="s">
        <v>11215</v>
      </c>
      <c r="F1793" s="16" t="str">
        <f>VLOOKUP(Table8[[#This Row],[Mã khách hàng]],code_khach_hang[],2,0)</f>
        <v>CHI NHÁNH HÀ NỘI - CÔNG TY CỔ PHẦN DỊCH VỤ THƯƠNG MẠI TỔNG HỢP WINCOMMERCE</v>
      </c>
      <c r="G1793" s="16"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c r="A1794" s="14" t="s">
        <v>1059</v>
      </c>
      <c r="B1794" s="15" t="s">
        <v>5</v>
      </c>
      <c r="C1794" s="10" t="s">
        <v>1060</v>
      </c>
      <c r="D1794" s="16" t="s">
        <v>5832</v>
      </c>
      <c r="E1794" s="15" t="s">
        <v>11215</v>
      </c>
      <c r="F1794" s="16" t="str">
        <f>VLOOKUP(Table8[[#This Row],[Mã khách hàng]],code_khach_hang[],2,0)</f>
        <v>CHI NHÁNH HÀ NỘI - CÔNG TY CỔ PHẦN DỊCH VỤ THƯƠNG MẠI TỔNG HỢP WINCOMMERCE</v>
      </c>
      <c r="G1794" s="16"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c r="A1795" s="14" t="s">
        <v>1080</v>
      </c>
      <c r="B1795" s="15" t="s">
        <v>5</v>
      </c>
      <c r="C1795" s="10" t="s">
        <v>1081</v>
      </c>
      <c r="D1795" s="16" t="s">
        <v>5835</v>
      </c>
      <c r="E1795" s="15" t="s">
        <v>11215</v>
      </c>
      <c r="F1795" s="16" t="str">
        <f>VLOOKUP(Table8[[#This Row],[Mã khách hàng]],code_khach_hang[],2,0)</f>
        <v>CHI NHÁNH HÀ NỘI - CÔNG TY CỔ PHẦN DỊCH VỤ THƯƠNG MẠI TỔNG HỢP WINCOMMERCE</v>
      </c>
      <c r="G1795" s="16"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c r="A1796" s="14" t="s">
        <v>1107</v>
      </c>
      <c r="B1796" s="15" t="s">
        <v>5</v>
      </c>
      <c r="C1796" s="10" t="s">
        <v>1108</v>
      </c>
      <c r="D1796" s="16" t="s">
        <v>5838</v>
      </c>
      <c r="E1796" s="15" t="s">
        <v>11215</v>
      </c>
      <c r="F1796" s="16" t="str">
        <f>VLOOKUP(Table8[[#This Row],[Mã khách hàng]],code_khach_hang[],2,0)</f>
        <v>CHI NHÁNH HÀ NỘI - CÔNG TY CỔ PHẦN DỊCH VỤ THƯƠNG MẠI TỔNG HỢP WINCOMMERCE</v>
      </c>
      <c r="G1796" s="16"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c r="A1797" s="14" t="s">
        <v>1137</v>
      </c>
      <c r="B1797" s="15" t="s">
        <v>5</v>
      </c>
      <c r="C1797" s="10" t="s">
        <v>1138</v>
      </c>
      <c r="D1797" s="16" t="s">
        <v>5841</v>
      </c>
      <c r="E1797" s="15" t="s">
        <v>11215</v>
      </c>
      <c r="F1797" s="16" t="str">
        <f>VLOOKUP(Table8[[#This Row],[Mã khách hàng]],code_khach_hang[],2,0)</f>
        <v>CHI NHÁNH HÀ NỘI - CÔNG TY CỔ PHẦN DỊCH VỤ THƯƠNG MẠI TỔNG HỢP WINCOMMERCE</v>
      </c>
      <c r="G1797" s="16"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c r="A1798" s="14" t="s">
        <v>1152</v>
      </c>
      <c r="B1798" s="15" t="s">
        <v>5</v>
      </c>
      <c r="C1798" s="10" t="s">
        <v>1153</v>
      </c>
      <c r="D1798" s="16" t="s">
        <v>5844</v>
      </c>
      <c r="E1798" s="15" t="s">
        <v>11215</v>
      </c>
      <c r="F1798" s="16" t="str">
        <f>VLOOKUP(Table8[[#This Row],[Mã khách hàng]],code_khach_hang[],2,0)</f>
        <v>CHI NHÁNH HÀ NỘI - CÔNG TY CỔ PHẦN DỊCH VỤ THƯƠNG MẠI TỔNG HỢP WINCOMMERCE</v>
      </c>
      <c r="G1798" s="16"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c r="A1799" s="14" t="s">
        <v>11129</v>
      </c>
      <c r="B1799" s="15" t="s">
        <v>5</v>
      </c>
      <c r="C1799" s="10" t="e">
        <v>#N/A</v>
      </c>
      <c r="D1799" s="16" t="s">
        <v>5847</v>
      </c>
      <c r="E1799" s="15" t="s">
        <v>11215</v>
      </c>
      <c r="F1799" s="16" t="str">
        <f>VLOOKUP(Table8[[#This Row],[Mã khách hàng]],code_khach_hang[],2,0)</f>
        <v>CHI NHÁNH HÀ NỘI - CÔNG TY CỔ PHẦN DỊCH VỤ THƯƠNG MẠI TỔNG HỢP WINCOMMERCE</v>
      </c>
      <c r="G1799" s="16"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c r="A1800" s="14" t="s">
        <v>1218</v>
      </c>
      <c r="B1800" s="15" t="s">
        <v>5</v>
      </c>
      <c r="C1800" s="10" t="s">
        <v>1219</v>
      </c>
      <c r="D1800" s="16" t="s">
        <v>5850</v>
      </c>
      <c r="E1800" s="15" t="s">
        <v>11215</v>
      </c>
      <c r="F1800" s="16" t="str">
        <f>VLOOKUP(Table8[[#This Row],[Mã khách hàng]],code_khach_hang[],2,0)</f>
        <v>CHI NHÁNH HÀ NỘI - CÔNG TY CỔ PHẦN DỊCH VỤ THƯƠNG MẠI TỔNG HỢP WINCOMMERCE</v>
      </c>
      <c r="G1800" s="16"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c r="A1801" s="14" t="s">
        <v>1224</v>
      </c>
      <c r="B1801" s="15" t="s">
        <v>5</v>
      </c>
      <c r="C1801" s="10" t="s">
        <v>1225</v>
      </c>
      <c r="D1801" s="16" t="s">
        <v>5853</v>
      </c>
      <c r="E1801" s="15" t="s">
        <v>11215</v>
      </c>
      <c r="F1801" s="16" t="str">
        <f>VLOOKUP(Table8[[#This Row],[Mã khách hàng]],code_khach_hang[],2,0)</f>
        <v>CHI NHÁNH HÀ NỘI - CÔNG TY CỔ PHẦN DỊCH VỤ THƯƠNG MẠI TỔNG HỢP WINCOMMERCE</v>
      </c>
      <c r="G1801" s="16"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c r="A1802" s="14" t="s">
        <v>1227</v>
      </c>
      <c r="B1802" s="15" t="s">
        <v>5</v>
      </c>
      <c r="C1802" s="10" t="s">
        <v>1228</v>
      </c>
      <c r="D1802" s="16" t="s">
        <v>5856</v>
      </c>
      <c r="E1802" s="15" t="s">
        <v>11215</v>
      </c>
      <c r="F1802" s="16" t="str">
        <f>VLOOKUP(Table8[[#This Row],[Mã khách hàng]],code_khach_hang[],2,0)</f>
        <v>CHI NHÁNH HÀ NỘI - CÔNG TY CỔ PHẦN DỊCH VỤ THƯƠNG MẠI TỔNG HỢP WINCOMMERCE</v>
      </c>
      <c r="G1802" s="16"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c r="A1803" s="14" t="s">
        <v>1281</v>
      </c>
      <c r="B1803" s="15" t="s">
        <v>5</v>
      </c>
      <c r="C1803" s="10" t="s">
        <v>1282</v>
      </c>
      <c r="D1803" s="16" t="s">
        <v>5859</v>
      </c>
      <c r="E1803" s="15" t="s">
        <v>11215</v>
      </c>
      <c r="F1803" s="16" t="str">
        <f>VLOOKUP(Table8[[#This Row],[Mã khách hàng]],code_khach_hang[],2,0)</f>
        <v>CHI NHÁNH HÀ NỘI - CÔNG TY CỔ PHẦN DỊCH VỤ THƯƠNG MẠI TỔNG HỢP WINCOMMERCE</v>
      </c>
      <c r="G1803" s="16"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c r="A1804" s="14" t="s">
        <v>4638</v>
      </c>
      <c r="B1804" s="15" t="s">
        <v>5</v>
      </c>
      <c r="C1804" s="10" t="s">
        <v>4639</v>
      </c>
      <c r="D1804" s="16" t="s">
        <v>5862</v>
      </c>
      <c r="E1804" s="15" t="s">
        <v>11215</v>
      </c>
      <c r="F1804" s="16" t="str">
        <f>VLOOKUP(Table8[[#This Row],[Mã khách hàng]],code_khach_hang[],2,0)</f>
        <v>CHI NHÁNH HÀ NỘI - CÔNG TY CỔ PHẦN DỊCH VỤ THƯƠNG MẠI TỔNG HỢP WINCOMMERCE</v>
      </c>
      <c r="G1804" s="16"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c r="A1805" s="14" t="s">
        <v>4860</v>
      </c>
      <c r="B1805" s="15" t="s">
        <v>5</v>
      </c>
      <c r="C1805" s="10" t="s">
        <v>4861</v>
      </c>
      <c r="D1805" s="16" t="s">
        <v>5865</v>
      </c>
      <c r="E1805" s="15" t="s">
        <v>11215</v>
      </c>
      <c r="F1805" s="16" t="str">
        <f>VLOOKUP(Table8[[#This Row],[Mã khách hàng]],code_khach_hang[],2,0)</f>
        <v>CHI NHÁNH HÀ NỘI - CÔNG TY CỔ PHẦN DỊCH VỤ THƯƠNG MẠI TỔNG HỢP WINCOMMERCE</v>
      </c>
      <c r="G1805" s="16"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c r="A1806" s="14" t="s">
        <v>4944</v>
      </c>
      <c r="B1806" s="15" t="s">
        <v>5</v>
      </c>
      <c r="C1806" s="10" t="s">
        <v>4945</v>
      </c>
      <c r="D1806" s="16" t="s">
        <v>5868</v>
      </c>
      <c r="E1806" s="15" t="s">
        <v>11215</v>
      </c>
      <c r="F1806" s="16" t="str">
        <f>VLOOKUP(Table8[[#This Row],[Mã khách hàng]],code_khach_hang[],2,0)</f>
        <v>CHI NHÁNH HÀ NỘI - CÔNG TY CỔ PHẦN DỊCH VỤ THƯƠNG MẠI TỔNG HỢP WINCOMMERCE</v>
      </c>
      <c r="G1806" s="16"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c r="A1807" s="14" t="s">
        <v>4959</v>
      </c>
      <c r="B1807" s="15" t="s">
        <v>5</v>
      </c>
      <c r="C1807" s="10" t="s">
        <v>4960</v>
      </c>
      <c r="D1807" s="16" t="s">
        <v>5871</v>
      </c>
      <c r="E1807" s="15" t="s">
        <v>11215</v>
      </c>
      <c r="F1807" s="16" t="str">
        <f>VLOOKUP(Table8[[#This Row],[Mã khách hàng]],code_khach_hang[],2,0)</f>
        <v>CHI NHÁNH HÀ NỘI - CÔNG TY CỔ PHẦN DỊCH VỤ THƯƠNG MẠI TỔNG HỢP WINCOMMERCE</v>
      </c>
      <c r="G1807" s="16"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c r="A1808" s="14" t="s">
        <v>5280</v>
      </c>
      <c r="B1808" s="15" t="s">
        <v>5</v>
      </c>
      <c r="C1808" s="10" t="s">
        <v>5281</v>
      </c>
      <c r="D1808" s="16" t="s">
        <v>5874</v>
      </c>
      <c r="E1808" s="15" t="s">
        <v>11215</v>
      </c>
      <c r="F1808" s="16" t="str">
        <f>VLOOKUP(Table8[[#This Row],[Mã khách hàng]],code_khach_hang[],2,0)</f>
        <v>CHI NHÁNH HÀ NỘI - CÔNG TY CỔ PHẦN DỊCH VỤ THƯƠNG MẠI TỔNG HỢP WINCOMMERCE</v>
      </c>
      <c r="G1808" s="16"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c r="A1809" s="14" t="s">
        <v>11130</v>
      </c>
      <c r="B1809" s="15" t="s">
        <v>5</v>
      </c>
      <c r="C1809" s="10" t="e">
        <v>#N/A</v>
      </c>
      <c r="D1809" s="16" t="s">
        <v>5877</v>
      </c>
      <c r="E1809" s="15" t="s">
        <v>11215</v>
      </c>
      <c r="F1809" s="16" t="str">
        <f>VLOOKUP(Table8[[#This Row],[Mã khách hàng]],code_khach_hang[],2,0)</f>
        <v>CHI NHÁNH HÀ NỘI - CÔNG TY CỔ PHẦN DỊCH VỤ THƯƠNG MẠI TỔNG HỢP WINCOMMERCE</v>
      </c>
      <c r="G1809" s="16"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c r="A1810" s="14" t="s">
        <v>5478</v>
      </c>
      <c r="B1810" s="15" t="s">
        <v>5</v>
      </c>
      <c r="C1810" s="10" t="s">
        <v>5479</v>
      </c>
      <c r="D1810" s="16" t="s">
        <v>5880</v>
      </c>
      <c r="E1810" s="15" t="s">
        <v>11215</v>
      </c>
      <c r="F1810" s="16" t="str">
        <f>VLOOKUP(Table8[[#This Row],[Mã khách hàng]],code_khach_hang[],2,0)</f>
        <v>CHI NHÁNH HÀ NỘI - CÔNG TY CỔ PHẦN DỊCH VỤ THƯƠNG MẠI TỔNG HỢP WINCOMMERCE</v>
      </c>
      <c r="G1810" s="16"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c r="A1811" s="14" t="s">
        <v>5926</v>
      </c>
      <c r="B1811" s="15" t="s">
        <v>5</v>
      </c>
      <c r="C1811" s="10" t="s">
        <v>5927</v>
      </c>
      <c r="D1811" s="16" t="s">
        <v>5883</v>
      </c>
      <c r="E1811" s="15" t="s">
        <v>11215</v>
      </c>
      <c r="F1811" s="16" t="str">
        <f>VLOOKUP(Table8[[#This Row],[Mã khách hàng]],code_khach_hang[],2,0)</f>
        <v>CHI NHÁNH HÀ NỘI - CÔNG TY CỔ PHẦN DỊCH VỤ THƯƠNG MẠI TỔNG HỢP WINCOMMERCE</v>
      </c>
      <c r="G1811" s="16"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c r="A1812" s="14" t="s">
        <v>6372</v>
      </c>
      <c r="B1812" s="15" t="s">
        <v>5</v>
      </c>
      <c r="C1812" s="10" t="s">
        <v>6373</v>
      </c>
      <c r="D1812" s="16" t="s">
        <v>5886</v>
      </c>
      <c r="E1812" s="15" t="s">
        <v>11215</v>
      </c>
      <c r="F1812" s="16" t="str">
        <f>VLOOKUP(Table8[[#This Row],[Mã khách hàng]],code_khach_hang[],2,0)</f>
        <v>CHI NHÁNH HÀ NỘI - CÔNG TY CỔ PHẦN DỊCH VỤ THƯƠNG MẠI TỔNG HỢP WINCOMMERCE</v>
      </c>
      <c r="G1812" s="16"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c r="A1813" s="14" t="s">
        <v>6545</v>
      </c>
      <c r="B1813" s="15" t="s">
        <v>5</v>
      </c>
      <c r="C1813" s="10" t="s">
        <v>6546</v>
      </c>
      <c r="D1813" s="16" t="s">
        <v>5889</v>
      </c>
      <c r="E1813" s="15" t="s">
        <v>11215</v>
      </c>
      <c r="F1813" s="16" t="str">
        <f>VLOOKUP(Table8[[#This Row],[Mã khách hàng]],code_khach_hang[],2,0)</f>
        <v>CHI NHÁNH HÀ NỘI - CÔNG TY CỔ PHẦN DỊCH VỤ THƯƠNG MẠI TỔNG HỢP WINCOMMERCE</v>
      </c>
      <c r="G1813" s="16"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c r="A1814" s="14" t="s">
        <v>6554</v>
      </c>
      <c r="B1814" s="15" t="s">
        <v>5</v>
      </c>
      <c r="C1814" s="10" t="s">
        <v>6555</v>
      </c>
      <c r="D1814" s="16" t="s">
        <v>5892</v>
      </c>
      <c r="E1814" s="15" t="s">
        <v>11215</v>
      </c>
      <c r="F1814" s="16" t="str">
        <f>VLOOKUP(Table8[[#This Row],[Mã khách hàng]],code_khach_hang[],2,0)</f>
        <v>CHI NHÁNH HÀ NỘI - CÔNG TY CỔ PHẦN DỊCH VỤ THƯƠNG MẠI TỔNG HỢP WINCOMMERCE</v>
      </c>
      <c r="G1814" s="16"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c r="A1815" s="14" t="s">
        <v>6569</v>
      </c>
      <c r="B1815" s="15" t="s">
        <v>5</v>
      </c>
      <c r="C1815" s="10" t="s">
        <v>6570</v>
      </c>
      <c r="D1815" s="16" t="s">
        <v>5895</v>
      </c>
      <c r="E1815" s="15" t="s">
        <v>11215</v>
      </c>
      <c r="F1815" s="16" t="str">
        <f>VLOOKUP(Table8[[#This Row],[Mã khách hàng]],code_khach_hang[],2,0)</f>
        <v>CHI NHÁNH HÀ NỘI - CÔNG TY CỔ PHẦN DỊCH VỤ THƯƠNG MẠI TỔNG HỢP WINCOMMERCE</v>
      </c>
      <c r="G1815" s="16"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c r="A1816" s="14" t="s">
        <v>6572</v>
      </c>
      <c r="B1816" s="15" t="s">
        <v>5</v>
      </c>
      <c r="C1816" s="10" t="s">
        <v>6573</v>
      </c>
      <c r="D1816" s="16" t="s">
        <v>5898</v>
      </c>
      <c r="E1816" s="15" t="s">
        <v>11215</v>
      </c>
      <c r="F1816" s="16" t="str">
        <f>VLOOKUP(Table8[[#This Row],[Mã khách hàng]],code_khach_hang[],2,0)</f>
        <v>CHI NHÁNH HÀ NỘI - CÔNG TY CỔ PHẦN DỊCH VỤ THƯƠNG MẠI TỔNG HỢP WINCOMMERCE</v>
      </c>
      <c r="G1816" s="16"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c r="A1817" s="14" t="s">
        <v>7490</v>
      </c>
      <c r="B1817" s="15" t="s">
        <v>5</v>
      </c>
      <c r="C1817" s="10" t="s">
        <v>7491</v>
      </c>
      <c r="D1817" s="16" t="s">
        <v>5901</v>
      </c>
      <c r="E1817" s="15" t="s">
        <v>11215</v>
      </c>
      <c r="F1817" s="16" t="str">
        <f>VLOOKUP(Table8[[#This Row],[Mã khách hàng]],code_khach_hang[],2,0)</f>
        <v>CHI NHÁNH HÀ NỘI - CÔNG TY CỔ PHẦN DỊCH VỤ THƯƠNG MẠI TỔNG HỢP WINCOMMERCE</v>
      </c>
      <c r="G1817" s="16"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c r="A1818" s="14" t="s">
        <v>7562</v>
      </c>
      <c r="B1818" s="15" t="s">
        <v>5</v>
      </c>
      <c r="C1818" s="10" t="s">
        <v>7563</v>
      </c>
      <c r="D1818" s="16" t="s">
        <v>5904</v>
      </c>
      <c r="E1818" s="15" t="s">
        <v>11215</v>
      </c>
      <c r="F1818" s="16" t="str">
        <f>VLOOKUP(Table8[[#This Row],[Mã khách hàng]],code_khach_hang[],2,0)</f>
        <v>CHI NHÁNH HÀ NỘI - CÔNG TY CỔ PHẦN DỊCH VỤ THƯƠNG MẠI TỔNG HỢP WINCOMMERCE</v>
      </c>
      <c r="G1818" s="16"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c r="A1819" s="14" t="s">
        <v>7825</v>
      </c>
      <c r="B1819" s="15" t="s">
        <v>5</v>
      </c>
      <c r="C1819" s="10" t="s">
        <v>7826</v>
      </c>
      <c r="D1819" s="16" t="s">
        <v>5907</v>
      </c>
      <c r="E1819" s="15" t="s">
        <v>11215</v>
      </c>
      <c r="F1819" s="16" t="str">
        <f>VLOOKUP(Table8[[#This Row],[Mã khách hàng]],code_khach_hang[],2,0)</f>
        <v>CHI NHÁNH HÀ NỘI - CÔNG TY CỔ PHẦN DỊCH VỤ THƯƠNG MẠI TỔNG HỢP WINCOMMERCE</v>
      </c>
      <c r="G1819" s="16"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c r="A1820" s="14" t="s">
        <v>7969</v>
      </c>
      <c r="B1820" s="15" t="s">
        <v>5</v>
      </c>
      <c r="C1820" s="10" t="s">
        <v>7970</v>
      </c>
      <c r="D1820" s="16" t="s">
        <v>5910</v>
      </c>
      <c r="E1820" s="15" t="s">
        <v>11215</v>
      </c>
      <c r="F1820" s="16" t="str">
        <f>VLOOKUP(Table8[[#This Row],[Mã khách hàng]],code_khach_hang[],2,0)</f>
        <v>CHI NHÁNH HÀ NỘI - CÔNG TY CỔ PHẦN DỊCH VỤ THƯƠNG MẠI TỔNG HỢP WINCOMMERCE</v>
      </c>
      <c r="G1820" s="16"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c r="A1821" s="14" t="s">
        <v>8310</v>
      </c>
      <c r="B1821" s="15" t="s">
        <v>5</v>
      </c>
      <c r="C1821" s="10" t="s">
        <v>8311</v>
      </c>
      <c r="D1821" s="16" t="s">
        <v>5913</v>
      </c>
      <c r="E1821" s="15" t="s">
        <v>11215</v>
      </c>
      <c r="F1821" s="16" t="str">
        <f>VLOOKUP(Table8[[#This Row],[Mã khách hàng]],code_khach_hang[],2,0)</f>
        <v>CHI NHÁNH HÀ NỘI - CÔNG TY CỔ PHẦN DỊCH VỤ THƯƠNG MẠI TỔNG HỢP WINCOMMERCE</v>
      </c>
      <c r="G1821" s="16"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c r="A1822" s="14" t="s">
        <v>541</v>
      </c>
      <c r="B1822" s="15" t="s">
        <v>183</v>
      </c>
      <c r="C1822" s="10" t="s">
        <v>542</v>
      </c>
      <c r="D1822" s="16" t="s">
        <v>5916</v>
      </c>
      <c r="E1822" s="15" t="s">
        <v>11195</v>
      </c>
      <c r="F1822" s="16" t="str">
        <f>VLOOKUP(Table8[[#This Row],[Mã khách hàng]],code_khach_hang[],2,0)</f>
        <v>CHI NHÁNH HÀ NỘI - CÔNG TY CỔ PHẦN DỊCH VỤ THƯƠNG MẠI TỔNG HỢP WINCOMMERCE</v>
      </c>
      <c r="G1822" s="16"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c r="A1823" s="14" t="s">
        <v>553</v>
      </c>
      <c r="B1823" s="15" t="s">
        <v>183</v>
      </c>
      <c r="C1823" s="10" t="s">
        <v>554</v>
      </c>
      <c r="D1823" s="16" t="s">
        <v>5919</v>
      </c>
      <c r="E1823" s="15" t="s">
        <v>11195</v>
      </c>
      <c r="F1823" s="16" t="str">
        <f>VLOOKUP(Table8[[#This Row],[Mã khách hàng]],code_khach_hang[],2,0)</f>
        <v>CHI NHÁNH HÀ NỘI - CÔNG TY CỔ PHẦN DỊCH VỤ THƯƠNG MẠI TỔNG HỢP WINCOMMERCE</v>
      </c>
      <c r="G1823" s="16"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c r="A1824" s="14" t="s">
        <v>565</v>
      </c>
      <c r="B1824" s="15" t="s">
        <v>183</v>
      </c>
      <c r="C1824" s="10" t="s">
        <v>566</v>
      </c>
      <c r="D1824" s="16" t="s">
        <v>5922</v>
      </c>
      <c r="E1824" s="15" t="s">
        <v>11195</v>
      </c>
      <c r="F1824" s="16" t="str">
        <f>VLOOKUP(Table8[[#This Row],[Mã khách hàng]],code_khach_hang[],2,0)</f>
        <v>CHI NHÁNH HÀ NỘI - CÔNG TY CỔ PHẦN DỊCH VỤ THƯƠNG MẠI TỔNG HỢP WINCOMMERCE</v>
      </c>
      <c r="G1824" s="16"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c r="A1825" s="14" t="s">
        <v>571</v>
      </c>
      <c r="B1825" s="15" t="s">
        <v>183</v>
      </c>
      <c r="C1825" s="10" t="s">
        <v>572</v>
      </c>
      <c r="D1825" s="16" t="s">
        <v>5925</v>
      </c>
      <c r="E1825" s="15" t="s">
        <v>11195</v>
      </c>
      <c r="F1825" s="16" t="str">
        <f>VLOOKUP(Table8[[#This Row],[Mã khách hàng]],code_khach_hang[],2,0)</f>
        <v>CHI NHÁNH HÀ NỘI - CÔNG TY CỔ PHẦN DỊCH VỤ THƯƠNG MẠI TỔNG HỢP WINCOMMERCE</v>
      </c>
      <c r="G1825" s="16"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c r="A1826" s="14" t="s">
        <v>613</v>
      </c>
      <c r="B1826" s="15" t="s">
        <v>183</v>
      </c>
      <c r="C1826" s="10" t="s">
        <v>614</v>
      </c>
      <c r="D1826" s="16" t="s">
        <v>5928</v>
      </c>
      <c r="E1826" s="15" t="s">
        <v>11195</v>
      </c>
      <c r="F1826" s="16" t="str">
        <f>VLOOKUP(Table8[[#This Row],[Mã khách hàng]],code_khach_hang[],2,0)</f>
        <v>CHI NHÁNH HÀ NỘI - CÔNG TY CỔ PHẦN DỊCH VỤ THƯƠNG MẠI TỔNG HỢP WINCOMMERCE</v>
      </c>
      <c r="G1826" s="16"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c r="A1827" s="14" t="s">
        <v>4389</v>
      </c>
      <c r="B1827" s="15" t="s">
        <v>5</v>
      </c>
      <c r="C1827" s="10" t="s">
        <v>4390</v>
      </c>
      <c r="D1827" s="16" t="s">
        <v>5931</v>
      </c>
      <c r="E1827" s="15" t="s">
        <v>11215</v>
      </c>
      <c r="F1827" s="16" t="str">
        <f>VLOOKUP(Table8[[#This Row],[Mã khách hàng]],code_khach_hang[],2,0)</f>
        <v>CHI NHÁNH HÀ NỘI - CÔNG TY CỔ PHẦN DỊCH VỤ THƯƠNG MẠI TỔNG HỢP WINCOMMERCE</v>
      </c>
      <c r="G1827" s="16"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c r="A1828" s="14" t="s">
        <v>6638</v>
      </c>
      <c r="B1828" s="15" t="s">
        <v>5</v>
      </c>
      <c r="C1828" s="10" t="s">
        <v>6639</v>
      </c>
      <c r="D1828" s="16" t="s">
        <v>5934</v>
      </c>
      <c r="E1828" s="15" t="s">
        <v>11215</v>
      </c>
      <c r="F1828" s="16" t="str">
        <f>VLOOKUP(Table8[[#This Row],[Mã khách hàng]],code_khach_hang[],2,0)</f>
        <v>CHI NHÁNH HÀ NỘI - CÔNG TY CỔ PHẦN DỊCH VỤ THƯƠNG MẠI TỔNG HỢP WINCOMMERCE</v>
      </c>
      <c r="G1828" s="16"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c r="A1829" s="14" t="s">
        <v>6366</v>
      </c>
      <c r="B1829" s="15" t="s">
        <v>5</v>
      </c>
      <c r="C1829" s="10" t="s">
        <v>6367</v>
      </c>
      <c r="D1829" s="16" t="s">
        <v>5937</v>
      </c>
      <c r="E1829" s="15" t="s">
        <v>11215</v>
      </c>
      <c r="F1829" s="16" t="str">
        <f>VLOOKUP(Table8[[#This Row],[Mã khách hàng]],code_khach_hang[],2,0)</f>
        <v>CHI NHÁNH HÀ NỘI - CÔNG TY CỔ PHẦN DỊCH VỤ THƯƠNG MẠI TỔNG HỢP WINCOMMERCE</v>
      </c>
      <c r="G1829" s="16"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c r="A1830" s="14" t="s">
        <v>6530</v>
      </c>
      <c r="B1830" s="15" t="s">
        <v>5</v>
      </c>
      <c r="C1830" s="10" t="s">
        <v>6531</v>
      </c>
      <c r="D1830" s="16" t="s">
        <v>5940</v>
      </c>
      <c r="E1830" s="15" t="s">
        <v>11215</v>
      </c>
      <c r="F1830" s="16" t="str">
        <f>VLOOKUP(Table8[[#This Row],[Mã khách hàng]],code_khach_hang[],2,0)</f>
        <v>CHI NHÁNH HÀ NỘI - CÔNG TY CỔ PHẦN DỊCH VỤ THƯƠNG MẠI TỔNG HỢP WINCOMMERCE</v>
      </c>
      <c r="G1830" s="16"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c r="A1831" s="14" t="s">
        <v>6953</v>
      </c>
      <c r="B1831" s="15" t="s">
        <v>5</v>
      </c>
      <c r="C1831" s="10" t="s">
        <v>6954</v>
      </c>
      <c r="D1831" s="16" t="s">
        <v>5943</v>
      </c>
      <c r="E1831" s="15" t="s">
        <v>11215</v>
      </c>
      <c r="F1831" s="16" t="str">
        <f>VLOOKUP(Table8[[#This Row],[Mã khách hàng]],code_khach_hang[],2,0)</f>
        <v>CHI NHÁNH HÀ NỘI - CÔNG TY CỔ PHẦN DỊCH VỤ THƯƠNG MẠI TỔNG HỢP WINCOMMERCE</v>
      </c>
      <c r="G1831" s="16"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c r="A1832" s="14" t="s">
        <v>7168</v>
      </c>
      <c r="B1832" s="15" t="s">
        <v>5</v>
      </c>
      <c r="C1832" s="10" t="s">
        <v>7169</v>
      </c>
      <c r="D1832" s="16" t="s">
        <v>5946</v>
      </c>
      <c r="E1832" s="15" t="s">
        <v>11215</v>
      </c>
      <c r="F1832" s="16" t="str">
        <f>VLOOKUP(Table8[[#This Row],[Mã khách hàng]],code_khach_hang[],2,0)</f>
        <v>CHI NHÁNH HÀ NỘI - CÔNG TY CỔ PHẦN DỊCH VỤ THƯƠNG MẠI TỔNG HỢP WINCOMMERCE</v>
      </c>
      <c r="G1832" s="16"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c r="A1833" s="14" t="s">
        <v>7363</v>
      </c>
      <c r="B1833" s="15" t="s">
        <v>5</v>
      </c>
      <c r="C1833" s="10" t="s">
        <v>7364</v>
      </c>
      <c r="D1833" s="16" t="s">
        <v>5949</v>
      </c>
      <c r="E1833" s="15" t="s">
        <v>11215</v>
      </c>
      <c r="F1833" s="16" t="str">
        <f>VLOOKUP(Table8[[#This Row],[Mã khách hàng]],code_khach_hang[],2,0)</f>
        <v>CHI NHÁNH HÀ NỘI - CÔNG TY CỔ PHẦN DỊCH VỤ THƯƠNG MẠI TỔNG HỢP WINCOMMERCE</v>
      </c>
      <c r="G1833" s="16"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c r="A1834" s="14" t="s">
        <v>5645</v>
      </c>
      <c r="B1834" s="15" t="s">
        <v>5</v>
      </c>
      <c r="C1834" s="10" t="e">
        <v>#N/A</v>
      </c>
      <c r="D1834" s="16" t="s">
        <v>5952</v>
      </c>
      <c r="E1834" s="15" t="s">
        <v>11215</v>
      </c>
      <c r="F1834" s="16" t="str">
        <f>VLOOKUP(Table8[[#This Row],[Mã khách hàng]],code_khach_hang[],2,0)</f>
        <v>CHI NHÁNH HÀ NỘI - CÔNG TY CỔ PHẦN DỊCH VỤ THƯƠNG MẠI TỔNG HỢP WINCOMMERCE</v>
      </c>
      <c r="G1834" s="16"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c r="A1835" s="14" t="s">
        <v>5701</v>
      </c>
      <c r="B1835" s="15" t="s">
        <v>5</v>
      </c>
      <c r="C1835" s="10" t="s">
        <v>5702</v>
      </c>
      <c r="D1835" s="16" t="s">
        <v>5955</v>
      </c>
      <c r="E1835" s="15" t="s">
        <v>11215</v>
      </c>
      <c r="F1835" s="16" t="str">
        <f>VLOOKUP(Table8[[#This Row],[Mã khách hàng]],code_khach_hang[],2,0)</f>
        <v>CHI NHÁNH HÀ NỘI - CÔNG TY CỔ PHẦN DỊCH VỤ THƯƠNG MẠI TỔNG HỢP WINCOMMERCE</v>
      </c>
      <c r="G1835" s="16"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c r="A1836" s="14" t="s">
        <v>5704</v>
      </c>
      <c r="B1836" s="15" t="s">
        <v>5</v>
      </c>
      <c r="C1836" s="10" t="s">
        <v>5705</v>
      </c>
      <c r="D1836" s="16" t="s">
        <v>5958</v>
      </c>
      <c r="E1836" s="15" t="s">
        <v>11215</v>
      </c>
      <c r="F1836" s="16" t="str">
        <f>VLOOKUP(Table8[[#This Row],[Mã khách hàng]],code_khach_hang[],2,0)</f>
        <v>CHI NHÁNH HÀ NỘI - CÔNG TY CỔ PHẦN DỊCH VỤ THƯƠNG MẠI TỔNG HỢP WINCOMMERCE</v>
      </c>
      <c r="G1836" s="16"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c r="A1837" s="14" t="s">
        <v>5780</v>
      </c>
      <c r="B1837" s="15" t="s">
        <v>5</v>
      </c>
      <c r="C1837" s="10" t="s">
        <v>5781</v>
      </c>
      <c r="D1837" s="16" t="s">
        <v>5961</v>
      </c>
      <c r="E1837" s="15" t="s">
        <v>11215</v>
      </c>
      <c r="F1837" s="16" t="str">
        <f>VLOOKUP(Table8[[#This Row],[Mã khách hàng]],code_khach_hang[],2,0)</f>
        <v>CHI NHÁNH HÀ NỘI - CÔNG TY CỔ PHẦN DỊCH VỤ THƯƠNG MẠI TỔNG HỢP WINCOMMERCE</v>
      </c>
      <c r="G1837" s="16"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c r="A1838" s="14" t="s">
        <v>5789</v>
      </c>
      <c r="B1838" s="15" t="s">
        <v>5</v>
      </c>
      <c r="C1838" s="10" t="s">
        <v>5790</v>
      </c>
      <c r="D1838" s="16" t="s">
        <v>5964</v>
      </c>
      <c r="E1838" s="15" t="s">
        <v>11215</v>
      </c>
      <c r="F1838" s="16" t="str">
        <f>VLOOKUP(Table8[[#This Row],[Mã khách hàng]],code_khach_hang[],2,0)</f>
        <v>CHI NHÁNH HÀ NỘI - CÔNG TY CỔ PHẦN DỊCH VỤ THƯƠNG MẠI TỔNG HỢP WINCOMMERCE</v>
      </c>
      <c r="G1838" s="16"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c r="A1839" s="14" t="s">
        <v>6097</v>
      </c>
      <c r="B1839" s="15" t="s">
        <v>5</v>
      </c>
      <c r="C1839" s="10" t="s">
        <v>6098</v>
      </c>
      <c r="D1839" s="16" t="s">
        <v>5967</v>
      </c>
      <c r="E1839" s="15" t="s">
        <v>11215</v>
      </c>
      <c r="F1839" s="16" t="str">
        <f>VLOOKUP(Table8[[#This Row],[Mã khách hàng]],code_khach_hang[],2,0)</f>
        <v>CHI NHÁNH HÀ NỘI - CÔNG TY CỔ PHẦN DỊCH VỤ THƯƠNG MẠI TỔNG HỢP WINCOMMERCE</v>
      </c>
      <c r="G1839" s="16"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c r="A1840" s="14" t="s">
        <v>6133</v>
      </c>
      <c r="B1840" s="15" t="s">
        <v>5</v>
      </c>
      <c r="C1840" s="10" t="s">
        <v>6134</v>
      </c>
      <c r="D1840" s="16" t="s">
        <v>5970</v>
      </c>
      <c r="E1840" s="15" t="s">
        <v>11215</v>
      </c>
      <c r="F1840" s="16" t="str">
        <f>VLOOKUP(Table8[[#This Row],[Mã khách hàng]],code_khach_hang[],2,0)</f>
        <v>CHI NHÁNH HÀ NỘI - CÔNG TY CỔ PHẦN DỊCH VỤ THƯƠNG MẠI TỔNG HỢP WINCOMMERCE</v>
      </c>
      <c r="G1840" s="16"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c r="A1841" s="14" t="s">
        <v>6590</v>
      </c>
      <c r="B1841" s="15" t="s">
        <v>5</v>
      </c>
      <c r="C1841" s="10" t="s">
        <v>6591</v>
      </c>
      <c r="D1841" s="16" t="s">
        <v>5973</v>
      </c>
      <c r="E1841" s="15" t="s">
        <v>11215</v>
      </c>
      <c r="F1841" s="16" t="str">
        <f>VLOOKUP(Table8[[#This Row],[Mã khách hàng]],code_khach_hang[],2,0)</f>
        <v>CHI NHÁNH HÀ NỘI - CÔNG TY CỔ PHẦN DỊCH VỤ THƯƠNG MẠI TỔNG HỢP WINCOMMERCE</v>
      </c>
      <c r="G1841" s="16"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c r="A1842" s="14" t="s">
        <v>6866</v>
      </c>
      <c r="B1842" s="15" t="s">
        <v>5</v>
      </c>
      <c r="C1842" s="10" t="s">
        <v>6867</v>
      </c>
      <c r="D1842" s="16" t="s">
        <v>5976</v>
      </c>
      <c r="E1842" s="15" t="s">
        <v>11215</v>
      </c>
      <c r="F1842" s="16" t="str">
        <f>VLOOKUP(Table8[[#This Row],[Mã khách hàng]],code_khach_hang[],2,0)</f>
        <v>CHI NHÁNH HÀ NỘI - CÔNG TY CỔ PHẦN DỊCH VỤ THƯƠNG MẠI TỔNG HỢP WINCOMMERCE</v>
      </c>
      <c r="G1842" s="16"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c r="A1843" s="14" t="s">
        <v>7131</v>
      </c>
      <c r="B1843" s="15" t="s">
        <v>5</v>
      </c>
      <c r="C1843" s="10" t="s">
        <v>7132</v>
      </c>
      <c r="D1843" s="16" t="s">
        <v>5979</v>
      </c>
      <c r="E1843" s="15" t="s">
        <v>11215</v>
      </c>
      <c r="F1843" s="16" t="str">
        <f>VLOOKUP(Table8[[#This Row],[Mã khách hàng]],code_khach_hang[],2,0)</f>
        <v>CHI NHÁNH HÀ NỘI - CÔNG TY CỔ PHẦN DỊCH VỤ THƯƠNG MẠI TỔNG HỢP WINCOMMERCE</v>
      </c>
      <c r="G1843" s="16"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c r="A1844" s="14" t="s">
        <v>7190</v>
      </c>
      <c r="B1844" s="15" t="s">
        <v>5</v>
      </c>
      <c r="C1844" s="10" t="s">
        <v>7191</v>
      </c>
      <c r="D1844" s="16" t="s">
        <v>5982</v>
      </c>
      <c r="E1844" s="15" t="s">
        <v>11215</v>
      </c>
      <c r="F1844" s="16" t="str">
        <f>VLOOKUP(Table8[[#This Row],[Mã khách hàng]],code_khach_hang[],2,0)</f>
        <v>CHI NHÁNH HÀ NỘI - CÔNG TY CỔ PHẦN DỊCH VỤ THƯƠNG MẠI TỔNG HỢP WINCOMMERCE</v>
      </c>
      <c r="G1844" s="16"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c r="A1845" s="14" t="s">
        <v>7285</v>
      </c>
      <c r="B1845" s="15" t="s">
        <v>5</v>
      </c>
      <c r="C1845" s="10" t="s">
        <v>7286</v>
      </c>
      <c r="D1845" s="16" t="s">
        <v>5985</v>
      </c>
      <c r="E1845" s="15" t="s">
        <v>11215</v>
      </c>
      <c r="F1845" s="16" t="str">
        <f>VLOOKUP(Table8[[#This Row],[Mã khách hàng]],code_khach_hang[],2,0)</f>
        <v>CHI NHÁNH HÀ NỘI - CÔNG TY CỔ PHẦN DỊCH VỤ THƯƠNG MẠI TỔNG HỢP WINCOMMERCE</v>
      </c>
      <c r="G1845" s="16"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c r="A1846" s="14" t="s">
        <v>7116</v>
      </c>
      <c r="B1846" s="15" t="s">
        <v>5</v>
      </c>
      <c r="C1846" s="10" t="s">
        <v>7117</v>
      </c>
      <c r="D1846" s="16" t="s">
        <v>5988</v>
      </c>
      <c r="E1846" s="15" t="s">
        <v>11222</v>
      </c>
      <c r="F1846" s="16" t="str">
        <f>VLOOKUP(Table8[[#This Row],[Mã khách hàng]],code_khach_hang[],2,0)</f>
        <v>CHI NHÁNH CAO BẰNG - CÔNG TY CỔ PHẦN DỊCH VỤ THƯƠNG MẠI TỔNG HỢP WINCOMMERCE</v>
      </c>
      <c r="G1846" s="16"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c r="A1847" s="14" t="s">
        <v>7119</v>
      </c>
      <c r="B1847" s="15" t="s">
        <v>5</v>
      </c>
      <c r="C1847" s="10" t="s">
        <v>7120</v>
      </c>
      <c r="D1847" s="16" t="s">
        <v>5991</v>
      </c>
      <c r="E1847" s="15" t="s">
        <v>11222</v>
      </c>
      <c r="F1847" s="16" t="str">
        <f>VLOOKUP(Table8[[#This Row],[Mã khách hàng]],code_khach_hang[],2,0)</f>
        <v>CHI NHÁNH CAO BẰNG - CÔNG TY CỔ PHẦN DỊCH VỤ THƯƠNG MẠI TỔNG HỢP WINCOMMERCE</v>
      </c>
      <c r="G1847" s="16"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c r="A1848" s="14" t="s">
        <v>7345</v>
      </c>
      <c r="B1848" s="15" t="s">
        <v>5</v>
      </c>
      <c r="C1848" s="10" t="s">
        <v>7346</v>
      </c>
      <c r="D1848" s="16" t="s">
        <v>5994</v>
      </c>
      <c r="E1848" s="15" t="s">
        <v>11222</v>
      </c>
      <c r="F1848" s="16" t="str">
        <f>VLOOKUP(Table8[[#This Row],[Mã khách hàng]],code_khach_hang[],2,0)</f>
        <v>CHI NHÁNH CAO BẰNG - CÔNG TY CỔ PHẦN DỊCH VỤ THƯƠNG MẠI TỔNG HỢP WINCOMMERCE</v>
      </c>
      <c r="G1848" s="16"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c r="A1849" s="14" t="s">
        <v>11131</v>
      </c>
      <c r="B1849" s="15" t="s">
        <v>5</v>
      </c>
      <c r="C1849" s="10" t="s">
        <v>13169</v>
      </c>
      <c r="D1849" s="16" t="s">
        <v>5997</v>
      </c>
      <c r="E1849" s="15" t="s">
        <v>11222</v>
      </c>
      <c r="F1849" s="16" t="str">
        <f>VLOOKUP(Table8[[#This Row],[Mã khách hàng]],code_khach_hang[],2,0)</f>
        <v>CHI NHÁNH CAO BẰNG - CÔNG TY CỔ PHẦN DỊCH VỤ THƯƠNG MẠI TỔNG HỢP WINCOMMERCE</v>
      </c>
      <c r="G1849" s="16"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c r="A1850" s="14" t="s">
        <v>8187</v>
      </c>
      <c r="B1850" s="15" t="s">
        <v>5</v>
      </c>
      <c r="C1850" s="10" t="s">
        <v>8188</v>
      </c>
      <c r="D1850" s="16" t="s">
        <v>6000</v>
      </c>
      <c r="E1850" s="15" t="s">
        <v>11222</v>
      </c>
      <c r="F1850" s="16" t="str">
        <f>VLOOKUP(Table8[[#This Row],[Mã khách hàng]],code_khach_hang[],2,0)</f>
        <v>CHI NHÁNH CAO BẰNG - CÔNG TY CỔ PHẦN DỊCH VỤ THƯƠNG MẠI TỔNG HỢP WINCOMMERCE</v>
      </c>
      <c r="G1850" s="16"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c r="A1851" s="14" t="s">
        <v>8431</v>
      </c>
      <c r="B1851" s="15" t="s">
        <v>5</v>
      </c>
      <c r="C1851" s="10" t="s">
        <v>8432</v>
      </c>
      <c r="D1851" s="16" t="s">
        <v>6003</v>
      </c>
      <c r="E1851" s="15" t="s">
        <v>11222</v>
      </c>
      <c r="F1851" s="16" t="str">
        <f>VLOOKUP(Table8[[#This Row],[Mã khách hàng]],code_khach_hang[],2,0)</f>
        <v>CHI NHÁNH CAO BẰNG - CÔNG TY CỔ PHẦN DỊCH VỤ THƯƠNG MẠI TỔNG HỢP WINCOMMERCE</v>
      </c>
      <c r="G1851" s="16"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c r="A1852" s="14" t="s">
        <v>8013</v>
      </c>
      <c r="B1852" s="15" t="s">
        <v>5</v>
      </c>
      <c r="C1852" s="10" t="s">
        <v>8014</v>
      </c>
      <c r="D1852" s="16" t="s">
        <v>6006</v>
      </c>
      <c r="E1852" s="15" t="s">
        <v>11221</v>
      </c>
      <c r="F1852" s="16" t="str">
        <f>VLOOKUP(Table8[[#This Row],[Mã khách hàng]],code_khach_hang[],2,0)</f>
        <v>CHI NHÁNH ĐIỆN BIÊN - CÔNG TY CỔ PHẦN DỊCH VỤ THƯƠNG MẠI TỔNG HỢP WINCOMMERCE</v>
      </c>
      <c r="G1852" s="16"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c r="A1853" s="14" t="s">
        <v>8025</v>
      </c>
      <c r="B1853" s="15" t="s">
        <v>5</v>
      </c>
      <c r="C1853" s="10" t="s">
        <v>8026</v>
      </c>
      <c r="D1853" s="16" t="s">
        <v>6009</v>
      </c>
      <c r="E1853" s="15" t="s">
        <v>11221</v>
      </c>
      <c r="F1853" s="16" t="str">
        <f>VLOOKUP(Table8[[#This Row],[Mã khách hàng]],code_khach_hang[],2,0)</f>
        <v>CHI NHÁNH ĐIỆN BIÊN - CÔNG TY CỔ PHẦN DỊCH VỤ THƯƠNG MẠI TỔNG HỢP WINCOMMERCE</v>
      </c>
      <c r="G1853" s="16"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c r="A1854" s="14" t="s">
        <v>8031</v>
      </c>
      <c r="B1854" s="15" t="s">
        <v>5</v>
      </c>
      <c r="C1854" s="10" t="s">
        <v>8032</v>
      </c>
      <c r="D1854" s="16" t="s">
        <v>6012</v>
      </c>
      <c r="E1854" s="15" t="s">
        <v>11221</v>
      </c>
      <c r="F1854" s="16" t="str">
        <f>VLOOKUP(Table8[[#This Row],[Mã khách hàng]],code_khach_hang[],2,0)</f>
        <v>CHI NHÁNH ĐIỆN BIÊN - CÔNG TY CỔ PHẦN DỊCH VỤ THƯƠNG MẠI TỔNG HỢP WINCOMMERCE</v>
      </c>
      <c r="G1854" s="16"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c r="A1855" s="14" t="s">
        <v>8040</v>
      </c>
      <c r="B1855" s="15" t="s">
        <v>5</v>
      </c>
      <c r="C1855" s="10" t="s">
        <v>8041</v>
      </c>
      <c r="D1855" s="16" t="s">
        <v>6015</v>
      </c>
      <c r="E1855" s="15" t="s">
        <v>11221</v>
      </c>
      <c r="F1855" s="16" t="str">
        <f>VLOOKUP(Table8[[#This Row],[Mã khách hàng]],code_khach_hang[],2,0)</f>
        <v>CHI NHÁNH ĐIỆN BIÊN - CÔNG TY CỔ PHẦN DỊCH VỤ THƯƠNG MẠI TỔNG HỢP WINCOMMERCE</v>
      </c>
      <c r="G1855" s="16"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c r="A1856" s="14" t="s">
        <v>8052</v>
      </c>
      <c r="B1856" s="15" t="s">
        <v>5</v>
      </c>
      <c r="C1856" s="10" t="s">
        <v>8053</v>
      </c>
      <c r="D1856" s="16" t="s">
        <v>6018</v>
      </c>
      <c r="E1856" s="15" t="s">
        <v>11221</v>
      </c>
      <c r="F1856" s="16" t="str">
        <f>VLOOKUP(Table8[[#This Row],[Mã khách hàng]],code_khach_hang[],2,0)</f>
        <v>CHI NHÁNH ĐIỆN BIÊN - CÔNG TY CỔ PHẦN DỊCH VỤ THƯƠNG MẠI TỔNG HỢP WINCOMMERCE</v>
      </c>
      <c r="G1856" s="16"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c r="A1857" s="14" t="s">
        <v>8034</v>
      </c>
      <c r="B1857" s="15" t="s">
        <v>5</v>
      </c>
      <c r="C1857" s="10" t="s">
        <v>8035</v>
      </c>
      <c r="D1857" s="16" t="s">
        <v>6021</v>
      </c>
      <c r="E1857" s="15" t="s">
        <v>11221</v>
      </c>
      <c r="F1857" s="16" t="str">
        <f>VLOOKUP(Table8[[#This Row],[Mã khách hàng]],code_khach_hang[],2,0)</f>
        <v>CHI NHÁNH ĐIỆN BIÊN - CÔNG TY CỔ PHẦN DỊCH VỤ THƯƠNG MẠI TỔNG HỢP WINCOMMERCE</v>
      </c>
      <c r="G1857" s="16"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c r="A1858" s="14" t="s">
        <v>8500</v>
      </c>
      <c r="B1858" s="15" t="s">
        <v>5</v>
      </c>
      <c r="C1858" s="10" t="s">
        <v>8501</v>
      </c>
      <c r="D1858" s="16" t="s">
        <v>6024</v>
      </c>
      <c r="E1858" s="15" t="s">
        <v>11221</v>
      </c>
      <c r="F1858" s="16" t="str">
        <f>VLOOKUP(Table8[[#This Row],[Mã khách hàng]],code_khach_hang[],2,0)</f>
        <v>CHI NHÁNH ĐIỆN BIÊN - CÔNG TY CỔ PHẦN DỊCH VỤ THƯƠNG MẠI TỔNG HỢP WINCOMMERCE</v>
      </c>
      <c r="G1858" s="16"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c r="A1859" s="14" t="s">
        <v>8703</v>
      </c>
      <c r="B1859" s="15" t="s">
        <v>5</v>
      </c>
      <c r="C1859" s="10" t="s">
        <v>8704</v>
      </c>
      <c r="D1859" s="16" t="s">
        <v>6027</v>
      </c>
      <c r="E1859" s="15" t="s">
        <v>11221</v>
      </c>
      <c r="F1859" s="16" t="str">
        <f>VLOOKUP(Table8[[#This Row],[Mã khách hàng]],code_khach_hang[],2,0)</f>
        <v>CHI NHÁNH ĐIỆN BIÊN - CÔNG TY CỔ PHẦN DỊCH VỤ THƯƠNG MẠI TỔNG HỢP WINCOMMERCE</v>
      </c>
      <c r="G1859" s="16"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c r="A1860" s="14" t="s">
        <v>7481</v>
      </c>
      <c r="B1860" s="15" t="s">
        <v>5</v>
      </c>
      <c r="C1860" s="10" t="s">
        <v>7482</v>
      </c>
      <c r="D1860" s="16" t="s">
        <v>6030</v>
      </c>
      <c r="E1860" s="15" t="s">
        <v>11220</v>
      </c>
      <c r="F1860" s="16" t="str">
        <f>VLOOKUP(Table8[[#This Row],[Mã khách hàng]],code_khach_hang[],2,0)</f>
        <v>CHI NHÁNH HÀ GIANG - CÔNG TY CỔ PHẦN DỊCH VỤ THƯƠNG MẠI TỔNG HỢP WINCOMMERCE</v>
      </c>
      <c r="G1860" s="16"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c r="A1861" s="14" t="s">
        <v>6578</v>
      </c>
      <c r="B1861" s="15" t="s">
        <v>5</v>
      </c>
      <c r="C1861" s="10" t="s">
        <v>6579</v>
      </c>
      <c r="D1861" s="16" t="s">
        <v>6033</v>
      </c>
      <c r="E1861" s="15" t="s">
        <v>11220</v>
      </c>
      <c r="F1861" s="16" t="str">
        <f>VLOOKUP(Table8[[#This Row],[Mã khách hàng]],code_khach_hang[],2,0)</f>
        <v>CHI NHÁNH HÀ GIANG - CÔNG TY CỔ PHẦN DỊCH VỤ THƯƠNG MẠI TỔNG HỢP WINCOMMERCE</v>
      </c>
      <c r="G1861" s="16"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c r="A1862" s="14" t="s">
        <v>7214</v>
      </c>
      <c r="B1862" s="15" t="s">
        <v>5</v>
      </c>
      <c r="C1862" s="10" t="s">
        <v>7215</v>
      </c>
      <c r="D1862" s="16" t="s">
        <v>6036</v>
      </c>
      <c r="E1862" s="15" t="s">
        <v>11220</v>
      </c>
      <c r="F1862" s="16" t="str">
        <f>VLOOKUP(Table8[[#This Row],[Mã khách hàng]],code_khach_hang[],2,0)</f>
        <v>CHI NHÁNH HÀ GIANG - CÔNG TY CỔ PHẦN DỊCH VỤ THƯƠNG MẠI TỔNG HỢP WINCOMMERCE</v>
      </c>
      <c r="G1862" s="16"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c r="A1863" s="14" t="s">
        <v>7042</v>
      </c>
      <c r="B1863" s="15" t="s">
        <v>5</v>
      </c>
      <c r="C1863" s="10" t="s">
        <v>7043</v>
      </c>
      <c r="D1863" s="16" t="s">
        <v>6039</v>
      </c>
      <c r="E1863" s="15" t="s">
        <v>11220</v>
      </c>
      <c r="F1863" s="16" t="str">
        <f>VLOOKUP(Table8[[#This Row],[Mã khách hàng]],code_khach_hang[],2,0)</f>
        <v>CHI NHÁNH HÀ GIANG - CÔNG TY CỔ PHẦN DỊCH VỤ THƯƠNG MẠI TỔNG HỢP WINCOMMERCE</v>
      </c>
      <c r="G1863" s="16"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c r="A1864" s="14" t="s">
        <v>6455</v>
      </c>
      <c r="B1864" s="15" t="s">
        <v>5</v>
      </c>
      <c r="C1864" s="10" t="s">
        <v>6456</v>
      </c>
      <c r="D1864" s="16" t="s">
        <v>6042</v>
      </c>
      <c r="E1864" s="15" t="s">
        <v>11220</v>
      </c>
      <c r="F1864" s="16" t="str">
        <f>VLOOKUP(Table8[[#This Row],[Mã khách hàng]],code_khach_hang[],2,0)</f>
        <v>CHI NHÁNH HÀ GIANG - CÔNG TY CỔ PHẦN DỊCH VỤ THƯƠNG MẠI TỔNG HỢP WINCOMMERCE</v>
      </c>
      <c r="G1864" s="16"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c r="A1865" s="14" t="s">
        <v>6306</v>
      </c>
      <c r="B1865" s="15" t="s">
        <v>5</v>
      </c>
      <c r="C1865" s="10" t="s">
        <v>6307</v>
      </c>
      <c r="D1865" s="16" t="s">
        <v>6045</v>
      </c>
      <c r="E1865" s="15" t="s">
        <v>11220</v>
      </c>
      <c r="F1865" s="16" t="str">
        <f>VLOOKUP(Table8[[#This Row],[Mã khách hàng]],code_khach_hang[],2,0)</f>
        <v>CHI NHÁNH HÀ GIANG - CÔNG TY CỔ PHẦN DỊCH VỤ THƯƠNG MẠI TỔNG HỢP WINCOMMERCE</v>
      </c>
      <c r="G1865" s="16"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c r="A1866" s="14" t="s">
        <v>6980</v>
      </c>
      <c r="B1866" s="15" t="s">
        <v>5</v>
      </c>
      <c r="C1866" s="10" t="s">
        <v>6981</v>
      </c>
      <c r="D1866" s="16" t="s">
        <v>6048</v>
      </c>
      <c r="E1866" s="15" t="s">
        <v>11220</v>
      </c>
      <c r="F1866" s="16" t="str">
        <f>VLOOKUP(Table8[[#This Row],[Mã khách hàng]],code_khach_hang[],2,0)</f>
        <v>CHI NHÁNH HÀ GIANG - CÔNG TY CỔ PHẦN DỊCH VỤ THƯƠNG MẠI TỔNG HỢP WINCOMMERCE</v>
      </c>
      <c r="G1866" s="16"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c r="A1867" s="14" t="s">
        <v>6282</v>
      </c>
      <c r="B1867" s="15" t="s">
        <v>5</v>
      </c>
      <c r="C1867" s="10" t="s">
        <v>6283</v>
      </c>
      <c r="D1867" s="16" t="s">
        <v>6051</v>
      </c>
      <c r="E1867" s="15" t="s">
        <v>11220</v>
      </c>
      <c r="F1867" s="16" t="str">
        <f>VLOOKUP(Table8[[#This Row],[Mã khách hàng]],code_khach_hang[],2,0)</f>
        <v>CHI NHÁNH HÀ GIANG - CÔNG TY CỔ PHẦN DỊCH VỤ THƯƠNG MẠI TỔNG HỢP WINCOMMERCE</v>
      </c>
      <c r="G1867" s="16"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c r="A1868" s="14" t="s">
        <v>6947</v>
      </c>
      <c r="B1868" s="15" t="s">
        <v>5</v>
      </c>
      <c r="C1868" s="10" t="s">
        <v>6948</v>
      </c>
      <c r="D1868" s="16" t="s">
        <v>6054</v>
      </c>
      <c r="E1868" s="15" t="s">
        <v>11220</v>
      </c>
      <c r="F1868" s="16" t="str">
        <f>VLOOKUP(Table8[[#This Row],[Mã khách hàng]],code_khach_hang[],2,0)</f>
        <v>CHI NHÁNH HÀ GIANG - CÔNG TY CỔ PHẦN DỊCH VỤ THƯƠNG MẠI TỔNG HỢP WINCOMMERCE</v>
      </c>
      <c r="G1868" s="16"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c r="A1869" s="14" t="s">
        <v>6986</v>
      </c>
      <c r="B1869" s="15" t="s">
        <v>5</v>
      </c>
      <c r="C1869" s="10" t="s">
        <v>6987</v>
      </c>
      <c r="D1869" s="16" t="s">
        <v>6057</v>
      </c>
      <c r="E1869" s="15" t="s">
        <v>11220</v>
      </c>
      <c r="F1869" s="16" t="str">
        <f>VLOOKUP(Table8[[#This Row],[Mã khách hàng]],code_khach_hang[],2,0)</f>
        <v>CHI NHÁNH HÀ GIANG - CÔNG TY CỔ PHẦN DỊCH VỤ THƯƠNG MẠI TỔNG HỢP WINCOMMERCE</v>
      </c>
      <c r="G1869" s="16"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c r="A1870" s="14" t="s">
        <v>6279</v>
      </c>
      <c r="B1870" s="15" t="s">
        <v>5</v>
      </c>
      <c r="C1870" s="10" t="s">
        <v>6280</v>
      </c>
      <c r="D1870" s="16" t="s">
        <v>6060</v>
      </c>
      <c r="E1870" s="15" t="s">
        <v>11220</v>
      </c>
      <c r="F1870" s="16" t="str">
        <f>VLOOKUP(Table8[[#This Row],[Mã khách hàng]],code_khach_hang[],2,0)</f>
        <v>CHI NHÁNH HÀ GIANG - CÔNG TY CỔ PHẦN DỊCH VỤ THƯƠNG MẠI TỔNG HỢP WINCOMMERCE</v>
      </c>
      <c r="G1870" s="16"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c r="A1871" s="14" t="s">
        <v>6210</v>
      </c>
      <c r="B1871" s="15" t="s">
        <v>5</v>
      </c>
      <c r="C1871" s="10" t="s">
        <v>6211</v>
      </c>
      <c r="D1871" s="16" t="s">
        <v>6063</v>
      </c>
      <c r="E1871" s="15" t="s">
        <v>11220</v>
      </c>
      <c r="F1871" s="16" t="str">
        <f>VLOOKUP(Table8[[#This Row],[Mã khách hàng]],code_khach_hang[],2,0)</f>
        <v>CHI NHÁNH HÀ GIANG - CÔNG TY CỔ PHẦN DỊCH VỤ THƯƠNG MẠI TỔNG HỢP WINCOMMERCE</v>
      </c>
      <c r="G1871" s="16"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c r="A1872" s="14" t="s">
        <v>6213</v>
      </c>
      <c r="B1872" s="15" t="s">
        <v>5</v>
      </c>
      <c r="C1872" s="10" t="s">
        <v>6214</v>
      </c>
      <c r="D1872" s="16" t="s">
        <v>6066</v>
      </c>
      <c r="E1872" s="15" t="s">
        <v>11220</v>
      </c>
      <c r="F1872" s="16" t="str">
        <f>VLOOKUP(Table8[[#This Row],[Mã khách hàng]],code_khach_hang[],2,0)</f>
        <v>CHI NHÁNH HÀ GIANG - CÔNG TY CỔ PHẦN DỊCH VỤ THƯƠNG MẠI TỔNG HỢP WINCOMMERCE</v>
      </c>
      <c r="G1872" s="16"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c r="A1873" s="14" t="s">
        <v>7086</v>
      </c>
      <c r="B1873" s="15" t="s">
        <v>5</v>
      </c>
      <c r="C1873" s="10" t="s">
        <v>7087</v>
      </c>
      <c r="D1873" s="16" t="s">
        <v>6069</v>
      </c>
      <c r="E1873" s="15" t="s">
        <v>11220</v>
      </c>
      <c r="F1873" s="16" t="str">
        <f>VLOOKUP(Table8[[#This Row],[Mã khách hàng]],code_khach_hang[],2,0)</f>
        <v>CHI NHÁNH HÀ GIANG - CÔNG TY CỔ PHẦN DỊCH VỤ THƯƠNG MẠI TỔNG HỢP WINCOMMERCE</v>
      </c>
      <c r="G1873" s="16"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c r="A1874" s="14" t="s">
        <v>7945</v>
      </c>
      <c r="B1874" s="15" t="s">
        <v>5</v>
      </c>
      <c r="C1874" s="10" t="s">
        <v>7946</v>
      </c>
      <c r="D1874" s="16" t="s">
        <v>6072</v>
      </c>
      <c r="E1874" s="15" t="s">
        <v>11220</v>
      </c>
      <c r="F1874" s="16" t="str">
        <f>VLOOKUP(Table8[[#This Row],[Mã khách hàng]],code_khach_hang[],2,0)</f>
        <v>CHI NHÁNH HÀ GIANG - CÔNG TY CỔ PHẦN DỊCH VỤ THƯƠNG MẠI TỔNG HỢP WINCOMMERCE</v>
      </c>
      <c r="G1874" s="16"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c r="A1875" s="14" t="s">
        <v>7211</v>
      </c>
      <c r="B1875" s="15" t="s">
        <v>5</v>
      </c>
      <c r="C1875" s="10" t="s">
        <v>7212</v>
      </c>
      <c r="D1875" s="16" t="s">
        <v>6075</v>
      </c>
      <c r="E1875" s="15" t="s">
        <v>11220</v>
      </c>
      <c r="F1875" s="16" t="str">
        <f>VLOOKUP(Table8[[#This Row],[Mã khách hàng]],code_khach_hang[],2,0)</f>
        <v>CHI NHÁNH HÀ GIANG - CÔNG TY CỔ PHẦN DỊCH VỤ THƯƠNG MẠI TỔNG HỢP WINCOMMERCE</v>
      </c>
      <c r="G1875" s="16"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c r="A1876" s="14" t="s">
        <v>6267</v>
      </c>
      <c r="B1876" s="15" t="s">
        <v>5</v>
      </c>
      <c r="C1876" s="10" t="s">
        <v>6268</v>
      </c>
      <c r="D1876" s="16" t="s">
        <v>6078</v>
      </c>
      <c r="E1876" s="15" t="s">
        <v>11220</v>
      </c>
      <c r="F1876" s="16" t="str">
        <f>VLOOKUP(Table8[[#This Row],[Mã khách hàng]],code_khach_hang[],2,0)</f>
        <v>CHI NHÁNH HÀ GIANG - CÔNG TY CỔ PHẦN DỊCH VỤ THƯƠNG MẠI TỔNG HỢP WINCOMMERCE</v>
      </c>
      <c r="G1876" s="16"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c r="A1877" s="14" t="s">
        <v>11132</v>
      </c>
      <c r="B1877" s="15" t="s">
        <v>5</v>
      </c>
      <c r="C1877" s="10" t="e">
        <v>#N/A</v>
      </c>
      <c r="D1877" s="16" t="s">
        <v>6081</v>
      </c>
      <c r="E1877" s="15" t="s">
        <v>11215</v>
      </c>
      <c r="F1877" s="16" t="str">
        <f>VLOOKUP(Table8[[#This Row],[Mã khách hàng]],code_khach_hang[],2,0)</f>
        <v>CHI NHÁNH HÀ NỘI - CÔNG TY CỔ PHẦN DỊCH VỤ THƯƠNG MẠI TỔNG HỢP WINCOMMERCE</v>
      </c>
      <c r="G1877" s="16"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c r="A1878" s="14" t="s">
        <v>6169</v>
      </c>
      <c r="B1878" s="15" t="s">
        <v>5</v>
      </c>
      <c r="C1878" s="10" t="s">
        <v>6170</v>
      </c>
      <c r="D1878" s="16" t="s">
        <v>6084</v>
      </c>
      <c r="E1878" s="15" t="s">
        <v>11215</v>
      </c>
      <c r="F1878" s="16" t="str">
        <f>VLOOKUP(Table8[[#This Row],[Mã khách hàng]],code_khach_hang[],2,0)</f>
        <v>CHI NHÁNH HÀ NỘI - CÔNG TY CỔ PHẦN DỊCH VỤ THƯƠNG MẠI TỔNG HỢP WINCOMMERCE</v>
      </c>
      <c r="G1878" s="16"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c r="A1879" s="14" t="s">
        <v>6396</v>
      </c>
      <c r="B1879" s="15" t="s">
        <v>5</v>
      </c>
      <c r="C1879" s="10" t="s">
        <v>6397</v>
      </c>
      <c r="D1879" s="16" t="s">
        <v>6087</v>
      </c>
      <c r="E1879" s="15" t="s">
        <v>11215</v>
      </c>
      <c r="F1879" s="16" t="str">
        <f>VLOOKUP(Table8[[#This Row],[Mã khách hàng]],code_khach_hang[],2,0)</f>
        <v>CHI NHÁNH HÀ NỘI - CÔNG TY CỔ PHẦN DỊCH VỤ THƯƠNG MẠI TỔNG HỢP WINCOMMERCE</v>
      </c>
      <c r="G1879" s="16"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c r="A1880" s="14" t="s">
        <v>4146</v>
      </c>
      <c r="B1880" s="15" t="s">
        <v>5</v>
      </c>
      <c r="C1880" s="10" t="s">
        <v>4147</v>
      </c>
      <c r="D1880" s="16" t="s">
        <v>6090</v>
      </c>
      <c r="E1880" s="15" t="s">
        <v>11215</v>
      </c>
      <c r="F1880" s="16" t="str">
        <f>VLOOKUP(Table8[[#This Row],[Mã khách hàng]],code_khach_hang[],2,0)</f>
        <v>CHI NHÁNH HÀ NỘI - CÔNG TY CỔ PHẦN DỊCH VỤ THƯƠNG MẠI TỔNG HỢP WINCOMMERCE</v>
      </c>
      <c r="G1880" s="16"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c r="A1881" s="14" t="s">
        <v>4149</v>
      </c>
      <c r="B1881" s="15" t="s">
        <v>5</v>
      </c>
      <c r="C1881" s="10" t="s">
        <v>4150</v>
      </c>
      <c r="D1881" s="16" t="s">
        <v>6093</v>
      </c>
      <c r="E1881" s="15" t="s">
        <v>11215</v>
      </c>
      <c r="F1881" s="16" t="str">
        <f>VLOOKUP(Table8[[#This Row],[Mã khách hàng]],code_khach_hang[],2,0)</f>
        <v>CHI NHÁNH HÀ NỘI - CÔNG TY CỔ PHẦN DỊCH VỤ THƯƠNG MẠI TỔNG HỢP WINCOMMERCE</v>
      </c>
      <c r="G1881" s="16"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c r="A1882" s="14" t="s">
        <v>4527</v>
      </c>
      <c r="B1882" s="15" t="s">
        <v>5</v>
      </c>
      <c r="C1882" s="10" t="s">
        <v>4528</v>
      </c>
      <c r="D1882" s="16" t="s">
        <v>6096</v>
      </c>
      <c r="E1882" s="15" t="s">
        <v>11215</v>
      </c>
      <c r="F1882" s="16" t="str">
        <f>VLOOKUP(Table8[[#This Row],[Mã khách hàng]],code_khach_hang[],2,0)</f>
        <v>CHI NHÁNH HÀ NỘI - CÔNG TY CỔ PHẦN DỊCH VỤ THƯƠNG MẠI TỔNG HỢP WINCOMMERCE</v>
      </c>
      <c r="G1882" s="16"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c r="A1883" s="14" t="s">
        <v>4887</v>
      </c>
      <c r="B1883" s="15" t="s">
        <v>5</v>
      </c>
      <c r="C1883" s="10" t="s">
        <v>4888</v>
      </c>
      <c r="D1883" s="16" t="s">
        <v>6099</v>
      </c>
      <c r="E1883" s="15" t="s">
        <v>11215</v>
      </c>
      <c r="F1883" s="16" t="str">
        <f>VLOOKUP(Table8[[#This Row],[Mã khách hàng]],code_khach_hang[],2,0)</f>
        <v>CHI NHÁNH HÀ NỘI - CÔNG TY CỔ PHẦN DỊCH VỤ THƯƠNG MẠI TỔNG HỢP WINCOMMERCE</v>
      </c>
      <c r="G1883" s="16"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c r="A1884" s="14" t="s">
        <v>4998</v>
      </c>
      <c r="B1884" s="15" t="s">
        <v>5</v>
      </c>
      <c r="C1884" s="10" t="s">
        <v>4999</v>
      </c>
      <c r="D1884" s="16" t="s">
        <v>6102</v>
      </c>
      <c r="E1884" s="15" t="s">
        <v>11215</v>
      </c>
      <c r="F1884" s="16" t="str">
        <f>VLOOKUP(Table8[[#This Row],[Mã khách hàng]],code_khach_hang[],2,0)</f>
        <v>CHI NHÁNH HÀ NỘI - CÔNG TY CỔ PHẦN DỊCH VỤ THƯƠNG MẠI TỔNG HỢP WINCOMMERCE</v>
      </c>
      <c r="G1884" s="16"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c r="A1885" s="14" t="s">
        <v>11133</v>
      </c>
      <c r="B1885" s="15" t="s">
        <v>5</v>
      </c>
      <c r="C1885" s="10" t="s">
        <v>13170</v>
      </c>
      <c r="D1885" s="16" t="s">
        <v>6105</v>
      </c>
      <c r="E1885" s="15" t="s">
        <v>11215</v>
      </c>
      <c r="F1885" s="16" t="str">
        <f>VLOOKUP(Table8[[#This Row],[Mã khách hàng]],code_khach_hang[],2,0)</f>
        <v>CHI NHÁNH HÀ NỘI - CÔNG TY CỔ PHẦN DỊCH VỤ THƯƠNG MẠI TỔNG HỢP WINCOMMERCE</v>
      </c>
      <c r="G1885" s="16"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c r="A1886" s="14" t="s">
        <v>6285</v>
      </c>
      <c r="B1886" s="15" t="s">
        <v>5</v>
      </c>
      <c r="C1886" s="10" t="s">
        <v>6286</v>
      </c>
      <c r="D1886" s="16" t="s">
        <v>6108</v>
      </c>
      <c r="E1886" s="15" t="s">
        <v>11215</v>
      </c>
      <c r="F1886" s="16" t="str">
        <f>VLOOKUP(Table8[[#This Row],[Mã khách hàng]],code_khach_hang[],2,0)</f>
        <v>CHI NHÁNH HÀ NỘI - CÔNG TY CỔ PHẦN DỊCH VỤ THƯƠNG MẠI TỔNG HỢP WINCOMMERCE</v>
      </c>
      <c r="G1886" s="16"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c r="A1887" s="14" t="s">
        <v>6019</v>
      </c>
      <c r="B1887" s="15" t="s">
        <v>5</v>
      </c>
      <c r="C1887" s="10" t="s">
        <v>6020</v>
      </c>
      <c r="D1887" s="16" t="s">
        <v>6111</v>
      </c>
      <c r="E1887" s="15" t="s">
        <v>11215</v>
      </c>
      <c r="F1887" s="16" t="str">
        <f>VLOOKUP(Table8[[#This Row],[Mã khách hàng]],code_khach_hang[],2,0)</f>
        <v>CHI NHÁNH HÀ NỘI - CÔNG TY CỔ PHẦN DỊCH VỤ THƯƠNG MẠI TỔNG HỢP WINCOMMERCE</v>
      </c>
      <c r="G1887" s="16"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c r="A1888" s="14" t="s">
        <v>6261</v>
      </c>
      <c r="B1888" s="15" t="s">
        <v>5</v>
      </c>
      <c r="C1888" s="10" t="s">
        <v>6262</v>
      </c>
      <c r="D1888" s="16" t="s">
        <v>6114</v>
      </c>
      <c r="E1888" s="15" t="s">
        <v>11215</v>
      </c>
      <c r="F1888" s="16" t="str">
        <f>VLOOKUP(Table8[[#This Row],[Mã khách hàng]],code_khach_hang[],2,0)</f>
        <v>CHI NHÁNH HÀ NỘI - CÔNG TY CỔ PHẦN DỊCH VỤ THƯƠNG MẠI TỔNG HỢP WINCOMMERCE</v>
      </c>
      <c r="G1888" s="16"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c r="A1889" s="14" t="s">
        <v>6270</v>
      </c>
      <c r="B1889" s="15" t="s">
        <v>5</v>
      </c>
      <c r="C1889" s="10" t="s">
        <v>6271</v>
      </c>
      <c r="D1889" s="16" t="s">
        <v>6117</v>
      </c>
      <c r="E1889" s="15" t="s">
        <v>11215</v>
      </c>
      <c r="F1889" s="16" t="str">
        <f>VLOOKUP(Table8[[#This Row],[Mã khách hàng]],code_khach_hang[],2,0)</f>
        <v>CHI NHÁNH HÀ NỘI - CÔNG TY CỔ PHẦN DỊCH VỤ THƯƠNG MẠI TỔNG HỢP WINCOMMERCE</v>
      </c>
      <c r="G1889" s="16"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c r="A1890" s="14" t="s">
        <v>6473</v>
      </c>
      <c r="B1890" s="15" t="s">
        <v>5</v>
      </c>
      <c r="C1890" s="10" t="s">
        <v>6474</v>
      </c>
      <c r="D1890" s="16" t="s">
        <v>6120</v>
      </c>
      <c r="E1890" s="15" t="s">
        <v>11215</v>
      </c>
      <c r="F1890" s="16" t="str">
        <f>VLOOKUP(Table8[[#This Row],[Mã khách hàng]],code_khach_hang[],2,0)</f>
        <v>CHI NHÁNH HÀ NỘI - CÔNG TY CỔ PHẦN DỊCH VỤ THƯƠNG MẠI TỔNG HỢP WINCOMMERCE</v>
      </c>
      <c r="G1890" s="16"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c r="A1891" s="14" t="s">
        <v>6488</v>
      </c>
      <c r="B1891" s="15" t="s">
        <v>5</v>
      </c>
      <c r="C1891" s="10" t="s">
        <v>6489</v>
      </c>
      <c r="D1891" s="16" t="s">
        <v>6123</v>
      </c>
      <c r="E1891" s="15" t="s">
        <v>11215</v>
      </c>
      <c r="F1891" s="16" t="str">
        <f>VLOOKUP(Table8[[#This Row],[Mã khách hàng]],code_khach_hang[],2,0)</f>
        <v>CHI NHÁNH HÀ NỘI - CÔNG TY CỔ PHẦN DỊCH VỤ THƯƠNG MẠI TỔNG HỢP WINCOMMERCE</v>
      </c>
      <c r="G1891" s="16"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c r="A1892" s="14" t="s">
        <v>6617</v>
      </c>
      <c r="B1892" s="15" t="s">
        <v>5</v>
      </c>
      <c r="C1892" s="10" t="s">
        <v>6618</v>
      </c>
      <c r="D1892" s="16" t="s">
        <v>6126</v>
      </c>
      <c r="E1892" s="15" t="s">
        <v>11215</v>
      </c>
      <c r="F1892" s="16" t="str">
        <f>VLOOKUP(Table8[[#This Row],[Mã khách hàng]],code_khach_hang[],2,0)</f>
        <v>CHI NHÁNH HÀ NỘI - CÔNG TY CỔ PHẦN DỊCH VỤ THƯƠNG MẠI TỔNG HỢP WINCOMMERCE</v>
      </c>
      <c r="G1892" s="16"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c r="A1893" s="14" t="s">
        <v>6815</v>
      </c>
      <c r="B1893" s="15" t="s">
        <v>5</v>
      </c>
      <c r="C1893" s="10" t="s">
        <v>6816</v>
      </c>
      <c r="D1893" s="16" t="s">
        <v>6129</v>
      </c>
      <c r="E1893" s="15" t="s">
        <v>11215</v>
      </c>
      <c r="F1893" s="16" t="str">
        <f>VLOOKUP(Table8[[#This Row],[Mã khách hàng]],code_khach_hang[],2,0)</f>
        <v>CHI NHÁNH HÀ NỘI - CÔNG TY CỔ PHẦN DỊCH VỤ THƯƠNG MẠI TỔNG HỢP WINCOMMERCE</v>
      </c>
      <c r="G1893" s="16"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c r="A1894" s="14" t="s">
        <v>7150</v>
      </c>
      <c r="B1894" s="15" t="s">
        <v>5</v>
      </c>
      <c r="C1894" s="10" t="s">
        <v>7151</v>
      </c>
      <c r="D1894" s="16" t="s">
        <v>6132</v>
      </c>
      <c r="E1894" s="15" t="s">
        <v>11215</v>
      </c>
      <c r="F1894" s="16" t="str">
        <f>VLOOKUP(Table8[[#This Row],[Mã khách hàng]],code_khach_hang[],2,0)</f>
        <v>CHI NHÁNH HÀ NỘI - CÔNG TY CỔ PHẦN DỊCH VỤ THƯƠNG MẠI TỔNG HỢP WINCOMMERCE</v>
      </c>
      <c r="G1894" s="16"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c r="A1895" s="14" t="s">
        <v>7387</v>
      </c>
      <c r="B1895" s="15" t="s">
        <v>5</v>
      </c>
      <c r="C1895" s="10" t="s">
        <v>7388</v>
      </c>
      <c r="D1895" s="16" t="s">
        <v>6135</v>
      </c>
      <c r="E1895" s="15" t="s">
        <v>11215</v>
      </c>
      <c r="F1895" s="16" t="str">
        <f>VLOOKUP(Table8[[#This Row],[Mã khách hàng]],code_khach_hang[],2,0)</f>
        <v>CHI NHÁNH HÀ NỘI - CÔNG TY CỔ PHẦN DỊCH VỤ THƯƠNG MẠI TỔNG HỢP WINCOMMERCE</v>
      </c>
      <c r="G1895" s="16"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c r="A1896" s="14" t="s">
        <v>7457</v>
      </c>
      <c r="B1896" s="15" t="s">
        <v>5</v>
      </c>
      <c r="C1896" s="10" t="s">
        <v>7458</v>
      </c>
      <c r="D1896" s="16" t="s">
        <v>6138</v>
      </c>
      <c r="E1896" s="15" t="s">
        <v>11215</v>
      </c>
      <c r="F1896" s="16" t="str">
        <f>VLOOKUP(Table8[[#This Row],[Mã khách hàng]],code_khach_hang[],2,0)</f>
        <v>CHI NHÁNH HÀ NỘI - CÔNG TY CỔ PHẦN DỊCH VỤ THƯƠNG MẠI TỔNG HỢP WINCOMMERCE</v>
      </c>
      <c r="G1896" s="16"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c r="A1897" s="14" t="s">
        <v>7777</v>
      </c>
      <c r="B1897" s="15" t="s">
        <v>5</v>
      </c>
      <c r="C1897" s="10" t="s">
        <v>7778</v>
      </c>
      <c r="D1897" s="16" t="s">
        <v>6141</v>
      </c>
      <c r="E1897" s="15" t="s">
        <v>11215</v>
      </c>
      <c r="F1897" s="16" t="str">
        <f>VLOOKUP(Table8[[#This Row],[Mã khách hàng]],code_khach_hang[],2,0)</f>
        <v>CHI NHÁNH HÀ NỘI - CÔNG TY CỔ PHẦN DỊCH VỤ THƯƠNG MẠI TỔNG HỢP WINCOMMERCE</v>
      </c>
      <c r="G1897" s="16"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c r="A1898" s="14" t="s">
        <v>7816</v>
      </c>
      <c r="B1898" s="15" t="s">
        <v>5</v>
      </c>
      <c r="C1898" s="10" t="s">
        <v>7817</v>
      </c>
      <c r="D1898" s="16" t="s">
        <v>6144</v>
      </c>
      <c r="E1898" s="15" t="s">
        <v>11215</v>
      </c>
      <c r="F1898" s="16" t="str">
        <f>VLOOKUP(Table8[[#This Row],[Mã khách hàng]],code_khach_hang[],2,0)</f>
        <v>CHI NHÁNH HÀ NỘI - CÔNG TY CỔ PHẦN DỊCH VỤ THƯƠNG MẠI TỔNG HỢP WINCOMMERCE</v>
      </c>
      <c r="G1898" s="16"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c r="A1899" s="14" t="s">
        <v>8058</v>
      </c>
      <c r="B1899" s="15" t="s">
        <v>5</v>
      </c>
      <c r="C1899" s="10" t="s">
        <v>8059</v>
      </c>
      <c r="D1899" s="16" t="s">
        <v>6147</v>
      </c>
      <c r="E1899" s="15" t="s">
        <v>11215</v>
      </c>
      <c r="F1899" s="16" t="str">
        <f>VLOOKUP(Table8[[#This Row],[Mã khách hàng]],code_khach_hang[],2,0)</f>
        <v>CHI NHÁNH HÀ NỘI - CÔNG TY CỔ PHẦN DỊCH VỤ THƯƠNG MẠI TỔNG HỢP WINCOMMERCE</v>
      </c>
      <c r="G1899" s="16"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c r="A1900" s="14" t="s">
        <v>4179</v>
      </c>
      <c r="B1900" s="15" t="s">
        <v>5</v>
      </c>
      <c r="C1900" s="10" t="s">
        <v>4180</v>
      </c>
      <c r="D1900" s="16" t="s">
        <v>6150</v>
      </c>
      <c r="E1900" s="15" t="s">
        <v>11215</v>
      </c>
      <c r="F1900" s="16" t="str">
        <f>VLOOKUP(Table8[[#This Row],[Mã khách hàng]],code_khach_hang[],2,0)</f>
        <v>CHI NHÁNH HÀ NỘI - CÔNG TY CỔ PHẦN DỊCH VỤ THƯƠNG MẠI TỔNG HỢP WINCOMMERCE</v>
      </c>
      <c r="G1900" s="16"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c r="A1901" s="14" t="s">
        <v>4182</v>
      </c>
      <c r="B1901" s="15" t="s">
        <v>5</v>
      </c>
      <c r="C1901" s="10" t="s">
        <v>4183</v>
      </c>
      <c r="D1901" s="16" t="s">
        <v>6153</v>
      </c>
      <c r="E1901" s="15" t="s">
        <v>11215</v>
      </c>
      <c r="F1901" s="16" t="str">
        <f>VLOOKUP(Table8[[#This Row],[Mã khách hàng]],code_khach_hang[],2,0)</f>
        <v>CHI NHÁNH HÀ NỘI - CÔNG TY CỔ PHẦN DỊCH VỤ THƯƠNG MẠI TỔNG HỢP WINCOMMERCE</v>
      </c>
      <c r="G1901" s="16"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c r="A1902" s="14" t="s">
        <v>4341</v>
      </c>
      <c r="B1902" s="15" t="s">
        <v>5</v>
      </c>
      <c r="C1902" s="10" t="s">
        <v>4342</v>
      </c>
      <c r="D1902" s="16" t="s">
        <v>6156</v>
      </c>
      <c r="E1902" s="15" t="s">
        <v>11215</v>
      </c>
      <c r="F1902" s="16" t="str">
        <f>VLOOKUP(Table8[[#This Row],[Mã khách hàng]],code_khach_hang[],2,0)</f>
        <v>CHI NHÁNH HÀ NỘI - CÔNG TY CỔ PHẦN DỊCH VỤ THƯƠNG MẠI TỔNG HỢP WINCOMMERCE</v>
      </c>
      <c r="G1902" s="16"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c r="A1903" s="14" t="s">
        <v>4356</v>
      </c>
      <c r="B1903" s="15" t="s">
        <v>5</v>
      </c>
      <c r="C1903" s="10" t="s">
        <v>4357</v>
      </c>
      <c r="D1903" s="16" t="s">
        <v>6159</v>
      </c>
      <c r="E1903" s="15" t="s">
        <v>11215</v>
      </c>
      <c r="F1903" s="16" t="str">
        <f>VLOOKUP(Table8[[#This Row],[Mã khách hàng]],code_khach_hang[],2,0)</f>
        <v>CHI NHÁNH HÀ NỘI - CÔNG TY CỔ PHẦN DỊCH VỤ THƯƠNG MẠI TỔNG HỢP WINCOMMERCE</v>
      </c>
      <c r="G1903" s="16"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c r="A1904" s="14" t="s">
        <v>4650</v>
      </c>
      <c r="B1904" s="15" t="s">
        <v>5</v>
      </c>
      <c r="C1904" s="10" t="s">
        <v>4651</v>
      </c>
      <c r="D1904" s="16" t="s">
        <v>6162</v>
      </c>
      <c r="E1904" s="15" t="s">
        <v>11215</v>
      </c>
      <c r="F1904" s="16" t="str">
        <f>VLOOKUP(Table8[[#This Row],[Mã khách hàng]],code_khach_hang[],2,0)</f>
        <v>CHI NHÁNH HÀ NỘI - CÔNG TY CỔ PHẦN DỊCH VỤ THƯƠNG MẠI TỔNG HỢP WINCOMMERCE</v>
      </c>
      <c r="G1904" s="16"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c r="A1905" s="14" t="s">
        <v>4806</v>
      </c>
      <c r="B1905" s="15" t="s">
        <v>5</v>
      </c>
      <c r="C1905" s="10" t="s">
        <v>4807</v>
      </c>
      <c r="D1905" s="16" t="s">
        <v>6165</v>
      </c>
      <c r="E1905" s="15" t="s">
        <v>11215</v>
      </c>
      <c r="F1905" s="16" t="str">
        <f>VLOOKUP(Table8[[#This Row],[Mã khách hàng]],code_khach_hang[],2,0)</f>
        <v>CHI NHÁNH HÀ NỘI - CÔNG TY CỔ PHẦN DỊCH VỤ THƯƠNG MẠI TỔNG HỢP WINCOMMERCE</v>
      </c>
      <c r="G1905" s="16"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c r="A1906" s="14" t="s">
        <v>4914</v>
      </c>
      <c r="B1906" s="15" t="s">
        <v>5</v>
      </c>
      <c r="C1906" s="10" t="s">
        <v>4915</v>
      </c>
      <c r="D1906" s="16" t="s">
        <v>6168</v>
      </c>
      <c r="E1906" s="15" t="s">
        <v>11215</v>
      </c>
      <c r="F1906" s="16" t="str">
        <f>VLOOKUP(Table8[[#This Row],[Mã khách hàng]],code_khach_hang[],2,0)</f>
        <v>CHI NHÁNH HÀ NỘI - CÔNG TY CỔ PHẦN DỊCH VỤ THƯƠNG MẠI TỔNG HỢP WINCOMMERCE</v>
      </c>
      <c r="G1906" s="16"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c r="A1907" s="14" t="s">
        <v>4986</v>
      </c>
      <c r="B1907" s="15" t="s">
        <v>5</v>
      </c>
      <c r="C1907" s="10" t="s">
        <v>4987</v>
      </c>
      <c r="D1907" s="16" t="s">
        <v>6171</v>
      </c>
      <c r="E1907" s="15" t="s">
        <v>11215</v>
      </c>
      <c r="F1907" s="16" t="str">
        <f>VLOOKUP(Table8[[#This Row],[Mã khách hàng]],code_khach_hang[],2,0)</f>
        <v>CHI NHÁNH HÀ NỘI - CÔNG TY CỔ PHẦN DỊCH VỤ THƯƠNG MẠI TỔNG HỢP WINCOMMERCE</v>
      </c>
      <c r="G1907" s="16"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c r="A1908" s="14" t="s">
        <v>5133</v>
      </c>
      <c r="B1908" s="15" t="s">
        <v>5</v>
      </c>
      <c r="C1908" s="10" t="s">
        <v>5134</v>
      </c>
      <c r="D1908" s="16" t="s">
        <v>6174</v>
      </c>
      <c r="E1908" s="15" t="s">
        <v>11215</v>
      </c>
      <c r="F1908" s="16" t="str">
        <f>VLOOKUP(Table8[[#This Row],[Mã khách hàng]],code_khach_hang[],2,0)</f>
        <v>CHI NHÁNH HÀ NỘI - CÔNG TY CỔ PHẦN DỊCH VỤ THƯƠNG MẠI TỔNG HỢP WINCOMMERCE</v>
      </c>
      <c r="G1908" s="16"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c r="A1909" s="14" t="s">
        <v>5154</v>
      </c>
      <c r="B1909" s="15" t="s">
        <v>5</v>
      </c>
      <c r="C1909" s="10" t="s">
        <v>5155</v>
      </c>
      <c r="D1909" s="16" t="s">
        <v>6177</v>
      </c>
      <c r="E1909" s="15" t="s">
        <v>11215</v>
      </c>
      <c r="F1909" s="16" t="str">
        <f>VLOOKUP(Table8[[#This Row],[Mã khách hàng]],code_khach_hang[],2,0)</f>
        <v>CHI NHÁNH HÀ NỘI - CÔNG TY CỔ PHẦN DỊCH VỤ THƯƠNG MẠI TỔNG HỢP WINCOMMERCE</v>
      </c>
      <c r="G1909" s="16"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c r="A1910" s="14" t="s">
        <v>5229</v>
      </c>
      <c r="B1910" s="15" t="s">
        <v>5</v>
      </c>
      <c r="C1910" s="10" t="s">
        <v>5230</v>
      </c>
      <c r="D1910" s="16" t="s">
        <v>6180</v>
      </c>
      <c r="E1910" s="15" t="s">
        <v>11215</v>
      </c>
      <c r="F1910" s="16" t="str">
        <f>VLOOKUP(Table8[[#This Row],[Mã khách hàng]],code_khach_hang[],2,0)</f>
        <v>CHI NHÁNH HÀ NỘI - CÔNG TY CỔ PHẦN DỊCH VỤ THƯƠNG MẠI TỔNG HỢP WINCOMMERCE</v>
      </c>
      <c r="G1910" s="16"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c r="A1911" s="14" t="s">
        <v>5316</v>
      </c>
      <c r="B1911" s="15" t="s">
        <v>5</v>
      </c>
      <c r="C1911" s="10" t="s">
        <v>5317</v>
      </c>
      <c r="D1911" s="16" t="s">
        <v>6183</v>
      </c>
      <c r="E1911" s="15" t="s">
        <v>11215</v>
      </c>
      <c r="F1911" s="16" t="str">
        <f>VLOOKUP(Table8[[#This Row],[Mã khách hàng]],code_khach_hang[],2,0)</f>
        <v>CHI NHÁNH HÀ NỘI - CÔNG TY CỔ PHẦN DỊCH VỤ THƯƠNG MẠI TỔNG HỢP WINCOMMERCE</v>
      </c>
      <c r="G1911" s="16"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c r="A1912" s="14" t="s">
        <v>5454</v>
      </c>
      <c r="B1912" s="15" t="s">
        <v>5</v>
      </c>
      <c r="C1912" s="10" t="s">
        <v>5455</v>
      </c>
      <c r="D1912" s="16" t="s">
        <v>6186</v>
      </c>
      <c r="E1912" s="15" t="s">
        <v>11215</v>
      </c>
      <c r="F1912" s="16" t="str">
        <f>VLOOKUP(Table8[[#This Row],[Mã khách hàng]],code_khach_hang[],2,0)</f>
        <v>CHI NHÁNH HÀ NỘI - CÔNG TY CỔ PHẦN DỊCH VỤ THƯƠNG MẠI TỔNG HỢP WINCOMMERCE</v>
      </c>
      <c r="G1912" s="16"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c r="A1913" s="14" t="s">
        <v>8221</v>
      </c>
      <c r="B1913" s="15" t="s">
        <v>5</v>
      </c>
      <c r="C1913" s="10" t="s">
        <v>8222</v>
      </c>
      <c r="D1913" s="16" t="s">
        <v>6189</v>
      </c>
      <c r="E1913" s="15" t="s">
        <v>11215</v>
      </c>
      <c r="F1913" s="16" t="str">
        <f>VLOOKUP(Table8[[#This Row],[Mã khách hàng]],code_khach_hang[],2,0)</f>
        <v>CHI NHÁNH HÀ NỘI - CÔNG TY CỔ PHẦN DỊCH VỤ THƯƠNG MẠI TỔNG HỢP WINCOMMERCE</v>
      </c>
      <c r="G1913" s="16"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c r="A1914" s="14" t="s">
        <v>5878</v>
      </c>
      <c r="B1914" s="15" t="s">
        <v>5</v>
      </c>
      <c r="C1914" s="10" t="s">
        <v>5879</v>
      </c>
      <c r="D1914" s="16" t="s">
        <v>6192</v>
      </c>
      <c r="E1914" s="15" t="s">
        <v>11215</v>
      </c>
      <c r="F1914" s="16" t="str">
        <f>VLOOKUP(Table8[[#This Row],[Mã khách hàng]],code_khach_hang[],2,0)</f>
        <v>CHI NHÁNH HÀ NỘI - CÔNG TY CỔ PHẦN DỊCH VỤ THƯƠNG MẠI TỔNG HỢP WINCOMMERCE</v>
      </c>
      <c r="G1914" s="16"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c r="A1915" s="14" t="s">
        <v>5977</v>
      </c>
      <c r="B1915" s="15" t="s">
        <v>5</v>
      </c>
      <c r="C1915" s="10" t="s">
        <v>5978</v>
      </c>
      <c r="D1915" s="16" t="s">
        <v>6195</v>
      </c>
      <c r="E1915" s="15" t="s">
        <v>11215</v>
      </c>
      <c r="F1915" s="16" t="str">
        <f>VLOOKUP(Table8[[#This Row],[Mã khách hàng]],code_khach_hang[],2,0)</f>
        <v>CHI NHÁNH HÀ NỘI - CÔNG TY CỔ PHẦN DỊCH VỤ THƯƠNG MẠI TỔNG HỢP WINCOMMERCE</v>
      </c>
      <c r="G1915" s="16"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c r="A1916" s="14" t="s">
        <v>11134</v>
      </c>
      <c r="B1916" s="15" t="s">
        <v>5</v>
      </c>
      <c r="C1916" s="10" t="e">
        <v>#N/A</v>
      </c>
      <c r="D1916" s="16" t="s">
        <v>6198</v>
      </c>
      <c r="E1916" s="15" t="s">
        <v>11215</v>
      </c>
      <c r="F1916" s="16" t="str">
        <f>VLOOKUP(Table8[[#This Row],[Mã khách hàng]],code_khach_hang[],2,0)</f>
        <v>CHI NHÁNH HÀ NỘI - CÔNG TY CỔ PHẦN DỊCH VỤ THƯƠNG MẠI TỔNG HỢP WINCOMMERCE</v>
      </c>
      <c r="G1916" s="16"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c r="A1917" s="14" t="s">
        <v>6330</v>
      </c>
      <c r="B1917" s="15" t="s">
        <v>5</v>
      </c>
      <c r="C1917" s="10" t="s">
        <v>6331</v>
      </c>
      <c r="D1917" s="16" t="s">
        <v>6201</v>
      </c>
      <c r="E1917" s="15" t="s">
        <v>11215</v>
      </c>
      <c r="F1917" s="16" t="str">
        <f>VLOOKUP(Table8[[#This Row],[Mã khách hàng]],code_khach_hang[],2,0)</f>
        <v>CHI NHÁNH HÀ NỘI - CÔNG TY CỔ PHẦN DỊCH VỤ THƯƠNG MẠI TỔNG HỢP WINCOMMERCE</v>
      </c>
      <c r="G1917" s="16"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c r="A1918" s="14" t="s">
        <v>11135</v>
      </c>
      <c r="B1918" s="15" t="s">
        <v>5</v>
      </c>
      <c r="C1918" s="10" t="e">
        <v>#N/A</v>
      </c>
      <c r="D1918" s="16" t="s">
        <v>6204</v>
      </c>
      <c r="E1918" s="15" t="s">
        <v>11215</v>
      </c>
      <c r="F1918" s="16" t="str">
        <f>VLOOKUP(Table8[[#This Row],[Mã khách hàng]],code_khach_hang[],2,0)</f>
        <v>CHI NHÁNH HÀ NỘI - CÔNG TY CỔ PHẦN DỊCH VỤ THƯƠNG MẠI TỔNG HỢP WINCOMMERCE</v>
      </c>
      <c r="G1918" s="16"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c r="A1919" s="14" t="s">
        <v>6908</v>
      </c>
      <c r="B1919" s="15" t="s">
        <v>5</v>
      </c>
      <c r="C1919" s="10" t="s">
        <v>6909</v>
      </c>
      <c r="D1919" s="16" t="s">
        <v>6206</v>
      </c>
      <c r="E1919" s="15" t="s">
        <v>11215</v>
      </c>
      <c r="F1919" s="16" t="str">
        <f>VLOOKUP(Table8[[#This Row],[Mã khách hàng]],code_khach_hang[],2,0)</f>
        <v>CHI NHÁNH HÀ NỘI - CÔNG TY CỔ PHẦN DỊCH VỤ THƯƠNG MẠI TỔNG HỢP WINCOMMERCE</v>
      </c>
      <c r="G1919" s="16"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c r="A1920" s="14" t="s">
        <v>5238</v>
      </c>
      <c r="B1920" s="15" t="s">
        <v>5</v>
      </c>
      <c r="C1920" s="10" t="s">
        <v>5239</v>
      </c>
      <c r="D1920" s="16" t="s">
        <v>6209</v>
      </c>
      <c r="E1920" s="15" t="s">
        <v>11215</v>
      </c>
      <c r="F1920" s="16" t="str">
        <f>VLOOKUP(Table8[[#This Row],[Mã khách hàng]],code_khach_hang[],2,0)</f>
        <v>CHI NHÁNH HÀ NỘI - CÔNG TY CỔ PHẦN DỊCH VỤ THƯƠNG MẠI TỔNG HỢP WINCOMMERCE</v>
      </c>
      <c r="G1920" s="16"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c r="A1921" s="14" t="s">
        <v>5370</v>
      </c>
      <c r="B1921" s="15" t="s">
        <v>5</v>
      </c>
      <c r="C1921" s="10" t="s">
        <v>5371</v>
      </c>
      <c r="D1921" s="16" t="s">
        <v>6212</v>
      </c>
      <c r="E1921" s="15" t="s">
        <v>11215</v>
      </c>
      <c r="F1921" s="16" t="str">
        <f>VLOOKUP(Table8[[#This Row],[Mã khách hàng]],code_khach_hang[],2,0)</f>
        <v>CHI NHÁNH HÀ NỘI - CÔNG TY CỔ PHẦN DỊCH VỤ THƯƠNG MẠI TỔNG HỢP WINCOMMERCE</v>
      </c>
      <c r="G1921" s="16"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c r="A1922" s="14" t="s">
        <v>5397</v>
      </c>
      <c r="B1922" s="15" t="s">
        <v>5</v>
      </c>
      <c r="C1922" s="10" t="s">
        <v>5398</v>
      </c>
      <c r="D1922" s="16" t="s">
        <v>6215</v>
      </c>
      <c r="E1922" s="15" t="s">
        <v>11215</v>
      </c>
      <c r="F1922" s="16" t="str">
        <f>VLOOKUP(Table8[[#This Row],[Mã khách hàng]],code_khach_hang[],2,0)</f>
        <v>CHI NHÁNH HÀ NỘI - CÔNG TY CỔ PHẦN DỊCH VỤ THƯƠNG MẠI TỔNG HỢP WINCOMMERCE</v>
      </c>
      <c r="G1922" s="16"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c r="A1923" s="14" t="s">
        <v>6333</v>
      </c>
      <c r="B1923" s="15" t="s">
        <v>5</v>
      </c>
      <c r="C1923" s="10" t="s">
        <v>6334</v>
      </c>
      <c r="D1923" s="16" t="s">
        <v>6218</v>
      </c>
      <c r="E1923" s="15" t="s">
        <v>11215</v>
      </c>
      <c r="F1923" s="16" t="str">
        <f>VLOOKUP(Table8[[#This Row],[Mã khách hàng]],code_khach_hang[],2,0)</f>
        <v>CHI NHÁNH HÀ NỘI - CÔNG TY CỔ PHẦN DỊCH VỤ THƯƠNG MẠI TỔNG HỢP WINCOMMERCE</v>
      </c>
      <c r="G1923" s="16"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c r="A1924" s="14" t="s">
        <v>7983</v>
      </c>
      <c r="B1924" s="15" t="s">
        <v>5</v>
      </c>
      <c r="C1924" s="10" t="s">
        <v>7984</v>
      </c>
      <c r="D1924" s="16" t="s">
        <v>6221</v>
      </c>
      <c r="E1924" s="15" t="s">
        <v>11215</v>
      </c>
      <c r="F1924" s="16" t="str">
        <f>VLOOKUP(Table8[[#This Row],[Mã khách hàng]],code_khach_hang[],2,0)</f>
        <v>CHI NHÁNH HÀ NỘI - CÔNG TY CỔ PHẦN DỊCH VỤ THƯƠNG MẠI TỔNG HỢP WINCOMMERCE</v>
      </c>
      <c r="G1924" s="16"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c r="A1925" s="14" t="s">
        <v>8337</v>
      </c>
      <c r="B1925" s="15" t="s">
        <v>5</v>
      </c>
      <c r="C1925" s="10" t="s">
        <v>8338</v>
      </c>
      <c r="D1925" s="16" t="s">
        <v>6224</v>
      </c>
      <c r="E1925" s="15" t="s">
        <v>11215</v>
      </c>
      <c r="F1925" s="16" t="str">
        <f>VLOOKUP(Table8[[#This Row],[Mã khách hàng]],code_khach_hang[],2,0)</f>
        <v>CHI NHÁNH HÀ NỘI - CÔNG TY CỔ PHẦN DỊCH VỤ THƯƠNG MẠI TỔNG HỢP WINCOMMERCE</v>
      </c>
      <c r="G1925" s="16"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c r="A1926" s="14" t="s">
        <v>5863</v>
      </c>
      <c r="B1926" s="15" t="s">
        <v>5</v>
      </c>
      <c r="C1926" s="10" t="s">
        <v>5864</v>
      </c>
      <c r="D1926" s="16" t="s">
        <v>6227</v>
      </c>
      <c r="E1926" s="15" t="s">
        <v>11215</v>
      </c>
      <c r="F1926" s="16" t="str">
        <f>VLOOKUP(Table8[[#This Row],[Mã khách hàng]],code_khach_hang[],2,0)</f>
        <v>CHI NHÁNH HÀ NỘI - CÔNG TY CỔ PHẦN DỊCH VỤ THƯƠNG MẠI TỔNG HỢP WINCOMMERCE</v>
      </c>
      <c r="G1926" s="16"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c r="A1927" s="14" t="s">
        <v>5875</v>
      </c>
      <c r="B1927" s="15" t="s">
        <v>5</v>
      </c>
      <c r="C1927" s="10" t="s">
        <v>5876</v>
      </c>
      <c r="D1927" s="16" t="s">
        <v>6230</v>
      </c>
      <c r="E1927" s="15" t="s">
        <v>11215</v>
      </c>
      <c r="F1927" s="16" t="str">
        <f>VLOOKUP(Table8[[#This Row],[Mã khách hàng]],code_khach_hang[],2,0)</f>
        <v>CHI NHÁNH HÀ NỘI - CÔNG TY CỔ PHẦN DỊCH VỤ THƯƠNG MẠI TỔNG HỢP WINCOMMERCE</v>
      </c>
      <c r="G1927" s="16"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c r="A1928" s="14" t="s">
        <v>6028</v>
      </c>
      <c r="B1928" s="15" t="s">
        <v>5</v>
      </c>
      <c r="C1928" s="10" t="s">
        <v>6029</v>
      </c>
      <c r="D1928" s="16" t="s">
        <v>6233</v>
      </c>
      <c r="E1928" s="15" t="s">
        <v>11215</v>
      </c>
      <c r="F1928" s="16" t="str">
        <f>VLOOKUP(Table8[[#This Row],[Mã khách hàng]],code_khach_hang[],2,0)</f>
        <v>CHI NHÁNH HÀ NỘI - CÔNG TY CỔ PHẦN DỊCH VỤ THƯƠNG MẠI TỔNG HỢP WINCOMMERCE</v>
      </c>
      <c r="G1928" s="16"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c r="A1929" s="14" t="s">
        <v>6288</v>
      </c>
      <c r="B1929" s="15" t="s">
        <v>5</v>
      </c>
      <c r="C1929" s="10" t="s">
        <v>6289</v>
      </c>
      <c r="D1929" s="16" t="s">
        <v>6236</v>
      </c>
      <c r="E1929" s="15" t="s">
        <v>11215</v>
      </c>
      <c r="F1929" s="16" t="str">
        <f>VLOOKUP(Table8[[#This Row],[Mã khách hàng]],code_khach_hang[],2,0)</f>
        <v>CHI NHÁNH HÀ NỘI - CÔNG TY CỔ PHẦN DỊCH VỤ THƯƠNG MẠI TỔNG HỢP WINCOMMERCE</v>
      </c>
      <c r="G1929" s="16"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c r="A1930" s="14" t="s">
        <v>6339</v>
      </c>
      <c r="B1930" s="15" t="s">
        <v>5</v>
      </c>
      <c r="C1930" s="10" t="s">
        <v>6340</v>
      </c>
      <c r="D1930" s="16" t="s">
        <v>6239</v>
      </c>
      <c r="E1930" s="15" t="s">
        <v>11215</v>
      </c>
      <c r="F1930" s="16" t="str">
        <f>VLOOKUP(Table8[[#This Row],[Mã khách hàng]],code_khach_hang[],2,0)</f>
        <v>CHI NHÁNH HÀ NỘI - CÔNG TY CỔ PHẦN DỊCH VỤ THƯƠNG MẠI TỔNG HỢP WINCOMMERCE</v>
      </c>
      <c r="G1930" s="16"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c r="A1931" s="14" t="s">
        <v>6446</v>
      </c>
      <c r="B1931" s="15" t="s">
        <v>5</v>
      </c>
      <c r="C1931" s="10" t="s">
        <v>6447</v>
      </c>
      <c r="D1931" s="16" t="s">
        <v>6242</v>
      </c>
      <c r="E1931" s="15" t="s">
        <v>11215</v>
      </c>
      <c r="F1931" s="16" t="str">
        <f>VLOOKUP(Table8[[#This Row],[Mã khách hàng]],code_khach_hang[],2,0)</f>
        <v>CHI NHÁNH HÀ NỘI - CÔNG TY CỔ PHẦN DỊCH VỤ THƯƠNG MẠI TỔNG HỢP WINCOMMERCE</v>
      </c>
      <c r="G1931" s="16"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c r="A1932" s="14" t="s">
        <v>6557</v>
      </c>
      <c r="B1932" s="15" t="s">
        <v>5</v>
      </c>
      <c r="C1932" s="10" t="s">
        <v>6558</v>
      </c>
      <c r="D1932" s="16" t="s">
        <v>6245</v>
      </c>
      <c r="E1932" s="15" t="s">
        <v>11215</v>
      </c>
      <c r="F1932" s="16" t="str">
        <f>VLOOKUP(Table8[[#This Row],[Mã khách hàng]],code_khach_hang[],2,0)</f>
        <v>CHI NHÁNH HÀ NỘI - CÔNG TY CỔ PHẦN DỊCH VỤ THƯƠNG MẠI TỔNG HỢP WINCOMMERCE</v>
      </c>
      <c r="G1932" s="16"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c r="A1933" s="14" t="s">
        <v>6560</v>
      </c>
      <c r="B1933" s="15" t="s">
        <v>5</v>
      </c>
      <c r="C1933" s="10" t="s">
        <v>6561</v>
      </c>
      <c r="D1933" s="16" t="s">
        <v>6248</v>
      </c>
      <c r="E1933" s="15" t="s">
        <v>11215</v>
      </c>
      <c r="F1933" s="16" t="str">
        <f>VLOOKUP(Table8[[#This Row],[Mã khách hàng]],code_khach_hang[],2,0)</f>
        <v>CHI NHÁNH HÀ NỘI - CÔNG TY CỔ PHẦN DỊCH VỤ THƯƠNG MẠI TỔNG HỢP WINCOMMERCE</v>
      </c>
      <c r="G1933" s="16"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c r="A1934" s="14" t="s">
        <v>6701</v>
      </c>
      <c r="B1934" s="15" t="s">
        <v>5</v>
      </c>
      <c r="C1934" s="10" t="s">
        <v>6702</v>
      </c>
      <c r="D1934" s="16" t="s">
        <v>6251</v>
      </c>
      <c r="E1934" s="15" t="s">
        <v>11215</v>
      </c>
      <c r="F1934" s="16" t="str">
        <f>VLOOKUP(Table8[[#This Row],[Mã khách hàng]],code_khach_hang[],2,0)</f>
        <v>CHI NHÁNH HÀ NỘI - CÔNG TY CỔ PHẦN DỊCH VỤ THƯƠNG MẠI TỔNG HỢP WINCOMMERCE</v>
      </c>
      <c r="G1934" s="16"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c r="A1935" s="14" t="s">
        <v>6707</v>
      </c>
      <c r="B1935" s="15" t="s">
        <v>5</v>
      </c>
      <c r="C1935" s="10" t="s">
        <v>6708</v>
      </c>
      <c r="D1935" s="16" t="s">
        <v>6254</v>
      </c>
      <c r="E1935" s="15" t="s">
        <v>11215</v>
      </c>
      <c r="F1935" s="16" t="str">
        <f>VLOOKUP(Table8[[#This Row],[Mã khách hàng]],code_khach_hang[],2,0)</f>
        <v>CHI NHÁNH HÀ NỘI - CÔNG TY CỔ PHẦN DỊCH VỤ THƯƠNG MẠI TỔNG HỢP WINCOMMERCE</v>
      </c>
      <c r="G1935" s="16"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c r="A1936" s="14" t="s">
        <v>6734</v>
      </c>
      <c r="B1936" s="15" t="s">
        <v>5</v>
      </c>
      <c r="C1936" s="10" t="s">
        <v>6735</v>
      </c>
      <c r="D1936" s="16" t="s">
        <v>6257</v>
      </c>
      <c r="E1936" s="15" t="s">
        <v>11215</v>
      </c>
      <c r="F1936" s="16" t="str">
        <f>VLOOKUP(Table8[[#This Row],[Mã khách hàng]],code_khach_hang[],2,0)</f>
        <v>CHI NHÁNH HÀ NỘI - CÔNG TY CỔ PHẦN DỊCH VỤ THƯƠNG MẠI TỔNG HỢP WINCOMMERCE</v>
      </c>
      <c r="G1936" s="16"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c r="A1937" s="14" t="s">
        <v>6899</v>
      </c>
      <c r="B1937" s="15" t="s">
        <v>5</v>
      </c>
      <c r="C1937" s="10" t="s">
        <v>6900</v>
      </c>
      <c r="D1937" s="16" t="s">
        <v>6260</v>
      </c>
      <c r="E1937" s="15" t="s">
        <v>11215</v>
      </c>
      <c r="F1937" s="16" t="str">
        <f>VLOOKUP(Table8[[#This Row],[Mã khách hàng]],code_khach_hang[],2,0)</f>
        <v>CHI NHÁNH HÀ NỘI - CÔNG TY CỔ PHẦN DỊCH VỤ THƯƠNG MẠI TỔNG HỢP WINCOMMERCE</v>
      </c>
      <c r="G1937" s="16"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c r="A1938" s="14" t="s">
        <v>7083</v>
      </c>
      <c r="B1938" s="15" t="s">
        <v>5</v>
      </c>
      <c r="C1938" s="10" t="s">
        <v>7084</v>
      </c>
      <c r="D1938" s="16" t="s">
        <v>6263</v>
      </c>
      <c r="E1938" s="15" t="s">
        <v>11215</v>
      </c>
      <c r="F1938" s="16" t="str">
        <f>VLOOKUP(Table8[[#This Row],[Mã khách hàng]],code_khach_hang[],2,0)</f>
        <v>CHI NHÁNH HÀ NỘI - CÔNG TY CỔ PHẦN DỊCH VỤ THƯƠNG MẠI TỔNG HỢP WINCOMMERCE</v>
      </c>
      <c r="G1938" s="16"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c r="A1939" s="14" t="s">
        <v>7110</v>
      </c>
      <c r="B1939" s="15" t="s">
        <v>5</v>
      </c>
      <c r="C1939" s="10" t="s">
        <v>7111</v>
      </c>
      <c r="D1939" s="16" t="s">
        <v>6266</v>
      </c>
      <c r="E1939" s="15" t="s">
        <v>11215</v>
      </c>
      <c r="F1939" s="16" t="str">
        <f>VLOOKUP(Table8[[#This Row],[Mã khách hàng]],code_khach_hang[],2,0)</f>
        <v>CHI NHÁNH HÀ NỘI - CÔNG TY CỔ PHẦN DỊCH VỤ THƯƠNG MẠI TỔNG HỢP WINCOMMERCE</v>
      </c>
      <c r="G1939" s="16"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c r="A1940" s="14" t="s">
        <v>7145</v>
      </c>
      <c r="B1940" s="15" t="s">
        <v>5</v>
      </c>
      <c r="C1940" s="10" t="e">
        <v>#N/A</v>
      </c>
      <c r="D1940" s="16" t="s">
        <v>6269</v>
      </c>
      <c r="E1940" s="15" t="s">
        <v>11215</v>
      </c>
      <c r="F1940" s="16" t="str">
        <f>VLOOKUP(Table8[[#This Row],[Mã khách hàng]],code_khach_hang[],2,0)</f>
        <v>CHI NHÁNH HÀ NỘI - CÔNG TY CỔ PHẦN DỊCH VỤ THƯƠNG MẠI TỔNG HỢP WINCOMMERCE</v>
      </c>
      <c r="G1940" s="16"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c r="A1941" s="14" t="s">
        <v>7177</v>
      </c>
      <c r="B1941" s="15" t="s">
        <v>5</v>
      </c>
      <c r="C1941" s="10" t="s">
        <v>7178</v>
      </c>
      <c r="D1941" s="16" t="s">
        <v>6272</v>
      </c>
      <c r="E1941" s="15" t="s">
        <v>11215</v>
      </c>
      <c r="F1941" s="16" t="str">
        <f>VLOOKUP(Table8[[#This Row],[Mã khách hàng]],code_khach_hang[],2,0)</f>
        <v>CHI NHÁNH HÀ NỘI - CÔNG TY CỔ PHẦN DỊCH VỤ THƯƠNG MẠI TỔNG HỢP WINCOMMERCE</v>
      </c>
      <c r="G1941" s="16"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c r="A1942" s="14" t="s">
        <v>7185</v>
      </c>
      <c r="B1942" s="15" t="s">
        <v>5</v>
      </c>
      <c r="C1942" s="10" t="s">
        <v>7186</v>
      </c>
      <c r="D1942" s="16" t="s">
        <v>6275</v>
      </c>
      <c r="E1942" s="15" t="s">
        <v>11215</v>
      </c>
      <c r="F1942" s="16" t="str">
        <f>VLOOKUP(Table8[[#This Row],[Mã khách hàng]],code_khach_hang[],2,0)</f>
        <v>CHI NHÁNH HÀ NỘI - CÔNG TY CỔ PHẦN DỊCH VỤ THƯƠNG MẠI TỔNG HỢP WINCOMMERCE</v>
      </c>
      <c r="G1942" s="16"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c r="A1943" s="14" t="s">
        <v>7199</v>
      </c>
      <c r="B1943" s="15" t="s">
        <v>5</v>
      </c>
      <c r="C1943" s="10" t="s">
        <v>7200</v>
      </c>
      <c r="D1943" s="16" t="s">
        <v>6278</v>
      </c>
      <c r="E1943" s="15" t="s">
        <v>11215</v>
      </c>
      <c r="F1943" s="16" t="str">
        <f>VLOOKUP(Table8[[#This Row],[Mã khách hàng]],code_khach_hang[],2,0)</f>
        <v>CHI NHÁNH HÀ NỘI - CÔNG TY CỔ PHẦN DỊCH VỤ THƯƠNG MẠI TỔNG HỢP WINCOMMERCE</v>
      </c>
      <c r="G1943" s="16"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c r="A1944" s="14" t="s">
        <v>7219</v>
      </c>
      <c r="B1944" s="15" t="s">
        <v>5</v>
      </c>
      <c r="C1944" s="10" t="s">
        <v>7220</v>
      </c>
      <c r="D1944" s="16" t="s">
        <v>6281</v>
      </c>
      <c r="E1944" s="15" t="s">
        <v>11215</v>
      </c>
      <c r="F1944" s="16" t="str">
        <f>VLOOKUP(Table8[[#This Row],[Mã khách hàng]],code_khach_hang[],2,0)</f>
        <v>CHI NHÁNH HÀ NỘI - CÔNG TY CỔ PHẦN DỊCH VỤ THƯƠNG MẠI TỔNG HỢP WINCOMMERCE</v>
      </c>
      <c r="G1944" s="16"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c r="A1945" s="14" t="s">
        <v>7225</v>
      </c>
      <c r="B1945" s="15" t="s">
        <v>5</v>
      </c>
      <c r="C1945" s="10" t="s">
        <v>7226</v>
      </c>
      <c r="D1945" s="16" t="s">
        <v>6284</v>
      </c>
      <c r="E1945" s="15" t="s">
        <v>11215</v>
      </c>
      <c r="F1945" s="16" t="str">
        <f>VLOOKUP(Table8[[#This Row],[Mã khách hàng]],code_khach_hang[],2,0)</f>
        <v>CHI NHÁNH HÀ NỘI - CÔNG TY CỔ PHẦN DỊCH VỤ THƯƠNG MẠI TỔNG HỢP WINCOMMERCE</v>
      </c>
      <c r="G1945" s="16"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c r="A1946" s="14" t="s">
        <v>7318</v>
      </c>
      <c r="B1946" s="15" t="s">
        <v>5</v>
      </c>
      <c r="C1946" s="10" t="s">
        <v>7319</v>
      </c>
      <c r="D1946" s="16" t="s">
        <v>6287</v>
      </c>
      <c r="E1946" s="15" t="s">
        <v>11215</v>
      </c>
      <c r="F1946" s="16" t="str">
        <f>VLOOKUP(Table8[[#This Row],[Mã khách hàng]],code_khach_hang[],2,0)</f>
        <v>CHI NHÁNH HÀ NỘI - CÔNG TY CỔ PHẦN DỊCH VỤ THƯƠNG MẠI TỔNG HỢP WINCOMMERCE</v>
      </c>
      <c r="G1946" s="16"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c r="A1947" s="14" t="s">
        <v>7544</v>
      </c>
      <c r="B1947" s="15" t="s">
        <v>5</v>
      </c>
      <c r="C1947" s="10" t="s">
        <v>7545</v>
      </c>
      <c r="D1947" s="16" t="s">
        <v>6290</v>
      </c>
      <c r="E1947" s="15" t="s">
        <v>11215</v>
      </c>
      <c r="F1947" s="16" t="str">
        <f>VLOOKUP(Table8[[#This Row],[Mã khách hàng]],code_khach_hang[],2,0)</f>
        <v>CHI NHÁNH HÀ NỘI - CÔNG TY CỔ PHẦN DỊCH VỤ THƯƠNG MẠI TỔNG HỢP WINCOMMERCE</v>
      </c>
      <c r="G1947" s="16"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c r="A1948" s="14" t="s">
        <v>7577</v>
      </c>
      <c r="B1948" s="15" t="s">
        <v>5</v>
      </c>
      <c r="C1948" s="10" t="s">
        <v>7578</v>
      </c>
      <c r="D1948" s="16" t="s">
        <v>6293</v>
      </c>
      <c r="E1948" s="15" t="s">
        <v>11215</v>
      </c>
      <c r="F1948" s="16" t="str">
        <f>VLOOKUP(Table8[[#This Row],[Mã khách hàng]],code_khach_hang[],2,0)</f>
        <v>CHI NHÁNH HÀ NỘI - CÔNG TY CỔ PHẦN DỊCH VỤ THƯƠNG MẠI TỔNG HỢP WINCOMMERCE</v>
      </c>
      <c r="G1948" s="16"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c r="A1949" s="14" t="s">
        <v>7610</v>
      </c>
      <c r="B1949" s="15" t="s">
        <v>5</v>
      </c>
      <c r="C1949" s="10" t="s">
        <v>7611</v>
      </c>
      <c r="D1949" s="16" t="s">
        <v>6296</v>
      </c>
      <c r="E1949" s="15" t="s">
        <v>11215</v>
      </c>
      <c r="F1949" s="16" t="str">
        <f>VLOOKUP(Table8[[#This Row],[Mã khách hàng]],code_khach_hang[],2,0)</f>
        <v>CHI NHÁNH HÀ NỘI - CÔNG TY CỔ PHẦN DỊCH VỤ THƯƠNG MẠI TỔNG HỢP WINCOMMERCE</v>
      </c>
      <c r="G1949" s="16"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c r="A1950" s="14" t="s">
        <v>7858</v>
      </c>
      <c r="B1950" s="15" t="s">
        <v>5</v>
      </c>
      <c r="C1950" s="10" t="s">
        <v>7859</v>
      </c>
      <c r="D1950" s="16" t="s">
        <v>6299</v>
      </c>
      <c r="E1950" s="15" t="s">
        <v>11215</v>
      </c>
      <c r="F1950" s="16" t="str">
        <f>VLOOKUP(Table8[[#This Row],[Mã khách hàng]],code_khach_hang[],2,0)</f>
        <v>CHI NHÁNH HÀ NỘI - CÔNG TY CỔ PHẦN DỊCH VỤ THƯƠNG MẠI TỔNG HỢP WINCOMMERCE</v>
      </c>
      <c r="G1950" s="16"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c r="A1951" s="14" t="s">
        <v>5220</v>
      </c>
      <c r="B1951" s="15" t="s">
        <v>5</v>
      </c>
      <c r="C1951" s="10" t="s">
        <v>5221</v>
      </c>
      <c r="D1951" s="16" t="s">
        <v>6302</v>
      </c>
      <c r="E1951" s="15" t="s">
        <v>11215</v>
      </c>
      <c r="F1951" s="16" t="str">
        <f>VLOOKUP(Table8[[#This Row],[Mã khách hàng]],code_khach_hang[],2,0)</f>
        <v>CHI NHÁNH HÀ NỘI - CÔNG TY CỔ PHẦN DỊCH VỤ THƯƠNG MẠI TỔNG HỢP WINCOMMERCE</v>
      </c>
      <c r="G1951" s="16"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c r="A1952" s="14" t="s">
        <v>5223</v>
      </c>
      <c r="B1952" s="15" t="s">
        <v>5</v>
      </c>
      <c r="C1952" s="10" t="s">
        <v>5224</v>
      </c>
      <c r="D1952" s="16" t="s">
        <v>6305</v>
      </c>
      <c r="E1952" s="15" t="s">
        <v>11215</v>
      </c>
      <c r="F1952" s="16" t="str">
        <f>VLOOKUP(Table8[[#This Row],[Mã khách hàng]],code_khach_hang[],2,0)</f>
        <v>CHI NHÁNH HÀ NỘI - CÔNG TY CỔ PHẦN DỊCH VỤ THƯƠNG MẠI TỔNG HỢP WINCOMMERCE</v>
      </c>
      <c r="G1952" s="16"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c r="A1953" s="14" t="s">
        <v>5259</v>
      </c>
      <c r="B1953" s="15" t="s">
        <v>5</v>
      </c>
      <c r="C1953" s="10" t="s">
        <v>5260</v>
      </c>
      <c r="D1953" s="16" t="s">
        <v>6308</v>
      </c>
      <c r="E1953" s="15" t="s">
        <v>11215</v>
      </c>
      <c r="F1953" s="16" t="str">
        <f>VLOOKUP(Table8[[#This Row],[Mã khách hàng]],code_khach_hang[],2,0)</f>
        <v>CHI NHÁNH HÀ NỘI - CÔNG TY CỔ PHẦN DỊCH VỤ THƯƠNG MẠI TỔNG HỢP WINCOMMERCE</v>
      </c>
      <c r="G1953" s="16"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c r="A1954" s="14" t="s">
        <v>5268</v>
      </c>
      <c r="B1954" s="15" t="s">
        <v>5</v>
      </c>
      <c r="C1954" s="10" t="s">
        <v>5269</v>
      </c>
      <c r="D1954" s="16" t="s">
        <v>6311</v>
      </c>
      <c r="E1954" s="15" t="s">
        <v>11215</v>
      </c>
      <c r="F1954" s="16" t="str">
        <f>VLOOKUP(Table8[[#This Row],[Mã khách hàng]],code_khach_hang[],2,0)</f>
        <v>CHI NHÁNH HÀ NỘI - CÔNG TY CỔ PHẦN DỊCH VỤ THƯƠNG MẠI TỔNG HỢP WINCOMMERCE</v>
      </c>
      <c r="G1954" s="16"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c r="A1955" s="14" t="s">
        <v>5304</v>
      </c>
      <c r="B1955" s="15" t="s">
        <v>5</v>
      </c>
      <c r="C1955" s="10" t="s">
        <v>5305</v>
      </c>
      <c r="D1955" s="16" t="s">
        <v>6314</v>
      </c>
      <c r="E1955" s="15" t="s">
        <v>11215</v>
      </c>
      <c r="F1955" s="16" t="str">
        <f>VLOOKUP(Table8[[#This Row],[Mã khách hàng]],code_khach_hang[],2,0)</f>
        <v>CHI NHÁNH HÀ NỘI - CÔNG TY CỔ PHẦN DỊCH VỤ THƯƠNG MẠI TỔNG HỢP WINCOMMERCE</v>
      </c>
      <c r="G1955" s="16"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c r="A1956" s="14" t="s">
        <v>5361</v>
      </c>
      <c r="B1956" s="15" t="s">
        <v>5</v>
      </c>
      <c r="C1956" s="10" t="s">
        <v>5362</v>
      </c>
      <c r="D1956" s="16" t="s">
        <v>6317</v>
      </c>
      <c r="E1956" s="15" t="s">
        <v>11215</v>
      </c>
      <c r="F1956" s="16" t="str">
        <f>VLOOKUP(Table8[[#This Row],[Mã khách hàng]],code_khach_hang[],2,0)</f>
        <v>CHI NHÁNH HÀ NỘI - CÔNG TY CỔ PHẦN DỊCH VỤ THƯƠNG MẠI TỔNG HỢP WINCOMMERCE</v>
      </c>
      <c r="G1956" s="16"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c r="A1957" s="14" t="s">
        <v>5421</v>
      </c>
      <c r="B1957" s="15" t="s">
        <v>5</v>
      </c>
      <c r="C1957" s="10" t="s">
        <v>5422</v>
      </c>
      <c r="D1957" s="16" t="s">
        <v>6320</v>
      </c>
      <c r="E1957" s="15" t="s">
        <v>11215</v>
      </c>
      <c r="F1957" s="16" t="str">
        <f>VLOOKUP(Table8[[#This Row],[Mã khách hàng]],code_khach_hang[],2,0)</f>
        <v>CHI NHÁNH HÀ NỘI - CÔNG TY CỔ PHẦN DỊCH VỤ THƯƠNG MẠI TỔNG HỢP WINCOMMERCE</v>
      </c>
      <c r="G1957" s="16"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c r="A1958" s="14" t="s">
        <v>5532</v>
      </c>
      <c r="B1958" s="15" t="s">
        <v>5</v>
      </c>
      <c r="C1958" s="10" t="s">
        <v>5533</v>
      </c>
      <c r="D1958" s="16" t="s">
        <v>6323</v>
      </c>
      <c r="E1958" s="15" t="s">
        <v>11215</v>
      </c>
      <c r="F1958" s="16" t="str">
        <f>VLOOKUP(Table8[[#This Row],[Mã khách hàng]],code_khach_hang[],2,0)</f>
        <v>CHI NHÁNH HÀ NỘI - CÔNG TY CỔ PHẦN DỊCH VỤ THƯƠNG MẠI TỔNG HỢP WINCOMMERCE</v>
      </c>
      <c r="G1958" s="16"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c r="A1959" s="14" t="s">
        <v>5638</v>
      </c>
      <c r="B1959" s="15" t="s">
        <v>5</v>
      </c>
      <c r="C1959" s="10" t="s">
        <v>5639</v>
      </c>
      <c r="D1959" s="16" t="s">
        <v>6326</v>
      </c>
      <c r="E1959" s="15" t="s">
        <v>11215</v>
      </c>
      <c r="F1959" s="16" t="str">
        <f>VLOOKUP(Table8[[#This Row],[Mã khách hàng]],code_khach_hang[],2,0)</f>
        <v>CHI NHÁNH HÀ NỘI - CÔNG TY CỔ PHẦN DỊCH VỤ THƯƠNG MẠI TỔNG HỢP WINCOMMERCE</v>
      </c>
      <c r="G1959" s="16"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c r="A1960" s="14" t="s">
        <v>5795</v>
      </c>
      <c r="B1960" s="15" t="s">
        <v>5</v>
      </c>
      <c r="C1960" s="10" t="s">
        <v>5796</v>
      </c>
      <c r="D1960" s="16" t="s">
        <v>6329</v>
      </c>
      <c r="E1960" s="15" t="s">
        <v>11215</v>
      </c>
      <c r="F1960" s="16" t="str">
        <f>VLOOKUP(Table8[[#This Row],[Mã khách hàng]],code_khach_hang[],2,0)</f>
        <v>CHI NHÁNH HÀ NỘI - CÔNG TY CỔ PHẦN DỊCH VỤ THƯƠNG MẠI TỔNG HỢP WINCOMMERCE</v>
      </c>
      <c r="G1960" s="16"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c r="A1961" s="14" t="s">
        <v>8254</v>
      </c>
      <c r="B1961" s="15" t="s">
        <v>5</v>
      </c>
      <c r="C1961" s="10" t="s">
        <v>8255</v>
      </c>
      <c r="D1961" s="16" t="s">
        <v>6332</v>
      </c>
      <c r="E1961" s="15" t="s">
        <v>11215</v>
      </c>
      <c r="F1961" s="16" t="str">
        <f>VLOOKUP(Table8[[#This Row],[Mã khách hàng]],code_khach_hang[],2,0)</f>
        <v>CHI NHÁNH HÀ NỘI - CÔNG TY CỔ PHẦN DỊCH VỤ THƯƠNG MẠI TỔNG HỢP WINCOMMERCE</v>
      </c>
      <c r="G1961" s="16"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c r="A1962" s="14" t="s">
        <v>8361</v>
      </c>
      <c r="B1962" s="15" t="s">
        <v>5</v>
      </c>
      <c r="C1962" s="10" t="s">
        <v>8362</v>
      </c>
      <c r="D1962" s="16" t="s">
        <v>6335</v>
      </c>
      <c r="E1962" s="15" t="s">
        <v>11215</v>
      </c>
      <c r="F1962" s="16" t="str">
        <f>VLOOKUP(Table8[[#This Row],[Mã khách hàng]],code_khach_hang[],2,0)</f>
        <v>CHI NHÁNH HÀ NỘI - CÔNG TY CỔ PHẦN DỊCH VỤ THƯƠNG MẠI TỔNG HỢP WINCOMMERCE</v>
      </c>
      <c r="G1962" s="16"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c r="A1963" s="14" t="s">
        <v>8316</v>
      </c>
      <c r="B1963" s="15" t="s">
        <v>5</v>
      </c>
      <c r="C1963" s="10" t="s">
        <v>8317</v>
      </c>
      <c r="D1963" s="16" t="s">
        <v>6338</v>
      </c>
      <c r="E1963" s="15" t="s">
        <v>11215</v>
      </c>
      <c r="F1963" s="16" t="str">
        <f>VLOOKUP(Table8[[#This Row],[Mã khách hàng]],code_khach_hang[],2,0)</f>
        <v>CHI NHÁNH HÀ NỘI - CÔNG TY CỔ PHẦN DỊCH VỤ THƯƠNG MẠI TỔNG HỢP WINCOMMERCE</v>
      </c>
      <c r="G1963" s="16"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c r="A1964" s="14" t="s">
        <v>8483</v>
      </c>
      <c r="B1964" s="15" t="s">
        <v>5</v>
      </c>
      <c r="C1964" s="10" t="s">
        <v>8484</v>
      </c>
      <c r="D1964" s="16" t="s">
        <v>6341</v>
      </c>
      <c r="E1964" s="15" t="s">
        <v>11215</v>
      </c>
      <c r="F1964" s="16" t="str">
        <f>VLOOKUP(Table8[[#This Row],[Mã khách hàng]],code_khach_hang[],2,0)</f>
        <v>CHI NHÁNH HÀ NỘI - CÔNG TY CỔ PHẦN DỊCH VỤ THƯƠNG MẠI TỔNG HỢP WINCOMMERCE</v>
      </c>
      <c r="G1964" s="16"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c r="A1965" s="14" t="s">
        <v>8512</v>
      </c>
      <c r="B1965" s="15" t="s">
        <v>5</v>
      </c>
      <c r="C1965" s="10" t="s">
        <v>8513</v>
      </c>
      <c r="D1965" s="16" t="s">
        <v>6344</v>
      </c>
      <c r="E1965" s="15" t="s">
        <v>11215</v>
      </c>
      <c r="F1965" s="16" t="str">
        <f>VLOOKUP(Table8[[#This Row],[Mã khách hàng]],code_khach_hang[],2,0)</f>
        <v>CHI NHÁNH HÀ NỘI - CÔNG TY CỔ PHẦN DỊCH VỤ THƯƠNG MẠI TỔNG HỢP WINCOMMERCE</v>
      </c>
      <c r="G1965" s="16"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c r="A1966" s="14" t="s">
        <v>8636</v>
      </c>
      <c r="B1966" s="15" t="s">
        <v>5</v>
      </c>
      <c r="C1966" s="10" t="s">
        <v>8637</v>
      </c>
      <c r="D1966" s="16" t="s">
        <v>6347</v>
      </c>
      <c r="E1966" s="15" t="s">
        <v>11215</v>
      </c>
      <c r="F1966" s="16" t="str">
        <f>VLOOKUP(Table8[[#This Row],[Mã khách hàng]],code_khach_hang[],2,0)</f>
        <v>CHI NHÁNH HÀ NỘI - CÔNG TY CỔ PHẦN DỊCH VỤ THƯƠNG MẠI TỔNG HỢP WINCOMMERCE</v>
      </c>
      <c r="G1966" s="16"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c r="A1967" s="14" t="s">
        <v>8573</v>
      </c>
      <c r="B1967" s="15" t="s">
        <v>5</v>
      </c>
      <c r="C1967" s="10" t="s">
        <v>8574</v>
      </c>
      <c r="D1967" s="16" t="s">
        <v>6350</v>
      </c>
      <c r="E1967" s="15" t="s">
        <v>11215</v>
      </c>
      <c r="F1967" s="16" t="str">
        <f>VLOOKUP(Table8[[#This Row],[Mã khách hàng]],code_khach_hang[],2,0)</f>
        <v>CHI NHÁNH HÀ NỘI - CÔNG TY CỔ PHẦN DỊCH VỤ THƯƠNG MẠI TỔNG HỢP WINCOMMERCE</v>
      </c>
      <c r="G1967" s="16"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c r="A1968" s="14" t="s">
        <v>8723</v>
      </c>
      <c r="B1968" s="15" t="s">
        <v>5</v>
      </c>
      <c r="C1968" s="10" t="s">
        <v>8724</v>
      </c>
      <c r="D1968" s="16" t="s">
        <v>6353</v>
      </c>
      <c r="E1968" s="15" t="s">
        <v>11215</v>
      </c>
      <c r="F1968" s="16" t="str">
        <f>VLOOKUP(Table8[[#This Row],[Mã khách hàng]],code_khach_hang[],2,0)</f>
        <v>CHI NHÁNH HÀ NỘI - CÔNG TY CỔ PHẦN DỊCH VỤ THƯƠNG MẠI TỔNG HỢP WINCOMMERCE</v>
      </c>
      <c r="G1968" s="16"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c r="A1969" s="14" t="s">
        <v>1600</v>
      </c>
      <c r="B1969" s="15" t="s">
        <v>5</v>
      </c>
      <c r="C1969" s="10" t="s">
        <v>1601</v>
      </c>
      <c r="D1969" s="16" t="s">
        <v>6356</v>
      </c>
      <c r="E1969" s="15" t="s">
        <v>11212</v>
      </c>
      <c r="F1969" s="16" t="str">
        <f>VLOOKUP(Table8[[#This Row],[Mã khách hàng]],code_khach_hang[],2,0)</f>
        <v>CHI NHÁNH HÒA BÌNH - CÔNG TY CỔ PHẦN DỊCH VỤ THƯƠNG MẠI TỔNG HỢP WINCOMMERCE</v>
      </c>
      <c r="G1969" s="16"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c r="A1970" s="14" t="s">
        <v>6431</v>
      </c>
      <c r="B1970" s="15" t="s">
        <v>5</v>
      </c>
      <c r="C1970" s="10" t="s">
        <v>6432</v>
      </c>
      <c r="D1970" s="16" t="s">
        <v>6359</v>
      </c>
      <c r="E1970" s="15" t="s">
        <v>11212</v>
      </c>
      <c r="F1970" s="16" t="str">
        <f>VLOOKUP(Table8[[#This Row],[Mã khách hàng]],code_khach_hang[],2,0)</f>
        <v>CHI NHÁNH HÒA BÌNH - CÔNG TY CỔ PHẦN DỊCH VỤ THƯƠNG MẠI TỔNG HỢP WINCOMMERCE</v>
      </c>
      <c r="G1970" s="16"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c r="A1971" s="14" t="s">
        <v>6461</v>
      </c>
      <c r="B1971" s="15" t="s">
        <v>5</v>
      </c>
      <c r="C1971" s="10" t="s">
        <v>6462</v>
      </c>
      <c r="D1971" s="16" t="s">
        <v>6362</v>
      </c>
      <c r="E1971" s="15" t="s">
        <v>11212</v>
      </c>
      <c r="F1971" s="16" t="str">
        <f>VLOOKUP(Table8[[#This Row],[Mã khách hàng]],code_khach_hang[],2,0)</f>
        <v>CHI NHÁNH HÒA BÌNH - CÔNG TY CỔ PHẦN DỊCH VỤ THƯƠNG MẠI TỔNG HỢP WINCOMMERCE</v>
      </c>
      <c r="G1971" s="16"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c r="A1972" s="14" t="s">
        <v>7771</v>
      </c>
      <c r="B1972" s="15" t="s">
        <v>5</v>
      </c>
      <c r="C1972" s="10" t="s">
        <v>7772</v>
      </c>
      <c r="D1972" s="16" t="s">
        <v>6365</v>
      </c>
      <c r="E1972" s="15" t="s">
        <v>11212</v>
      </c>
      <c r="F1972" s="16" t="str">
        <f>VLOOKUP(Table8[[#This Row],[Mã khách hàng]],code_khach_hang[],2,0)</f>
        <v>CHI NHÁNH HÒA BÌNH - CÔNG TY CỔ PHẦN DỊCH VỤ THƯƠNG MẠI TỔNG HỢP WINCOMMERCE</v>
      </c>
      <c r="G1972" s="16"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c r="A1973" s="14" t="s">
        <v>6390</v>
      </c>
      <c r="B1973" s="15" t="s">
        <v>5</v>
      </c>
      <c r="C1973" s="10" t="s">
        <v>6391</v>
      </c>
      <c r="D1973" s="16" t="s">
        <v>6368</v>
      </c>
      <c r="E1973" s="15" t="s">
        <v>11212</v>
      </c>
      <c r="F1973" s="16" t="str">
        <f>VLOOKUP(Table8[[#This Row],[Mã khách hàng]],code_khach_hang[],2,0)</f>
        <v>CHI NHÁNH HÒA BÌNH - CÔNG TY CỔ PHẦN DỊCH VỤ THƯƠNG MẠI TỔNG HỢP WINCOMMERCE</v>
      </c>
      <c r="G1973" s="16"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c r="A1974" s="14" t="s">
        <v>1683</v>
      </c>
      <c r="B1974" s="15" t="s">
        <v>5</v>
      </c>
      <c r="C1974" s="10" t="s">
        <v>1684</v>
      </c>
      <c r="D1974" s="16" t="s">
        <v>6371</v>
      </c>
      <c r="E1974" s="15" t="s">
        <v>11212</v>
      </c>
      <c r="F1974" s="16" t="str">
        <f>VLOOKUP(Table8[[#This Row],[Mã khách hàng]],code_khach_hang[],2,0)</f>
        <v>CHI NHÁNH HÒA BÌNH - CÔNG TY CỔ PHẦN DỊCH VỤ THƯƠNG MẠI TỔNG HỢP WINCOMMERCE</v>
      </c>
      <c r="G1974" s="16"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c r="A1975" s="14" t="s">
        <v>6428</v>
      </c>
      <c r="B1975" s="15" t="s">
        <v>5</v>
      </c>
      <c r="C1975" s="10" t="s">
        <v>6429</v>
      </c>
      <c r="D1975" s="16" t="s">
        <v>6374</v>
      </c>
      <c r="E1975" s="15" t="s">
        <v>11212</v>
      </c>
      <c r="F1975" s="16" t="str">
        <f>VLOOKUP(Table8[[#This Row],[Mã khách hàng]],code_khach_hang[],2,0)</f>
        <v>CHI NHÁNH HÒA BÌNH - CÔNG TY CỔ PHẦN DỊCH VỤ THƯƠNG MẠI TỔNG HỢP WINCOMMERCE</v>
      </c>
      <c r="G1975" s="16"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c r="A1976" s="14" t="s">
        <v>6614</v>
      </c>
      <c r="B1976" s="15" t="s">
        <v>5</v>
      </c>
      <c r="C1976" s="10" t="s">
        <v>6615</v>
      </c>
      <c r="D1976" s="16" t="s">
        <v>6377</v>
      </c>
      <c r="E1976" s="15" t="s">
        <v>11212</v>
      </c>
      <c r="F1976" s="16" t="str">
        <f>VLOOKUP(Table8[[#This Row],[Mã khách hàng]],code_khach_hang[],2,0)</f>
        <v>CHI NHÁNH HÒA BÌNH - CÔNG TY CỔ PHẦN DỊCH VỤ THƯƠNG MẠI TỔNG HỢP WINCOMMERCE</v>
      </c>
      <c r="G1976" s="16"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c r="A1977" s="14" t="s">
        <v>6399</v>
      </c>
      <c r="B1977" s="15" t="s">
        <v>5</v>
      </c>
      <c r="C1977" s="10" t="s">
        <v>6400</v>
      </c>
      <c r="D1977" s="16" t="s">
        <v>6380</v>
      </c>
      <c r="E1977" s="15" t="s">
        <v>11212</v>
      </c>
      <c r="F1977" s="16" t="str">
        <f>VLOOKUP(Table8[[#This Row],[Mã khách hàng]],code_khach_hang[],2,0)</f>
        <v>CHI NHÁNH HÒA BÌNH - CÔNG TY CỔ PHẦN DỊCH VỤ THƯƠNG MẠI TỔNG HỢP WINCOMMERCE</v>
      </c>
      <c r="G1977" s="16"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c r="A1978" s="14" t="s">
        <v>1803</v>
      </c>
      <c r="B1978" s="15" t="s">
        <v>5</v>
      </c>
      <c r="C1978" s="10" t="s">
        <v>1804</v>
      </c>
      <c r="D1978" s="16" t="s">
        <v>6383</v>
      </c>
      <c r="E1978" s="15" t="s">
        <v>11212</v>
      </c>
      <c r="F1978" s="16" t="str">
        <f>VLOOKUP(Table8[[#This Row],[Mã khách hàng]],code_khach_hang[],2,0)</f>
        <v>CHI NHÁNH HÒA BÌNH - CÔNG TY CỔ PHẦN DỊCH VỤ THƯƠNG MẠI TỔNG HỢP WINCOMMERCE</v>
      </c>
      <c r="G1978" s="16"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c r="A1979" s="14" t="s">
        <v>2762</v>
      </c>
      <c r="B1979" s="15" t="s">
        <v>5</v>
      </c>
      <c r="C1979" s="10" t="s">
        <v>2763</v>
      </c>
      <c r="D1979" s="16" t="s">
        <v>6386</v>
      </c>
      <c r="E1979" s="15" t="s">
        <v>11212</v>
      </c>
      <c r="F1979" s="16" t="str">
        <f>VLOOKUP(Table8[[#This Row],[Mã khách hàng]],code_khach_hang[],2,0)</f>
        <v>CHI NHÁNH HÒA BÌNH - CÔNG TY CỔ PHẦN DỊCH VỤ THƯƠNG MẠI TỔNG HỢP WINCOMMERCE</v>
      </c>
      <c r="G1979" s="16"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c r="A1980" s="14" t="s">
        <v>7954</v>
      </c>
      <c r="B1980" s="15" t="s">
        <v>5</v>
      </c>
      <c r="C1980" s="10" t="s">
        <v>7955</v>
      </c>
      <c r="D1980" s="16" t="s">
        <v>6389</v>
      </c>
      <c r="E1980" s="15" t="s">
        <v>11212</v>
      </c>
      <c r="F1980" s="16" t="str">
        <f>VLOOKUP(Table8[[#This Row],[Mã khách hàng]],code_khach_hang[],2,0)</f>
        <v>CHI NHÁNH HÒA BÌNH - CÔNG TY CỔ PHẦN DỊCH VỤ THƯƠNG MẠI TỔNG HỢP WINCOMMERCE</v>
      </c>
      <c r="G1980" s="16"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c r="A1981" s="14" t="s">
        <v>8753</v>
      </c>
      <c r="B1981" s="15" t="s">
        <v>5</v>
      </c>
      <c r="C1981" s="10" t="s">
        <v>8754</v>
      </c>
      <c r="D1981" s="16" t="s">
        <v>6392</v>
      </c>
      <c r="E1981" s="15" t="s">
        <v>11212</v>
      </c>
      <c r="F1981" s="16" t="str">
        <f>VLOOKUP(Table8[[#This Row],[Mã khách hàng]],code_khach_hang[],2,0)</f>
        <v>CHI NHÁNH HÒA BÌNH - CÔNG TY CỔ PHẦN DỊCH VỤ THƯƠNG MẠI TỔNG HỢP WINCOMMERCE</v>
      </c>
      <c r="G1981" s="16"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c r="A1982" s="14" t="s">
        <v>8319</v>
      </c>
      <c r="B1982" s="15" t="s">
        <v>5</v>
      </c>
      <c r="C1982" s="10" t="s">
        <v>8320</v>
      </c>
      <c r="D1982" s="16" t="s">
        <v>6395</v>
      </c>
      <c r="E1982" s="15" t="s">
        <v>11214</v>
      </c>
      <c r="F1982" s="16" t="str">
        <f>VLOOKUP(Table8[[#This Row],[Mã khách hàng]],code_khach_hang[],2,0)</f>
        <v>CHI NHÁNH LAI CHÂU - CÔNG TY CỔ PHẦN DỊCH VỤ THƯƠNG MẠI TỔNG HỢP WINCOMMERCE</v>
      </c>
      <c r="G1982" s="16"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c r="A1983" s="14" t="s">
        <v>8364</v>
      </c>
      <c r="B1983" s="15" t="s">
        <v>5</v>
      </c>
      <c r="C1983" s="10" t="s">
        <v>8365</v>
      </c>
      <c r="D1983" s="16" t="s">
        <v>6398</v>
      </c>
      <c r="E1983" s="15" t="s">
        <v>11214</v>
      </c>
      <c r="F1983" s="16" t="str">
        <f>VLOOKUP(Table8[[#This Row],[Mã khách hàng]],code_khach_hang[],2,0)</f>
        <v>CHI NHÁNH LAI CHÂU - CÔNG TY CỔ PHẦN DỊCH VỤ THƯƠNG MẠI TỔNG HỢP WINCOMMERCE</v>
      </c>
      <c r="G1983" s="16"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c r="A1984" s="14" t="s">
        <v>6216</v>
      </c>
      <c r="B1984" s="15" t="s">
        <v>5</v>
      </c>
      <c r="C1984" s="10" t="s">
        <v>6217</v>
      </c>
      <c r="D1984" s="16" t="s">
        <v>6401</v>
      </c>
      <c r="E1984" s="15" t="s">
        <v>11218</v>
      </c>
      <c r="F1984" s="16" t="str">
        <f>VLOOKUP(Table8[[#This Row],[Mã khách hàng]],code_khach_hang[],2,0)</f>
        <v>CHI NHÁNH LÀO CAI - CÔNG TY CỔ PHẦN DỊCH VỤ THƯƠNG MẠI TỔNG HỢP WINCOMMERCE</v>
      </c>
      <c r="G1984" s="16"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c r="A1985" s="14" t="s">
        <v>6130</v>
      </c>
      <c r="B1985" s="15" t="s">
        <v>5</v>
      </c>
      <c r="C1985" s="10" t="s">
        <v>6131</v>
      </c>
      <c r="D1985" s="16" t="s">
        <v>6404</v>
      </c>
      <c r="E1985" s="15" t="s">
        <v>11218</v>
      </c>
      <c r="F1985" s="16" t="str">
        <f>VLOOKUP(Table8[[#This Row],[Mã khách hàng]],code_khach_hang[],2,0)</f>
        <v>CHI NHÁNH LÀO CAI - CÔNG TY CỔ PHẦN DỊCH VỤ THƯƠNG MẠI TỔNG HỢP WINCOMMERCE</v>
      </c>
      <c r="G1985" s="16"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c r="A1986" s="14" t="s">
        <v>6524</v>
      </c>
      <c r="B1986" s="15" t="s">
        <v>5</v>
      </c>
      <c r="C1986" s="10" t="s">
        <v>6525</v>
      </c>
      <c r="D1986" s="16" t="s">
        <v>6407</v>
      </c>
      <c r="E1986" s="15" t="s">
        <v>11218</v>
      </c>
      <c r="F1986" s="16" t="str">
        <f>VLOOKUP(Table8[[#This Row],[Mã khách hàng]],code_khach_hang[],2,0)</f>
        <v>CHI NHÁNH LÀO CAI - CÔNG TY CỔ PHẦN DỊCH VỤ THƯƠNG MẠI TỔNG HỢP WINCOMMERCE</v>
      </c>
      <c r="G1986" s="16"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c r="A1987" s="14" t="s">
        <v>6476</v>
      </c>
      <c r="B1987" s="15" t="s">
        <v>5</v>
      </c>
      <c r="C1987" s="10" t="s">
        <v>6477</v>
      </c>
      <c r="D1987" s="16" t="s">
        <v>6410</v>
      </c>
      <c r="E1987" s="15" t="s">
        <v>11218</v>
      </c>
      <c r="F1987" s="16" t="str">
        <f>VLOOKUP(Table8[[#This Row],[Mã khách hàng]],code_khach_hang[],2,0)</f>
        <v>CHI NHÁNH LÀO CAI - CÔNG TY CỔ PHẦN DỊCH VỤ THƯƠNG MẠI TỔNG HỢP WINCOMMERCE</v>
      </c>
      <c r="G1987" s="16"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c r="A1988" s="14" t="s">
        <v>6088</v>
      </c>
      <c r="B1988" s="15" t="s">
        <v>5</v>
      </c>
      <c r="C1988" s="10" t="s">
        <v>6089</v>
      </c>
      <c r="D1988" s="16" t="s">
        <v>6412</v>
      </c>
      <c r="E1988" s="15" t="s">
        <v>11218</v>
      </c>
      <c r="F1988" s="16" t="str">
        <f>VLOOKUP(Table8[[#This Row],[Mã khách hàng]],code_khach_hang[],2,0)</f>
        <v>CHI NHÁNH LÀO CAI - CÔNG TY CỔ PHẦN DỊCH VỤ THƯƠNG MẠI TỔNG HỢP WINCOMMERCE</v>
      </c>
      <c r="G1988" s="16"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c r="A1989" s="14" t="s">
        <v>7134</v>
      </c>
      <c r="B1989" s="15" t="s">
        <v>5</v>
      </c>
      <c r="C1989" s="10" t="s">
        <v>7135</v>
      </c>
      <c r="D1989" s="16" t="s">
        <v>6415</v>
      </c>
      <c r="E1989" s="15" t="s">
        <v>11218</v>
      </c>
      <c r="F1989" s="16" t="str">
        <f>VLOOKUP(Table8[[#This Row],[Mã khách hàng]],code_khach_hang[],2,0)</f>
        <v>CHI NHÁNH LÀO CAI - CÔNG TY CỔ PHẦN DỊCH VỤ THƯƠNG MẠI TỔNG HỢP WINCOMMERCE</v>
      </c>
      <c r="G1989" s="16"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c r="A1990" s="14" t="s">
        <v>6010</v>
      </c>
      <c r="B1990" s="15" t="s">
        <v>5</v>
      </c>
      <c r="C1990" s="10" t="s">
        <v>6011</v>
      </c>
      <c r="D1990" s="16" t="s">
        <v>6418</v>
      </c>
      <c r="E1990" s="15" t="s">
        <v>11218</v>
      </c>
      <c r="F1990" s="16" t="str">
        <f>VLOOKUP(Table8[[#This Row],[Mã khách hàng]],code_khach_hang[],2,0)</f>
        <v>CHI NHÁNH LÀO CAI - CÔNG TY CỔ PHẦN DỊCH VỤ THƯƠNG MẠI TỔNG HỢP WINCOMMERCE</v>
      </c>
      <c r="G1990" s="16"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c r="A1991" s="14" t="s">
        <v>6479</v>
      </c>
      <c r="B1991" s="15" t="s">
        <v>5</v>
      </c>
      <c r="C1991" s="10" t="s">
        <v>6480</v>
      </c>
      <c r="D1991" s="16" t="s">
        <v>6421</v>
      </c>
      <c r="E1991" s="15" t="s">
        <v>11218</v>
      </c>
      <c r="F1991" s="16" t="str">
        <f>VLOOKUP(Table8[[#This Row],[Mã khách hàng]],code_khach_hang[],2,0)</f>
        <v>CHI NHÁNH LÀO CAI - CÔNG TY CỔ PHẦN DỊCH VỤ THƯƠNG MẠI TỔNG HỢP WINCOMMERCE</v>
      </c>
      <c r="G1991" s="16"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c r="A1992" s="14" t="s">
        <v>6139</v>
      </c>
      <c r="B1992" s="15" t="s">
        <v>5</v>
      </c>
      <c r="C1992" s="10" t="s">
        <v>6140</v>
      </c>
      <c r="D1992" s="16" t="s">
        <v>6424</v>
      </c>
      <c r="E1992" s="15" t="s">
        <v>11218</v>
      </c>
      <c r="F1992" s="16" t="str">
        <f>VLOOKUP(Table8[[#This Row],[Mã khách hàng]],code_khach_hang[],2,0)</f>
        <v>CHI NHÁNH LÀO CAI - CÔNG TY CỔ PHẦN DỊCH VỤ THƯƠNG MẠI TỔNG HỢP WINCOMMERCE</v>
      </c>
      <c r="G1992" s="16"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c r="A1993" s="14" t="s">
        <v>8070</v>
      </c>
      <c r="B1993" s="15" t="s">
        <v>5</v>
      </c>
      <c r="C1993" s="10" t="s">
        <v>8071</v>
      </c>
      <c r="D1993" s="16" t="s">
        <v>6427</v>
      </c>
      <c r="E1993" s="15" t="s">
        <v>11218</v>
      </c>
      <c r="F1993" s="16" t="str">
        <f>VLOOKUP(Table8[[#This Row],[Mã khách hàng]],code_khach_hang[],2,0)</f>
        <v>CHI NHÁNH LÀO CAI - CÔNG TY CỔ PHẦN DỊCH VỤ THƯƠNG MẠI TỔNG HỢP WINCOMMERCE</v>
      </c>
      <c r="G1993" s="16"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c r="A1994" s="14" t="s">
        <v>8061</v>
      </c>
      <c r="B1994" s="15" t="s">
        <v>5</v>
      </c>
      <c r="C1994" s="10" t="s">
        <v>8062</v>
      </c>
      <c r="D1994" s="16" t="s">
        <v>6430</v>
      </c>
      <c r="E1994" s="15" t="s">
        <v>11218</v>
      </c>
      <c r="F1994" s="16" t="str">
        <f>VLOOKUP(Table8[[#This Row],[Mã khách hàng]],code_khach_hang[],2,0)</f>
        <v>CHI NHÁNH LÀO CAI - CÔNG TY CỔ PHẦN DỊCH VỤ THƯƠNG MẠI TỔNG HỢP WINCOMMERCE</v>
      </c>
      <c r="G1994" s="16"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c r="A1995" s="14" t="s">
        <v>8352</v>
      </c>
      <c r="B1995" s="15" t="s">
        <v>5</v>
      </c>
      <c r="C1995" s="10" t="s">
        <v>8353</v>
      </c>
      <c r="D1995" s="16" t="s">
        <v>6433</v>
      </c>
      <c r="E1995" s="15" t="s">
        <v>11214</v>
      </c>
      <c r="F1995" s="16" t="str">
        <f>VLOOKUP(Table8[[#This Row],[Mã khách hàng]],code_khach_hang[],2,0)</f>
        <v>CHI NHÁNH LAI CHÂU - CÔNG TY CỔ PHẦN DỊCH VỤ THƯƠNG MẠI TỔNG HỢP WINCOMMERCE</v>
      </c>
      <c r="G1995" s="16"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c r="A1996" s="14" t="s">
        <v>8553</v>
      </c>
      <c r="B1996" s="15" t="s">
        <v>5</v>
      </c>
      <c r="C1996" s="10" t="s">
        <v>8554</v>
      </c>
      <c r="D1996" s="16" t="s">
        <v>6436</v>
      </c>
      <c r="E1996" s="15" t="s">
        <v>11214</v>
      </c>
      <c r="F1996" s="16" t="str">
        <f>VLOOKUP(Table8[[#This Row],[Mã khách hàng]],code_khach_hang[],2,0)</f>
        <v>CHI NHÁNH LAI CHÂU - CÔNG TY CỔ PHẦN DỊCH VỤ THƯƠNG MẠI TỔNG HỢP WINCOMMERCE</v>
      </c>
      <c r="G1996" s="16"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c r="A1997" s="14" t="s">
        <v>7742</v>
      </c>
      <c r="B1997" s="15" t="s">
        <v>5</v>
      </c>
      <c r="C1997" s="10" t="s">
        <v>7743</v>
      </c>
      <c r="D1997" s="16" t="s">
        <v>6439</v>
      </c>
      <c r="E1997" s="15" t="s">
        <v>11206</v>
      </c>
      <c r="F1997" s="16" t="str">
        <f>VLOOKUP(Table8[[#This Row],[Mã khách hàng]],code_khach_hang[],2,0)</f>
        <v>CHI NHÁNH SƠN LA - CÔNG TY CỔ PHẦN DỊCH VỤ THƯƠNG MẠI TỔNG HỢP WINCOMMERCE</v>
      </c>
      <c r="G1997" s="16"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c r="A1998" s="14" t="s">
        <v>7733</v>
      </c>
      <c r="B1998" s="15" t="s">
        <v>5</v>
      </c>
      <c r="C1998" s="10" t="s">
        <v>7734</v>
      </c>
      <c r="D1998" s="16" t="s">
        <v>6442</v>
      </c>
      <c r="E1998" s="15" t="s">
        <v>11206</v>
      </c>
      <c r="F1998" s="16" t="str">
        <f>VLOOKUP(Table8[[#This Row],[Mã khách hàng]],code_khach_hang[],2,0)</f>
        <v>CHI NHÁNH SƠN LA - CÔNG TY CỔ PHẦN DỊCH VỤ THƯƠNG MẠI TỔNG HỢP WINCOMMERCE</v>
      </c>
      <c r="G1998" s="16"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c r="A1999" s="14" t="s">
        <v>7819</v>
      </c>
      <c r="B1999" s="15" t="s">
        <v>5</v>
      </c>
      <c r="C1999" s="10" t="s">
        <v>7820</v>
      </c>
      <c r="D1999" s="16" t="s">
        <v>6445</v>
      </c>
      <c r="E1999" s="15" t="s">
        <v>11206</v>
      </c>
      <c r="F1999" s="16" t="str">
        <f>VLOOKUP(Table8[[#This Row],[Mã khách hàng]],code_khach_hang[],2,0)</f>
        <v>CHI NHÁNH SƠN LA - CÔNG TY CỔ PHẦN DỊCH VỤ THƯƠNG MẠI TỔNG HỢP WINCOMMERCE</v>
      </c>
      <c r="G1999" s="16"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c r="A2000" s="14" t="s">
        <v>6369</v>
      </c>
      <c r="B2000" s="15" t="s">
        <v>5</v>
      </c>
      <c r="C2000" s="10" t="s">
        <v>6370</v>
      </c>
      <c r="D2000" s="16" t="s">
        <v>6448</v>
      </c>
      <c r="E2000" s="15" t="s">
        <v>11206</v>
      </c>
      <c r="F2000" s="16" t="str">
        <f>VLOOKUP(Table8[[#This Row],[Mã khách hàng]],code_khach_hang[],2,0)</f>
        <v>CHI NHÁNH SƠN LA - CÔNG TY CỔ PHẦN DỊCH VỤ THƯƠNG MẠI TỔNG HỢP WINCOMMERCE</v>
      </c>
      <c r="G2000" s="16"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c r="A2001" s="14" t="s">
        <v>6608</v>
      </c>
      <c r="B2001" s="15" t="s">
        <v>5</v>
      </c>
      <c r="C2001" s="10" t="s">
        <v>6609</v>
      </c>
      <c r="D2001" s="16" t="s">
        <v>6451</v>
      </c>
      <c r="E2001" s="15" t="s">
        <v>11206</v>
      </c>
      <c r="F2001" s="16" t="str">
        <f>VLOOKUP(Table8[[#This Row],[Mã khách hàng]],code_khach_hang[],2,0)</f>
        <v>CHI NHÁNH SƠN LA - CÔNG TY CỔ PHẦN DỊCH VỤ THƯƠNG MẠI TỔNG HỢP WINCOMMERCE</v>
      </c>
      <c r="G2001" s="16"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c r="A2002" s="14" t="s">
        <v>6360</v>
      </c>
      <c r="B2002" s="15" t="s">
        <v>5</v>
      </c>
      <c r="C2002" s="10" t="s">
        <v>6361</v>
      </c>
      <c r="D2002" s="16" t="s">
        <v>6454</v>
      </c>
      <c r="E2002" s="15" t="s">
        <v>11206</v>
      </c>
      <c r="F2002" s="16" t="str">
        <f>VLOOKUP(Table8[[#This Row],[Mã khách hàng]],code_khach_hang[],2,0)</f>
        <v>CHI NHÁNH SƠN LA - CÔNG TY CỔ PHẦN DỊCH VỤ THƯƠNG MẠI TỔNG HỢP WINCOMMERCE</v>
      </c>
      <c r="G2002" s="16"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c r="A2003" s="14" t="s">
        <v>6593</v>
      </c>
      <c r="B2003" s="15" t="s">
        <v>5</v>
      </c>
      <c r="C2003" s="10" t="s">
        <v>6594</v>
      </c>
      <c r="D2003" s="16" t="s">
        <v>6457</v>
      </c>
      <c r="E2003" s="15" t="s">
        <v>11206</v>
      </c>
      <c r="F2003" s="16" t="str">
        <f>VLOOKUP(Table8[[#This Row],[Mã khách hàng]],code_khach_hang[],2,0)</f>
        <v>CHI NHÁNH SƠN LA - CÔNG TY CỔ PHẦN DỊCH VỤ THƯƠNG MẠI TỔNG HỢP WINCOMMERCE</v>
      </c>
      <c r="G2003" s="16"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c r="A2004" s="14" t="s">
        <v>6393</v>
      </c>
      <c r="B2004" s="15" t="s">
        <v>5</v>
      </c>
      <c r="C2004" s="10" t="s">
        <v>6394</v>
      </c>
      <c r="D2004" s="16" t="s">
        <v>6460</v>
      </c>
      <c r="E2004" s="15" t="s">
        <v>11206</v>
      </c>
      <c r="F2004" s="16" t="str">
        <f>VLOOKUP(Table8[[#This Row],[Mã khách hàng]],code_khach_hang[],2,0)</f>
        <v>CHI NHÁNH SƠN LA - CÔNG TY CỔ PHẦN DỊCH VỤ THƯƠNG MẠI TỔNG HỢP WINCOMMERCE</v>
      </c>
      <c r="G2004" s="16"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c r="A2005" s="14" t="s">
        <v>6452</v>
      </c>
      <c r="B2005" s="15" t="s">
        <v>5</v>
      </c>
      <c r="C2005" s="10" t="s">
        <v>6453</v>
      </c>
      <c r="D2005" s="16" t="s">
        <v>6463</v>
      </c>
      <c r="E2005" s="15" t="s">
        <v>11206</v>
      </c>
      <c r="F2005" s="16" t="str">
        <f>VLOOKUP(Table8[[#This Row],[Mã khách hàng]],code_khach_hang[],2,0)</f>
        <v>CHI NHÁNH SƠN LA - CÔNG TY CỔ PHẦN DỊCH VỤ THƯƠNG MẠI TỔNG HỢP WINCOMMERCE</v>
      </c>
      <c r="G2005" s="16"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c r="A2006" s="14" t="s">
        <v>6422</v>
      </c>
      <c r="B2006" s="15" t="s">
        <v>5</v>
      </c>
      <c r="C2006" s="10" t="s">
        <v>6423</v>
      </c>
      <c r="D2006" s="16" t="s">
        <v>6466</v>
      </c>
      <c r="E2006" s="15" t="s">
        <v>11206</v>
      </c>
      <c r="F2006" s="16" t="str">
        <f>VLOOKUP(Table8[[#This Row],[Mã khách hàng]],code_khach_hang[],2,0)</f>
        <v>CHI NHÁNH SƠN LA - CÔNG TY CỔ PHẦN DỊCH VỤ THƯƠNG MẠI TỔNG HỢP WINCOMMERCE</v>
      </c>
      <c r="G2006" s="16"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c r="A2007" s="14" t="s">
        <v>11136</v>
      </c>
      <c r="B2007" s="15" t="s">
        <v>5</v>
      </c>
      <c r="C2007" s="10" t="e">
        <v>#N/A</v>
      </c>
      <c r="D2007" s="16" t="s">
        <v>6469</v>
      </c>
      <c r="E2007" s="15" t="s">
        <v>11206</v>
      </c>
      <c r="F2007" s="16" t="str">
        <f>VLOOKUP(Table8[[#This Row],[Mã khách hàng]],code_khach_hang[],2,0)</f>
        <v>CHI NHÁNH SƠN LA - CÔNG TY CỔ PHẦN DỊCH VỤ THƯƠNG MẠI TỔNG HỢP WINCOMMERCE</v>
      </c>
      <c r="G2007" s="16"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c r="A2008" s="14" t="s">
        <v>6434</v>
      </c>
      <c r="B2008" s="15" t="s">
        <v>5</v>
      </c>
      <c r="C2008" s="10" t="s">
        <v>6435</v>
      </c>
      <c r="D2008" s="16" t="s">
        <v>6472</v>
      </c>
      <c r="E2008" s="15" t="s">
        <v>11206</v>
      </c>
      <c r="F2008" s="16" t="str">
        <f>VLOOKUP(Table8[[#This Row],[Mã khách hàng]],code_khach_hang[],2,0)</f>
        <v>CHI NHÁNH SƠN LA - CÔNG TY CỔ PHẦN DỊCH VỤ THƯƠNG MẠI TỔNG HỢP WINCOMMERCE</v>
      </c>
      <c r="G2008" s="16"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c r="A2009" s="14" t="s">
        <v>8215</v>
      </c>
      <c r="B2009" s="15" t="s">
        <v>5</v>
      </c>
      <c r="C2009" s="10" t="s">
        <v>8216</v>
      </c>
      <c r="D2009" s="16" t="s">
        <v>6475</v>
      </c>
      <c r="E2009" s="15" t="s">
        <v>11206</v>
      </c>
      <c r="F2009" s="16" t="str">
        <f>VLOOKUP(Table8[[#This Row],[Mã khách hàng]],code_khach_hang[],2,0)</f>
        <v>CHI NHÁNH SƠN LA - CÔNG TY CỔ PHẦN DỊCH VỤ THƯƠNG MẠI TỔNG HỢP WINCOMMERCE</v>
      </c>
      <c r="G2009" s="16"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c r="A2010" s="14" t="s">
        <v>7906</v>
      </c>
      <c r="B2010" s="15" t="s">
        <v>5</v>
      </c>
      <c r="C2010" s="10" t="s">
        <v>7907</v>
      </c>
      <c r="D2010" s="16" t="s">
        <v>6478</v>
      </c>
      <c r="E2010" s="15" t="s">
        <v>11206</v>
      </c>
      <c r="F2010" s="16" t="str">
        <f>VLOOKUP(Table8[[#This Row],[Mã khách hàng]],code_khach_hang[],2,0)</f>
        <v>CHI NHÁNH SƠN LA - CÔNG TY CỔ PHẦN DỊCH VỤ THƯƠNG MẠI TỔNG HỢP WINCOMMERCE</v>
      </c>
      <c r="G2010" s="16"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c r="A2011" s="14" t="s">
        <v>8419</v>
      </c>
      <c r="B2011" s="15" t="s">
        <v>5</v>
      </c>
      <c r="C2011" s="10" t="s">
        <v>8420</v>
      </c>
      <c r="D2011" s="16" t="s">
        <v>6481</v>
      </c>
      <c r="E2011" s="15" t="s">
        <v>11206</v>
      </c>
      <c r="F2011" s="16" t="str">
        <f>VLOOKUP(Table8[[#This Row],[Mã khách hàng]],code_khach_hang[],2,0)</f>
        <v>CHI NHÁNH SƠN LA - CÔNG TY CỔ PHẦN DỊCH VỤ THƯƠNG MẠI TỔNG HỢP WINCOMMERCE</v>
      </c>
      <c r="G2011" s="16"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c r="A2012" s="14" t="s">
        <v>5750</v>
      </c>
      <c r="B2012" s="15" t="s">
        <v>5</v>
      </c>
      <c r="C2012" s="10" t="s">
        <v>5751</v>
      </c>
      <c r="D2012" s="16" t="s">
        <v>6484</v>
      </c>
      <c r="E2012" s="15" t="s">
        <v>11207</v>
      </c>
      <c r="F2012" s="16" t="str">
        <f>VLOOKUP(Table8[[#This Row],[Mã khách hàng]],code_khach_hang[],2,0)</f>
        <v>CHI NHÁNH THÁI NGUYÊN - CÔNG TY CỔ PHẦN DỊCH VỤ THƯƠNG MẠI TỔNG HỢP WINCOMMERCE</v>
      </c>
      <c r="G2012" s="16"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c r="A2013" s="14" t="s">
        <v>5712</v>
      </c>
      <c r="B2013" s="15" t="s">
        <v>5</v>
      </c>
      <c r="C2013" s="10" t="s">
        <v>5713</v>
      </c>
      <c r="D2013" s="16" t="s">
        <v>6487</v>
      </c>
      <c r="E2013" s="15" t="s">
        <v>11207</v>
      </c>
      <c r="F2013" s="16" t="str">
        <f>VLOOKUP(Table8[[#This Row],[Mã khách hàng]],code_khach_hang[],2,0)</f>
        <v>CHI NHÁNH THÁI NGUYÊN - CÔNG TY CỔ PHẦN DỊCH VỤ THƯƠNG MẠI TỔNG HỢP WINCOMMERCE</v>
      </c>
      <c r="G2013" s="16"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c r="A2014" s="14" t="s">
        <v>7294</v>
      </c>
      <c r="B2014" s="15" t="s">
        <v>5</v>
      </c>
      <c r="C2014" s="10" t="s">
        <v>7295</v>
      </c>
      <c r="D2014" s="16" t="s">
        <v>6490</v>
      </c>
      <c r="E2014" s="15" t="s">
        <v>11207</v>
      </c>
      <c r="F2014" s="16" t="str">
        <f>VLOOKUP(Table8[[#This Row],[Mã khách hàng]],code_khach_hang[],2,0)</f>
        <v>CHI NHÁNH THÁI NGUYÊN - CÔNG TY CỔ PHẦN DỊCH VỤ THƯƠNG MẠI TỔNG HỢP WINCOMMERCE</v>
      </c>
      <c r="G2014" s="16"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c r="A2015" s="14" t="s">
        <v>7863</v>
      </c>
      <c r="B2015" s="15" t="s">
        <v>5</v>
      </c>
      <c r="C2015" s="10" t="s">
        <v>7864</v>
      </c>
      <c r="D2015" s="16" t="s">
        <v>6493</v>
      </c>
      <c r="E2015" s="15" t="s">
        <v>11207</v>
      </c>
      <c r="F2015" s="16" t="str">
        <f>VLOOKUP(Table8[[#This Row],[Mã khách hàng]],code_khach_hang[],2,0)</f>
        <v>CHI NHÁNH THÁI NGUYÊN - CÔNG TY CỔ PHẦN DỊCH VỤ THƯƠNG MẠI TỔNG HỢP WINCOMMERCE</v>
      </c>
      <c r="G2015" s="16"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c r="A2016" s="14" t="s">
        <v>7960</v>
      </c>
      <c r="B2016" s="15" t="s">
        <v>5</v>
      </c>
      <c r="C2016" s="10" t="s">
        <v>7961</v>
      </c>
      <c r="D2016" s="16" t="s">
        <v>6496</v>
      </c>
      <c r="E2016" s="15" t="s">
        <v>11207</v>
      </c>
      <c r="F2016" s="16" t="str">
        <f>VLOOKUP(Table8[[#This Row],[Mã khách hàng]],code_khach_hang[],2,0)</f>
        <v>CHI NHÁNH THÁI NGUYÊN - CÔNG TY CỔ PHẦN DỊCH VỤ THƯƠNG MẠI TỔNG HỢP WINCOMMERCE</v>
      </c>
      <c r="G2016" s="16"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c r="A2017" s="14" t="s">
        <v>7995</v>
      </c>
      <c r="B2017" s="15" t="s">
        <v>5</v>
      </c>
      <c r="C2017" s="10" t="s">
        <v>7996</v>
      </c>
      <c r="D2017" s="16" t="s">
        <v>6499</v>
      </c>
      <c r="E2017" s="15" t="s">
        <v>11207</v>
      </c>
      <c r="F2017" s="16" t="str">
        <f>VLOOKUP(Table8[[#This Row],[Mã khách hàng]],code_khach_hang[],2,0)</f>
        <v>CHI NHÁNH THÁI NGUYÊN - CÔNG TY CỔ PHẦN DỊCH VỤ THƯƠNG MẠI TỔNG HỢP WINCOMMERCE</v>
      </c>
      <c r="G2017" s="16"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c r="A2018" s="14" t="s">
        <v>8004</v>
      </c>
      <c r="B2018" s="15" t="s">
        <v>5</v>
      </c>
      <c r="C2018" s="10" t="s">
        <v>8005</v>
      </c>
      <c r="D2018" s="16" t="s">
        <v>6502</v>
      </c>
      <c r="E2018" s="15" t="s">
        <v>11207</v>
      </c>
      <c r="F2018" s="16" t="str">
        <f>VLOOKUP(Table8[[#This Row],[Mã khách hàng]],code_khach_hang[],2,0)</f>
        <v>CHI NHÁNH THÁI NGUYÊN - CÔNG TY CỔ PHẦN DỊCH VỤ THƯƠNG MẠI TỔNG HỢP WINCOMMERCE</v>
      </c>
      <c r="G2018" s="16"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c r="A2019" s="14" t="s">
        <v>5866</v>
      </c>
      <c r="B2019" s="15" t="s">
        <v>5</v>
      </c>
      <c r="C2019" s="10" t="s">
        <v>5867</v>
      </c>
      <c r="D2019" s="16" t="s">
        <v>6505</v>
      </c>
      <c r="E2019" s="15" t="s">
        <v>11207</v>
      </c>
      <c r="F2019" s="16" t="str">
        <f>VLOOKUP(Table8[[#This Row],[Mã khách hàng]],code_khach_hang[],2,0)</f>
        <v>CHI NHÁNH THÁI NGUYÊN - CÔNG TY CỔ PHẦN DỊCH VỤ THƯƠNG MẠI TỔNG HỢP WINCOMMERCE</v>
      </c>
      <c r="G2019" s="16"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c r="A2020" s="14" t="s">
        <v>6324</v>
      </c>
      <c r="B2020" s="15" t="s">
        <v>5</v>
      </c>
      <c r="C2020" s="10" t="s">
        <v>6325</v>
      </c>
      <c r="D2020" s="16" t="s">
        <v>6508</v>
      </c>
      <c r="E2020" s="15" t="s">
        <v>11207</v>
      </c>
      <c r="F2020" s="16" t="str">
        <f>VLOOKUP(Table8[[#This Row],[Mã khách hàng]],code_khach_hang[],2,0)</f>
        <v>CHI NHÁNH THÁI NGUYÊN - CÔNG TY CỔ PHẦN DỊCH VỤ THƯƠNG MẠI TỔNG HỢP WINCOMMERCE</v>
      </c>
      <c r="G2020" s="16"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c r="A2021" s="14" t="s">
        <v>7095</v>
      </c>
      <c r="B2021" s="15" t="s">
        <v>5</v>
      </c>
      <c r="C2021" s="10" t="s">
        <v>7096</v>
      </c>
      <c r="D2021" s="16" t="s">
        <v>6511</v>
      </c>
      <c r="E2021" s="15" t="s">
        <v>11207</v>
      </c>
      <c r="F2021" s="16" t="str">
        <f>VLOOKUP(Table8[[#This Row],[Mã khách hàng]],code_khach_hang[],2,0)</f>
        <v>CHI NHÁNH THÁI NGUYÊN - CÔNG TY CỔ PHẦN DỊCH VỤ THƯƠNG MẠI TỔNG HỢP WINCOMMERCE</v>
      </c>
      <c r="G2021" s="16"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c r="A2022" s="14" t="s">
        <v>5974</v>
      </c>
      <c r="B2022" s="15" t="s">
        <v>5</v>
      </c>
      <c r="C2022" s="10" t="s">
        <v>5975</v>
      </c>
      <c r="D2022" s="16" t="s">
        <v>6514</v>
      </c>
      <c r="E2022" s="15" t="s">
        <v>11207</v>
      </c>
      <c r="F2022" s="16" t="str">
        <f>VLOOKUP(Table8[[#This Row],[Mã khách hàng]],code_khach_hang[],2,0)</f>
        <v>CHI NHÁNH THÁI NGUYÊN - CÔNG TY CỔ PHẦN DỊCH VỤ THƯƠNG MẠI TỔNG HỢP WINCOMMERCE</v>
      </c>
      <c r="G2022" s="16"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c r="A2023" s="14" t="s">
        <v>6034</v>
      </c>
      <c r="B2023" s="15" t="s">
        <v>5</v>
      </c>
      <c r="C2023" s="10" t="s">
        <v>6035</v>
      </c>
      <c r="D2023" s="16" t="s">
        <v>6517</v>
      </c>
      <c r="E2023" s="15" t="s">
        <v>11207</v>
      </c>
      <c r="F2023" s="16" t="str">
        <f>VLOOKUP(Table8[[#This Row],[Mã khách hàng]],code_khach_hang[],2,0)</f>
        <v>CHI NHÁNH THÁI NGUYÊN - CÔNG TY CỔ PHẦN DỊCH VỤ THƯƠNG MẠI TỔNG HỢP WINCOMMERCE</v>
      </c>
      <c r="G2023" s="16"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c r="A2024" s="14" t="s">
        <v>6252</v>
      </c>
      <c r="B2024" s="15" t="s">
        <v>5</v>
      </c>
      <c r="C2024" s="10" t="s">
        <v>6253</v>
      </c>
      <c r="D2024" s="16" t="s">
        <v>6520</v>
      </c>
      <c r="E2024" s="15" t="s">
        <v>11207</v>
      </c>
      <c r="F2024" s="16" t="str">
        <f>VLOOKUP(Table8[[#This Row],[Mã khách hàng]],code_khach_hang[],2,0)</f>
        <v>CHI NHÁNH THÁI NGUYÊN - CÔNG TY CỔ PHẦN DỊCH VỤ THƯƠNG MẠI TỔNG HỢP WINCOMMERCE</v>
      </c>
      <c r="G2024" s="16"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c r="A2025" s="14" t="s">
        <v>5801</v>
      </c>
      <c r="B2025" s="15" t="s">
        <v>5</v>
      </c>
      <c r="C2025" s="10" t="s">
        <v>5802</v>
      </c>
      <c r="D2025" s="16" t="s">
        <v>6523</v>
      </c>
      <c r="E2025" s="15" t="s">
        <v>11207</v>
      </c>
      <c r="F2025" s="16" t="str">
        <f>VLOOKUP(Table8[[#This Row],[Mã khách hàng]],code_khach_hang[],2,0)</f>
        <v>CHI NHÁNH THÁI NGUYÊN - CÔNG TY CỔ PHẦN DỊCH VỤ THƯƠNG MẠI TỔNG HỢP WINCOMMERCE</v>
      </c>
      <c r="G2025" s="16"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c r="A2026" s="14" t="s">
        <v>5905</v>
      </c>
      <c r="B2026" s="15" t="s">
        <v>5</v>
      </c>
      <c r="C2026" s="10" t="s">
        <v>5906</v>
      </c>
      <c r="D2026" s="16" t="s">
        <v>6526</v>
      </c>
      <c r="E2026" s="15" t="s">
        <v>11207</v>
      </c>
      <c r="F2026" s="16" t="str">
        <f>VLOOKUP(Table8[[#This Row],[Mã khách hàng]],code_khach_hang[],2,0)</f>
        <v>CHI NHÁNH THÁI NGUYÊN - CÔNG TY CỔ PHẦN DỊCH VỤ THƯƠNG MẠI TỔNG HỢP WINCOMMERCE</v>
      </c>
      <c r="G2026" s="16"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c r="A2027" s="14" t="s">
        <v>7098</v>
      </c>
      <c r="B2027" s="15" t="s">
        <v>5</v>
      </c>
      <c r="C2027" s="10" t="s">
        <v>7099</v>
      </c>
      <c r="D2027" s="16" t="s">
        <v>6529</v>
      </c>
      <c r="E2027" s="15" t="s">
        <v>11207</v>
      </c>
      <c r="F2027" s="16" t="str">
        <f>VLOOKUP(Table8[[#This Row],[Mã khách hàng]],code_khach_hang[],2,0)</f>
        <v>CHI NHÁNH THÁI NGUYÊN - CÔNG TY CỔ PHẦN DỊCH VỤ THƯƠNG MẠI TỔNG HỢP WINCOMMERCE</v>
      </c>
      <c r="G2027" s="16"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c r="A2028" s="14" t="s">
        <v>7288</v>
      </c>
      <c r="B2028" s="15" t="s">
        <v>5</v>
      </c>
      <c r="C2028" s="10" t="s">
        <v>7289</v>
      </c>
      <c r="D2028" s="16" t="s">
        <v>6532</v>
      </c>
      <c r="E2028" s="15" t="s">
        <v>11207</v>
      </c>
      <c r="F2028" s="16" t="str">
        <f>VLOOKUP(Table8[[#This Row],[Mã khách hàng]],code_khach_hang[],2,0)</f>
        <v>CHI NHÁNH THÁI NGUYÊN - CÔNG TY CỔ PHẦN DỊCH VỤ THƯƠNG MẠI TỔNG HỢP WINCOMMERCE</v>
      </c>
      <c r="G2028" s="16"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c r="A2029" s="14" t="s">
        <v>5944</v>
      </c>
      <c r="B2029" s="15" t="s">
        <v>5</v>
      </c>
      <c r="C2029" s="10" t="s">
        <v>5945</v>
      </c>
      <c r="D2029" s="16" t="s">
        <v>6535</v>
      </c>
      <c r="E2029" s="15" t="s">
        <v>11207</v>
      </c>
      <c r="F2029" s="16" t="str">
        <f>VLOOKUP(Table8[[#This Row],[Mã khách hàng]],code_khach_hang[],2,0)</f>
        <v>CHI NHÁNH THÁI NGUYÊN - CÔNG TY CỔ PHẦN DỊCH VỤ THƯƠNG MẠI TỔNG HỢP WINCOMMERCE</v>
      </c>
      <c r="G2029" s="16"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c r="A2030" s="14" t="s">
        <v>5908</v>
      </c>
      <c r="B2030" s="15" t="s">
        <v>5</v>
      </c>
      <c r="C2030" s="10" t="s">
        <v>5909</v>
      </c>
      <c r="D2030" s="16" t="s">
        <v>6538</v>
      </c>
      <c r="E2030" s="15" t="s">
        <v>11207</v>
      </c>
      <c r="F2030" s="16" t="str">
        <f>VLOOKUP(Table8[[#This Row],[Mã khách hàng]],code_khach_hang[],2,0)</f>
        <v>CHI NHÁNH THÁI NGUYÊN - CÔNG TY CỔ PHẦN DỊCH VỤ THƯƠNG MẠI TỔNG HỢP WINCOMMERCE</v>
      </c>
      <c r="G2030" s="16"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c r="A2031" s="14" t="s">
        <v>6770</v>
      </c>
      <c r="B2031" s="15" t="s">
        <v>5</v>
      </c>
      <c r="C2031" s="10" t="s">
        <v>6771</v>
      </c>
      <c r="D2031" s="16" t="s">
        <v>6541</v>
      </c>
      <c r="E2031" s="15" t="s">
        <v>11207</v>
      </c>
      <c r="F2031" s="16" t="str">
        <f>VLOOKUP(Table8[[#This Row],[Mã khách hàng]],code_khach_hang[],2,0)</f>
        <v>CHI NHÁNH THÁI NGUYÊN - CÔNG TY CỔ PHẦN DỊCH VỤ THƯƠNG MẠI TỔNG HỢP WINCOMMERCE</v>
      </c>
      <c r="G2031" s="16"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c r="A2032" s="14" t="s">
        <v>6443</v>
      </c>
      <c r="B2032" s="15" t="s">
        <v>5</v>
      </c>
      <c r="C2032" s="10" t="s">
        <v>6444</v>
      </c>
      <c r="D2032" s="16" t="s">
        <v>6544</v>
      </c>
      <c r="E2032" s="15" t="s">
        <v>11207</v>
      </c>
      <c r="F2032" s="16" t="str">
        <f>VLOOKUP(Table8[[#This Row],[Mã khách hàng]],code_khach_hang[],2,0)</f>
        <v>CHI NHÁNH THÁI NGUYÊN - CÔNG TY CỔ PHẦN DỊCH VỤ THƯƠNG MẠI TỔNG HỢP WINCOMMERCE</v>
      </c>
      <c r="G2032" s="16"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c r="A2033" s="14" t="s">
        <v>8010</v>
      </c>
      <c r="B2033" s="15" t="s">
        <v>5</v>
      </c>
      <c r="C2033" s="10" t="s">
        <v>8011</v>
      </c>
      <c r="D2033" s="16" t="s">
        <v>6547</v>
      </c>
      <c r="E2033" s="15" t="s">
        <v>11207</v>
      </c>
      <c r="F2033" s="16" t="str">
        <f>VLOOKUP(Table8[[#This Row],[Mã khách hàng]],code_khach_hang[],2,0)</f>
        <v>CHI NHÁNH THÁI NGUYÊN - CÔNG TY CỔ PHẦN DỊCH VỤ THƯƠNG MẠI TỔNG HỢP WINCOMMERCE</v>
      </c>
      <c r="G2033" s="16"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c r="A2034" s="14" t="s">
        <v>8544</v>
      </c>
      <c r="B2034" s="15" t="s">
        <v>5</v>
      </c>
      <c r="C2034" s="10" t="s">
        <v>8545</v>
      </c>
      <c r="D2034" s="16" t="s">
        <v>6550</v>
      </c>
      <c r="E2034" s="15" t="s">
        <v>11207</v>
      </c>
      <c r="F2034" s="16" t="str">
        <f>VLOOKUP(Table8[[#This Row],[Mã khách hàng]],code_khach_hang[],2,0)</f>
        <v>CHI NHÁNH THÁI NGUYÊN - CÔNG TY CỔ PHẦN DỊCH VỤ THƯƠNG MẠI TỔNG HỢP WINCOMMERCE</v>
      </c>
      <c r="G2034" s="16"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c r="A2035" s="14" t="s">
        <v>8582</v>
      </c>
      <c r="B2035" s="15" t="s">
        <v>5</v>
      </c>
      <c r="C2035" s="10" t="s">
        <v>8583</v>
      </c>
      <c r="D2035" s="16" t="s">
        <v>6553</v>
      </c>
      <c r="E2035" s="15" t="s">
        <v>11207</v>
      </c>
      <c r="F2035" s="16" t="str">
        <f>VLOOKUP(Table8[[#This Row],[Mã khách hàng]],code_khach_hang[],2,0)</f>
        <v>CHI NHÁNH THÁI NGUYÊN - CÔNG TY CỔ PHẦN DỊCH VỤ THƯƠNG MẠI TỔNG HỢP WINCOMMERCE</v>
      </c>
      <c r="G2035" s="16"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c r="A2036" s="14" t="s">
        <v>8497</v>
      </c>
      <c r="B2036" s="15" t="s">
        <v>5</v>
      </c>
      <c r="C2036" s="10" t="s">
        <v>8498</v>
      </c>
      <c r="D2036" s="16" t="s">
        <v>6556</v>
      </c>
      <c r="E2036" s="15" t="s">
        <v>11207</v>
      </c>
      <c r="F2036" s="16" t="str">
        <f>VLOOKUP(Table8[[#This Row],[Mã khách hàng]],code_khach_hang[],2,0)</f>
        <v>CHI NHÁNH THÁI NGUYÊN - CÔNG TY CỔ PHẦN DỊCH VỤ THƯƠNG MẠI TỔNG HỢP WINCOMMERCE</v>
      </c>
      <c r="G2036" s="16"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c r="A2037" s="14" t="s">
        <v>8172</v>
      </c>
      <c r="B2037" s="15" t="s">
        <v>5</v>
      </c>
      <c r="C2037" s="10" t="s">
        <v>8173</v>
      </c>
      <c r="D2037" s="16" t="s">
        <v>6559</v>
      </c>
      <c r="E2037" s="15" t="s">
        <v>11207</v>
      </c>
      <c r="F2037" s="16" t="str">
        <f>VLOOKUP(Table8[[#This Row],[Mã khách hàng]],code_khach_hang[],2,0)</f>
        <v>CHI NHÁNH THÁI NGUYÊN - CÔNG TY CỔ PHẦN DỊCH VỤ THƯƠNG MẠI TỔNG HỢP WINCOMMERCE</v>
      </c>
      <c r="G2037" s="16"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c r="A2038" s="14" t="s">
        <v>8605</v>
      </c>
      <c r="B2038" s="15" t="s">
        <v>5</v>
      </c>
      <c r="C2038" s="10" t="s">
        <v>8606</v>
      </c>
      <c r="D2038" s="16" t="s">
        <v>6562</v>
      </c>
      <c r="E2038" s="15" t="s">
        <v>11207</v>
      </c>
      <c r="F2038" s="16" t="str">
        <f>VLOOKUP(Table8[[#This Row],[Mã khách hàng]],code_khach_hang[],2,0)</f>
        <v>CHI NHÁNH THÁI NGUYÊN - CÔNG TY CỔ PHẦN DỊCH VỤ THƯƠNG MẠI TỔNG HỢP WINCOMMERCE</v>
      </c>
      <c r="G2038" s="16"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c r="A2039" s="14" t="s">
        <v>8768</v>
      </c>
      <c r="B2039" s="15" t="s">
        <v>5</v>
      </c>
      <c r="C2039" s="10" t="s">
        <v>8769</v>
      </c>
      <c r="D2039" s="16" t="s">
        <v>6565</v>
      </c>
      <c r="E2039" s="15" t="s">
        <v>11207</v>
      </c>
      <c r="F2039" s="16" t="str">
        <f>VLOOKUP(Table8[[#This Row],[Mã khách hàng]],code_khach_hang[],2,0)</f>
        <v>CHI NHÁNH THÁI NGUYÊN - CÔNG TY CỔ PHẦN DỊCH VỤ THƯƠNG MẠI TỔNG HỢP WINCOMMERCE</v>
      </c>
      <c r="G2039" s="16"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c r="A2040" s="14" t="s">
        <v>7912</v>
      </c>
      <c r="B2040" s="15" t="s">
        <v>5</v>
      </c>
      <c r="C2040" s="10" t="s">
        <v>7913</v>
      </c>
      <c r="D2040" s="16" t="s">
        <v>6568</v>
      </c>
      <c r="E2040" s="15" t="s">
        <v>11204</v>
      </c>
      <c r="F2040" s="16" t="str">
        <f>VLOOKUP(Table8[[#This Row],[Mã khách hàng]],code_khach_hang[],2,0)</f>
        <v>CHI NHÁNH TUYÊN QUANG - CÔNG TY CỔ PHẦN DỊCH VỤ THƯƠNG MẠI TỔNG HỢP WINCOMMERCE</v>
      </c>
      <c r="G2040" s="16"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c r="A2041" s="14" t="s">
        <v>8109</v>
      </c>
      <c r="B2041" s="15" t="s">
        <v>5</v>
      </c>
      <c r="C2041" s="10" t="s">
        <v>8110</v>
      </c>
      <c r="D2041" s="16" t="s">
        <v>6571</v>
      </c>
      <c r="E2041" s="15" t="s">
        <v>11204</v>
      </c>
      <c r="F2041" s="16" t="str">
        <f>VLOOKUP(Table8[[#This Row],[Mã khách hàng]],code_khach_hang[],2,0)</f>
        <v>CHI NHÁNH TUYÊN QUANG - CÔNG TY CỔ PHẦN DỊCH VỤ THƯƠNG MẠI TỔNG HỢP WINCOMMERCE</v>
      </c>
      <c r="G2041" s="16"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c r="A2042" s="14" t="s">
        <v>7966</v>
      </c>
      <c r="B2042" s="15" t="s">
        <v>5</v>
      </c>
      <c r="C2042" s="10" t="s">
        <v>7967</v>
      </c>
      <c r="D2042" s="16" t="s">
        <v>6574</v>
      </c>
      <c r="E2042" s="15" t="s">
        <v>11204</v>
      </c>
      <c r="F2042" s="16" t="str">
        <f>VLOOKUP(Table8[[#This Row],[Mã khách hàng]],code_khach_hang[],2,0)</f>
        <v>CHI NHÁNH TUYÊN QUANG - CÔNG TY CỔ PHẦN DỊCH VỤ THƯƠNG MẠI TỔNG HỢP WINCOMMERCE</v>
      </c>
      <c r="G2042" s="16"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c r="A2043" s="14" t="s">
        <v>5854</v>
      </c>
      <c r="B2043" s="15" t="s">
        <v>5</v>
      </c>
      <c r="C2043" s="10" t="s">
        <v>5855</v>
      </c>
      <c r="D2043" s="16" t="s">
        <v>6577</v>
      </c>
      <c r="E2043" s="15" t="s">
        <v>11204</v>
      </c>
      <c r="F2043" s="16" t="str">
        <f>VLOOKUP(Table8[[#This Row],[Mã khách hàng]],code_khach_hang[],2,0)</f>
        <v>CHI NHÁNH TUYÊN QUANG - CÔNG TY CỔ PHẦN DỊCH VỤ THƯƠNG MẠI TỔNG HỢP WINCOMMERCE</v>
      </c>
      <c r="G2043" s="16"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c r="A2044" s="14" t="s">
        <v>7637</v>
      </c>
      <c r="B2044" s="15" t="s">
        <v>5</v>
      </c>
      <c r="C2044" s="10" t="s">
        <v>7638</v>
      </c>
      <c r="D2044" s="16" t="s">
        <v>6580</v>
      </c>
      <c r="E2044" s="15" t="s">
        <v>11204</v>
      </c>
      <c r="F2044" s="16" t="str">
        <f>VLOOKUP(Table8[[#This Row],[Mã khách hàng]],code_khach_hang[],2,0)</f>
        <v>CHI NHÁNH TUYÊN QUANG - CÔNG TY CỔ PHẦN DỊCH VỤ THƯƠNG MẠI TỔNG HỢP WINCOMMERCE</v>
      </c>
      <c r="G2044" s="16"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c r="A2045" s="14" t="s">
        <v>7872</v>
      </c>
      <c r="B2045" s="15" t="s">
        <v>5</v>
      </c>
      <c r="C2045" s="10" t="s">
        <v>7873</v>
      </c>
      <c r="D2045" s="16" t="s">
        <v>6583</v>
      </c>
      <c r="E2045" s="15" t="s">
        <v>11204</v>
      </c>
      <c r="F2045" s="16" t="str">
        <f>VLOOKUP(Table8[[#This Row],[Mã khách hàng]],code_khach_hang[],2,0)</f>
        <v>CHI NHÁNH TUYÊN QUANG - CÔNG TY CỔ PHẦN DỊCH VỤ THƯƠNG MẠI TỔNG HỢP WINCOMMERCE</v>
      </c>
      <c r="G2045" s="16"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c r="A2046" s="14" t="s">
        <v>6773</v>
      </c>
      <c r="B2046" s="15" t="s">
        <v>5</v>
      </c>
      <c r="C2046" s="10" t="s">
        <v>6774</v>
      </c>
      <c r="D2046" s="16" t="s">
        <v>6586</v>
      </c>
      <c r="E2046" s="15" t="s">
        <v>11204</v>
      </c>
      <c r="F2046" s="16" t="str">
        <f>VLOOKUP(Table8[[#This Row],[Mã khách hàng]],code_khach_hang[],2,0)</f>
        <v>CHI NHÁNH TUYÊN QUANG - CÔNG TY CỔ PHẦN DỊCH VỤ THƯƠNG MẠI TỔNG HỢP WINCOMMERCE</v>
      </c>
      <c r="G2046" s="16"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c r="A2047" s="14" t="s">
        <v>5833</v>
      </c>
      <c r="B2047" s="15" t="s">
        <v>5</v>
      </c>
      <c r="C2047" s="10" t="s">
        <v>5834</v>
      </c>
      <c r="D2047" s="16" t="s">
        <v>6589</v>
      </c>
      <c r="E2047" s="15" t="s">
        <v>11204</v>
      </c>
      <c r="F2047" s="16" t="str">
        <f>VLOOKUP(Table8[[#This Row],[Mã khách hàng]],code_khach_hang[],2,0)</f>
        <v>CHI NHÁNH TUYÊN QUANG - CÔNG TY CỔ PHẦN DỊCH VỤ THƯƠNG MẠI TỔNG HỢP WINCOMMERCE</v>
      </c>
      <c r="G2047" s="16"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c r="A2048" s="14" t="s">
        <v>5597</v>
      </c>
      <c r="B2048" s="15" t="s">
        <v>5</v>
      </c>
      <c r="C2048" s="10" t="s">
        <v>5598</v>
      </c>
      <c r="D2048" s="16" t="s">
        <v>6592</v>
      </c>
      <c r="E2048" s="15" t="s">
        <v>11204</v>
      </c>
      <c r="F2048" s="16" t="str">
        <f>VLOOKUP(Table8[[#This Row],[Mã khách hàng]],code_khach_hang[],2,0)</f>
        <v>CHI NHÁNH TUYÊN QUANG - CÔNG TY CỔ PHẦN DỊCH VỤ THƯƠNG MẠI TỔNG HỢP WINCOMMERCE</v>
      </c>
      <c r="G2048" s="16"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c r="A2049" s="14" t="s">
        <v>5683</v>
      </c>
      <c r="B2049" s="15" t="s">
        <v>5</v>
      </c>
      <c r="C2049" s="10" t="s">
        <v>5684</v>
      </c>
      <c r="D2049" s="16" t="s">
        <v>6595</v>
      </c>
      <c r="E2049" s="15" t="s">
        <v>11204</v>
      </c>
      <c r="F2049" s="16" t="str">
        <f>VLOOKUP(Table8[[#This Row],[Mã khách hàng]],code_khach_hang[],2,0)</f>
        <v>CHI NHÁNH TUYÊN QUANG - CÔNG TY CỔ PHẦN DỊCH VỤ THƯƠNG MẠI TỔNG HỢP WINCOMMERCE</v>
      </c>
      <c r="G2049" s="16"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c r="A2050" s="14" t="s">
        <v>7153</v>
      </c>
      <c r="B2050" s="15" t="s">
        <v>5</v>
      </c>
      <c r="C2050" s="10" t="s">
        <v>7154</v>
      </c>
      <c r="D2050" s="16" t="s">
        <v>6598</v>
      </c>
      <c r="E2050" s="15" t="s">
        <v>11204</v>
      </c>
      <c r="F2050" s="16" t="str">
        <f>VLOOKUP(Table8[[#This Row],[Mã khách hàng]],code_khach_hang[],2,0)</f>
        <v>CHI NHÁNH TUYÊN QUANG - CÔNG TY CỔ PHẦN DỊCH VỤ THƯƠNG MẠI TỔNG HỢP WINCOMMERCE</v>
      </c>
      <c r="G2050" s="16"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c r="A2051" s="14" t="s">
        <v>5709</v>
      </c>
      <c r="B2051" s="15" t="s">
        <v>5</v>
      </c>
      <c r="C2051" s="10" t="s">
        <v>5710</v>
      </c>
      <c r="D2051" s="16" t="s">
        <v>6601</v>
      </c>
      <c r="E2051" s="15" t="s">
        <v>11204</v>
      </c>
      <c r="F2051" s="16" t="str">
        <f>VLOOKUP(Table8[[#This Row],[Mã khách hàng]],code_khach_hang[],2,0)</f>
        <v>CHI NHÁNH TUYÊN QUANG - CÔNG TY CỔ PHẦN DỊCH VỤ THƯƠNG MẠI TỔNG HỢP WINCOMMERCE</v>
      </c>
      <c r="G2051" s="16"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c r="A2052" s="14" t="s">
        <v>7598</v>
      </c>
      <c r="B2052" s="15" t="s">
        <v>5</v>
      </c>
      <c r="C2052" s="10" t="s">
        <v>7599</v>
      </c>
      <c r="D2052" s="16" t="s">
        <v>6604</v>
      </c>
      <c r="E2052" s="15" t="s">
        <v>11204</v>
      </c>
      <c r="F2052" s="16" t="str">
        <f>VLOOKUP(Table8[[#This Row],[Mã khách hàng]],code_khach_hang[],2,0)</f>
        <v>CHI NHÁNH TUYÊN QUANG - CÔNG TY CỔ PHẦN DỊCH VỤ THƯƠNG MẠI TỔNG HỢP WINCOMMERCE</v>
      </c>
      <c r="G2052" s="16"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c r="A2053" s="14" t="s">
        <v>7234</v>
      </c>
      <c r="B2053" s="15" t="s">
        <v>5</v>
      </c>
      <c r="C2053" s="10" t="s">
        <v>7235</v>
      </c>
      <c r="D2053" s="16" t="s">
        <v>6607</v>
      </c>
      <c r="E2053" s="15" t="s">
        <v>11204</v>
      </c>
      <c r="F2053" s="16" t="str">
        <f>VLOOKUP(Table8[[#This Row],[Mã khách hàng]],code_khach_hang[],2,0)</f>
        <v>CHI NHÁNH TUYÊN QUANG - CÔNG TY CỔ PHẦN DỊCH VỤ THƯƠNG MẠI TỔNG HỢP WINCOMMERCE</v>
      </c>
      <c r="G2053" s="16"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c r="A2054" s="14" t="s">
        <v>7137</v>
      </c>
      <c r="B2054" s="15" t="s">
        <v>5</v>
      </c>
      <c r="C2054" s="10" t="s">
        <v>7138</v>
      </c>
      <c r="D2054" s="16" t="s">
        <v>6610</v>
      </c>
      <c r="E2054" s="15" t="s">
        <v>11204</v>
      </c>
      <c r="F2054" s="16" t="str">
        <f>VLOOKUP(Table8[[#This Row],[Mã khách hàng]],code_khach_hang[],2,0)</f>
        <v>CHI NHÁNH TUYÊN QUANG - CÔNG TY CỔ PHẦN DỊCH VỤ THƯƠNG MẠI TỔNG HỢP WINCOMMERCE</v>
      </c>
      <c r="G2054" s="16"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c r="A2055" s="14" t="s">
        <v>5741</v>
      </c>
      <c r="B2055" s="15" t="s">
        <v>5</v>
      </c>
      <c r="C2055" s="10" t="s">
        <v>5742</v>
      </c>
      <c r="D2055" s="16" t="s">
        <v>6613</v>
      </c>
      <c r="E2055" s="15" t="s">
        <v>11204</v>
      </c>
      <c r="F2055" s="16" t="str">
        <f>VLOOKUP(Table8[[#This Row],[Mã khách hàng]],code_khach_hang[],2,0)</f>
        <v>CHI NHÁNH TUYÊN QUANG - CÔNG TY CỔ PHẦN DỊCH VỤ THƯƠNG MẠI TỔNG HỢP WINCOMMERCE</v>
      </c>
      <c r="G2055" s="16"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c r="A2056" s="14" t="s">
        <v>7253</v>
      </c>
      <c r="B2056" s="15" t="s">
        <v>5</v>
      </c>
      <c r="C2056" s="10" t="s">
        <v>7254</v>
      </c>
      <c r="D2056" s="16" t="s">
        <v>6616</v>
      </c>
      <c r="E2056" s="15" t="s">
        <v>11204</v>
      </c>
      <c r="F2056" s="16" t="str">
        <f>VLOOKUP(Table8[[#This Row],[Mã khách hàng]],code_khach_hang[],2,0)</f>
        <v>CHI NHÁNH TUYÊN QUANG - CÔNG TY CỔ PHẦN DỊCH VỤ THƯƠNG MẠI TỔNG HỢP WINCOMMERCE</v>
      </c>
      <c r="G2056" s="16"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c r="A2057" s="14" t="s">
        <v>5582</v>
      </c>
      <c r="B2057" s="15" t="s">
        <v>5</v>
      </c>
      <c r="C2057" s="10" t="s">
        <v>5583</v>
      </c>
      <c r="D2057" s="16" t="s">
        <v>6619</v>
      </c>
      <c r="E2057" s="15" t="s">
        <v>11204</v>
      </c>
      <c r="F2057" s="16" t="str">
        <f>VLOOKUP(Table8[[#This Row],[Mã khách hàng]],code_khach_hang[],2,0)</f>
        <v>CHI NHÁNH TUYÊN QUANG - CÔNG TY CỔ PHẦN DỊCH VỤ THƯƠNG MẠI TỔNG HỢP WINCOMMERCE</v>
      </c>
      <c r="G2057" s="16"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c r="A2058" s="14" t="s">
        <v>6776</v>
      </c>
      <c r="B2058" s="15" t="s">
        <v>5</v>
      </c>
      <c r="C2058" s="10" t="s">
        <v>6777</v>
      </c>
      <c r="D2058" s="16" t="s">
        <v>6622</v>
      </c>
      <c r="E2058" s="15" t="s">
        <v>11204</v>
      </c>
      <c r="F2058" s="16" t="str">
        <f>VLOOKUP(Table8[[#This Row],[Mã khách hàng]],code_khach_hang[],2,0)</f>
        <v>CHI NHÁNH TUYÊN QUANG - CÔNG TY CỔ PHẦN DỊCH VỤ THƯƠNG MẠI TỔNG HỢP WINCOMMERCE</v>
      </c>
      <c r="G2058" s="16"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c r="A2059" s="14" t="s">
        <v>7673</v>
      </c>
      <c r="B2059" s="15" t="s">
        <v>5</v>
      </c>
      <c r="C2059" s="10" t="s">
        <v>7674</v>
      </c>
      <c r="D2059" s="16" t="s">
        <v>6625</v>
      </c>
      <c r="E2059" s="15" t="s">
        <v>11204</v>
      </c>
      <c r="F2059" s="16" t="str">
        <f>VLOOKUP(Table8[[#This Row],[Mã khách hàng]],code_khach_hang[],2,0)</f>
        <v>CHI NHÁNH TUYÊN QUANG - CÔNG TY CỔ PHẦN DỊCH VỤ THƯƠNG MẠI TỔNG HỢP WINCOMMERCE</v>
      </c>
      <c r="G2059" s="16"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c r="A2060" s="14" t="s">
        <v>7550</v>
      </c>
      <c r="B2060" s="15" t="s">
        <v>5</v>
      </c>
      <c r="C2060" s="10" t="s">
        <v>7551</v>
      </c>
      <c r="D2060" s="16" t="s">
        <v>6628</v>
      </c>
      <c r="E2060" s="15" t="s">
        <v>11204</v>
      </c>
      <c r="F2060" s="16" t="str">
        <f>VLOOKUP(Table8[[#This Row],[Mã khách hàng]],code_khach_hang[],2,0)</f>
        <v>CHI NHÁNH TUYÊN QUANG - CÔNG TY CỔ PHẦN DỊCH VỤ THƯƠNG MẠI TỔNG HỢP WINCOMMERCE</v>
      </c>
      <c r="G2060" s="16"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c r="A2061" s="14" t="s">
        <v>7553</v>
      </c>
      <c r="B2061" s="15" t="s">
        <v>5</v>
      </c>
      <c r="C2061" s="10" t="s">
        <v>7554</v>
      </c>
      <c r="D2061" s="16" t="s">
        <v>6631</v>
      </c>
      <c r="E2061" s="15" t="s">
        <v>11204</v>
      </c>
      <c r="F2061" s="16" t="str">
        <f>VLOOKUP(Table8[[#This Row],[Mã khách hàng]],code_khach_hang[],2,0)</f>
        <v>CHI NHÁNH TUYÊN QUANG - CÔNG TY CỔ PHẦN DỊCH VỤ THƯƠNG MẠI TỔNG HỢP WINCOMMERCE</v>
      </c>
      <c r="G2061" s="16"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c r="A2062" s="14" t="s">
        <v>7592</v>
      </c>
      <c r="B2062" s="15" t="s">
        <v>5</v>
      </c>
      <c r="C2062" s="10" t="s">
        <v>7593</v>
      </c>
      <c r="D2062" s="16" t="s">
        <v>6634</v>
      </c>
      <c r="E2062" s="15" t="s">
        <v>11204</v>
      </c>
      <c r="F2062" s="16" t="str">
        <f>VLOOKUP(Table8[[#This Row],[Mã khách hàng]],code_khach_hang[],2,0)</f>
        <v>CHI NHÁNH TUYÊN QUANG - CÔNG TY CỔ PHẦN DỊCH VỤ THƯƠNG MẠI TỔNG HỢP WINCOMMERCE</v>
      </c>
      <c r="G2062" s="16"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c r="A2063" s="14" t="s">
        <v>7978</v>
      </c>
      <c r="B2063" s="15" t="s">
        <v>5</v>
      </c>
      <c r="C2063" s="10" t="e">
        <v>#N/A</v>
      </c>
      <c r="D2063" s="16" t="s">
        <v>6637</v>
      </c>
      <c r="E2063" s="15" t="s">
        <v>11194</v>
      </c>
      <c r="F2063" s="16" t="str">
        <f>VLOOKUP(Table8[[#This Row],[Mã khách hàng]],code_khach_hang[],2,0)</f>
        <v>CHI NHÁNH VĨNH PHÚC - CÔNG TY CỔ PHẦN DỊCH VỤ THƯƠNG MẠI TỔNG HỢP WINCOMMERCE</v>
      </c>
      <c r="G2063" s="16"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c r="A2064" s="14" t="s">
        <v>7712</v>
      </c>
      <c r="B2064" s="15" t="s">
        <v>5</v>
      </c>
      <c r="C2064" s="10" t="s">
        <v>7713</v>
      </c>
      <c r="D2064" s="16" t="s">
        <v>6640</v>
      </c>
      <c r="E2064" s="15" t="s">
        <v>11194</v>
      </c>
      <c r="F2064" s="16" t="str">
        <f>VLOOKUP(Table8[[#This Row],[Mã khách hàng]],code_khach_hang[],2,0)</f>
        <v>CHI NHÁNH VĨNH PHÚC - CÔNG TY CỔ PHẦN DỊCH VỤ THƯƠNG MẠI TỔNG HỢP WINCOMMERCE</v>
      </c>
      <c r="G2064" s="16"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c r="A2065" s="14" t="s">
        <v>8016</v>
      </c>
      <c r="B2065" s="15" t="s">
        <v>5</v>
      </c>
      <c r="C2065" s="10" t="s">
        <v>8017</v>
      </c>
      <c r="D2065" s="16" t="s">
        <v>6643</v>
      </c>
      <c r="E2065" s="15" t="s">
        <v>11194</v>
      </c>
      <c r="F2065" s="16" t="str">
        <f>VLOOKUP(Table8[[#This Row],[Mã khách hàng]],code_khach_hang[],2,0)</f>
        <v>CHI NHÁNH VĨNH PHÚC - CÔNG TY CỔ PHẦN DỊCH VỤ THƯƠNG MẠI TỔNG HỢP WINCOMMERCE</v>
      </c>
      <c r="G2065" s="16"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c r="A2066" s="14" t="s">
        <v>8133</v>
      </c>
      <c r="B2066" s="15" t="s">
        <v>5</v>
      </c>
      <c r="C2066" s="10" t="s">
        <v>8134</v>
      </c>
      <c r="D2066" s="16" t="s">
        <v>6646</v>
      </c>
      <c r="E2066" s="15" t="s">
        <v>11194</v>
      </c>
      <c r="F2066" s="16" t="str">
        <f>VLOOKUP(Table8[[#This Row],[Mã khách hàng]],code_khach_hang[],2,0)</f>
        <v>CHI NHÁNH VĨNH PHÚC - CÔNG TY CỔ PHẦN DỊCH VỤ THƯƠNG MẠI TỔNG HỢP WINCOMMERCE</v>
      </c>
      <c r="G2066" s="16"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c r="A2067" s="14" t="s">
        <v>5845</v>
      </c>
      <c r="B2067" s="15" t="s">
        <v>5</v>
      </c>
      <c r="C2067" s="10" t="s">
        <v>5846</v>
      </c>
      <c r="D2067" s="16" t="s">
        <v>6649</v>
      </c>
      <c r="E2067" s="15" t="s">
        <v>11194</v>
      </c>
      <c r="F2067" s="16" t="str">
        <f>VLOOKUP(Table8[[#This Row],[Mã khách hàng]],code_khach_hang[],2,0)</f>
        <v>CHI NHÁNH VĨNH PHÚC - CÔNG TY CỔ PHẦN DỊCH VỤ THƯƠNG MẠI TỔNG HỢP WINCOMMERCE</v>
      </c>
      <c r="G2067" s="16"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c r="A2068" s="14" t="s">
        <v>6205</v>
      </c>
      <c r="B2068" s="15" t="s">
        <v>5</v>
      </c>
      <c r="C2068" s="10" t="e">
        <v>#N/A</v>
      </c>
      <c r="D2068" s="16" t="s">
        <v>6652</v>
      </c>
      <c r="E2068" s="15" t="s">
        <v>11194</v>
      </c>
      <c r="F2068" s="16" t="str">
        <f>VLOOKUP(Table8[[#This Row],[Mã khách hàng]],code_khach_hang[],2,0)</f>
        <v>CHI NHÁNH VĨNH PHÚC - CÔNG TY CỔ PHẦN DỊCH VỤ THƯƠNG MẠI TỔNG HỢP WINCOMMERCE</v>
      </c>
      <c r="G2068" s="16"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c r="A2069" s="14" t="s">
        <v>7992</v>
      </c>
      <c r="B2069" s="15" t="s">
        <v>5</v>
      </c>
      <c r="C2069" s="10" t="s">
        <v>7993</v>
      </c>
      <c r="D2069" s="16" t="s">
        <v>6655</v>
      </c>
      <c r="E2069" s="15" t="s">
        <v>11194</v>
      </c>
      <c r="F2069" s="16" t="str">
        <f>VLOOKUP(Table8[[#This Row],[Mã khách hàng]],code_khach_hang[],2,0)</f>
        <v>CHI NHÁNH VĨNH PHÚC - CÔNG TY CỔ PHẦN DỊCH VỤ THƯƠNG MẠI TỔNG HỢP WINCOMMERCE</v>
      </c>
      <c r="G2069" s="16"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c r="A2070" s="14" t="s">
        <v>7795</v>
      </c>
      <c r="B2070" s="15" t="s">
        <v>5</v>
      </c>
      <c r="C2070" s="10" t="s">
        <v>7796</v>
      </c>
      <c r="D2070" s="16" t="s">
        <v>6658</v>
      </c>
      <c r="E2070" s="15" t="s">
        <v>11194</v>
      </c>
      <c r="F2070" s="16" t="str">
        <f>VLOOKUP(Table8[[#This Row],[Mã khách hàng]],code_khach_hang[],2,0)</f>
        <v>CHI NHÁNH VĨNH PHÚC - CÔNG TY CỔ PHẦN DỊCH VỤ THƯƠNG MẠI TỔNG HỢP WINCOMMERCE</v>
      </c>
      <c r="G2070" s="16"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c r="A2071" s="14" t="s">
        <v>6869</v>
      </c>
      <c r="B2071" s="15" t="s">
        <v>5</v>
      </c>
      <c r="C2071" s="10" t="s">
        <v>6870</v>
      </c>
      <c r="D2071" s="16" t="s">
        <v>6661</v>
      </c>
      <c r="E2071" s="15" t="s">
        <v>11194</v>
      </c>
      <c r="F2071" s="16" t="str">
        <f>VLOOKUP(Table8[[#This Row],[Mã khách hàng]],code_khach_hang[],2,0)</f>
        <v>CHI NHÁNH VĨNH PHÚC - CÔNG TY CỔ PHẦN DỊCH VỤ THƯƠNG MẠI TỔNG HỢP WINCOMMERCE</v>
      </c>
      <c r="G2071" s="16"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c r="A2072" s="14" t="s">
        <v>6013</v>
      </c>
      <c r="B2072" s="15" t="s">
        <v>5</v>
      </c>
      <c r="C2072" s="10" t="s">
        <v>6014</v>
      </c>
      <c r="D2072" s="16" t="s">
        <v>6664</v>
      </c>
      <c r="E2072" s="15" t="s">
        <v>11194</v>
      </c>
      <c r="F2072" s="16" t="str">
        <f>VLOOKUP(Table8[[#This Row],[Mã khách hàng]],code_khach_hang[],2,0)</f>
        <v>CHI NHÁNH VĨNH PHÚC - CÔNG TY CỔ PHẦN DỊCH VỤ THƯƠNG MẠI TỔNG HỢP WINCOMMERCE</v>
      </c>
      <c r="G2072" s="16"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c r="A2073" s="14" t="s">
        <v>5445</v>
      </c>
      <c r="B2073" s="15" t="s">
        <v>5</v>
      </c>
      <c r="C2073" s="10" t="s">
        <v>5446</v>
      </c>
      <c r="D2073" s="16" t="s">
        <v>6667</v>
      </c>
      <c r="E2073" s="15" t="s">
        <v>11194</v>
      </c>
      <c r="F2073" s="16" t="str">
        <f>VLOOKUP(Table8[[#This Row],[Mã khách hàng]],code_khach_hang[],2,0)</f>
        <v>CHI NHÁNH VĨNH PHÚC - CÔNG TY CỔ PHẦN DỊCH VỤ THƯƠNG MẠI TỔNG HỢP WINCOMMERCE</v>
      </c>
      <c r="G2073" s="16"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c r="A2074" s="14" t="s">
        <v>5448</v>
      </c>
      <c r="B2074" s="15" t="s">
        <v>5</v>
      </c>
      <c r="C2074" s="10" t="s">
        <v>5449</v>
      </c>
      <c r="D2074" s="16" t="s">
        <v>6670</v>
      </c>
      <c r="E2074" s="15" t="s">
        <v>11194</v>
      </c>
      <c r="F2074" s="16" t="str">
        <f>VLOOKUP(Table8[[#This Row],[Mã khách hàng]],code_khach_hang[],2,0)</f>
        <v>CHI NHÁNH VĨNH PHÚC - CÔNG TY CỔ PHẦN DỊCH VỤ THƯƠNG MẠI TỔNG HỢP WINCOMMERCE</v>
      </c>
      <c r="G2074" s="16"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c r="A2075" s="14" t="s">
        <v>7881</v>
      </c>
      <c r="B2075" s="15" t="s">
        <v>5</v>
      </c>
      <c r="C2075" s="10" t="s">
        <v>7882</v>
      </c>
      <c r="D2075" s="16" t="s">
        <v>6673</v>
      </c>
      <c r="E2075" s="15" t="s">
        <v>11194</v>
      </c>
      <c r="F2075" s="16" t="str">
        <f>VLOOKUP(Table8[[#This Row],[Mã khách hàng]],code_khach_hang[],2,0)</f>
        <v>CHI NHÁNH VĨNH PHÚC - CÔNG TY CỔ PHẦN DỊCH VỤ THƯƠNG MẠI TỔNG HỢP WINCOMMERCE</v>
      </c>
      <c r="G2075" s="16"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c r="A2076" s="14" t="s">
        <v>5460</v>
      </c>
      <c r="B2076" s="15" t="s">
        <v>5</v>
      </c>
      <c r="C2076" s="10" t="s">
        <v>5461</v>
      </c>
      <c r="D2076" s="16" t="s">
        <v>6676</v>
      </c>
      <c r="E2076" s="15" t="s">
        <v>11194</v>
      </c>
      <c r="F2076" s="16" t="str">
        <f>VLOOKUP(Table8[[#This Row],[Mã khách hàng]],code_khach_hang[],2,0)</f>
        <v>CHI NHÁNH VĨNH PHÚC - CÔNG TY CỔ PHẦN DỊCH VỤ THƯƠNG MẠI TỔNG HỢP WINCOMMERCE</v>
      </c>
      <c r="G2076" s="16"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c r="A2077" s="14" t="s">
        <v>5466</v>
      </c>
      <c r="B2077" s="15" t="s">
        <v>5</v>
      </c>
      <c r="C2077" s="10" t="s">
        <v>5467</v>
      </c>
      <c r="D2077" s="16" t="s">
        <v>6679</v>
      </c>
      <c r="E2077" s="15" t="s">
        <v>11194</v>
      </c>
      <c r="F2077" s="16" t="str">
        <f>VLOOKUP(Table8[[#This Row],[Mã khách hàng]],code_khach_hang[],2,0)</f>
        <v>CHI NHÁNH VĨNH PHÚC - CÔNG TY CỔ PHẦN DỊCH VỤ THƯƠNG MẠI TỔNG HỢP WINCOMMERCE</v>
      </c>
      <c r="G2077" s="16"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c r="A2078" s="14" t="s">
        <v>5668</v>
      </c>
      <c r="B2078" s="15" t="s">
        <v>5</v>
      </c>
      <c r="C2078" s="10" t="s">
        <v>5669</v>
      </c>
      <c r="D2078" s="16" t="s">
        <v>6682</v>
      </c>
      <c r="E2078" s="15" t="s">
        <v>11194</v>
      </c>
      <c r="F2078" s="16" t="str">
        <f>VLOOKUP(Table8[[#This Row],[Mã khách hàng]],code_khach_hang[],2,0)</f>
        <v>CHI NHÁNH VĨNH PHÚC - CÔNG TY CỔ PHẦN DỊCH VỤ THƯƠNG MẠI TỔNG HỢP WINCOMMERCE</v>
      </c>
      <c r="G2078" s="16"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c r="A2079" s="14" t="s">
        <v>5998</v>
      </c>
      <c r="B2079" s="15" t="s">
        <v>5</v>
      </c>
      <c r="C2079" s="10" t="s">
        <v>5999</v>
      </c>
      <c r="D2079" s="16" t="s">
        <v>6685</v>
      </c>
      <c r="E2079" s="15" t="s">
        <v>11194</v>
      </c>
      <c r="F2079" s="16" t="str">
        <f>VLOOKUP(Table8[[#This Row],[Mã khách hàng]],code_khach_hang[],2,0)</f>
        <v>CHI NHÁNH VĨNH PHÚC - CÔNG TY CỔ PHẦN DỊCH VỤ THƯƠNG MẠI TỔNG HỢP WINCOMMERCE</v>
      </c>
      <c r="G2079" s="16"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c r="A2080" s="14" t="s">
        <v>5508</v>
      </c>
      <c r="B2080" s="15" t="s">
        <v>5</v>
      </c>
      <c r="C2080" s="10" t="s">
        <v>5509</v>
      </c>
      <c r="D2080" s="16" t="s">
        <v>6688</v>
      </c>
      <c r="E2080" s="14" t="s">
        <v>11194</v>
      </c>
      <c r="F2080" s="16" t="str">
        <f>VLOOKUP(Table8[[#This Row],[Mã khách hàng]],code_khach_hang[],2,0)</f>
        <v>CHI NHÁNH VĨNH PHÚC - CÔNG TY CỔ PHẦN DỊCH VỤ THƯƠNG MẠI TỔNG HỢP WINCOMMERCE</v>
      </c>
      <c r="G2080" s="16"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c r="A2081" s="14" t="s">
        <v>5511</v>
      </c>
      <c r="B2081" s="15" t="s">
        <v>5</v>
      </c>
      <c r="C2081" s="10" t="s">
        <v>5512</v>
      </c>
      <c r="D2081" s="16" t="s">
        <v>6691</v>
      </c>
      <c r="E2081" s="15" t="s">
        <v>11194</v>
      </c>
      <c r="F2081" s="16" t="str">
        <f>VLOOKUP(Table8[[#This Row],[Mã khách hàng]],code_khach_hang[],2,0)</f>
        <v>CHI NHÁNH VĨNH PHÚC - CÔNG TY CỔ PHẦN DỊCH VỤ THƯƠNG MẠI TỔNG HỢP WINCOMMERCE</v>
      </c>
      <c r="G2081" s="16"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c r="A2082" s="14" t="s">
        <v>5463</v>
      </c>
      <c r="B2082" s="15" t="s">
        <v>5</v>
      </c>
      <c r="C2082" s="10" t="s">
        <v>5464</v>
      </c>
      <c r="D2082" s="16" t="s">
        <v>6694</v>
      </c>
      <c r="E2082" s="15" t="s">
        <v>11194</v>
      </c>
      <c r="F2082" s="16" t="str">
        <f>VLOOKUP(Table8[[#This Row],[Mã khách hàng]],code_khach_hang[],2,0)</f>
        <v>CHI NHÁNH VĨNH PHÚC - CÔNG TY CỔ PHẦN DỊCH VỤ THƯƠNG MẠI TỔNG HỢP WINCOMMERCE</v>
      </c>
      <c r="G2082" s="16"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c r="A2083" s="14" t="s">
        <v>5677</v>
      </c>
      <c r="B2083" s="15" t="s">
        <v>5</v>
      </c>
      <c r="C2083" s="10" t="s">
        <v>5678</v>
      </c>
      <c r="D2083" s="16" t="s">
        <v>6697</v>
      </c>
      <c r="E2083" s="15" t="s">
        <v>11194</v>
      </c>
      <c r="F2083" s="16" t="str">
        <f>VLOOKUP(Table8[[#This Row],[Mã khách hàng]],code_khach_hang[],2,0)</f>
        <v>CHI NHÁNH VĨNH PHÚC - CÔNG TY CỔ PHẦN DỊCH VỤ THƯƠNG MẠI TỔNG HỢP WINCOMMERCE</v>
      </c>
      <c r="G2083" s="16"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c r="A2084" s="14" t="s">
        <v>7282</v>
      </c>
      <c r="B2084" s="15" t="s">
        <v>5</v>
      </c>
      <c r="C2084" s="10" t="s">
        <v>7283</v>
      </c>
      <c r="D2084" s="16" t="s">
        <v>6700</v>
      </c>
      <c r="E2084" s="15" t="s">
        <v>11194</v>
      </c>
      <c r="F2084" s="16" t="str">
        <f>VLOOKUP(Table8[[#This Row],[Mã khách hàng]],code_khach_hang[],2,0)</f>
        <v>CHI NHÁNH VĨNH PHÚC - CÔNG TY CỔ PHẦN DỊCH VỤ THƯƠNG MẠI TỔNG HỢP WINCOMMERCE</v>
      </c>
      <c r="G2084" s="16"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c r="A2085" s="14" t="s">
        <v>7580</v>
      </c>
      <c r="B2085" s="15" t="s">
        <v>5</v>
      </c>
      <c r="C2085" s="10" t="s">
        <v>7581</v>
      </c>
      <c r="D2085" s="16" t="s">
        <v>6703</v>
      </c>
      <c r="E2085" s="15" t="s">
        <v>11194</v>
      </c>
      <c r="F2085" s="16" t="str">
        <f>VLOOKUP(Table8[[#This Row],[Mã khách hàng]],code_khach_hang[],2,0)</f>
        <v>CHI NHÁNH VĨNH PHÚC - CÔNG TY CỔ PHẦN DỊCH VỤ THƯƠNG MẠI TỔNG HỢP WINCOMMERCE</v>
      </c>
      <c r="G2085" s="16"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c r="A2086" s="14" t="s">
        <v>5472</v>
      </c>
      <c r="B2086" s="15" t="s">
        <v>5</v>
      </c>
      <c r="C2086" s="10" t="s">
        <v>5473</v>
      </c>
      <c r="D2086" s="16" t="s">
        <v>6706</v>
      </c>
      <c r="E2086" s="15" t="s">
        <v>11194</v>
      </c>
      <c r="F2086" s="16" t="str">
        <f>VLOOKUP(Table8[[#This Row],[Mã khách hàng]],code_khach_hang[],2,0)</f>
        <v>CHI NHÁNH VĨNH PHÚC - CÔNG TY CỔ PHẦN DỊCH VỤ THƯƠNG MẠI TỔNG HỢP WINCOMMERCE</v>
      </c>
      <c r="G2086" s="16"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c r="A2087" s="14" t="s">
        <v>6115</v>
      </c>
      <c r="B2087" s="15" t="s">
        <v>5</v>
      </c>
      <c r="C2087" s="10" t="s">
        <v>6116</v>
      </c>
      <c r="D2087" s="16" t="s">
        <v>6709</v>
      </c>
      <c r="E2087" s="15" t="s">
        <v>11194</v>
      </c>
      <c r="F2087" s="16" t="str">
        <f>VLOOKUP(Table8[[#This Row],[Mã khách hàng]],code_khach_hang[],2,0)</f>
        <v>CHI NHÁNH VĨNH PHÚC - CÔNG TY CỔ PHẦN DỊCH VỤ THƯƠNG MẠI TỔNG HỢP WINCOMMERCE</v>
      </c>
      <c r="G2087" s="16"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c r="A2088" s="14" t="s">
        <v>6923</v>
      </c>
      <c r="B2088" s="15" t="s">
        <v>5</v>
      </c>
      <c r="C2088" s="10" t="s">
        <v>6924</v>
      </c>
      <c r="D2088" s="16" t="s">
        <v>6712</v>
      </c>
      <c r="E2088" s="15" t="s">
        <v>11194</v>
      </c>
      <c r="F2088" s="16" t="str">
        <f>VLOOKUP(Table8[[#This Row],[Mã khách hàng]],code_khach_hang[],2,0)</f>
        <v>CHI NHÁNH VĨNH PHÚC - CÔNG TY CỔ PHẦN DỊCH VỤ THƯƠNG MẠI TỔNG HỢP WINCOMMERCE</v>
      </c>
      <c r="G2088" s="16"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c r="A2089" s="14" t="s">
        <v>7228</v>
      </c>
      <c r="B2089" s="15" t="s">
        <v>5</v>
      </c>
      <c r="C2089" s="10" t="s">
        <v>7229</v>
      </c>
      <c r="D2089" s="16" t="s">
        <v>6715</v>
      </c>
      <c r="E2089" s="15" t="s">
        <v>11194</v>
      </c>
      <c r="F2089" s="16" t="str">
        <f>VLOOKUP(Table8[[#This Row],[Mã khách hàng]],code_khach_hang[],2,0)</f>
        <v>CHI NHÁNH VĨNH PHÚC - CÔNG TY CỔ PHẦN DỊCH VỤ THƯƠNG MẠI TỔNG HỢP WINCOMMERCE</v>
      </c>
      <c r="G2089" s="16"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c r="A2090" s="14" t="s">
        <v>7217</v>
      </c>
      <c r="B2090" s="15" t="s">
        <v>5</v>
      </c>
      <c r="C2090" s="10" t="e">
        <v>#N/A</v>
      </c>
      <c r="D2090" s="16" t="s">
        <v>6718</v>
      </c>
      <c r="E2090" s="15" t="s">
        <v>11194</v>
      </c>
      <c r="F2090" s="16" t="str">
        <f>VLOOKUP(Table8[[#This Row],[Mã khách hàng]],code_khach_hang[],2,0)</f>
        <v>CHI NHÁNH VĨNH PHÚC - CÔNG TY CỔ PHẦN DỊCH VỤ THƯƠNG MẠI TỔNG HỢP WINCOMMERCE</v>
      </c>
      <c r="G2090" s="16"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c r="A2091" s="14" t="s">
        <v>524</v>
      </c>
      <c r="B2091" s="15" t="s">
        <v>5</v>
      </c>
      <c r="C2091" s="10" t="s">
        <v>525</v>
      </c>
      <c r="D2091" s="16" t="s">
        <v>6721</v>
      </c>
      <c r="E2091" s="15" t="s">
        <v>11194</v>
      </c>
      <c r="F2091" s="16" t="str">
        <f>VLOOKUP(Table8[[#This Row],[Mã khách hàng]],code_khach_hang[],2,0)</f>
        <v>CHI NHÁNH VĨNH PHÚC - CÔNG TY CỔ PHẦN DỊCH VỤ THƯƠNG MẠI TỔNG HỢP WINCOMMERCE</v>
      </c>
      <c r="G2091" s="16"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c r="A2092" s="14" t="s">
        <v>6938</v>
      </c>
      <c r="B2092" s="15" t="s">
        <v>5</v>
      </c>
      <c r="C2092" s="10" t="s">
        <v>6939</v>
      </c>
      <c r="D2092" s="16" t="s">
        <v>6724</v>
      </c>
      <c r="E2092" s="15" t="s">
        <v>11194</v>
      </c>
      <c r="F2092" s="16" t="str">
        <f>VLOOKUP(Table8[[#This Row],[Mã khách hàng]],code_khach_hang[],2,0)</f>
        <v>CHI NHÁNH VĨNH PHÚC - CÔNG TY CỔ PHẦN DỊCH VỤ THƯƠNG MẠI TỔNG HỢP WINCOMMERCE</v>
      </c>
      <c r="G2092" s="16"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c r="A2093" s="14" t="s">
        <v>5523</v>
      </c>
      <c r="B2093" s="15" t="s">
        <v>5</v>
      </c>
      <c r="C2093" s="10" t="s">
        <v>5524</v>
      </c>
      <c r="D2093" s="16" t="s">
        <v>6727</v>
      </c>
      <c r="E2093" s="15" t="s">
        <v>11194</v>
      </c>
      <c r="F2093" s="16" t="str">
        <f>VLOOKUP(Table8[[#This Row],[Mã khách hàng]],code_khach_hang[],2,0)</f>
        <v>CHI NHÁNH VĨNH PHÚC - CÔNG TY CỔ PHẦN DỊCH VỤ THƯƠNG MẠI TỔNG HỢP WINCOMMERCE</v>
      </c>
      <c r="G2093" s="16"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c r="A2094" s="14" t="s">
        <v>7309</v>
      </c>
      <c r="B2094" s="15" t="s">
        <v>5</v>
      </c>
      <c r="C2094" s="10" t="s">
        <v>7310</v>
      </c>
      <c r="D2094" s="16" t="s">
        <v>6730</v>
      </c>
      <c r="E2094" s="15" t="s">
        <v>11194</v>
      </c>
      <c r="F2094" s="16" t="str">
        <f>VLOOKUP(Table8[[#This Row],[Mã khách hàng]],code_khach_hang[],2,0)</f>
        <v>CHI NHÁNH VĨNH PHÚC - CÔNG TY CỔ PHẦN DỊCH VỤ THƯƠNG MẠI TỔNG HỢP WINCOMMERCE</v>
      </c>
      <c r="G2094" s="16"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c r="A2095" s="14" t="s">
        <v>7517</v>
      </c>
      <c r="B2095" s="15" t="s">
        <v>5</v>
      </c>
      <c r="C2095" s="10" t="s">
        <v>7518</v>
      </c>
      <c r="D2095" s="16" t="s">
        <v>6733</v>
      </c>
      <c r="E2095" s="15" t="s">
        <v>11194</v>
      </c>
      <c r="F2095" s="16" t="str">
        <f>VLOOKUP(Table8[[#This Row],[Mã khách hàng]],code_khach_hang[],2,0)</f>
        <v>CHI NHÁNH VĨNH PHÚC - CÔNG TY CỔ PHẦN DỊCH VỤ THƯƠNG MẠI TỔNG HỢP WINCOMMERCE</v>
      </c>
      <c r="G2095" s="16"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c r="A2096" s="14" t="s">
        <v>7616</v>
      </c>
      <c r="B2096" s="15" t="s">
        <v>5</v>
      </c>
      <c r="C2096" s="10" t="s">
        <v>7617</v>
      </c>
      <c r="D2096" s="16" t="s">
        <v>6736</v>
      </c>
      <c r="E2096" s="15" t="s">
        <v>11194</v>
      </c>
      <c r="F2096" s="16" t="str">
        <f>VLOOKUP(Table8[[#This Row],[Mã khách hàng]],code_khach_hang[],2,0)</f>
        <v>CHI NHÁNH VĨNH PHÚC - CÔNG TY CỔ PHẦN DỊCH VỤ THƯƠNG MẠI TỔNG HỢP WINCOMMERCE</v>
      </c>
      <c r="G2096" s="16"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c r="A2097" s="14" t="s">
        <v>7664</v>
      </c>
      <c r="B2097" s="15" t="s">
        <v>5</v>
      </c>
      <c r="C2097" s="10" t="s">
        <v>7665</v>
      </c>
      <c r="D2097" s="16" t="s">
        <v>6739</v>
      </c>
      <c r="E2097" s="15" t="s">
        <v>11194</v>
      </c>
      <c r="F2097" s="16" t="str">
        <f>VLOOKUP(Table8[[#This Row],[Mã khách hàng]],code_khach_hang[],2,0)</f>
        <v>CHI NHÁNH VĨNH PHÚC - CÔNG TY CỔ PHẦN DỊCH VỤ THƯƠNG MẠI TỔNG HỢP WINCOMMERCE</v>
      </c>
      <c r="G2097" s="16"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c r="A2098" s="14" t="s">
        <v>7801</v>
      </c>
      <c r="B2098" s="15" t="s">
        <v>5</v>
      </c>
      <c r="C2098" s="10" t="s">
        <v>7802</v>
      </c>
      <c r="D2098" s="16" t="s">
        <v>6742</v>
      </c>
      <c r="E2098" s="15" t="s">
        <v>11194</v>
      </c>
      <c r="F2098" s="16" t="str">
        <f>VLOOKUP(Table8[[#This Row],[Mã khách hàng]],code_khach_hang[],2,0)</f>
        <v>CHI NHÁNH VĨNH PHÚC - CÔNG TY CỔ PHẦN DỊCH VỤ THƯƠNG MẠI TỔNG HỢP WINCOMMERCE</v>
      </c>
      <c r="G2098" s="16"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c r="A2099" s="14" t="s">
        <v>5490</v>
      </c>
      <c r="B2099" s="15" t="s">
        <v>5</v>
      </c>
      <c r="C2099" s="10" t="s">
        <v>5491</v>
      </c>
      <c r="D2099" s="16" t="s">
        <v>6745</v>
      </c>
      <c r="E2099" s="15" t="s">
        <v>11194</v>
      </c>
      <c r="F2099" s="16" t="str">
        <f>VLOOKUP(Table8[[#This Row],[Mã khách hàng]],code_khach_hang[],2,0)</f>
        <v>CHI NHÁNH VĨNH PHÚC - CÔNG TY CỔ PHẦN DỊCH VỤ THƯƠNG MẠI TỔNG HỢP WINCOMMERCE</v>
      </c>
      <c r="G2099" s="16"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c r="A2100" s="14" t="s">
        <v>8127</v>
      </c>
      <c r="B2100" s="15" t="s">
        <v>5</v>
      </c>
      <c r="C2100" s="10" t="s">
        <v>8128</v>
      </c>
      <c r="D2100" s="16" t="s">
        <v>6748</v>
      </c>
      <c r="E2100" s="15" t="s">
        <v>11194</v>
      </c>
      <c r="F2100" s="16" t="str">
        <f>VLOOKUP(Table8[[#This Row],[Mã khách hàng]],code_khach_hang[],2,0)</f>
        <v>CHI NHÁNH VĨNH PHÚC - CÔNG TY CỔ PHẦN DỊCH VỤ THƯƠNG MẠI TỔNG HỢP WINCOMMERCE</v>
      </c>
      <c r="G2100" s="16"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c r="A2101" s="14" t="s">
        <v>8331</v>
      </c>
      <c r="B2101" s="15" t="s">
        <v>5</v>
      </c>
      <c r="C2101" s="10" t="s">
        <v>8332</v>
      </c>
      <c r="D2101" s="16" t="s">
        <v>6751</v>
      </c>
      <c r="E2101" s="15" t="s">
        <v>11194</v>
      </c>
      <c r="F2101" s="16" t="str">
        <f>VLOOKUP(Table8[[#This Row],[Mã khách hàng]],code_khach_hang[],2,0)</f>
        <v>CHI NHÁNH VĨNH PHÚC - CÔNG TY CỔ PHẦN DỊCH VỤ THƯƠNG MẠI TỔNG HỢP WINCOMMERCE</v>
      </c>
      <c r="G2101" s="16"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c r="A2102" s="14" t="s">
        <v>8343</v>
      </c>
      <c r="B2102" s="15" t="s">
        <v>5</v>
      </c>
      <c r="C2102" s="10" t="s">
        <v>8344</v>
      </c>
      <c r="D2102" s="16" t="s">
        <v>6754</v>
      </c>
      <c r="E2102" s="15" t="s">
        <v>11194</v>
      </c>
      <c r="F2102" s="16" t="str">
        <f>VLOOKUP(Table8[[#This Row],[Mã khách hàng]],code_khach_hang[],2,0)</f>
        <v>CHI NHÁNH VĨNH PHÚC - CÔNG TY CỔ PHẦN DỊCH VỤ THƯƠNG MẠI TỔNG HỢP WINCOMMERCE</v>
      </c>
      <c r="G2102" s="16"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c r="A2103" s="14" t="s">
        <v>8106</v>
      </c>
      <c r="B2103" s="15" t="s">
        <v>5</v>
      </c>
      <c r="C2103" s="10" t="s">
        <v>8107</v>
      </c>
      <c r="D2103" s="16" t="s">
        <v>6757</v>
      </c>
      <c r="E2103" s="15" t="s">
        <v>11194</v>
      </c>
      <c r="F2103" s="16" t="str">
        <f>VLOOKUP(Table8[[#This Row],[Mã khách hàng]],code_khach_hang[],2,0)</f>
        <v>CHI NHÁNH VĨNH PHÚC - CÔNG TY CỔ PHẦN DỊCH VỤ THƯƠNG MẠI TỔNG HỢP WINCOMMERCE</v>
      </c>
      <c r="G2103" s="16"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c r="A2104" s="14" t="s">
        <v>8410</v>
      </c>
      <c r="B2104" s="15" t="s">
        <v>5</v>
      </c>
      <c r="C2104" s="10" t="s">
        <v>8411</v>
      </c>
      <c r="D2104" s="16" t="s">
        <v>6760</v>
      </c>
      <c r="E2104" s="15" t="s">
        <v>11194</v>
      </c>
      <c r="F2104" s="16" t="str">
        <f>VLOOKUP(Table8[[#This Row],[Mã khách hàng]],code_khach_hang[],2,0)</f>
        <v>CHI NHÁNH VĨNH PHÚC - CÔNG TY CỔ PHẦN DỊCH VỤ THƯƠNG MẠI TỔNG HỢP WINCOMMERCE</v>
      </c>
      <c r="G2104" s="16"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c r="A2105" s="14" t="s">
        <v>8376</v>
      </c>
      <c r="B2105" s="15" t="s">
        <v>5</v>
      </c>
      <c r="C2105" s="10" t="s">
        <v>8377</v>
      </c>
      <c r="D2105" s="16" t="s">
        <v>6763</v>
      </c>
      <c r="E2105" s="15" t="s">
        <v>11194</v>
      </c>
      <c r="F2105" s="16" t="str">
        <f>VLOOKUP(Table8[[#This Row],[Mã khách hàng]],code_khach_hang[],2,0)</f>
        <v>CHI NHÁNH VĨNH PHÚC - CÔNG TY CỔ PHẦN DỊCH VỤ THƯƠNG MẠI TỔNG HỢP WINCOMMERCE</v>
      </c>
      <c r="G2105" s="16"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c r="A2106" s="14" t="s">
        <v>8521</v>
      </c>
      <c r="B2106" s="15" t="s">
        <v>5</v>
      </c>
      <c r="C2106" s="10" t="s">
        <v>8522</v>
      </c>
      <c r="D2106" s="16" t="s">
        <v>6766</v>
      </c>
      <c r="E2106" s="15" t="s">
        <v>11194</v>
      </c>
      <c r="F2106" s="16" t="str">
        <f>VLOOKUP(Table8[[#This Row],[Mã khách hàng]],code_khach_hang[],2,0)</f>
        <v>CHI NHÁNH VĨNH PHÚC - CÔNG TY CỔ PHẦN DỊCH VỤ THƯƠNG MẠI TỔNG HỢP WINCOMMERCE</v>
      </c>
      <c r="G2106" s="16"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c r="A2107" s="14" t="s">
        <v>8130</v>
      </c>
      <c r="B2107" s="15" t="s">
        <v>5</v>
      </c>
      <c r="C2107" s="10" t="s">
        <v>8131</v>
      </c>
      <c r="D2107" s="16" t="s">
        <v>6769</v>
      </c>
      <c r="E2107" s="15" t="s">
        <v>11194</v>
      </c>
      <c r="F2107" s="16" t="str">
        <f>VLOOKUP(Table8[[#This Row],[Mã khách hàng]],code_khach_hang[],2,0)</f>
        <v>CHI NHÁNH VĨNH PHÚC - CÔNG TY CỔ PHẦN DỊCH VỤ THƯƠNG MẠI TỔNG HỢP WINCOMMERCE</v>
      </c>
      <c r="G2107" s="16"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c r="A2108" s="14" t="s">
        <v>8556</v>
      </c>
      <c r="B2108" s="15" t="s">
        <v>5</v>
      </c>
      <c r="C2108" s="10" t="s">
        <v>8557</v>
      </c>
      <c r="D2108" s="16" t="s">
        <v>6772</v>
      </c>
      <c r="E2108" s="15" t="s">
        <v>11194</v>
      </c>
      <c r="F2108" s="16" t="str">
        <f>VLOOKUP(Table8[[#This Row],[Mã khách hàng]],code_khach_hang[],2,0)</f>
        <v>CHI NHÁNH VĨNH PHÚC - CÔNG TY CỔ PHẦN DỊCH VỤ THƯƠNG MẠI TỔNG HỢP WINCOMMERCE</v>
      </c>
      <c r="G2108" s="16"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c r="A2109" s="14" t="s">
        <v>8474</v>
      </c>
      <c r="B2109" s="15" t="s">
        <v>5</v>
      </c>
      <c r="C2109" s="10" t="s">
        <v>8475</v>
      </c>
      <c r="D2109" s="16" t="s">
        <v>6775</v>
      </c>
      <c r="E2109" s="15" t="s">
        <v>11194</v>
      </c>
      <c r="F2109" s="16" t="str">
        <f>VLOOKUP(Table8[[#This Row],[Mã khách hàng]],code_khach_hang[],2,0)</f>
        <v>CHI NHÁNH VĨNH PHÚC - CÔNG TY CỔ PHẦN DỊCH VỤ THƯƠNG MẠI TỔNG HỢP WINCOMMERCE</v>
      </c>
      <c r="G2109" s="16"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c r="A2110" s="14" t="s">
        <v>7754</v>
      </c>
      <c r="B2110" s="15" t="s">
        <v>5</v>
      </c>
      <c r="C2110" s="10" t="s">
        <v>7755</v>
      </c>
      <c r="D2110" s="16" t="s">
        <v>6778</v>
      </c>
      <c r="E2110" s="15" t="s">
        <v>11194</v>
      </c>
      <c r="F2110" s="16" t="str">
        <f>VLOOKUP(Table8[[#This Row],[Mã khách hàng]],code_khach_hang[],2,0)</f>
        <v>CHI NHÁNH VĨNH PHÚC - CÔNG TY CỔ PHẦN DỊCH VỤ THƯƠNG MẠI TỔNG HỢP WINCOMMERCE</v>
      </c>
      <c r="G2110" s="16"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c r="A2111" s="14" t="s">
        <v>8626</v>
      </c>
      <c r="B2111" s="15" t="s">
        <v>5</v>
      </c>
      <c r="C2111" s="10" t="s">
        <v>8627</v>
      </c>
      <c r="D2111" s="16" t="s">
        <v>6781</v>
      </c>
      <c r="E2111" s="15" t="s">
        <v>11194</v>
      </c>
      <c r="F2111" s="16" t="str">
        <f>VLOOKUP(Table8[[#This Row],[Mã khách hàng]],code_khach_hang[],2,0)</f>
        <v>CHI NHÁNH VĨNH PHÚC - CÔNG TY CỔ PHẦN DỊCH VỤ THƯƠNG MẠI TỔNG HỢP WINCOMMERCE</v>
      </c>
      <c r="G2111" s="16"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c r="A2112" s="14" t="s">
        <v>8691</v>
      </c>
      <c r="B2112" s="15" t="s">
        <v>5</v>
      </c>
      <c r="C2112" s="10" t="s">
        <v>8692</v>
      </c>
      <c r="D2112" s="16" t="s">
        <v>6784</v>
      </c>
      <c r="E2112" s="15" t="s">
        <v>11194</v>
      </c>
      <c r="F2112" s="16" t="str">
        <f>VLOOKUP(Table8[[#This Row],[Mã khách hàng]],code_khach_hang[],2,0)</f>
        <v>CHI NHÁNH VĨNH PHÚC - CÔNG TY CỔ PHẦN DỊCH VỤ THƯƠNG MẠI TỔNG HỢP WINCOMMERCE</v>
      </c>
      <c r="G2112" s="16"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c r="A2113" s="14" t="s">
        <v>8824</v>
      </c>
      <c r="B2113" s="15" t="s">
        <v>5</v>
      </c>
      <c r="C2113" s="10" t="s">
        <v>8825</v>
      </c>
      <c r="D2113" s="16" t="s">
        <v>6787</v>
      </c>
      <c r="E2113" s="15" t="s">
        <v>11194</v>
      </c>
      <c r="F2113" s="16" t="str">
        <f>VLOOKUP(Table8[[#This Row],[Mã khách hàng]],code_khach_hang[],2,0)</f>
        <v>CHI NHÁNH VĨNH PHÚC - CÔNG TY CỔ PHẦN DỊCH VỤ THƯƠNG MẠI TỔNG HỢP WINCOMMERCE</v>
      </c>
      <c r="G2113" s="16"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c r="A2114" s="14" t="s">
        <v>6073</v>
      </c>
      <c r="B2114" s="15" t="s">
        <v>5</v>
      </c>
      <c r="C2114" s="10" t="s">
        <v>6074</v>
      </c>
      <c r="D2114" s="16" t="s">
        <v>6790</v>
      </c>
      <c r="E2114" s="15" t="s">
        <v>11202</v>
      </c>
      <c r="F2114" s="16" t="str">
        <f>VLOOKUP(Table8[[#This Row],[Mã khách hàng]],code_khach_hang[],2,0)</f>
        <v>CHI NHÁNH YÊN BÁI - CÔNG TY CỔ PHẦN DỊCH VỤ THƯƠNG MẠI TỔNG HỢP WINCOMMERCE</v>
      </c>
      <c r="G2114" s="16"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c r="A2115" s="14" t="s">
        <v>8037</v>
      </c>
      <c r="B2115" s="15" t="s">
        <v>5</v>
      </c>
      <c r="C2115" s="10" t="s">
        <v>8038</v>
      </c>
      <c r="D2115" s="16" t="s">
        <v>6793</v>
      </c>
      <c r="E2115" s="15" t="s">
        <v>11202</v>
      </c>
      <c r="F2115" s="16" t="str">
        <f>VLOOKUP(Table8[[#This Row],[Mã khách hàng]],code_khach_hang[],2,0)</f>
        <v>CHI NHÁNH YÊN BÁI - CÔNG TY CỔ PHẦN DỊCH VỤ THƯƠNG MẠI TỔNG HỢP WINCOMMERCE</v>
      </c>
      <c r="G2115" s="16"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c r="A2116" s="14" t="s">
        <v>8139</v>
      </c>
      <c r="B2116" s="15" t="s">
        <v>5</v>
      </c>
      <c r="C2116" s="10" t="s">
        <v>8140</v>
      </c>
      <c r="D2116" s="16" t="s">
        <v>6796</v>
      </c>
      <c r="E2116" s="15" t="s">
        <v>11202</v>
      </c>
      <c r="F2116" s="16" t="str">
        <f>VLOOKUP(Table8[[#This Row],[Mã khách hàng]],code_khach_hang[],2,0)</f>
        <v>CHI NHÁNH YÊN BÁI - CÔNG TY CỔ PHẦN DỊCH VỤ THƯƠNG MẠI TỔNG HỢP WINCOMMERCE</v>
      </c>
      <c r="G2116" s="16"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c r="A2117" s="14" t="s">
        <v>8334</v>
      </c>
      <c r="B2117" s="15" t="s">
        <v>5</v>
      </c>
      <c r="C2117" s="10" t="s">
        <v>8335</v>
      </c>
      <c r="D2117" s="16" t="s">
        <v>6799</v>
      </c>
      <c r="E2117" s="15" t="s">
        <v>11202</v>
      </c>
      <c r="F2117" s="16" t="str">
        <f>VLOOKUP(Table8[[#This Row],[Mã khách hàng]],code_khach_hang[],2,0)</f>
        <v>CHI NHÁNH YÊN BÁI - CÔNG TY CỔ PHẦN DỊCH VỤ THƯƠNG MẠI TỔNG HỢP WINCOMMERCE</v>
      </c>
      <c r="G2117" s="16"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c r="A2118" s="14" t="s">
        <v>6187</v>
      </c>
      <c r="B2118" s="15" t="s">
        <v>5</v>
      </c>
      <c r="C2118" s="10" t="s">
        <v>6188</v>
      </c>
      <c r="D2118" s="16" t="s">
        <v>6802</v>
      </c>
      <c r="E2118" s="15" t="s">
        <v>11202</v>
      </c>
      <c r="F2118" s="16" t="str">
        <f>VLOOKUP(Table8[[#This Row],[Mã khách hàng]],code_khach_hang[],2,0)</f>
        <v>CHI NHÁNH YÊN BÁI - CÔNG TY CỔ PHẦN DỊCH VỤ THƯƠNG MẠI TỔNG HỢP WINCOMMERCE</v>
      </c>
      <c r="G2118" s="16"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c r="A2119" s="14" t="s">
        <v>5959</v>
      </c>
      <c r="B2119" s="15" t="s">
        <v>5</v>
      </c>
      <c r="C2119" s="10" t="s">
        <v>5960</v>
      </c>
      <c r="D2119" s="16" t="s">
        <v>6805</v>
      </c>
      <c r="E2119" s="15" t="s">
        <v>11202</v>
      </c>
      <c r="F2119" s="16" t="str">
        <f>VLOOKUP(Table8[[#This Row],[Mã khách hàng]],code_khach_hang[],2,0)</f>
        <v>CHI NHÁNH YÊN BÁI - CÔNG TY CỔ PHẦN DỊCH VỤ THƯƠNG MẠI TỔNG HỢP WINCOMMERCE</v>
      </c>
      <c r="G2119" s="16"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c r="A2120" s="14" t="s">
        <v>5947</v>
      </c>
      <c r="B2120" s="15" t="s">
        <v>5</v>
      </c>
      <c r="C2120" s="10" t="s">
        <v>5948</v>
      </c>
      <c r="D2120" s="16" t="s">
        <v>6808</v>
      </c>
      <c r="E2120" s="15" t="s">
        <v>11202</v>
      </c>
      <c r="F2120" s="16" t="str">
        <f>VLOOKUP(Table8[[#This Row],[Mã khách hàng]],code_khach_hang[],2,0)</f>
        <v>CHI NHÁNH YÊN BÁI - CÔNG TY CỔ PHẦN DỊCH VỤ THƯƠNG MẠI TỔNG HỢP WINCOMMERCE</v>
      </c>
      <c r="G2120" s="16"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c r="A2121" s="14" t="s">
        <v>11137</v>
      </c>
      <c r="B2121" s="15" t="s">
        <v>5</v>
      </c>
      <c r="C2121" s="10" t="e">
        <v>#N/A</v>
      </c>
      <c r="D2121" s="16" t="s">
        <v>6811</v>
      </c>
      <c r="E2121" s="15" t="s">
        <v>11202</v>
      </c>
      <c r="F2121" s="16" t="str">
        <f>VLOOKUP(Table8[[#This Row],[Mã khách hàng]],code_khach_hang[],2,0)</f>
        <v>CHI NHÁNH YÊN BÁI - CÔNG TY CỔ PHẦN DỊCH VỤ THƯƠNG MẠI TỔNG HỢP WINCOMMERCE</v>
      </c>
      <c r="G2121" s="16"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c r="A2122" s="14" t="s">
        <v>7646</v>
      </c>
      <c r="B2122" s="15" t="s">
        <v>5</v>
      </c>
      <c r="C2122" s="10" t="s">
        <v>7647</v>
      </c>
      <c r="D2122" s="16" t="s">
        <v>6814</v>
      </c>
      <c r="E2122" s="15" t="s">
        <v>11202</v>
      </c>
      <c r="F2122" s="16" t="str">
        <f>VLOOKUP(Table8[[#This Row],[Mã khách hàng]],code_khach_hang[],2,0)</f>
        <v>CHI NHÁNH YÊN BÁI - CÔNG TY CỔ PHẦN DỊCH VỤ THƯƠNG MẠI TỔNG HỢP WINCOMMERCE</v>
      </c>
      <c r="G2122" s="16"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c r="A2123" s="14" t="s">
        <v>7030</v>
      </c>
      <c r="B2123" s="15" t="s">
        <v>5</v>
      </c>
      <c r="C2123" s="10" t="s">
        <v>7031</v>
      </c>
      <c r="D2123" s="16" t="s">
        <v>6817</v>
      </c>
      <c r="E2123" s="15" t="s">
        <v>11202</v>
      </c>
      <c r="F2123" s="16" t="str">
        <f>VLOOKUP(Table8[[#This Row],[Mã khách hàng]],code_khach_hang[],2,0)</f>
        <v>CHI NHÁNH YÊN BÁI - CÔNG TY CỔ PHẦN DỊCH VỤ THƯƠNG MẠI TỔNG HỢP WINCOMMERCE</v>
      </c>
      <c r="G2123" s="16"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c r="A2124" s="14" t="s">
        <v>6070</v>
      </c>
      <c r="B2124" s="15" t="s">
        <v>5</v>
      </c>
      <c r="C2124" s="10" t="s">
        <v>6071</v>
      </c>
      <c r="D2124" s="16" t="s">
        <v>6820</v>
      </c>
      <c r="E2124" s="15" t="s">
        <v>11202</v>
      </c>
      <c r="F2124" s="16" t="str">
        <f>VLOOKUP(Table8[[#This Row],[Mã khách hàng]],code_khach_hang[],2,0)</f>
        <v>CHI NHÁNH YÊN BÁI - CÔNG TY CỔ PHẦN DỊCH VỤ THƯƠNG MẠI TỔNG HỢP WINCOMMERCE</v>
      </c>
      <c r="G2124" s="16"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c r="A2125" s="14" t="s">
        <v>7369</v>
      </c>
      <c r="B2125" s="15" t="s">
        <v>5</v>
      </c>
      <c r="C2125" s="10" t="s">
        <v>7370</v>
      </c>
      <c r="D2125" s="16" t="s">
        <v>6823</v>
      </c>
      <c r="E2125" s="15" t="s">
        <v>11202</v>
      </c>
      <c r="F2125" s="16" t="str">
        <f>VLOOKUP(Table8[[#This Row],[Mã khách hàng]],code_khach_hang[],2,0)</f>
        <v>CHI NHÁNH YÊN BÁI - CÔNG TY CỔ PHẦN DỊCH VỤ THƯƠNG MẠI TỔNG HỢP WINCOMMERCE</v>
      </c>
      <c r="G2125" s="16"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c r="A2126" s="14" t="s">
        <v>6079</v>
      </c>
      <c r="B2126" s="15" t="s">
        <v>5</v>
      </c>
      <c r="C2126" s="10" t="s">
        <v>6080</v>
      </c>
      <c r="D2126" s="16" t="s">
        <v>6826</v>
      </c>
      <c r="E2126" s="15" t="s">
        <v>11202</v>
      </c>
      <c r="F2126" s="16" t="str">
        <f>VLOOKUP(Table8[[#This Row],[Mã khách hàng]],code_khach_hang[],2,0)</f>
        <v>CHI NHÁNH YÊN BÁI - CÔNG TY CỔ PHẦN DỊCH VỤ THƯƠNG MẠI TỔNG HỢP WINCOMMERCE</v>
      </c>
      <c r="G2126" s="16"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c r="A2127" s="14" t="s">
        <v>7024</v>
      </c>
      <c r="B2127" s="15" t="s">
        <v>5</v>
      </c>
      <c r="C2127" s="10" t="s">
        <v>7025</v>
      </c>
      <c r="D2127" s="16" t="s">
        <v>6829</v>
      </c>
      <c r="E2127" s="15" t="s">
        <v>11202</v>
      </c>
      <c r="F2127" s="16" t="str">
        <f>VLOOKUP(Table8[[#This Row],[Mã khách hàng]],code_khach_hang[],2,0)</f>
        <v>CHI NHÁNH YÊN BÁI - CÔNG TY CỔ PHẦN DỊCH VỤ THƯƠNG MẠI TỔNG HỢP WINCOMMERCE</v>
      </c>
      <c r="G2127" s="16"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c r="A2128" s="14" t="s">
        <v>6094</v>
      </c>
      <c r="B2128" s="15" t="s">
        <v>5</v>
      </c>
      <c r="C2128" s="10" t="s">
        <v>6095</v>
      </c>
      <c r="D2128" s="16" t="s">
        <v>6832</v>
      </c>
      <c r="E2128" s="15" t="s">
        <v>11202</v>
      </c>
      <c r="F2128" s="16" t="str">
        <f>VLOOKUP(Table8[[#This Row],[Mã khách hàng]],code_khach_hang[],2,0)</f>
        <v>CHI NHÁNH YÊN BÁI - CÔNG TY CỔ PHẦN DỊCH VỤ THƯƠNG MẠI TỔNG HỢP WINCOMMERCE</v>
      </c>
      <c r="G2128" s="16"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c r="A2129" s="14" t="s">
        <v>8460</v>
      </c>
      <c r="B2129" s="15" t="s">
        <v>5</v>
      </c>
      <c r="C2129" s="10" t="s">
        <v>8461</v>
      </c>
      <c r="D2129" s="16" t="s">
        <v>6835</v>
      </c>
      <c r="E2129" s="15" t="s">
        <v>11202</v>
      </c>
      <c r="F2129" s="16" t="str">
        <f>VLOOKUP(Table8[[#This Row],[Mã khách hàng]],code_khach_hang[],2,0)</f>
        <v>CHI NHÁNH YÊN BÁI - CÔNG TY CỔ PHẦN DỊCH VỤ THƯƠNG MẠI TỔNG HỢP WINCOMMERCE</v>
      </c>
      <c r="G2129" s="16"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c r="A2130" s="14" t="s">
        <v>8407</v>
      </c>
      <c r="B2130" s="15" t="s">
        <v>5</v>
      </c>
      <c r="C2130" s="10" t="s">
        <v>8408</v>
      </c>
      <c r="D2130" s="16" t="s">
        <v>6838</v>
      </c>
      <c r="E2130" s="15" t="s">
        <v>11202</v>
      </c>
      <c r="F2130" s="16" t="str">
        <f>VLOOKUP(Table8[[#This Row],[Mã khách hàng]],code_khach_hang[],2,0)</f>
        <v>CHI NHÁNH YÊN BÁI - CÔNG TY CỔ PHẦN DỊCH VỤ THƯƠNG MẠI TỔNG HỢP WINCOMMERCE</v>
      </c>
      <c r="G2130" s="16"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c r="A2131" s="14" t="s">
        <v>8611</v>
      </c>
      <c r="B2131" s="15" t="s">
        <v>5</v>
      </c>
      <c r="C2131" s="10" t="s">
        <v>8612</v>
      </c>
      <c r="D2131" s="16" t="s">
        <v>6841</v>
      </c>
      <c r="E2131" s="15" t="s">
        <v>11202</v>
      </c>
      <c r="F2131" s="16" t="str">
        <f>VLOOKUP(Table8[[#This Row],[Mã khách hàng]],code_khach_hang[],2,0)</f>
        <v>CHI NHÁNH YÊN BÁI - CÔNG TY CỔ PHẦN DỊCH VỤ THƯƠNG MẠI TỔNG HỢP WINCOMMERCE</v>
      </c>
      <c r="G2131" s="16"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c r="A2132" s="14" t="s">
        <v>8765</v>
      </c>
      <c r="B2132" s="15" t="s">
        <v>5</v>
      </c>
      <c r="C2132" s="10" t="s">
        <v>8766</v>
      </c>
      <c r="D2132" s="16" t="s">
        <v>6844</v>
      </c>
      <c r="E2132" s="15" t="s">
        <v>11207</v>
      </c>
      <c r="F2132" s="16" t="str">
        <f>VLOOKUP(Table8[[#This Row],[Mã khách hàng]],code_khach_hang[],2,0)</f>
        <v>CHI NHÁNH THÁI NGUYÊN - CÔNG TY CỔ PHẦN DỊCH VỤ THƯƠNG MẠI TỔNG HỢP WINCOMMERCE</v>
      </c>
      <c r="G2132" s="16"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c r="A2133" s="14" t="s">
        <v>8856</v>
      </c>
      <c r="B2133" s="15" t="s">
        <v>5</v>
      </c>
      <c r="C2133" s="10" t="s">
        <v>8857</v>
      </c>
      <c r="D2133" s="16" t="s">
        <v>6847</v>
      </c>
      <c r="E2133" s="15" t="s">
        <v>11204</v>
      </c>
      <c r="F2133" s="16" t="str">
        <f>VLOOKUP(Table8[[#This Row],[Mã khách hàng]],code_khach_hang[],2,0)</f>
        <v>CHI NHÁNH TUYÊN QUANG - CÔNG TY CỔ PHẦN DỊCH VỤ THƯƠNG MẠI TỔNG HỢP WINCOMMERCE</v>
      </c>
      <c r="G2133" s="16"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c r="A2134" s="14" t="s">
        <v>9252</v>
      </c>
      <c r="B2134" s="15" t="s">
        <v>5</v>
      </c>
      <c r="C2134" s="10" t="s">
        <v>9253</v>
      </c>
      <c r="D2134" s="16" t="s">
        <v>6850</v>
      </c>
      <c r="E2134" s="15" t="s">
        <v>11207</v>
      </c>
      <c r="F2134" s="16" t="str">
        <f>VLOOKUP(Table8[[#This Row],[Mã khách hàng]],code_khach_hang[],2,0)</f>
        <v>CHI NHÁNH THÁI NGUYÊN - CÔNG TY CỔ PHẦN DỊCH VỤ THƯƠNG MẠI TỔNG HỢP WINCOMMERCE</v>
      </c>
      <c r="G2134" s="16"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c r="A2135" s="14" t="s">
        <v>8910</v>
      </c>
      <c r="B2135" s="15" t="s">
        <v>5</v>
      </c>
      <c r="C2135" s="10" t="s">
        <v>8911</v>
      </c>
      <c r="D2135" s="16" t="s">
        <v>6853</v>
      </c>
      <c r="E2135" s="15" t="s">
        <v>11220</v>
      </c>
      <c r="F2135" s="16" t="str">
        <f>VLOOKUP(Table8[[#This Row],[Mã khách hàng]],code_khach_hang[],2,0)</f>
        <v>CHI NHÁNH HÀ GIANG - CÔNG TY CỔ PHẦN DỊCH VỤ THƯƠNG MẠI TỔNG HỢP WINCOMMERCE</v>
      </c>
      <c r="G2135" s="16"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c r="A2136" s="14" t="s">
        <v>11138</v>
      </c>
      <c r="B2136" s="15" t="s">
        <v>5</v>
      </c>
      <c r="C2136" s="10" t="e">
        <v>#N/A</v>
      </c>
      <c r="D2136" s="16" t="s">
        <v>6856</v>
      </c>
      <c r="E2136" s="15" t="s">
        <v>11202</v>
      </c>
      <c r="F2136" s="16" t="str">
        <f>VLOOKUP(Table8[[#This Row],[Mã khách hàng]],code_khach_hang[],2,0)</f>
        <v>CHI NHÁNH YÊN BÁI - CÔNG TY CỔ PHẦN DỊCH VỤ THƯƠNG MẠI TỔNG HỢP WINCOMMERCE</v>
      </c>
      <c r="G2136" s="16"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c r="A2137" s="14" t="s">
        <v>8992</v>
      </c>
      <c r="B2137" s="15" t="s">
        <v>5</v>
      </c>
      <c r="C2137" s="10" t="s">
        <v>8993</v>
      </c>
      <c r="D2137" s="16" t="s">
        <v>6859</v>
      </c>
      <c r="E2137" s="15" t="s">
        <v>11218</v>
      </c>
      <c r="F2137" s="16" t="str">
        <f>VLOOKUP(Table8[[#This Row],[Mã khách hàng]],code_khach_hang[],2,0)</f>
        <v>CHI NHÁNH LÀO CAI - CÔNG TY CỔ PHẦN DỊCH VỤ THƯƠNG MẠI TỔNG HỢP WINCOMMERCE</v>
      </c>
      <c r="G2137" s="16"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c r="A2138" s="14" t="s">
        <v>8995</v>
      </c>
      <c r="B2138" s="15" t="s">
        <v>5</v>
      </c>
      <c r="C2138" s="10" t="s">
        <v>8996</v>
      </c>
      <c r="D2138" s="16" t="s">
        <v>6862</v>
      </c>
      <c r="E2138" s="15" t="s">
        <v>11206</v>
      </c>
      <c r="F2138" s="16" t="str">
        <f>VLOOKUP(Table8[[#This Row],[Mã khách hàng]],code_khach_hang[],2,0)</f>
        <v>CHI NHÁNH SƠN LA - CÔNG TY CỔ PHẦN DỊCH VỤ THƯƠNG MẠI TỔNG HỢP WINCOMMERCE</v>
      </c>
      <c r="G2138" s="16"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c r="A2139" s="14" t="s">
        <v>8998</v>
      </c>
      <c r="B2139" s="15" t="s">
        <v>5</v>
      </c>
      <c r="C2139" s="10" t="s">
        <v>8999</v>
      </c>
      <c r="D2139" s="16" t="s">
        <v>6865</v>
      </c>
      <c r="E2139" s="15" t="s">
        <v>11202</v>
      </c>
      <c r="F2139" s="16" t="str">
        <f>VLOOKUP(Table8[[#This Row],[Mã khách hàng]],code_khach_hang[],2,0)</f>
        <v>CHI NHÁNH YÊN BÁI - CÔNG TY CỔ PHẦN DỊCH VỤ THƯƠNG MẠI TỔNG HỢP WINCOMMERCE</v>
      </c>
      <c r="G2139" s="16"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c r="A2140" s="14" t="s">
        <v>9034</v>
      </c>
      <c r="B2140" s="15" t="s">
        <v>5</v>
      </c>
      <c r="C2140" s="10" t="s">
        <v>9035</v>
      </c>
      <c r="D2140" s="16" t="s">
        <v>6868</v>
      </c>
      <c r="E2140" s="15" t="s">
        <v>11218</v>
      </c>
      <c r="F2140" s="16" t="str">
        <f>VLOOKUP(Table8[[#This Row],[Mã khách hàng]],code_khach_hang[],2,0)</f>
        <v>CHI NHÁNH LÀO CAI - CÔNG TY CỔ PHẦN DỊCH VỤ THƯƠNG MẠI TỔNG HỢP WINCOMMERCE</v>
      </c>
      <c r="G2140" s="16"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c r="A2141" s="14" t="s">
        <v>9052</v>
      </c>
      <c r="B2141" s="15" t="s">
        <v>5</v>
      </c>
      <c r="C2141" s="10" t="s">
        <v>9053</v>
      </c>
      <c r="D2141" s="16" t="s">
        <v>6871</v>
      </c>
      <c r="E2141" s="15" t="s">
        <v>11194</v>
      </c>
      <c r="F2141" s="16" t="str">
        <f>VLOOKUP(Table8[[#This Row],[Mã khách hàng]],code_khach_hang[],2,0)</f>
        <v>CHI NHÁNH VĨNH PHÚC - CÔNG TY CỔ PHẦN DỊCH VỤ THƯƠNG MẠI TỔNG HỢP WINCOMMERCE</v>
      </c>
      <c r="G2141" s="16"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c r="A2142" s="14" t="s">
        <v>8880</v>
      </c>
      <c r="B2142" s="15" t="s">
        <v>5</v>
      </c>
      <c r="C2142" s="10" t="s">
        <v>8881</v>
      </c>
      <c r="D2142" s="16" t="s">
        <v>6874</v>
      </c>
      <c r="E2142" s="15" t="s">
        <v>11222</v>
      </c>
      <c r="F2142" s="16" t="str">
        <f>VLOOKUP(Table8[[#This Row],[Mã khách hàng]],code_khach_hang[],2,0)</f>
        <v>CHI NHÁNH CAO BẰNG - CÔNG TY CỔ PHẦN DỊCH VỤ THƯƠNG MẠI TỔNG HỢP WINCOMMERCE</v>
      </c>
      <c r="G2142" s="16"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c r="A2143" s="14" t="s">
        <v>8924</v>
      </c>
      <c r="B2143" s="15" t="s">
        <v>5</v>
      </c>
      <c r="C2143" s="10" t="s">
        <v>8925</v>
      </c>
      <c r="D2143" s="16" t="s">
        <v>6877</v>
      </c>
      <c r="E2143" s="15" t="s">
        <v>11222</v>
      </c>
      <c r="F2143" s="16" t="str">
        <f>VLOOKUP(Table8[[#This Row],[Mã khách hàng]],code_khach_hang[],2,0)</f>
        <v>CHI NHÁNH CAO BẰNG - CÔNG TY CỔ PHẦN DỊCH VỤ THƯƠNG MẠI TỔNG HỢP WINCOMMERCE</v>
      </c>
      <c r="G2143" s="16"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c r="A2144" s="14" t="s">
        <v>9043</v>
      </c>
      <c r="B2144" s="15" t="s">
        <v>5</v>
      </c>
      <c r="C2144" s="10" t="s">
        <v>9044</v>
      </c>
      <c r="D2144" s="16" t="s">
        <v>6880</v>
      </c>
      <c r="E2144" s="15" t="s">
        <v>11207</v>
      </c>
      <c r="F2144" s="16" t="str">
        <f>VLOOKUP(Table8[[#This Row],[Mã khách hàng]],code_khach_hang[],2,0)</f>
        <v>CHI NHÁNH THÁI NGUYÊN - CÔNG TY CỔ PHẦN DỊCH VỤ THƯƠNG MẠI TỔNG HỢP WINCOMMERCE</v>
      </c>
      <c r="G2144" s="16"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c r="A2145" s="14" t="s">
        <v>9031</v>
      </c>
      <c r="B2145" s="15" t="s">
        <v>5</v>
      </c>
      <c r="C2145" s="10" t="s">
        <v>9032</v>
      </c>
      <c r="D2145" s="16" t="s">
        <v>6883</v>
      </c>
      <c r="E2145" s="15" t="s">
        <v>11194</v>
      </c>
      <c r="F2145" s="16" t="str">
        <f>VLOOKUP(Table8[[#This Row],[Mã khách hàng]],code_khach_hang[],2,0)</f>
        <v>CHI NHÁNH VĨNH PHÚC - CÔNG TY CỔ PHẦN DỊCH VỤ THƯƠNG MẠI TỔNG HỢP WINCOMMERCE</v>
      </c>
      <c r="G2145" s="16"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c r="A2146" s="14" t="s">
        <v>9079</v>
      </c>
      <c r="B2146" s="15" t="s">
        <v>5</v>
      </c>
      <c r="C2146" s="10" t="s">
        <v>9080</v>
      </c>
      <c r="D2146" s="16" t="s">
        <v>6886</v>
      </c>
      <c r="E2146" s="15" t="s">
        <v>11194</v>
      </c>
      <c r="F2146" s="16" t="str">
        <f>VLOOKUP(Table8[[#This Row],[Mã khách hàng]],code_khach_hang[],2,0)</f>
        <v>CHI NHÁNH VĨNH PHÚC - CÔNG TY CỔ PHẦN DỊCH VỤ THƯƠNG MẠI TỔNG HỢP WINCOMMERCE</v>
      </c>
      <c r="G2146" s="16"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c r="A2147" s="14" t="s">
        <v>9073</v>
      </c>
      <c r="B2147" s="15" t="s">
        <v>5</v>
      </c>
      <c r="C2147" s="10" t="s">
        <v>9074</v>
      </c>
      <c r="D2147" s="16" t="s">
        <v>6889</v>
      </c>
      <c r="E2147" s="15" t="s">
        <v>11202</v>
      </c>
      <c r="F2147" s="16" t="str">
        <f>VLOOKUP(Table8[[#This Row],[Mã khách hàng]],code_khach_hang[],2,0)</f>
        <v>CHI NHÁNH YÊN BÁI - CÔNG TY CỔ PHẦN DỊCH VỤ THƯƠNG MẠI TỔNG HỢP WINCOMMERCE</v>
      </c>
      <c r="G2147" s="16"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c r="A2148" s="14" t="s">
        <v>9111</v>
      </c>
      <c r="B2148" s="15" t="s">
        <v>5</v>
      </c>
      <c r="C2148" s="10" t="s">
        <v>9112</v>
      </c>
      <c r="D2148" s="16" t="s">
        <v>6892</v>
      </c>
      <c r="E2148" s="15" t="s">
        <v>11215</v>
      </c>
      <c r="F2148" s="16" t="str">
        <f>VLOOKUP(Table8[[#This Row],[Mã khách hàng]],code_khach_hang[],2,0)</f>
        <v>CHI NHÁNH HÀ NỘI - CÔNG TY CỔ PHẦN DỊCH VỤ THƯƠNG MẠI TỔNG HỢP WINCOMMERCE</v>
      </c>
      <c r="G2148" s="16"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c r="A2149" s="14" t="s">
        <v>9082</v>
      </c>
      <c r="B2149" s="15" t="s">
        <v>5</v>
      </c>
      <c r="C2149" s="10" t="s">
        <v>9083</v>
      </c>
      <c r="D2149" s="16" t="s">
        <v>6895</v>
      </c>
      <c r="E2149" s="15" t="s">
        <v>11194</v>
      </c>
      <c r="F2149" s="16" t="str">
        <f>VLOOKUP(Table8[[#This Row],[Mã khách hàng]],code_khach_hang[],2,0)</f>
        <v>CHI NHÁNH VĨNH PHÚC - CÔNG TY CỔ PHẦN DỊCH VỤ THƯƠNG MẠI TỔNG HỢP WINCOMMERCE</v>
      </c>
      <c r="G2149" s="16"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c r="A2150" s="14" t="s">
        <v>1355</v>
      </c>
      <c r="B2150" s="15" t="s">
        <v>5</v>
      </c>
      <c r="C2150" s="10" t="s">
        <v>1356</v>
      </c>
      <c r="D2150" s="16" t="s">
        <v>6898</v>
      </c>
      <c r="E2150" s="15" t="s">
        <v>11194</v>
      </c>
      <c r="F2150" s="16" t="str">
        <f>VLOOKUP(Table8[[#This Row],[Mã khách hàng]],code_khach_hang[],2,0)</f>
        <v>CHI NHÁNH VĨNH PHÚC - CÔNG TY CỔ PHẦN DỊCH VỤ THƯƠNG MẠI TỔNG HỢP WINCOMMERCE</v>
      </c>
      <c r="G2150" s="16"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c r="A2151" s="14" t="s">
        <v>1404</v>
      </c>
      <c r="B2151" s="15" t="s">
        <v>5</v>
      </c>
      <c r="C2151" s="10" t="s">
        <v>1405</v>
      </c>
      <c r="D2151" s="16" t="s">
        <v>6901</v>
      </c>
      <c r="E2151" s="15" t="s">
        <v>11207</v>
      </c>
      <c r="F2151" s="16" t="str">
        <f>VLOOKUP(Table8[[#This Row],[Mã khách hàng]],code_khach_hang[],2,0)</f>
        <v>CHI NHÁNH THÁI NGUYÊN - CÔNG TY CỔ PHẦN DỊCH VỤ THƯƠNG MẠI TỔNG HỢP WINCOMMERCE</v>
      </c>
      <c r="G2151" s="16"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c r="A2152" s="14" t="s">
        <v>1410</v>
      </c>
      <c r="B2152" s="15" t="s">
        <v>5</v>
      </c>
      <c r="C2152" s="10" t="s">
        <v>1411</v>
      </c>
      <c r="D2152" s="16" t="s">
        <v>6904</v>
      </c>
      <c r="E2152" s="15" t="s">
        <v>11202</v>
      </c>
      <c r="F2152" s="16" t="str">
        <f>VLOOKUP(Table8[[#This Row],[Mã khách hàng]],code_khach_hang[],2,0)</f>
        <v>CHI NHÁNH YÊN BÁI - CÔNG TY CỔ PHẦN DỊCH VỤ THƯƠNG MẠI TỔNG HỢP WINCOMMERCE</v>
      </c>
      <c r="G2152" s="16"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c r="A2153" s="14" t="s">
        <v>1375</v>
      </c>
      <c r="B2153" s="15" t="s">
        <v>5</v>
      </c>
      <c r="C2153" s="10" t="s">
        <v>1376</v>
      </c>
      <c r="D2153" s="16" t="s">
        <v>6907</v>
      </c>
      <c r="E2153" s="15" t="s">
        <v>11215</v>
      </c>
      <c r="F2153" s="16" t="str">
        <f>VLOOKUP(Table8[[#This Row],[Mã khách hàng]],code_khach_hang[],2,0)</f>
        <v>CHI NHÁNH HÀ NỘI - CÔNG TY CỔ PHẦN DỊCH VỤ THƯƠNG MẠI TỔNG HỢP WINCOMMERCE</v>
      </c>
      <c r="G2153" s="16"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c r="A2154" s="14" t="s">
        <v>1417</v>
      </c>
      <c r="B2154" s="15" t="s">
        <v>5</v>
      </c>
      <c r="C2154" s="10" t="s">
        <v>1418</v>
      </c>
      <c r="D2154" s="16" t="s">
        <v>6910</v>
      </c>
      <c r="E2154" s="15" t="s">
        <v>11194</v>
      </c>
      <c r="F2154" s="16" t="str">
        <f>VLOOKUP(Table8[[#This Row],[Mã khách hàng]],code_khach_hang[],2,0)</f>
        <v>CHI NHÁNH VĨNH PHÚC - CÔNG TY CỔ PHẦN DỊCH VỤ THƯƠNG MẠI TỔNG HỢP WINCOMMERCE</v>
      </c>
      <c r="G2154" s="16"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c r="A2155" s="14" t="s">
        <v>1422</v>
      </c>
      <c r="B2155" s="15" t="s">
        <v>5</v>
      </c>
      <c r="C2155" s="10" t="s">
        <v>1423</v>
      </c>
      <c r="D2155" s="16" t="s">
        <v>6913</v>
      </c>
      <c r="E2155" s="15" t="s">
        <v>11207</v>
      </c>
      <c r="F2155" s="16" t="str">
        <f>VLOOKUP(Table8[[#This Row],[Mã khách hàng]],code_khach_hang[],2,0)</f>
        <v>CHI NHÁNH THÁI NGUYÊN - CÔNG TY CỔ PHẦN DỊCH VỤ THƯƠNG MẠI TỔNG HỢP WINCOMMERCE</v>
      </c>
      <c r="G2155" s="16"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c r="A2156" s="14" t="s">
        <v>1470</v>
      </c>
      <c r="B2156" s="15" t="s">
        <v>5</v>
      </c>
      <c r="C2156" s="10" t="s">
        <v>1471</v>
      </c>
      <c r="D2156" s="16" t="s">
        <v>6916</v>
      </c>
      <c r="E2156" s="15" t="s">
        <v>11211</v>
      </c>
      <c r="F2156" s="16" t="str">
        <f>VLOOKUP(Table8[[#This Row],[Mã khách hàng]],code_khach_hang[],2,0)</f>
        <v>CHI NHÁNH NGHỆ AN - CÔNG TY CỔ PHẦN DỊCH VỤ THƯƠNG MẠI TỔNG HỢP WINCOMMERCE</v>
      </c>
      <c r="G2156" s="16"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c r="A2157" s="14" t="s">
        <v>1438</v>
      </c>
      <c r="B2157" s="15" t="s">
        <v>5</v>
      </c>
      <c r="C2157" s="10" t="s">
        <v>1439</v>
      </c>
      <c r="D2157" s="16" t="s">
        <v>6919</v>
      </c>
      <c r="E2157" s="15" t="s">
        <v>11215</v>
      </c>
      <c r="F2157" s="16" t="str">
        <f>VLOOKUP(Table8[[#This Row],[Mã khách hàng]],code_khach_hang[],2,0)</f>
        <v>CHI NHÁNH HÀ NỘI - CÔNG TY CỔ PHẦN DỊCH VỤ THƯƠNG MẠI TỔNG HỢP WINCOMMERCE</v>
      </c>
      <c r="G2157" s="16"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c r="A2158" s="14" t="s">
        <v>1450</v>
      </c>
      <c r="B2158" s="15" t="s">
        <v>5</v>
      </c>
      <c r="C2158" s="10" t="s">
        <v>1451</v>
      </c>
      <c r="D2158" s="16" t="s">
        <v>6922</v>
      </c>
      <c r="E2158" s="15" t="s">
        <v>11202</v>
      </c>
      <c r="F2158" s="16" t="str">
        <f>VLOOKUP(Table8[[#This Row],[Mã khách hàng]],code_khach_hang[],2,0)</f>
        <v>CHI NHÁNH YÊN BÁI - CÔNG TY CỔ PHẦN DỊCH VỤ THƯƠNG MẠI TỔNG HỢP WINCOMMERCE</v>
      </c>
      <c r="G2158" s="16"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c r="A2159" s="14" t="s">
        <v>1618</v>
      </c>
      <c r="B2159" s="15" t="s">
        <v>5</v>
      </c>
      <c r="C2159" s="10" t="s">
        <v>1619</v>
      </c>
      <c r="D2159" s="16" t="s">
        <v>6925</v>
      </c>
      <c r="E2159" s="15" t="s">
        <v>11194</v>
      </c>
      <c r="F2159" s="16" t="str">
        <f>VLOOKUP(Table8[[#This Row],[Mã khách hàng]],code_khach_hang[],2,0)</f>
        <v>CHI NHÁNH VĨNH PHÚC - CÔNG TY CỔ PHẦN DỊCH VỤ THƯƠNG MẠI TỔNG HỢP WINCOMMERCE</v>
      </c>
      <c r="G2159" s="16"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c r="A2160" s="14" t="s">
        <v>1456</v>
      </c>
      <c r="B2160" s="15" t="s">
        <v>5</v>
      </c>
      <c r="C2160" s="10" t="s">
        <v>1457</v>
      </c>
      <c r="D2160" s="16" t="s">
        <v>6928</v>
      </c>
      <c r="E2160" s="15" t="s">
        <v>11215</v>
      </c>
      <c r="F2160" s="16" t="str">
        <f>VLOOKUP(Table8[[#This Row],[Mã khách hàng]],code_khach_hang[],2,0)</f>
        <v>CHI NHÁNH HÀ NỘI - CÔNG TY CỔ PHẦN DỊCH VỤ THƯƠNG MẠI TỔNG HỢP WINCOMMERCE</v>
      </c>
      <c r="G2160" s="16"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c r="A2161" s="14" t="s">
        <v>1476</v>
      </c>
      <c r="B2161" s="15" t="s">
        <v>5</v>
      </c>
      <c r="C2161" s="10" t="s">
        <v>1477</v>
      </c>
      <c r="D2161" s="16" t="s">
        <v>6931</v>
      </c>
      <c r="E2161" s="15" t="s">
        <v>11218</v>
      </c>
      <c r="F2161" s="16" t="str">
        <f>VLOOKUP(Table8[[#This Row],[Mã khách hàng]],code_khach_hang[],2,0)</f>
        <v>CHI NHÁNH LÀO CAI - CÔNG TY CỔ PHẦN DỊCH VỤ THƯƠNG MẠI TỔNG HỢP WINCOMMERCE</v>
      </c>
      <c r="G2161" s="16"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c r="A2162" s="14" t="s">
        <v>1742</v>
      </c>
      <c r="B2162" s="15" t="s">
        <v>5</v>
      </c>
      <c r="C2162" s="10" t="s">
        <v>1743</v>
      </c>
      <c r="D2162" s="16" t="s">
        <v>6934</v>
      </c>
      <c r="E2162" s="15" t="s">
        <v>11215</v>
      </c>
      <c r="F2162" s="16" t="str">
        <f>VLOOKUP(Table8[[#This Row],[Mã khách hàng]],code_khach_hang[],2,0)</f>
        <v>CHI NHÁNH HÀ NỘI - CÔNG TY CỔ PHẦN DỊCH VỤ THƯƠNG MẠI TỔNG HỢP WINCOMMERCE</v>
      </c>
      <c r="G2162" s="16"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c r="A2163" s="14" t="s">
        <v>1473</v>
      </c>
      <c r="B2163" s="15" t="s">
        <v>5</v>
      </c>
      <c r="C2163" s="10" t="s">
        <v>1474</v>
      </c>
      <c r="D2163" s="16" t="s">
        <v>6937</v>
      </c>
      <c r="E2163" s="15" t="s">
        <v>11215</v>
      </c>
      <c r="F2163" s="16" t="str">
        <f>VLOOKUP(Table8[[#This Row],[Mã khách hàng]],code_khach_hang[],2,0)</f>
        <v>CHI NHÁNH HÀ NỘI - CÔNG TY CỔ PHẦN DỊCH VỤ THƯƠNG MẠI TỔNG HỢP WINCOMMERCE</v>
      </c>
      <c r="G2163" s="16"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c r="A2164" s="14" t="s">
        <v>1855</v>
      </c>
      <c r="B2164" s="15" t="s">
        <v>5</v>
      </c>
      <c r="C2164" s="10" t="s">
        <v>1856</v>
      </c>
      <c r="D2164" s="16" t="s">
        <v>6940</v>
      </c>
      <c r="E2164" s="15" t="s">
        <v>11194</v>
      </c>
      <c r="F2164" s="16" t="str">
        <f>VLOOKUP(Table8[[#This Row],[Mã khách hàng]],code_khach_hang[],2,0)</f>
        <v>CHI NHÁNH VĨNH PHÚC - CÔNG TY CỔ PHẦN DỊCH VỤ THƯƠNG MẠI TỔNG HỢP WINCOMMERCE</v>
      </c>
      <c r="G2164" s="16"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c r="A2165" s="14" t="s">
        <v>1624</v>
      </c>
      <c r="B2165" s="15" t="s">
        <v>5</v>
      </c>
      <c r="C2165" s="10" t="s">
        <v>1625</v>
      </c>
      <c r="D2165" s="16" t="s">
        <v>6943</v>
      </c>
      <c r="E2165" s="15" t="s">
        <v>11194</v>
      </c>
      <c r="F2165" s="16" t="str">
        <f>VLOOKUP(Table8[[#This Row],[Mã khách hàng]],code_khach_hang[],2,0)</f>
        <v>CHI NHÁNH VĨNH PHÚC - CÔNG TY CỔ PHẦN DỊCH VỤ THƯƠNG MẠI TỔNG HỢP WINCOMMERCE</v>
      </c>
      <c r="G2165" s="16"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c r="A2166" s="14" t="s">
        <v>1911</v>
      </c>
      <c r="B2166" s="15" t="s">
        <v>5</v>
      </c>
      <c r="C2166" s="10" t="s">
        <v>1912</v>
      </c>
      <c r="D2166" s="16" t="s">
        <v>6946</v>
      </c>
      <c r="E2166" s="15" t="s">
        <v>11202</v>
      </c>
      <c r="F2166" s="16" t="str">
        <f>VLOOKUP(Table8[[#This Row],[Mã khách hàng]],code_khach_hang[],2,0)</f>
        <v>CHI NHÁNH YÊN BÁI - CÔNG TY CỔ PHẦN DỊCH VỤ THƯƠNG MẠI TỔNG HỢP WINCOMMERCE</v>
      </c>
      <c r="G2166" s="16"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c r="A2167" s="14" t="s">
        <v>2060</v>
      </c>
      <c r="B2167" s="15" t="s">
        <v>5</v>
      </c>
      <c r="C2167" s="10" t="s">
        <v>2061</v>
      </c>
      <c r="D2167" s="16" t="s">
        <v>6949</v>
      </c>
      <c r="E2167" s="15" t="s">
        <v>11194</v>
      </c>
      <c r="F2167" s="16" t="str">
        <f>VLOOKUP(Table8[[#This Row],[Mã khách hàng]],code_khach_hang[],2,0)</f>
        <v>CHI NHÁNH VĨNH PHÚC - CÔNG TY CỔ PHẦN DỊCH VỤ THƯƠNG MẠI TỔNG HỢP WINCOMMERCE</v>
      </c>
      <c r="G2167" s="16"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c r="A2168" s="14" t="s">
        <v>8284</v>
      </c>
      <c r="B2168" s="15" t="s">
        <v>5</v>
      </c>
      <c r="C2168" s="10" t="s">
        <v>8285</v>
      </c>
      <c r="D2168" s="16" t="s">
        <v>6952</v>
      </c>
      <c r="E2168" s="15" t="s">
        <v>11212</v>
      </c>
      <c r="F2168" s="16" t="str">
        <f>VLOOKUP(Table8[[#This Row],[Mã khách hàng]],code_khach_hang[],2,0)</f>
        <v>CHI NHÁNH HÒA BÌNH - CÔNG TY CỔ PHẦN DỊCH VỤ THƯƠNG MẠI TỔNG HỢP WINCOMMERCE</v>
      </c>
      <c r="G2168" s="16"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c r="A2169" s="14" t="s">
        <v>2108</v>
      </c>
      <c r="B2169" s="15" t="s">
        <v>5</v>
      </c>
      <c r="C2169" s="10" t="s">
        <v>2109</v>
      </c>
      <c r="D2169" s="16" t="s">
        <v>6955</v>
      </c>
      <c r="E2169" s="15" t="s">
        <v>11194</v>
      </c>
      <c r="F2169" s="16" t="str">
        <f>VLOOKUP(Table8[[#This Row],[Mã khách hàng]],code_khach_hang[],2,0)</f>
        <v>CHI NHÁNH VĨNH PHÚC - CÔNG TY CỔ PHẦN DỊCH VỤ THƯƠNG MẠI TỔNG HỢP WINCOMMERCE</v>
      </c>
      <c r="G2169" s="16"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c r="A2170" s="14" t="s">
        <v>2238</v>
      </c>
      <c r="B2170" s="15" t="s">
        <v>5</v>
      </c>
      <c r="C2170" s="10" t="s">
        <v>2239</v>
      </c>
      <c r="D2170" s="16" t="s">
        <v>6958</v>
      </c>
      <c r="E2170" s="15" t="s">
        <v>11202</v>
      </c>
      <c r="F2170" s="16" t="str">
        <f>VLOOKUP(Table8[[#This Row],[Mã khách hàng]],code_khach_hang[],2,0)</f>
        <v>CHI NHÁNH YÊN BÁI - CÔNG TY CỔ PHẦN DỊCH VỤ THƯƠNG MẠI TỔNG HỢP WINCOMMERCE</v>
      </c>
      <c r="G2170" s="16"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c r="A2171" s="14" t="s">
        <v>2235</v>
      </c>
      <c r="B2171" s="15" t="s">
        <v>5</v>
      </c>
      <c r="C2171" s="10" t="s">
        <v>2236</v>
      </c>
      <c r="D2171" s="16" t="s">
        <v>6961</v>
      </c>
      <c r="E2171" s="15" t="s">
        <v>11215</v>
      </c>
      <c r="F2171" s="16" t="str">
        <f>VLOOKUP(Table8[[#This Row],[Mã khách hàng]],code_khach_hang[],2,0)</f>
        <v>CHI NHÁNH HÀ NỘI - CÔNG TY CỔ PHẦN DỊCH VỤ THƯƠNG MẠI TỔNG HỢP WINCOMMERCE</v>
      </c>
      <c r="G2171" s="16"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c r="A2172" s="14" t="s">
        <v>2545</v>
      </c>
      <c r="B2172" s="15" t="s">
        <v>5</v>
      </c>
      <c r="C2172" s="10" t="s">
        <v>2546</v>
      </c>
      <c r="D2172" s="16" t="s">
        <v>6964</v>
      </c>
      <c r="E2172" s="15" t="s">
        <v>11215</v>
      </c>
      <c r="F2172" s="16" t="str">
        <f>VLOOKUP(Table8[[#This Row],[Mã khách hàng]],code_khach_hang[],2,0)</f>
        <v>CHI NHÁNH HÀ NỘI - CÔNG TY CỔ PHẦN DỊCH VỤ THƯƠNG MẠI TỔNG HỢP WINCOMMERCE</v>
      </c>
      <c r="G2172" s="16"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c r="A2173" s="14" t="s">
        <v>2472</v>
      </c>
      <c r="B2173" s="15" t="s">
        <v>5</v>
      </c>
      <c r="C2173" s="10" t="s">
        <v>2473</v>
      </c>
      <c r="D2173" s="16" t="s">
        <v>6967</v>
      </c>
      <c r="E2173" s="15" t="s">
        <v>11194</v>
      </c>
      <c r="F2173" s="16" t="str">
        <f>VLOOKUP(Table8[[#This Row],[Mã khách hàng]],code_khach_hang[],2,0)</f>
        <v>CHI NHÁNH VĨNH PHÚC - CÔNG TY CỔ PHẦN DỊCH VỤ THƯƠNG MẠI TỔNG HỢP WINCOMMERCE</v>
      </c>
      <c r="G2173" s="16"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c r="A2174" s="14" t="s">
        <v>2412</v>
      </c>
      <c r="B2174" s="15" t="s">
        <v>5</v>
      </c>
      <c r="C2174" s="10" t="s">
        <v>2413</v>
      </c>
      <c r="D2174" s="16" t="s">
        <v>6970</v>
      </c>
      <c r="E2174" s="15" t="s">
        <v>11215</v>
      </c>
      <c r="F2174" s="16" t="str">
        <f>VLOOKUP(Table8[[#This Row],[Mã khách hàng]],code_khach_hang[],2,0)</f>
        <v>CHI NHÁNH HÀ NỘI - CÔNG TY CỔ PHẦN DỊCH VỤ THƯƠNG MẠI TỔNG HỢP WINCOMMERCE</v>
      </c>
      <c r="G2174" s="16"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c r="A2175" s="14" t="s">
        <v>2748</v>
      </c>
      <c r="B2175" s="15" t="s">
        <v>5</v>
      </c>
      <c r="C2175" s="10" t="s">
        <v>2749</v>
      </c>
      <c r="D2175" s="16" t="s">
        <v>6973</v>
      </c>
      <c r="E2175" s="15" t="s">
        <v>11215</v>
      </c>
      <c r="F2175" s="16" t="str">
        <f>VLOOKUP(Table8[[#This Row],[Mã khách hàng]],code_khach_hang[],2,0)</f>
        <v>CHI NHÁNH HÀ NỘI - CÔNG TY CỔ PHẦN DỊCH VỤ THƯƠNG MẠI TỔNG HỢP WINCOMMERCE</v>
      </c>
      <c r="G2175" s="16"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c r="A2176" s="14" t="s">
        <v>7939</v>
      </c>
      <c r="B2176" s="15" t="s">
        <v>5</v>
      </c>
      <c r="C2176" s="10" t="s">
        <v>7940</v>
      </c>
      <c r="D2176" s="16" t="s">
        <v>6976</v>
      </c>
      <c r="E2176" s="15" t="s">
        <v>11212</v>
      </c>
      <c r="F2176" s="16" t="str">
        <f>VLOOKUP(Table8[[#This Row],[Mã khách hàng]],code_khach_hang[],2,0)</f>
        <v>CHI NHÁNH HÒA BÌNH - CÔNG TY CỔ PHẦN DỊCH VỤ THƯƠNG MẠI TỔNG HỢP WINCOMMERCE</v>
      </c>
      <c r="G2176" s="16"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c r="A2177" s="14" t="s">
        <v>1546</v>
      </c>
      <c r="B2177" s="15" t="s">
        <v>5</v>
      </c>
      <c r="C2177" s="10" t="s">
        <v>1547</v>
      </c>
      <c r="D2177" s="16" t="s">
        <v>6979</v>
      </c>
      <c r="E2177" s="15" t="s">
        <v>11218</v>
      </c>
      <c r="F2177" s="16" t="str">
        <f>VLOOKUP(Table8[[#This Row],[Mã khách hàng]],code_khach_hang[],2,0)</f>
        <v>CHI NHÁNH LÀO CAI - CÔNG TY CỔ PHẦN DỊCH VỤ THƯƠNG MẠI TỔNG HỢP WINCOMMERCE</v>
      </c>
      <c r="G2177" s="16"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c r="A2178" s="14" t="s">
        <v>1557</v>
      </c>
      <c r="B2178" s="15" t="s">
        <v>5</v>
      </c>
      <c r="C2178" s="10" t="s">
        <v>1558</v>
      </c>
      <c r="D2178" s="16" t="s">
        <v>6982</v>
      </c>
      <c r="E2178" s="15" t="s">
        <v>11220</v>
      </c>
      <c r="F2178" s="16" t="str">
        <f>VLOOKUP(Table8[[#This Row],[Mã khách hàng]],code_khach_hang[],2,0)</f>
        <v>CHI NHÁNH HÀ GIANG - CÔNG TY CỔ PHẦN DỊCH VỤ THƯƠNG MẠI TỔNG HỢP WINCOMMERCE</v>
      </c>
      <c r="G2178" s="16"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c r="A2179" s="14" t="s">
        <v>1582</v>
      </c>
      <c r="B2179" s="15" t="s">
        <v>5</v>
      </c>
      <c r="C2179" s="10" t="s">
        <v>1583</v>
      </c>
      <c r="D2179" s="16" t="s">
        <v>6985</v>
      </c>
      <c r="E2179" s="15" t="s">
        <v>11218</v>
      </c>
      <c r="F2179" s="16" t="str">
        <f>VLOOKUP(Table8[[#This Row],[Mã khách hàng]],code_khach_hang[],2,0)</f>
        <v>CHI NHÁNH LÀO CAI - CÔNG TY CỔ PHẦN DỊCH VỤ THƯƠNG MẠI TỔNG HỢP WINCOMMERCE</v>
      </c>
      <c r="G2179" s="16"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c r="A2180" s="14" t="s">
        <v>1597</v>
      </c>
      <c r="B2180" s="15" t="s">
        <v>5</v>
      </c>
      <c r="C2180" s="10" t="s">
        <v>1598</v>
      </c>
      <c r="D2180" s="16" t="s">
        <v>6988</v>
      </c>
      <c r="E2180" s="15" t="s">
        <v>11194</v>
      </c>
      <c r="F2180" s="16" t="str">
        <f>VLOOKUP(Table8[[#This Row],[Mã khách hàng]],code_khach_hang[],2,0)</f>
        <v>CHI NHÁNH VĨNH PHÚC - CÔNG TY CỔ PHẦN DỊCH VỤ THƯƠNG MẠI TỔNG HỢP WINCOMMERCE</v>
      </c>
      <c r="G2180" s="16"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c r="A2181" s="14" t="s">
        <v>1573</v>
      </c>
      <c r="B2181" s="15" t="s">
        <v>5</v>
      </c>
      <c r="C2181" s="10" t="s">
        <v>1574</v>
      </c>
      <c r="D2181" s="16" t="s">
        <v>6991</v>
      </c>
      <c r="E2181" s="15" t="s">
        <v>11218</v>
      </c>
      <c r="F2181" s="16" t="str">
        <f>VLOOKUP(Table8[[#This Row],[Mã khách hàng]],code_khach_hang[],2,0)</f>
        <v>CHI NHÁNH LÀO CAI - CÔNG TY CỔ PHẦN DỊCH VỤ THƯƠNG MẠI TỔNG HỢP WINCOMMERCE</v>
      </c>
      <c r="G2181" s="16"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c r="A2182" s="14" t="s">
        <v>1638</v>
      </c>
      <c r="B2182" s="15" t="s">
        <v>5</v>
      </c>
      <c r="C2182" s="10" t="s">
        <v>1639</v>
      </c>
      <c r="D2182" s="16" t="s">
        <v>6994</v>
      </c>
      <c r="E2182" s="15" t="s">
        <v>11213</v>
      </c>
      <c r="F2182" s="16" t="str">
        <f>VLOOKUP(Table8[[#This Row],[Mã khách hàng]],code_khach_hang[],2,0)</f>
        <v>CHI NHÁNH BẮC KẠN - CÔNG TY CỔ PHẦN DỊCH VỤ THƯƠNG MẠI TỔNG HỢP WINCOMMERCE</v>
      </c>
      <c r="G2182" s="16"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c r="A2183" s="14" t="s">
        <v>1674</v>
      </c>
      <c r="B2183" s="15" t="s">
        <v>5</v>
      </c>
      <c r="C2183" s="10" t="e">
        <v>#N/A</v>
      </c>
      <c r="D2183" s="16" t="s">
        <v>6997</v>
      </c>
      <c r="E2183" s="15" t="s">
        <v>11213</v>
      </c>
      <c r="F2183" s="16" t="str">
        <f>VLOOKUP(Table8[[#This Row],[Mã khách hàng]],code_khach_hang[],2,0)</f>
        <v>CHI NHÁNH BẮC KẠN - CÔNG TY CỔ PHẦN DỊCH VỤ THƯƠNG MẠI TỔNG HỢP WINCOMMERCE</v>
      </c>
      <c r="G2183" s="16"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c r="A2184" s="14" t="s">
        <v>1686</v>
      </c>
      <c r="B2184" s="15" t="s">
        <v>5</v>
      </c>
      <c r="C2184" s="10" t="s">
        <v>1687</v>
      </c>
      <c r="D2184" s="16" t="s">
        <v>7000</v>
      </c>
      <c r="E2184" s="15" t="s">
        <v>11213</v>
      </c>
      <c r="F2184" s="16" t="str">
        <f>VLOOKUP(Table8[[#This Row],[Mã khách hàng]],code_khach_hang[],2,0)</f>
        <v>CHI NHÁNH BẮC KẠN - CÔNG TY CỔ PHẦN DỊCH VỤ THƯƠNG MẠI TỔNG HỢP WINCOMMERCE</v>
      </c>
      <c r="G2184" s="16"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c r="A2185" s="14" t="s">
        <v>1503</v>
      </c>
      <c r="B2185" s="15" t="s">
        <v>5</v>
      </c>
      <c r="C2185" s="10" t="s">
        <v>1504</v>
      </c>
      <c r="D2185" s="16" t="s">
        <v>7003</v>
      </c>
      <c r="E2185" s="15" t="s">
        <v>11215</v>
      </c>
      <c r="F2185" s="16" t="str">
        <f>VLOOKUP(Table8[[#This Row],[Mã khách hàng]],code_khach_hang[],2,0)</f>
        <v>CHI NHÁNH HÀ NỘI - CÔNG TY CỔ PHẦN DỊCH VỤ THƯƠNG MẠI TỔNG HỢP WINCOMMERCE</v>
      </c>
      <c r="G2185" s="16"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c r="A2186" s="14" t="s">
        <v>1642</v>
      </c>
      <c r="B2186" s="15" t="s">
        <v>5</v>
      </c>
      <c r="C2186" s="10" t="s">
        <v>1643</v>
      </c>
      <c r="D2186" s="16" t="s">
        <v>7006</v>
      </c>
      <c r="E2186" s="15" t="s">
        <v>11220</v>
      </c>
      <c r="F2186" s="16" t="str">
        <f>VLOOKUP(Table8[[#This Row],[Mã khách hàng]],code_khach_hang[],2,0)</f>
        <v>CHI NHÁNH HÀ GIANG - CÔNG TY CỔ PHẦN DỊCH VỤ THƯƠNG MẠI TỔNG HỢP WINCOMMERCE</v>
      </c>
      <c r="G2186" s="16"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c r="A2187" s="14" t="s">
        <v>1676</v>
      </c>
      <c r="B2187" s="15" t="s">
        <v>5</v>
      </c>
      <c r="C2187" s="10" t="s">
        <v>1677</v>
      </c>
      <c r="D2187" s="16" t="s">
        <v>7009</v>
      </c>
      <c r="E2187" s="15" t="s">
        <v>11214</v>
      </c>
      <c r="F2187" s="16" t="str">
        <f>VLOOKUP(Table8[[#This Row],[Mã khách hàng]],code_khach_hang[],2,0)</f>
        <v>CHI NHÁNH LAI CHÂU - CÔNG TY CỔ PHẦN DỊCH VỤ THƯƠNG MẠI TỔNG HỢP WINCOMMERCE</v>
      </c>
      <c r="G2187" s="16"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c r="A2188" s="14" t="s">
        <v>1695</v>
      </c>
      <c r="B2188" s="15" t="s">
        <v>5</v>
      </c>
      <c r="C2188" s="10" t="s">
        <v>1696</v>
      </c>
      <c r="D2188" s="16" t="s">
        <v>7012</v>
      </c>
      <c r="E2188" s="15" t="s">
        <v>11214</v>
      </c>
      <c r="F2188" s="16" t="str">
        <f>VLOOKUP(Table8[[#This Row],[Mã khách hàng]],code_khach_hang[],2,0)</f>
        <v>CHI NHÁNH LAI CHÂU - CÔNG TY CỔ PHẦN DỊCH VỤ THƯƠNG MẠI TỔNG HỢP WINCOMMERCE</v>
      </c>
      <c r="G2188" s="16"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c r="A2189" s="14" t="s">
        <v>8509</v>
      </c>
      <c r="B2189" s="15" t="s">
        <v>5</v>
      </c>
      <c r="C2189" s="10" t="s">
        <v>8510</v>
      </c>
      <c r="D2189" s="16" t="s">
        <v>7015</v>
      </c>
      <c r="E2189" s="15" t="s">
        <v>11212</v>
      </c>
      <c r="F2189" s="16" t="str">
        <f>VLOOKUP(Table8[[#This Row],[Mã khách hàng]],code_khach_hang[],2,0)</f>
        <v>CHI NHÁNH HÒA BÌNH - CÔNG TY CỔ PHẦN DỊCH VỤ THƯƠNG MẠI TỔNG HỢP WINCOMMERCE</v>
      </c>
      <c r="G2189" s="16"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c r="A2190" s="14" t="s">
        <v>1656</v>
      </c>
      <c r="B2190" s="15" t="s">
        <v>5</v>
      </c>
      <c r="C2190" s="10" t="s">
        <v>1657</v>
      </c>
      <c r="D2190" s="16" t="s">
        <v>7018</v>
      </c>
      <c r="E2190" s="15" t="s">
        <v>11221</v>
      </c>
      <c r="F2190" s="16" t="str">
        <f>VLOOKUP(Table8[[#This Row],[Mã khách hàng]],code_khach_hang[],2,0)</f>
        <v>CHI NHÁNH ĐIỆN BIÊN - CÔNG TY CỔ PHẦN DỊCH VỤ THƯƠNG MẠI TỔNG HỢP WINCOMMERCE</v>
      </c>
      <c r="G2190" s="16"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c r="A2191" s="14" t="s">
        <v>1652</v>
      </c>
      <c r="B2191" s="15" t="s">
        <v>5</v>
      </c>
      <c r="C2191" s="10" t="s">
        <v>1653</v>
      </c>
      <c r="D2191" s="16" t="s">
        <v>7020</v>
      </c>
      <c r="E2191" s="15" t="s">
        <v>11221</v>
      </c>
      <c r="F2191" s="16" t="str">
        <f>VLOOKUP(Table8[[#This Row],[Mã khách hàng]],code_khach_hang[],2,0)</f>
        <v>CHI NHÁNH ĐIỆN BIÊN - CÔNG TY CỔ PHẦN DỊCH VỤ THƯƠNG MẠI TỔNG HỢP WINCOMMERCE</v>
      </c>
      <c r="G2191" s="16"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c r="A2192" s="14" t="s">
        <v>1645</v>
      </c>
      <c r="B2192" s="15" t="s">
        <v>5</v>
      </c>
      <c r="C2192" s="10" t="s">
        <v>1646</v>
      </c>
      <c r="D2192" s="16" t="s">
        <v>7023</v>
      </c>
      <c r="E2192" s="15" t="s">
        <v>11206</v>
      </c>
      <c r="F2192" s="16" t="str">
        <f>VLOOKUP(Table8[[#This Row],[Mã khách hàng]],code_khach_hang[],2,0)</f>
        <v>CHI NHÁNH SƠN LA - CÔNG TY CỔ PHẦN DỊCH VỤ THƯƠNG MẠI TỔNG HỢP WINCOMMERCE</v>
      </c>
      <c r="G2192" s="16"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c r="A2193" s="14" t="s">
        <v>1707</v>
      </c>
      <c r="B2193" s="15" t="s">
        <v>5</v>
      </c>
      <c r="C2193" s="10" t="s">
        <v>1708</v>
      </c>
      <c r="D2193" s="16" t="s">
        <v>7026</v>
      </c>
      <c r="E2193" s="15" t="s">
        <v>11214</v>
      </c>
      <c r="F2193" s="16" t="str">
        <f>VLOOKUP(Table8[[#This Row],[Mã khách hàng]],code_khach_hang[],2,0)</f>
        <v>CHI NHÁNH LAI CHÂU - CÔNG TY CỔ PHẦN DỊCH VỤ THƯƠNG MẠI TỔNG HỢP WINCOMMERCE</v>
      </c>
      <c r="G2193" s="16"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c r="A2194" s="14" t="s">
        <v>1680</v>
      </c>
      <c r="B2194" s="15" t="s">
        <v>5</v>
      </c>
      <c r="C2194" s="10" t="s">
        <v>1681</v>
      </c>
      <c r="D2194" s="16" t="s">
        <v>7029</v>
      </c>
      <c r="E2194" s="15" t="s">
        <v>11206</v>
      </c>
      <c r="F2194" s="16" t="str">
        <f>VLOOKUP(Table8[[#This Row],[Mã khách hàng]],code_khach_hang[],2,0)</f>
        <v>CHI NHÁNH SƠN LA - CÔNG TY CỔ PHẦN DỊCH VỤ THƯƠNG MẠI TỔNG HỢP WINCOMMERCE</v>
      </c>
      <c r="G2194" s="16"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c r="A2195" s="14" t="s">
        <v>1733</v>
      </c>
      <c r="B2195" s="15" t="s">
        <v>5</v>
      </c>
      <c r="C2195" s="10" t="s">
        <v>1734</v>
      </c>
      <c r="D2195" s="16" t="s">
        <v>7032</v>
      </c>
      <c r="E2195" s="15" t="s">
        <v>11202</v>
      </c>
      <c r="F2195" s="16" t="str">
        <f>VLOOKUP(Table8[[#This Row],[Mã khách hàng]],code_khach_hang[],2,0)</f>
        <v>CHI NHÁNH YÊN BÁI - CÔNG TY CỔ PHẦN DỊCH VỤ THƯƠNG MẠI TỔNG HỢP WINCOMMERCE</v>
      </c>
      <c r="G2195" s="16"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c r="A2196" s="14" t="s">
        <v>1736</v>
      </c>
      <c r="B2196" s="15" t="s">
        <v>5</v>
      </c>
      <c r="C2196" s="10" t="s">
        <v>1737</v>
      </c>
      <c r="D2196" s="16" t="s">
        <v>7035</v>
      </c>
      <c r="E2196" s="15" t="s">
        <v>11218</v>
      </c>
      <c r="F2196" s="16" t="str">
        <f>VLOOKUP(Table8[[#This Row],[Mã khách hàng]],code_khach_hang[],2,0)</f>
        <v>CHI NHÁNH LÀO CAI - CÔNG TY CỔ PHẦN DỊCH VỤ THƯƠNG MẠI TỔNG HỢP WINCOMMERCE</v>
      </c>
      <c r="G2196" s="16"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c r="A2197" s="14" t="s">
        <v>1780</v>
      </c>
      <c r="B2197" s="15" t="s">
        <v>5</v>
      </c>
      <c r="C2197" s="10" t="s">
        <v>1781</v>
      </c>
      <c r="D2197" s="16" t="s">
        <v>7038</v>
      </c>
      <c r="E2197" s="15" t="s">
        <v>11194</v>
      </c>
      <c r="F2197" s="16" t="str">
        <f>VLOOKUP(Table8[[#This Row],[Mã khách hàng]],code_khach_hang[],2,0)</f>
        <v>CHI NHÁNH VĨNH PHÚC - CÔNG TY CỔ PHẦN DỊCH VỤ THƯƠNG MẠI TỔNG HỢP WINCOMMERCE</v>
      </c>
      <c r="G2197" s="16"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c r="A2198" s="14" t="s">
        <v>1754</v>
      </c>
      <c r="B2198" s="15" t="s">
        <v>5</v>
      </c>
      <c r="C2198" s="10" t="s">
        <v>1755</v>
      </c>
      <c r="D2198" s="16" t="s">
        <v>7041</v>
      </c>
      <c r="E2198" s="15" t="s">
        <v>11199</v>
      </c>
      <c r="F2198" s="16" t="str">
        <f>VLOOKUP(Table8[[#This Row],[Mã khách hàng]],code_khach_hang[],2,0)</f>
        <v>CHI NHÁNH PHÚ THỌ - CÔNG TY CỔ PHẦN DỊCH VỤ THƯƠNG MẠI TỔNG HỢP WINCOMMERCE</v>
      </c>
      <c r="G2198" s="16"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c r="A2199" s="14" t="s">
        <v>722</v>
      </c>
      <c r="B2199" s="15" t="s">
        <v>183</v>
      </c>
      <c r="C2199" s="10" t="s">
        <v>723</v>
      </c>
      <c r="D2199" s="16" t="s">
        <v>7044</v>
      </c>
      <c r="E2199" s="15" t="s">
        <v>11213</v>
      </c>
      <c r="F2199" s="16" t="str">
        <f>VLOOKUP(Table8[[#This Row],[Mã khách hàng]],code_khach_hang[],2,0)</f>
        <v>CHI NHÁNH BẮC KẠN - CÔNG TY CỔ PHẦN DỊCH VỤ THƯƠNG MẠI TỔNG HỢP WINCOMMERCE</v>
      </c>
      <c r="G2199" s="16"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c r="A2200" s="14" t="s">
        <v>6548</v>
      </c>
      <c r="B2200" s="15" t="s">
        <v>5</v>
      </c>
      <c r="C2200" s="10" t="s">
        <v>6549</v>
      </c>
      <c r="D2200" s="16" t="s">
        <v>7046</v>
      </c>
      <c r="E2200" s="15" t="s">
        <v>11212</v>
      </c>
      <c r="F2200" s="16" t="str">
        <f>VLOOKUP(Table8[[#This Row],[Mã khách hàng]],code_khach_hang[],2,0)</f>
        <v>CHI NHÁNH HÒA BÌNH - CÔNG TY CỔ PHẦN DỊCH VỤ THƯƠNG MẠI TỔNG HỢP WINCOMMERCE</v>
      </c>
      <c r="G2200" s="16"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c r="A2201" s="14" t="s">
        <v>730</v>
      </c>
      <c r="B2201" s="15" t="s">
        <v>183</v>
      </c>
      <c r="C2201" s="10" t="s">
        <v>731</v>
      </c>
      <c r="D2201" s="16" t="s">
        <v>7049</v>
      </c>
      <c r="E2201" s="15" t="s">
        <v>11214</v>
      </c>
      <c r="F2201" s="16" t="str">
        <f>VLOOKUP(Table8[[#This Row],[Mã khách hàng]],code_khach_hang[],2,0)</f>
        <v>CHI NHÁNH LAI CHÂU - CÔNG TY CỔ PHẦN DỊCH VỤ THƯƠNG MẠI TỔNG HỢP WINCOMMERCE</v>
      </c>
      <c r="G2201" s="16"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c r="A2202" s="14" t="s">
        <v>684</v>
      </c>
      <c r="B2202" s="15" t="s">
        <v>183</v>
      </c>
      <c r="C2202" s="10" t="s">
        <v>685</v>
      </c>
      <c r="D2202" s="16" t="s">
        <v>7052</v>
      </c>
      <c r="E2202" s="15" t="s">
        <v>11206</v>
      </c>
      <c r="F2202" s="16" t="str">
        <f>VLOOKUP(Table8[[#This Row],[Mã khách hàng]],code_khach_hang[],2,0)</f>
        <v>CHI NHÁNH SƠN LA - CÔNG TY CỔ PHẦN DỊCH VỤ THƯƠNG MẠI TỔNG HỢP WINCOMMERCE</v>
      </c>
      <c r="G2202" s="16"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c r="A2203" s="14" t="s">
        <v>687</v>
      </c>
      <c r="B2203" s="15" t="s">
        <v>183</v>
      </c>
      <c r="C2203" s="10" t="s">
        <v>688</v>
      </c>
      <c r="D2203" s="16" t="s">
        <v>7055</v>
      </c>
      <c r="E2203" s="15" t="s">
        <v>11207</v>
      </c>
      <c r="F2203" s="16" t="str">
        <f>VLOOKUP(Table8[[#This Row],[Mã khách hàng]],code_khach_hang[],2,0)</f>
        <v>CHI NHÁNH THÁI NGUYÊN - CÔNG TY CỔ PHẦN DỊCH VỤ THƯƠNG MẠI TỔNG HỢP WINCOMMERCE</v>
      </c>
      <c r="G2203" s="16"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c r="A2204" s="14" t="s">
        <v>676</v>
      </c>
      <c r="B2204" s="15" t="s">
        <v>183</v>
      </c>
      <c r="C2204" s="10" t="s">
        <v>677</v>
      </c>
      <c r="D2204" s="16" t="s">
        <v>7058</v>
      </c>
      <c r="E2204" s="15" t="s">
        <v>11204</v>
      </c>
      <c r="F2204" s="16" t="str">
        <f>VLOOKUP(Table8[[#This Row],[Mã khách hàng]],code_khach_hang[],2,0)</f>
        <v>CHI NHÁNH TUYÊN QUANG - CÔNG TY CỔ PHẦN DỊCH VỤ THƯƠNG MẠI TỔNG HỢP WINCOMMERCE</v>
      </c>
      <c r="G2204" s="16"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c r="A2205" s="14" t="s">
        <v>670</v>
      </c>
      <c r="B2205" s="15" t="s">
        <v>183</v>
      </c>
      <c r="C2205" s="10" t="s">
        <v>671</v>
      </c>
      <c r="D2205" s="16" t="s">
        <v>7061</v>
      </c>
      <c r="E2205" s="15" t="s">
        <v>11202</v>
      </c>
      <c r="F2205" s="16" t="str">
        <f>VLOOKUP(Table8[[#This Row],[Mã khách hàng]],code_khach_hang[],2,0)</f>
        <v>CHI NHÁNH YÊN BÁI - CÔNG TY CỔ PHẦN DỊCH VỤ THƯƠNG MẠI TỔNG HỢP WINCOMMERCE</v>
      </c>
      <c r="G2205" s="16"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c r="A2206" s="14" t="s">
        <v>6950</v>
      </c>
      <c r="B2206" s="15" t="s">
        <v>5</v>
      </c>
      <c r="C2206" s="10" t="s">
        <v>6951</v>
      </c>
      <c r="D2206" s="16" t="s">
        <v>7064</v>
      </c>
      <c r="E2206" s="15" t="s">
        <v>11199</v>
      </c>
      <c r="F2206" s="16" t="str">
        <f>VLOOKUP(Table8[[#This Row],[Mã khách hàng]],code_khach_hang[],2,0)</f>
        <v>CHI NHÁNH PHÚ THỌ - CÔNG TY CỔ PHẦN DỊCH VỤ THƯƠNG MẠI TỔNG HỢP WINCOMMERCE</v>
      </c>
      <c r="G2206" s="16"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c r="A2207" s="14" t="s">
        <v>7251</v>
      </c>
      <c r="B2207" s="15" t="s">
        <v>5</v>
      </c>
      <c r="C2207" s="10" t="e">
        <v>#N/A</v>
      </c>
      <c r="D2207" s="16" t="s">
        <v>7067</v>
      </c>
      <c r="E2207" s="15" t="s">
        <v>11199</v>
      </c>
      <c r="F2207" s="16" t="str">
        <f>VLOOKUP(Table8[[#This Row],[Mã khách hàng]],code_khach_hang[],2,0)</f>
        <v>CHI NHÁNH PHÚ THỌ - CÔNG TY CỔ PHẦN DỊCH VỤ THƯƠNG MẠI TỔNG HỢP WINCOMMERCE</v>
      </c>
      <c r="G2207" s="16"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c r="A2208" s="14" t="s">
        <v>7188</v>
      </c>
      <c r="B2208" s="15" t="s">
        <v>5</v>
      </c>
      <c r="C2208" s="10" t="e">
        <v>#N/A</v>
      </c>
      <c r="D2208" s="16" t="s">
        <v>7070</v>
      </c>
      <c r="E2208" s="15" t="s">
        <v>11199</v>
      </c>
      <c r="F2208" s="16" t="str">
        <f>VLOOKUP(Table8[[#This Row],[Mã khách hàng]],code_khach_hang[],2,0)</f>
        <v>CHI NHÁNH PHÚ THỌ - CÔNG TY CỔ PHẦN DỊCH VỤ THƯƠNG MẠI TỔNG HỢP WINCOMMERCE</v>
      </c>
      <c r="G2208" s="16"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c r="A2209" s="14" t="s">
        <v>7384</v>
      </c>
      <c r="B2209" s="15" t="s">
        <v>5</v>
      </c>
      <c r="C2209" s="10" t="s">
        <v>7385</v>
      </c>
      <c r="D2209" s="16" t="s">
        <v>7073</v>
      </c>
      <c r="E2209" s="15" t="s">
        <v>11199</v>
      </c>
      <c r="F2209" s="16" t="str">
        <f>VLOOKUP(Table8[[#This Row],[Mã khách hàng]],code_khach_hang[],2,0)</f>
        <v>CHI NHÁNH PHÚ THỌ - CÔNG TY CỔ PHẦN DỊCH VỤ THƯƠNG MẠI TỔNG HỢP WINCOMMERCE</v>
      </c>
      <c r="G2209" s="16"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c r="A2210" s="14" t="s">
        <v>7475</v>
      </c>
      <c r="B2210" s="15" t="s">
        <v>5</v>
      </c>
      <c r="C2210" s="10" t="s">
        <v>7476</v>
      </c>
      <c r="D2210" s="16" t="s">
        <v>7076</v>
      </c>
      <c r="E2210" s="15" t="s">
        <v>11199</v>
      </c>
      <c r="F2210" s="16" t="str">
        <f>VLOOKUP(Table8[[#This Row],[Mã khách hàng]],code_khach_hang[],2,0)</f>
        <v>CHI NHÁNH PHÚ THỌ - CÔNG TY CỔ PHẦN DỊCH VỤ THƯƠNG MẠI TỔNG HỢP WINCOMMERCE</v>
      </c>
      <c r="G2210" s="16"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c r="A2211" s="14" t="s">
        <v>7249</v>
      </c>
      <c r="B2211" s="15" t="s">
        <v>5</v>
      </c>
      <c r="C2211" s="10" t="e">
        <v>#N/A</v>
      </c>
      <c r="D2211" s="16" t="s">
        <v>7079</v>
      </c>
      <c r="E2211" s="15" t="s">
        <v>11199</v>
      </c>
      <c r="F2211" s="16" t="str">
        <f>VLOOKUP(Table8[[#This Row],[Mã khách hàng]],code_khach_hang[],2,0)</f>
        <v>CHI NHÁNH PHÚ THỌ - CÔNG TY CỔ PHẦN DỊCH VỤ THƯƠNG MẠI TỔNG HỢP WINCOMMERCE</v>
      </c>
      <c r="G2211" s="16"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c r="A2212" s="14" t="s">
        <v>4377</v>
      </c>
      <c r="B2212" s="15" t="s">
        <v>5</v>
      </c>
      <c r="C2212" s="10" t="s">
        <v>4378</v>
      </c>
      <c r="D2212" s="16" t="s">
        <v>7082</v>
      </c>
      <c r="E2212" s="15" t="s">
        <v>11199</v>
      </c>
      <c r="F2212" s="16" t="str">
        <f>VLOOKUP(Table8[[#This Row],[Mã khách hàng]],code_khach_hang[],2,0)</f>
        <v>CHI NHÁNH PHÚ THỌ - CÔNG TY CỔ PHẦN DỊCH VỤ THƯƠNG MẠI TỔNG HỢP WINCOMMERCE</v>
      </c>
      <c r="G2212" s="16"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c r="A2213" s="14" t="s">
        <v>4401</v>
      </c>
      <c r="B2213" s="15" t="s">
        <v>5</v>
      </c>
      <c r="C2213" s="10" t="s">
        <v>4402</v>
      </c>
      <c r="D2213" s="16" t="s">
        <v>7085</v>
      </c>
      <c r="E2213" s="15" t="s">
        <v>11199</v>
      </c>
      <c r="F2213" s="16" t="str">
        <f>VLOOKUP(Table8[[#This Row],[Mã khách hàng]],code_khach_hang[],2,0)</f>
        <v>CHI NHÁNH PHÚ THỌ - CÔNG TY CỔ PHẦN DỊCH VỤ THƯƠNG MẠI TỔNG HỢP WINCOMMERCE</v>
      </c>
      <c r="G2213" s="16"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c r="A2214" s="14" t="s">
        <v>4404</v>
      </c>
      <c r="B2214" s="15" t="s">
        <v>5</v>
      </c>
      <c r="C2214" s="10" t="s">
        <v>4405</v>
      </c>
      <c r="D2214" s="16" t="s">
        <v>7088</v>
      </c>
      <c r="E2214" s="15" t="s">
        <v>11199</v>
      </c>
      <c r="F2214" s="16" t="str">
        <f>VLOOKUP(Table8[[#This Row],[Mã khách hàng]],code_khach_hang[],2,0)</f>
        <v>CHI NHÁNH PHÚ THỌ - CÔNG TY CỔ PHẦN DỊCH VỤ THƯƠNG MẠI TỔNG HỢP WINCOMMERCE</v>
      </c>
      <c r="G2214" s="16"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c r="A2215" s="14" t="s">
        <v>4449</v>
      </c>
      <c r="B2215" s="15" t="s">
        <v>5</v>
      </c>
      <c r="C2215" s="10" t="s">
        <v>4450</v>
      </c>
      <c r="D2215" s="16" t="s">
        <v>7091</v>
      </c>
      <c r="E2215" s="15" t="s">
        <v>11199</v>
      </c>
      <c r="F2215" s="16" t="str">
        <f>VLOOKUP(Table8[[#This Row],[Mã khách hàng]],code_khach_hang[],2,0)</f>
        <v>CHI NHÁNH PHÚ THỌ - CÔNG TY CỔ PHẦN DỊCH VỤ THƯƠNG MẠI TỔNG HỢP WINCOMMERCE</v>
      </c>
      <c r="G2215" s="16"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c r="A2216" s="14" t="s">
        <v>4461</v>
      </c>
      <c r="B2216" s="15" t="s">
        <v>5</v>
      </c>
      <c r="C2216" s="10" t="s">
        <v>4462</v>
      </c>
      <c r="D2216" s="16" t="s">
        <v>7094</v>
      </c>
      <c r="E2216" s="15" t="s">
        <v>11199</v>
      </c>
      <c r="F2216" s="16" t="str">
        <f>VLOOKUP(Table8[[#This Row],[Mã khách hàng]],code_khach_hang[],2,0)</f>
        <v>CHI NHÁNH PHÚ THỌ - CÔNG TY CỔ PHẦN DỊCH VỤ THƯƠNG MẠI TỔNG HỢP WINCOMMERCE</v>
      </c>
      <c r="G2216" s="16"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c r="A2217" s="14" t="s">
        <v>4494</v>
      </c>
      <c r="B2217" s="15" t="s">
        <v>5</v>
      </c>
      <c r="C2217" s="10" t="s">
        <v>4495</v>
      </c>
      <c r="D2217" s="16" t="s">
        <v>7097</v>
      </c>
      <c r="E2217" s="15" t="s">
        <v>11199</v>
      </c>
      <c r="F2217" s="16" t="str">
        <f>VLOOKUP(Table8[[#This Row],[Mã khách hàng]],code_khach_hang[],2,0)</f>
        <v>CHI NHÁNH PHÚ THỌ - CÔNG TY CỔ PHẦN DỊCH VỤ THƯƠNG MẠI TỔNG HỢP WINCOMMERCE</v>
      </c>
      <c r="G2217" s="16"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c r="A2218" s="14" t="s">
        <v>4542</v>
      </c>
      <c r="B2218" s="15" t="s">
        <v>5</v>
      </c>
      <c r="C2218" s="10" t="s">
        <v>4543</v>
      </c>
      <c r="D2218" s="16" t="s">
        <v>7100</v>
      </c>
      <c r="E2218" s="15" t="s">
        <v>11199</v>
      </c>
      <c r="F2218" s="16" t="str">
        <f>VLOOKUP(Table8[[#This Row],[Mã khách hàng]],code_khach_hang[],2,0)</f>
        <v>CHI NHÁNH PHÚ THỌ - CÔNG TY CỔ PHẦN DỊCH VỤ THƯƠNG MẠI TỔNG HỢP WINCOMMERCE</v>
      </c>
      <c r="G2218" s="16"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c r="A2219" s="14" t="s">
        <v>4572</v>
      </c>
      <c r="B2219" s="15" t="s">
        <v>5</v>
      </c>
      <c r="C2219" s="10" t="s">
        <v>4573</v>
      </c>
      <c r="D2219" s="16" t="s">
        <v>7103</v>
      </c>
      <c r="E2219" s="15" t="s">
        <v>11199</v>
      </c>
      <c r="F2219" s="16" t="str">
        <f>VLOOKUP(Table8[[#This Row],[Mã khách hàng]],code_khach_hang[],2,0)</f>
        <v>CHI NHÁNH PHÚ THỌ - CÔNG TY CỔ PHẦN DỊCH VỤ THƯƠNG MẠI TỔNG HỢP WINCOMMERCE</v>
      </c>
      <c r="G2219" s="16"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c r="A2220" s="14" t="s">
        <v>4608</v>
      </c>
      <c r="B2220" s="15" t="s">
        <v>5</v>
      </c>
      <c r="C2220" s="10" t="s">
        <v>4609</v>
      </c>
      <c r="D2220" s="16" t="s">
        <v>7106</v>
      </c>
      <c r="E2220" s="15" t="s">
        <v>11199</v>
      </c>
      <c r="F2220" s="16" t="str">
        <f>VLOOKUP(Table8[[#This Row],[Mã khách hàng]],code_khach_hang[],2,0)</f>
        <v>CHI NHÁNH PHÚ THỌ - CÔNG TY CỔ PHẦN DỊCH VỤ THƯƠNG MẠI TỔNG HỢP WINCOMMERCE</v>
      </c>
      <c r="G2220" s="16"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c r="A2221" s="14" t="s">
        <v>4662</v>
      </c>
      <c r="B2221" s="15" t="s">
        <v>5</v>
      </c>
      <c r="C2221" s="10" t="s">
        <v>4663</v>
      </c>
      <c r="D2221" s="16" t="s">
        <v>7109</v>
      </c>
      <c r="E2221" s="15" t="s">
        <v>11199</v>
      </c>
      <c r="F2221" s="16" t="str">
        <f>VLOOKUP(Table8[[#This Row],[Mã khách hàng]],code_khach_hang[],2,0)</f>
        <v>CHI NHÁNH PHÚ THỌ - CÔNG TY CỔ PHẦN DỊCH VỤ THƯƠNG MẠI TỔNG HỢP WINCOMMERCE</v>
      </c>
      <c r="G2221" s="16"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c r="A2222" s="14" t="s">
        <v>4686</v>
      </c>
      <c r="B2222" s="15" t="s">
        <v>5</v>
      </c>
      <c r="C2222" s="10" t="s">
        <v>4687</v>
      </c>
      <c r="D2222" s="16" t="s">
        <v>7112</v>
      </c>
      <c r="E2222" s="15" t="s">
        <v>11199</v>
      </c>
      <c r="F2222" s="16" t="str">
        <f>VLOOKUP(Table8[[#This Row],[Mã khách hàng]],code_khach_hang[],2,0)</f>
        <v>CHI NHÁNH PHÚ THỌ - CÔNG TY CỔ PHẦN DỊCH VỤ THƯƠNG MẠI TỔNG HỢP WINCOMMERCE</v>
      </c>
      <c r="G2222" s="16"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c r="A2223" s="14" t="s">
        <v>4689</v>
      </c>
      <c r="B2223" s="15" t="s">
        <v>5</v>
      </c>
      <c r="C2223" s="10" t="s">
        <v>4690</v>
      </c>
      <c r="D2223" s="16" t="s">
        <v>7115</v>
      </c>
      <c r="E2223" s="15" t="s">
        <v>11199</v>
      </c>
      <c r="F2223" s="16" t="str">
        <f>VLOOKUP(Table8[[#This Row],[Mã khách hàng]],code_khach_hang[],2,0)</f>
        <v>CHI NHÁNH PHÚ THỌ - CÔNG TY CỔ PHẦN DỊCH VỤ THƯƠNG MẠI TỔNG HỢP WINCOMMERCE</v>
      </c>
      <c r="G2223" s="16"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c r="A2224" s="14" t="s">
        <v>4710</v>
      </c>
      <c r="B2224" s="15" t="s">
        <v>5</v>
      </c>
      <c r="C2224" s="10" t="s">
        <v>4711</v>
      </c>
      <c r="D2224" s="16" t="s">
        <v>7118</v>
      </c>
      <c r="E2224" s="15" t="s">
        <v>11199</v>
      </c>
      <c r="F2224" s="16" t="str">
        <f>VLOOKUP(Table8[[#This Row],[Mã khách hàng]],code_khach_hang[],2,0)</f>
        <v>CHI NHÁNH PHÚ THỌ - CÔNG TY CỔ PHẦN DỊCH VỤ THƯƠNG MẠI TỔNG HỢP WINCOMMERCE</v>
      </c>
      <c r="G2224" s="16"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c r="A2225" s="14" t="s">
        <v>4728</v>
      </c>
      <c r="B2225" s="15" t="s">
        <v>5</v>
      </c>
      <c r="C2225" s="10" t="s">
        <v>4729</v>
      </c>
      <c r="D2225" s="16" t="s">
        <v>7121</v>
      </c>
      <c r="E2225" s="15" t="s">
        <v>11199</v>
      </c>
      <c r="F2225" s="16" t="str">
        <f>VLOOKUP(Table8[[#This Row],[Mã khách hàng]],code_khach_hang[],2,0)</f>
        <v>CHI NHÁNH PHÚ THỌ - CÔNG TY CỔ PHẦN DỊCH VỤ THƯƠNG MẠI TỔNG HỢP WINCOMMERCE</v>
      </c>
      <c r="G2225" s="16"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c r="A2226" s="14" t="s">
        <v>7351</v>
      </c>
      <c r="B2226" s="15" t="s">
        <v>5</v>
      </c>
      <c r="C2226" s="10" t="s">
        <v>7352</v>
      </c>
      <c r="D2226" s="16" t="s">
        <v>7124</v>
      </c>
      <c r="E2226" s="14" t="s">
        <v>11199</v>
      </c>
      <c r="F2226" s="16" t="str">
        <f>VLOOKUP(Table8[[#This Row],[Mã khách hàng]],code_khach_hang[],2,0)</f>
        <v>CHI NHÁNH PHÚ THỌ - CÔNG TY CỔ PHẦN DỊCH VỤ THƯƠNG MẠI TỔNG HỢP WINCOMMERCE</v>
      </c>
      <c r="G2226" s="16"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c r="A2227" s="14" t="s">
        <v>7478</v>
      </c>
      <c r="B2227" s="15" t="s">
        <v>5</v>
      </c>
      <c r="C2227" s="10" t="s">
        <v>7479</v>
      </c>
      <c r="D2227" s="16" t="s">
        <v>7127</v>
      </c>
      <c r="E2227" s="15" t="s">
        <v>11199</v>
      </c>
      <c r="F2227" s="16" t="str">
        <f>VLOOKUP(Table8[[#This Row],[Mã khách hàng]],code_khach_hang[],2,0)</f>
        <v>CHI NHÁNH PHÚ THỌ - CÔNG TY CỔ PHẦN DỊCH VỤ THƯƠNG MẠI TỔNG HỢP WINCOMMERCE</v>
      </c>
      <c r="G2227" s="16"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c r="A2228" s="14" t="s">
        <v>7484</v>
      </c>
      <c r="B2228" s="15" t="s">
        <v>5</v>
      </c>
      <c r="C2228" s="10" t="s">
        <v>7485</v>
      </c>
      <c r="D2228" s="16" t="s">
        <v>7130</v>
      </c>
      <c r="E2228" s="15" t="s">
        <v>11199</v>
      </c>
      <c r="F2228" s="16" t="str">
        <f>VLOOKUP(Table8[[#This Row],[Mã khách hàng]],code_khach_hang[],2,0)</f>
        <v>CHI NHÁNH PHÚ THỌ - CÔNG TY CỔ PHẦN DỊCH VỤ THƯƠNG MẠI TỔNG HỢP WINCOMMERCE</v>
      </c>
      <c r="G2228" s="16"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c r="A2229" s="14" t="s">
        <v>7727</v>
      </c>
      <c r="B2229" s="15" t="s">
        <v>5</v>
      </c>
      <c r="C2229" s="10" t="s">
        <v>7728</v>
      </c>
      <c r="D2229" s="16" t="s">
        <v>7133</v>
      </c>
      <c r="E2229" s="15" t="s">
        <v>11199</v>
      </c>
      <c r="F2229" s="16" t="str">
        <f>VLOOKUP(Table8[[#This Row],[Mã khách hàng]],code_khach_hang[],2,0)</f>
        <v>CHI NHÁNH PHÚ THỌ - CÔNG TY CỔ PHẦN DỊCH VỤ THƯƠNG MẠI TỔNG HỢP WINCOMMERCE</v>
      </c>
      <c r="G2229" s="16"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c r="A2230" s="14" t="s">
        <v>7765</v>
      </c>
      <c r="B2230" s="15" t="s">
        <v>5</v>
      </c>
      <c r="C2230" s="10" t="s">
        <v>7766</v>
      </c>
      <c r="D2230" s="16" t="s">
        <v>7136</v>
      </c>
      <c r="E2230" s="15" t="s">
        <v>11199</v>
      </c>
      <c r="F2230" s="16" t="str">
        <f>VLOOKUP(Table8[[#This Row],[Mã khách hàng]],code_khach_hang[],2,0)</f>
        <v>CHI NHÁNH PHÚ THỌ - CÔNG TY CỔ PHẦN DỊCH VỤ THƯƠNG MẠI TỔNG HỢP WINCOMMERCE</v>
      </c>
      <c r="G2230" s="16"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c r="A2231" s="14" t="s">
        <v>7658</v>
      </c>
      <c r="B2231" s="15" t="s">
        <v>5</v>
      </c>
      <c r="C2231" s="10" t="s">
        <v>7659</v>
      </c>
      <c r="D2231" s="16" t="s">
        <v>7139</v>
      </c>
      <c r="E2231" s="15" t="s">
        <v>11199</v>
      </c>
      <c r="F2231" s="16" t="str">
        <f>VLOOKUP(Table8[[#This Row],[Mã khách hàng]],code_khach_hang[],2,0)</f>
        <v>CHI NHÁNH PHÚ THỌ - CÔNG TY CỔ PHẦN DỊCH VỤ THƯƠNG MẠI TỔNG HỢP WINCOMMERCE</v>
      </c>
      <c r="G2231" s="16"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c r="A2232" s="14" t="s">
        <v>7948</v>
      </c>
      <c r="B2232" s="15" t="s">
        <v>5</v>
      </c>
      <c r="C2232" s="10" t="s">
        <v>7949</v>
      </c>
      <c r="D2232" s="16" t="s">
        <v>7141</v>
      </c>
      <c r="E2232" s="15" t="s">
        <v>11199</v>
      </c>
      <c r="F2232" s="16" t="str">
        <f>VLOOKUP(Table8[[#This Row],[Mã khách hàng]],code_khach_hang[],2,0)</f>
        <v>CHI NHÁNH PHÚ THỌ - CÔNG TY CỔ PHẦN DỊCH VỤ THƯƠNG MẠI TỔNG HỢP WINCOMMERCE</v>
      </c>
      <c r="G2232" s="16"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c r="A2233" s="14" t="s">
        <v>7998</v>
      </c>
      <c r="B2233" s="15" t="s">
        <v>5</v>
      </c>
      <c r="C2233" s="10" t="s">
        <v>7999</v>
      </c>
      <c r="D2233" s="16" t="s">
        <v>7144</v>
      </c>
      <c r="E2233" s="15" t="s">
        <v>11199</v>
      </c>
      <c r="F2233" s="16" t="str">
        <f>VLOOKUP(Table8[[#This Row],[Mã khách hàng]],code_khach_hang[],2,0)</f>
        <v>CHI NHÁNH PHÚ THỌ - CÔNG TY CỔ PHẦN DỊCH VỤ THƯƠNG MẠI TỔNG HỢP WINCOMMERCE</v>
      </c>
      <c r="G2233" s="16"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c r="A2234" s="14" t="s">
        <v>7419</v>
      </c>
      <c r="B2234" s="15" t="s">
        <v>5</v>
      </c>
      <c r="C2234" s="10" t="s">
        <v>7420</v>
      </c>
      <c r="D2234" s="16" t="s">
        <v>7146</v>
      </c>
      <c r="E2234" s="15" t="s">
        <v>11199</v>
      </c>
      <c r="F2234" s="16" t="str">
        <f>VLOOKUP(Table8[[#This Row],[Mã khách hàng]],code_khach_hang[],2,0)</f>
        <v>CHI NHÁNH PHÚ THỌ - CÔNG TY CỔ PHẦN DỊCH VỤ THƯƠNG MẠI TỔNG HỢP WINCOMMERCE</v>
      </c>
      <c r="G2234" s="16"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c r="A2235" s="14" t="s">
        <v>7670</v>
      </c>
      <c r="B2235" s="15" t="s">
        <v>5</v>
      </c>
      <c r="C2235" s="10" t="s">
        <v>7671</v>
      </c>
      <c r="D2235" s="16" t="s">
        <v>7149</v>
      </c>
      <c r="E2235" s="15" t="s">
        <v>11199</v>
      </c>
      <c r="F2235" s="16" t="str">
        <f>VLOOKUP(Table8[[#This Row],[Mã khách hàng]],code_khach_hang[],2,0)</f>
        <v>CHI NHÁNH PHÚ THỌ - CÔNG TY CỔ PHẦN DỊCH VỤ THƯƠNG MẠI TỔNG HỢP WINCOMMERCE</v>
      </c>
      <c r="G2235" s="16"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c r="A2236" s="14" t="s">
        <v>7869</v>
      </c>
      <c r="B2236" s="15" t="s">
        <v>5</v>
      </c>
      <c r="C2236" s="10" t="s">
        <v>7870</v>
      </c>
      <c r="D2236" s="16" t="s">
        <v>7152</v>
      </c>
      <c r="E2236" s="15" t="s">
        <v>11199</v>
      </c>
      <c r="F2236" s="16" t="str">
        <f>VLOOKUP(Table8[[#This Row],[Mã khách hàng]],code_khach_hang[],2,0)</f>
        <v>CHI NHÁNH PHÚ THỌ - CÔNG TY CỔ PHẦN DỊCH VỤ THƯƠNG MẠI TỔNG HỢP WINCOMMERCE</v>
      </c>
      <c r="G2236" s="16"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c r="A2237" s="14" t="s">
        <v>5250</v>
      </c>
      <c r="B2237" s="15" t="s">
        <v>5</v>
      </c>
      <c r="C2237" s="10" t="s">
        <v>5251</v>
      </c>
      <c r="D2237" s="16" t="s">
        <v>7155</v>
      </c>
      <c r="E2237" s="15" t="s">
        <v>11199</v>
      </c>
      <c r="F2237" s="16" t="str">
        <f>VLOOKUP(Table8[[#This Row],[Mã khách hàng]],code_khach_hang[],2,0)</f>
        <v>CHI NHÁNH PHÚ THỌ - CÔNG TY CỔ PHẦN DỊCH VỤ THƯƠNG MẠI TỔNG HỢP WINCOMMERCE</v>
      </c>
      <c r="G2237" s="16"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c r="A2238" s="14" t="s">
        <v>4992</v>
      </c>
      <c r="B2238" s="15" t="s">
        <v>5</v>
      </c>
      <c r="C2238" s="10" t="s">
        <v>4993</v>
      </c>
      <c r="D2238" s="16" t="s">
        <v>7158</v>
      </c>
      <c r="E2238" s="15" t="s">
        <v>11199</v>
      </c>
      <c r="F2238" s="16" t="str">
        <f>VLOOKUP(Table8[[#This Row],[Mã khách hàng]],code_khach_hang[],2,0)</f>
        <v>CHI NHÁNH PHÚ THỌ - CÔNG TY CỔ PHẦN DỊCH VỤ THƯƠNG MẠI TỔNG HỢP WINCOMMERCE</v>
      </c>
      <c r="G2238" s="16"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c r="A2239" s="14" t="s">
        <v>5178</v>
      </c>
      <c r="B2239" s="15" t="s">
        <v>5</v>
      </c>
      <c r="C2239" s="10" t="s">
        <v>5179</v>
      </c>
      <c r="D2239" s="16" t="s">
        <v>7161</v>
      </c>
      <c r="E2239" s="15" t="s">
        <v>11199</v>
      </c>
      <c r="F2239" s="16" t="str">
        <f>VLOOKUP(Table8[[#This Row],[Mã khách hàng]],code_khach_hang[],2,0)</f>
        <v>CHI NHÁNH PHÚ THỌ - CÔNG TY CỔ PHẦN DỊCH VỤ THƯƠNG MẠI TỔNG HỢP WINCOMMERCE</v>
      </c>
      <c r="G2239" s="16"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c r="A2240" s="14" t="s">
        <v>5124</v>
      </c>
      <c r="B2240" s="15" t="s">
        <v>5</v>
      </c>
      <c r="C2240" s="10" t="s">
        <v>5125</v>
      </c>
      <c r="D2240" s="16" t="s">
        <v>7164</v>
      </c>
      <c r="E2240" s="15" t="s">
        <v>11199</v>
      </c>
      <c r="F2240" s="16" t="str">
        <f>VLOOKUP(Table8[[#This Row],[Mã khách hàng]],code_khach_hang[],2,0)</f>
        <v>CHI NHÁNH PHÚ THỌ - CÔNG TY CỔ PHẦN DỊCH VỤ THƯƠNG MẠI TỔNG HỢP WINCOMMERCE</v>
      </c>
      <c r="G2240" s="16"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c r="A2241" s="14" t="s">
        <v>5109</v>
      </c>
      <c r="B2241" s="15" t="s">
        <v>5</v>
      </c>
      <c r="C2241" s="10" t="s">
        <v>5110</v>
      </c>
      <c r="D2241" s="16" t="s">
        <v>7167</v>
      </c>
      <c r="E2241" s="15" t="s">
        <v>11199</v>
      </c>
      <c r="F2241" s="16" t="str">
        <f>VLOOKUP(Table8[[#This Row],[Mã khách hàng]],code_khach_hang[],2,0)</f>
        <v>CHI NHÁNH PHÚ THỌ - CÔNG TY CỔ PHẦN DỊCH VỤ THƯƠNG MẠI TỔNG HỢP WINCOMMERCE</v>
      </c>
      <c r="G2241" s="16"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c r="A2242" s="14" t="s">
        <v>8118</v>
      </c>
      <c r="B2242" s="15" t="s">
        <v>5</v>
      </c>
      <c r="C2242" s="10" t="s">
        <v>8119</v>
      </c>
      <c r="D2242" s="16" t="s">
        <v>7170</v>
      </c>
      <c r="E2242" s="15" t="s">
        <v>11199</v>
      </c>
      <c r="F2242" s="16" t="str">
        <f>VLOOKUP(Table8[[#This Row],[Mã khách hàng]],code_khach_hang[],2,0)</f>
        <v>CHI NHÁNH PHÚ THỌ - CÔNG TY CỔ PHẦN DỊCH VỤ THƯƠNG MẠI TỔNG HỢP WINCOMMERCE</v>
      </c>
      <c r="G2242" s="16"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c r="A2243" s="14" t="s">
        <v>7989</v>
      </c>
      <c r="B2243" s="15" t="s">
        <v>5</v>
      </c>
      <c r="C2243" s="10" t="s">
        <v>7990</v>
      </c>
      <c r="D2243" s="16" t="s">
        <v>7173</v>
      </c>
      <c r="E2243" s="15" t="s">
        <v>11199</v>
      </c>
      <c r="F2243" s="16" t="str">
        <f>VLOOKUP(Table8[[#This Row],[Mã khách hàng]],code_khach_hang[],2,0)</f>
        <v>CHI NHÁNH PHÚ THỌ - CÔNG TY CỔ PHẦN DỊCH VỤ THƯƠNG MẠI TỔNG HỢP WINCOMMERCE</v>
      </c>
      <c r="G2243" s="16"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c r="A2244" s="14" t="s">
        <v>8022</v>
      </c>
      <c r="B2244" s="15" t="s">
        <v>5</v>
      </c>
      <c r="C2244" s="10" t="s">
        <v>8023</v>
      </c>
      <c r="D2244" s="16" t="s">
        <v>7176</v>
      </c>
      <c r="E2244" s="15" t="s">
        <v>11199</v>
      </c>
      <c r="F2244" s="16" t="str">
        <f>VLOOKUP(Table8[[#This Row],[Mã khách hàng]],code_khach_hang[],2,0)</f>
        <v>CHI NHÁNH PHÚ THỌ - CÔNG TY CỔ PHẦN DỊCH VỤ THƯƠNG MẠI TỔNG HỢP WINCOMMERCE</v>
      </c>
      <c r="G2244" s="16"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c r="A2245" s="14" t="s">
        <v>8218</v>
      </c>
      <c r="B2245" s="15" t="s">
        <v>5</v>
      </c>
      <c r="C2245" s="10" t="s">
        <v>8219</v>
      </c>
      <c r="D2245" s="16" t="s">
        <v>7179</v>
      </c>
      <c r="E2245" s="15" t="s">
        <v>11199</v>
      </c>
      <c r="F2245" s="16" t="str">
        <f>VLOOKUP(Table8[[#This Row],[Mã khách hàng]],code_khach_hang[],2,0)</f>
        <v>CHI NHÁNH PHÚ THỌ - CÔNG TY CỔ PHẦN DỊCH VỤ THƯƠNG MẠI TỔNG HỢP WINCOMMERCE</v>
      </c>
      <c r="G2245" s="16"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c r="A2246" s="14" t="s">
        <v>8313</v>
      </c>
      <c r="B2246" s="15" t="s">
        <v>5</v>
      </c>
      <c r="C2246" s="10" t="s">
        <v>8314</v>
      </c>
      <c r="D2246" s="16" t="s">
        <v>7182</v>
      </c>
      <c r="E2246" s="15" t="s">
        <v>11199</v>
      </c>
      <c r="F2246" s="16" t="str">
        <f>VLOOKUP(Table8[[#This Row],[Mã khách hàng]],code_khach_hang[],2,0)</f>
        <v>CHI NHÁNH PHÚ THỌ - CÔNG TY CỔ PHẦN DỊCH VỤ THƯƠNG MẠI TỔNG HỢP WINCOMMERCE</v>
      </c>
      <c r="G2246" s="16"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c r="A2247" s="14" t="s">
        <v>8142</v>
      </c>
      <c r="B2247" s="15" t="s">
        <v>5</v>
      </c>
      <c r="C2247" s="10" t="s">
        <v>8143</v>
      </c>
      <c r="D2247" s="16" t="s">
        <v>7184</v>
      </c>
      <c r="E2247" s="15" t="s">
        <v>11199</v>
      </c>
      <c r="F2247" s="16" t="str">
        <f>VLOOKUP(Table8[[#This Row],[Mã khách hàng]],code_khach_hang[],2,0)</f>
        <v>CHI NHÁNH PHÚ THỌ - CÔNG TY CỔ PHẦN DỊCH VỤ THƯƠNG MẠI TỔNG HỢP WINCOMMERCE</v>
      </c>
      <c r="G2247" s="16"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c r="A2248" s="14" t="s">
        <v>8257</v>
      </c>
      <c r="B2248" s="15" t="s">
        <v>5</v>
      </c>
      <c r="C2248" s="10" t="s">
        <v>8258</v>
      </c>
      <c r="D2248" s="16" t="s">
        <v>7187</v>
      </c>
      <c r="E2248" s="15" t="s">
        <v>11199</v>
      </c>
      <c r="F2248" s="16" t="str">
        <f>VLOOKUP(Table8[[#This Row],[Mã khách hàng]],code_khach_hang[],2,0)</f>
        <v>CHI NHÁNH PHÚ THỌ - CÔNG TY CỔ PHẦN DỊCH VỤ THƯƠNG MẠI TỔNG HỢP WINCOMMERCE</v>
      </c>
      <c r="G2248" s="16"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c r="A2249" s="14" t="s">
        <v>8263</v>
      </c>
      <c r="B2249" s="15" t="s">
        <v>5</v>
      </c>
      <c r="C2249" s="10" t="s">
        <v>8264</v>
      </c>
      <c r="D2249" s="16" t="s">
        <v>7189</v>
      </c>
      <c r="E2249" s="15" t="s">
        <v>11199</v>
      </c>
      <c r="F2249" s="16" t="str">
        <f>VLOOKUP(Table8[[#This Row],[Mã khách hàng]],code_khach_hang[],2,0)</f>
        <v>CHI NHÁNH PHÚ THỌ - CÔNG TY CỔ PHẦN DỊCH VỤ THƯƠNG MẠI TỔNG HỢP WINCOMMERCE</v>
      </c>
      <c r="G2249" s="16"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c r="A2250" s="14" t="s">
        <v>8393</v>
      </c>
      <c r="B2250" s="15" t="s">
        <v>5</v>
      </c>
      <c r="C2250" s="10" t="s">
        <v>8394</v>
      </c>
      <c r="D2250" s="16" t="s">
        <v>7192</v>
      </c>
      <c r="E2250" s="15" t="s">
        <v>11199</v>
      </c>
      <c r="F2250" s="16" t="str">
        <f>VLOOKUP(Table8[[#This Row],[Mã khách hàng]],code_khach_hang[],2,0)</f>
        <v>CHI NHÁNH PHÚ THỌ - CÔNG TY CỔ PHẦN DỊCH VỤ THƯƠNG MẠI TỔNG HỢP WINCOMMERCE</v>
      </c>
      <c r="G2250" s="16"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c r="A2251" s="14" t="s">
        <v>8422</v>
      </c>
      <c r="B2251" s="15" t="s">
        <v>5</v>
      </c>
      <c r="C2251" s="10" t="s">
        <v>8423</v>
      </c>
      <c r="D2251" s="16" t="s">
        <v>7195</v>
      </c>
      <c r="E2251" s="15" t="s">
        <v>11199</v>
      </c>
      <c r="F2251" s="16" t="str">
        <f>VLOOKUP(Table8[[#This Row],[Mã khách hàng]],code_khach_hang[],2,0)</f>
        <v>CHI NHÁNH PHÚ THỌ - CÔNG TY CỔ PHẦN DỊCH VỤ THƯƠNG MẠI TỔNG HỢP WINCOMMERCE</v>
      </c>
      <c r="G2251" s="16"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c r="A2252" s="14" t="s">
        <v>8007</v>
      </c>
      <c r="B2252" s="15" t="s">
        <v>5</v>
      </c>
      <c r="C2252" s="10" t="s">
        <v>8008</v>
      </c>
      <c r="D2252" s="16" t="s">
        <v>7198</v>
      </c>
      <c r="E2252" s="15" t="s">
        <v>11199</v>
      </c>
      <c r="F2252" s="16" t="str">
        <f>VLOOKUP(Table8[[#This Row],[Mã khách hàng]],code_khach_hang[],2,0)</f>
        <v>CHI NHÁNH PHÚ THỌ - CÔNG TY CỔ PHẦN DỊCH VỤ THƯƠNG MẠI TỔNG HỢP WINCOMMERCE</v>
      </c>
      <c r="G2252" s="16"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c r="A2253" s="14" t="s">
        <v>8437</v>
      </c>
      <c r="B2253" s="15" t="s">
        <v>5</v>
      </c>
      <c r="C2253" s="10" t="e">
        <v>#N/A</v>
      </c>
      <c r="D2253" s="16" t="s">
        <v>7201</v>
      </c>
      <c r="E2253" s="15" t="s">
        <v>11199</v>
      </c>
      <c r="F2253" s="16" t="str">
        <f>VLOOKUP(Table8[[#This Row],[Mã khách hàng]],code_khach_hang[],2,0)</f>
        <v>CHI NHÁNH PHÚ THỌ - CÔNG TY CỔ PHẦN DỊCH VỤ THƯƠNG MẠI TỔNG HỢP WINCOMMERCE</v>
      </c>
      <c r="G2253" s="16"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c r="A2254" s="14" t="s">
        <v>8471</v>
      </c>
      <c r="B2254" s="15" t="s">
        <v>5</v>
      </c>
      <c r="C2254" s="10" t="s">
        <v>8472</v>
      </c>
      <c r="D2254" s="16" t="s">
        <v>7204</v>
      </c>
      <c r="E2254" s="15" t="s">
        <v>11199</v>
      </c>
      <c r="F2254" s="16" t="str">
        <f>VLOOKUP(Table8[[#This Row],[Mã khách hàng]],code_khach_hang[],2,0)</f>
        <v>CHI NHÁNH PHÚ THỌ - CÔNG TY CỔ PHẦN DỊCH VỤ THƯƠNG MẠI TỔNG HỢP WINCOMMERCE</v>
      </c>
      <c r="G2254" s="16"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c r="A2255" s="14" t="s">
        <v>8738</v>
      </c>
      <c r="B2255" s="15" t="s">
        <v>5</v>
      </c>
      <c r="C2255" s="10" t="s">
        <v>8739</v>
      </c>
      <c r="D2255" s="16" t="s">
        <v>7207</v>
      </c>
      <c r="E2255" s="15" t="s">
        <v>11199</v>
      </c>
      <c r="F2255" s="16" t="str">
        <f>VLOOKUP(Table8[[#This Row],[Mã khách hàng]],code_khach_hang[],2,0)</f>
        <v>CHI NHÁNH PHÚ THỌ - CÔNG TY CỔ PHẦN DỊCH VỤ THƯƠNG MẠI TỔNG HỢP WINCOMMERCE</v>
      </c>
      <c r="G2255" s="16"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c r="A2256" s="14" t="s">
        <v>8645</v>
      </c>
      <c r="B2256" s="15" t="s">
        <v>5</v>
      </c>
      <c r="C2256" s="10" t="s">
        <v>8646</v>
      </c>
      <c r="D2256" s="16" t="s">
        <v>7210</v>
      </c>
      <c r="E2256" s="15" t="s">
        <v>11199</v>
      </c>
      <c r="F2256" s="16" t="str">
        <f>VLOOKUP(Table8[[#This Row],[Mã khách hàng]],code_khach_hang[],2,0)</f>
        <v>CHI NHÁNH PHÚ THỌ - CÔNG TY CỔ PHẦN DỊCH VỤ THƯƠNG MẠI TỔNG HỢP WINCOMMERCE</v>
      </c>
      <c r="G2256" s="16"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c r="A2257" s="14" t="s">
        <v>8927</v>
      </c>
      <c r="B2257" s="15" t="s">
        <v>5</v>
      </c>
      <c r="C2257" s="10" t="s">
        <v>8928</v>
      </c>
      <c r="D2257" s="16" t="s">
        <v>7213</v>
      </c>
      <c r="E2257" s="15" t="s">
        <v>11199</v>
      </c>
      <c r="F2257" s="16" t="str">
        <f>VLOOKUP(Table8[[#This Row],[Mã khách hàng]],code_khach_hang[],2,0)</f>
        <v>CHI NHÁNH PHÚ THỌ - CÔNG TY CỔ PHẦN DỊCH VỤ THƯƠNG MẠI TỔNG HỢP WINCOMMERCE</v>
      </c>
      <c r="G2257" s="16"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c r="A2258" s="14" t="s">
        <v>1429</v>
      </c>
      <c r="B2258" s="15" t="s">
        <v>5</v>
      </c>
      <c r="C2258" s="10" t="s">
        <v>1430</v>
      </c>
      <c r="D2258" s="16" t="s">
        <v>7216</v>
      </c>
      <c r="E2258" s="15" t="s">
        <v>11199</v>
      </c>
      <c r="F2258" s="16" t="str">
        <f>VLOOKUP(Table8[[#This Row],[Mã khách hàng]],code_khach_hang[],2,0)</f>
        <v>CHI NHÁNH PHÚ THỌ - CÔNG TY CỔ PHẦN DỊCH VỤ THƯƠNG MẠI TỔNG HỢP WINCOMMERCE</v>
      </c>
      <c r="G2258" s="16"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c r="A2259" s="14" t="s">
        <v>1621</v>
      </c>
      <c r="B2259" s="15" t="s">
        <v>5</v>
      </c>
      <c r="C2259" s="10" t="s">
        <v>1622</v>
      </c>
      <c r="D2259" s="16" t="s">
        <v>7218</v>
      </c>
      <c r="E2259" s="15" t="s">
        <v>11199</v>
      </c>
      <c r="F2259" s="16" t="str">
        <f>VLOOKUP(Table8[[#This Row],[Mã khách hàng]],code_khach_hang[],2,0)</f>
        <v>CHI NHÁNH PHÚ THỌ - CÔNG TY CỔ PHẦN DỊCH VỤ THƯƠNG MẠI TỔNG HỢP WINCOMMERCE</v>
      </c>
      <c r="G2259" s="16"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c r="A2260" s="14" t="s">
        <v>1522</v>
      </c>
      <c r="B2260" s="15" t="s">
        <v>5</v>
      </c>
      <c r="C2260" s="10" t="s">
        <v>1523</v>
      </c>
      <c r="D2260" s="16" t="s">
        <v>7221</v>
      </c>
      <c r="E2260" s="15" t="s">
        <v>11199</v>
      </c>
      <c r="F2260" s="16" t="str">
        <f>VLOOKUP(Table8[[#This Row],[Mã khách hàng]],code_khach_hang[],2,0)</f>
        <v>CHI NHÁNH PHÚ THỌ - CÔNG TY CỔ PHẦN DỊCH VỤ THƯƠNG MẠI TỔNG HỢP WINCOMMERCE</v>
      </c>
      <c r="G2260" s="16"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c r="A2261" s="14" t="s">
        <v>2554</v>
      </c>
      <c r="B2261" s="15" t="s">
        <v>5</v>
      </c>
      <c r="C2261" s="10" t="s">
        <v>2555</v>
      </c>
      <c r="D2261" s="16" t="s">
        <v>7224</v>
      </c>
      <c r="E2261" s="15" t="s">
        <v>11199</v>
      </c>
      <c r="F2261" s="16" t="str">
        <f>VLOOKUP(Table8[[#This Row],[Mã khách hàng]],code_khach_hang[],2,0)</f>
        <v>CHI NHÁNH PHÚ THỌ - CÔNG TY CỔ PHẦN DỊCH VỤ THƯƠNG MẠI TỔNG HỢP WINCOMMERCE</v>
      </c>
      <c r="G2261" s="16"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c r="A2262" s="14" t="s">
        <v>2756</v>
      </c>
      <c r="B2262" s="15" t="s">
        <v>5</v>
      </c>
      <c r="C2262" s="10" t="s">
        <v>2757</v>
      </c>
      <c r="D2262" s="16" t="s">
        <v>7227</v>
      </c>
      <c r="E2262" s="15" t="s">
        <v>11199</v>
      </c>
      <c r="F2262" s="16" t="str">
        <f>VLOOKUP(Table8[[#This Row],[Mã khách hàng]],code_khach_hang[],2,0)</f>
        <v>CHI NHÁNH PHÚ THỌ - CÔNG TY CỔ PHẦN DỊCH VỤ THƯƠNG MẠI TỔNG HỢP WINCOMMERCE</v>
      </c>
      <c r="G2262" s="16"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c r="A2263" s="14" t="s">
        <v>661</v>
      </c>
      <c r="B2263" s="15" t="s">
        <v>183</v>
      </c>
      <c r="C2263" s="10" t="s">
        <v>662</v>
      </c>
      <c r="D2263" s="16" t="s">
        <v>7230</v>
      </c>
      <c r="E2263" s="15" t="s">
        <v>11199</v>
      </c>
      <c r="F2263" s="16" t="str">
        <f>VLOOKUP(Table8[[#This Row],[Mã khách hàng]],code_khach_hang[],2,0)</f>
        <v>CHI NHÁNH PHÚ THỌ - CÔNG TY CỔ PHẦN DỊCH VỤ THƯƠNG MẠI TỔNG HỢP WINCOMMERCE</v>
      </c>
      <c r="G2263" s="16"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c r="A2264" s="14" t="s">
        <v>719</v>
      </c>
      <c r="B2264" s="15" t="s">
        <v>183</v>
      </c>
      <c r="C2264" s="10" t="s">
        <v>720</v>
      </c>
      <c r="D2264" s="16" t="s">
        <v>7233</v>
      </c>
      <c r="E2264" s="15" t="s">
        <v>11199</v>
      </c>
      <c r="F2264" s="16" t="str">
        <f>VLOOKUP(Table8[[#This Row],[Mã khách hàng]],code_khach_hang[],2,0)</f>
        <v>CHI NHÁNH PHÚ THỌ - CÔNG TY CỔ PHẦN DỊCH VỤ THƯƠNG MẠI TỔNG HỢP WINCOMMERCE</v>
      </c>
      <c r="G2264" s="16"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c r="A2265" s="14" t="s">
        <v>1794</v>
      </c>
      <c r="B2265" s="15" t="s">
        <v>5</v>
      </c>
      <c r="C2265" s="10" t="s">
        <v>1795</v>
      </c>
      <c r="D2265" s="16" t="s">
        <v>7236</v>
      </c>
      <c r="E2265" s="15" t="s">
        <v>11217</v>
      </c>
      <c r="F2265" s="16" t="str">
        <f>VLOOKUP(Table8[[#This Row],[Mã khách hàng]],code_khach_hang[],2,0)</f>
        <v>CHI NHÁNH BẮC GIANG - CÔNG TY CỔ PHẦN DỊCH VỤ THƯƠNG MẠI TỔNG HỢP WINCOMMERCE</v>
      </c>
      <c r="G2265" s="16"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c r="A2266" s="14" t="s">
        <v>9255</v>
      </c>
      <c r="B2266" s="15" t="s">
        <v>5</v>
      </c>
      <c r="C2266" s="10" t="s">
        <v>9256</v>
      </c>
      <c r="D2266" s="16" t="s">
        <v>7239</v>
      </c>
      <c r="E2266" s="15" t="s">
        <v>11203</v>
      </c>
      <c r="F2266" s="16" t="str">
        <f>VLOOKUP(Table8[[#This Row],[Mã khách hàng]],code_khach_hang[],2,0)</f>
        <v>CHI NHÁNH THANH HÓA - CÔNG TY CỔ PHẦN DỊCH VỤ THƯƠNG MẠI TỔNG HỢP WINCOMMERCE</v>
      </c>
      <c r="G2266" s="16"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c r="A2267" s="14" t="s">
        <v>1823</v>
      </c>
      <c r="B2267" s="15" t="s">
        <v>5</v>
      </c>
      <c r="C2267" s="10" t="s">
        <v>1824</v>
      </c>
      <c r="D2267" s="16" t="s">
        <v>7242</v>
      </c>
      <c r="E2267" s="15" t="s">
        <v>11215</v>
      </c>
      <c r="F2267" s="16" t="str">
        <f>VLOOKUP(Table8[[#This Row],[Mã khách hàng]],code_khach_hang[],2,0)</f>
        <v>CHI NHÁNH HÀ NỘI - CÔNG TY CỔ PHẦN DỊCH VỤ THƯƠNG MẠI TỔNG HỢP WINCOMMERCE</v>
      </c>
      <c r="G2267" s="16"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c r="A2268" s="14" t="s">
        <v>9309</v>
      </c>
      <c r="B2268" s="15" t="s">
        <v>5</v>
      </c>
      <c r="C2268" s="10" t="s">
        <v>9310</v>
      </c>
      <c r="D2268" s="16" t="s">
        <v>7245</v>
      </c>
      <c r="E2268" s="15" t="s">
        <v>11198</v>
      </c>
      <c r="F2268" s="16" t="str">
        <f>VLOOKUP(Table8[[#This Row],[Mã khách hàng]],code_khach_hang[],2,0)</f>
        <v>CHI NHÁNH HẢI PHÒNG - CÔNG TY CỔ PHẦN DỊCH VỤ THƯƠNG MẠI TỔNG HỢP WINCOMMERCE</v>
      </c>
      <c r="G2268" s="16"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c r="A2269" s="14" t="s">
        <v>1671</v>
      </c>
      <c r="B2269" s="15" t="s">
        <v>5</v>
      </c>
      <c r="C2269" s="10" t="s">
        <v>1672</v>
      </c>
      <c r="D2269" s="16" t="s">
        <v>7248</v>
      </c>
      <c r="E2269" s="15" t="s">
        <v>11206</v>
      </c>
      <c r="F2269" s="16" t="str">
        <f>VLOOKUP(Table8[[#This Row],[Mã khách hàng]],code_khach_hang[],2,0)</f>
        <v>CHI NHÁNH SƠN LA - CÔNG TY CỔ PHẦN DỊCH VỤ THƯƠNG MẠI TỔNG HỢP WINCOMMERCE</v>
      </c>
      <c r="G2269" s="16"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c r="A2270" s="14" t="s">
        <v>5439</v>
      </c>
      <c r="B2270" s="15" t="s">
        <v>5</v>
      </c>
      <c r="C2270" s="10" t="s">
        <v>5440</v>
      </c>
      <c r="D2270" s="16" t="s">
        <v>7250</v>
      </c>
      <c r="E2270" s="15" t="s">
        <v>11198</v>
      </c>
      <c r="F2270" s="16" t="str">
        <f>VLOOKUP(Table8[[#This Row],[Mã khách hàng]],code_khach_hang[],2,0)</f>
        <v>CHI NHÁNH HẢI PHÒNG - CÔNG TY CỔ PHẦN DỊCH VỤ THƯƠNG MẠI TỔNG HỢP WINCOMMERCE</v>
      </c>
      <c r="G2270" s="16"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c r="A2271" s="14" t="s">
        <v>1841</v>
      </c>
      <c r="B2271" s="15" t="s">
        <v>5</v>
      </c>
      <c r="C2271" s="10" t="s">
        <v>1842</v>
      </c>
      <c r="D2271" s="16" t="s">
        <v>7252</v>
      </c>
      <c r="E2271" s="15" t="s">
        <v>11215</v>
      </c>
      <c r="F2271" s="16" t="str">
        <f>VLOOKUP(Table8[[#This Row],[Mã khách hàng]],code_khach_hang[],2,0)</f>
        <v>CHI NHÁNH HÀ NỘI - CÔNG TY CỔ PHẦN DỊCH VỤ THƯƠNG MẠI TỔNG HỢP WINCOMMERCE</v>
      </c>
      <c r="G2271" s="16"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c r="A2272" s="14" t="s">
        <v>9130</v>
      </c>
      <c r="B2272" s="15" t="s">
        <v>5</v>
      </c>
      <c r="C2272" s="10" t="s">
        <v>9131</v>
      </c>
      <c r="D2272" s="16" t="s">
        <v>7255</v>
      </c>
      <c r="E2272" s="15" t="s">
        <v>11205</v>
      </c>
      <c r="F2272" s="16" t="str">
        <f>VLOOKUP(Table8[[#This Row],[Mã khách hàng]],code_khach_hang[],2,0)</f>
        <v>CHI NHÁNH HÀ TĨNH - CÔNG TY CỔ PHẦN DỊCH VỤ THƯƠNG MẠI TỔNG HỢP WINCOMMERCE</v>
      </c>
      <c r="G2272" s="16"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c r="A2273" s="14" t="s">
        <v>1832</v>
      </c>
      <c r="B2273" s="15" t="s">
        <v>5</v>
      </c>
      <c r="C2273" s="10" t="s">
        <v>1833</v>
      </c>
      <c r="D2273" s="16" t="s">
        <v>7258</v>
      </c>
      <c r="E2273" s="15" t="s">
        <v>11203</v>
      </c>
      <c r="F2273" s="16" t="str">
        <f>VLOOKUP(Table8[[#This Row],[Mã khách hàng]],code_khach_hang[],2,0)</f>
        <v>CHI NHÁNH THANH HÓA - CÔNG TY CỔ PHẦN DỊCH VỤ THƯƠNG MẠI TỔNG HỢP WINCOMMERCE</v>
      </c>
      <c r="G2273" s="16"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c r="A2274" s="14" t="s">
        <v>1791</v>
      </c>
      <c r="B2274" s="15" t="s">
        <v>5</v>
      </c>
      <c r="C2274" s="10" t="s">
        <v>1792</v>
      </c>
      <c r="D2274" s="16" t="s">
        <v>7261</v>
      </c>
      <c r="E2274" s="15" t="s">
        <v>11215</v>
      </c>
      <c r="F2274" s="16" t="str">
        <f>VLOOKUP(Table8[[#This Row],[Mã khách hàng]],code_khach_hang[],2,0)</f>
        <v>CHI NHÁNH HÀ NỘI - CÔNG TY CỔ PHẦN DỊCH VỤ THƯƠNG MẠI TỔNG HỢP WINCOMMERCE</v>
      </c>
      <c r="G2274" s="16"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c r="A2275" s="14" t="s">
        <v>1861</v>
      </c>
      <c r="B2275" s="15" t="s">
        <v>5</v>
      </c>
      <c r="C2275" s="10" t="s">
        <v>1862</v>
      </c>
      <c r="D2275" s="16" t="s">
        <v>7264</v>
      </c>
      <c r="E2275" s="15" t="s">
        <v>11217</v>
      </c>
      <c r="F2275" s="16" t="str">
        <f>VLOOKUP(Table8[[#This Row],[Mã khách hàng]],code_khach_hang[],2,0)</f>
        <v>CHI NHÁNH BẮC GIANG - CÔNG TY CỔ PHẦN DỊCH VỤ THƯƠNG MẠI TỔNG HỢP WINCOMMERCE</v>
      </c>
      <c r="G2275" s="16"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c r="A2276" s="14" t="s">
        <v>1870</v>
      </c>
      <c r="B2276" s="15" t="s">
        <v>5</v>
      </c>
      <c r="C2276" s="10" t="s">
        <v>1871</v>
      </c>
      <c r="D2276" s="16" t="s">
        <v>7267</v>
      </c>
      <c r="E2276" s="15" t="s">
        <v>11215</v>
      </c>
      <c r="F2276" s="16" t="str">
        <f>VLOOKUP(Table8[[#This Row],[Mã khách hàng]],code_khach_hang[],2,0)</f>
        <v>CHI NHÁNH HÀ NỘI - CÔNG TY CỔ PHẦN DỊCH VỤ THƯƠNG MẠI TỔNG HỢP WINCOMMERCE</v>
      </c>
      <c r="G2276" s="16"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c r="A2277" s="14" t="s">
        <v>1888</v>
      </c>
      <c r="B2277" s="15" t="s">
        <v>5</v>
      </c>
      <c r="C2277" s="10" t="s">
        <v>1889</v>
      </c>
      <c r="D2277" s="16" t="s">
        <v>7270</v>
      </c>
      <c r="E2277" s="15" t="s">
        <v>11200</v>
      </c>
      <c r="F2277" s="16" t="str">
        <f>VLOOKUP(Table8[[#This Row],[Mã khách hàng]],code_khach_hang[],2,0)</f>
        <v>CHI NHÁNH THÁI BÌNH - CÔNG TY CỔ PHẦN DỊCH VỤ THƯƠNG MẠI TỔNG HỢP WINCOMMERCE</v>
      </c>
      <c r="G2277" s="16"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c r="A2278" s="14" t="s">
        <v>1885</v>
      </c>
      <c r="B2278" s="15" t="s">
        <v>5</v>
      </c>
      <c r="C2278" s="10" t="s">
        <v>1886</v>
      </c>
      <c r="D2278" s="16" t="s">
        <v>7273</v>
      </c>
      <c r="E2278" s="15" t="s">
        <v>11219</v>
      </c>
      <c r="F2278" s="16" t="str">
        <f>VLOOKUP(Table8[[#This Row],[Mã khách hàng]],code_khach_hang[],2,0)</f>
        <v>CHI NHÁNH NAM ĐỊNH - CÔNG TY CỔ PHẦN DỊCH VỤ THƯƠNG MẠI TỔNG HỢP WINCOMMERCE</v>
      </c>
      <c r="G2278" s="16"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c r="A2279" s="14" t="s">
        <v>1891</v>
      </c>
      <c r="B2279" s="15" t="s">
        <v>5</v>
      </c>
      <c r="C2279" s="10" t="s">
        <v>1892</v>
      </c>
      <c r="D2279" s="16" t="s">
        <v>7276</v>
      </c>
      <c r="E2279" s="15" t="s">
        <v>11217</v>
      </c>
      <c r="F2279" s="16" t="str">
        <f>VLOOKUP(Table8[[#This Row],[Mã khách hàng]],code_khach_hang[],2,0)</f>
        <v>CHI NHÁNH BẮC GIANG - CÔNG TY CỔ PHẦN DỊCH VỤ THƯƠNG MẠI TỔNG HỢP WINCOMMERCE</v>
      </c>
      <c r="G2279" s="16"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c r="A2280" s="14" t="s">
        <v>1919</v>
      </c>
      <c r="B2280" s="15" t="s">
        <v>5</v>
      </c>
      <c r="C2280" s="10" t="s">
        <v>1920</v>
      </c>
      <c r="D2280" s="16" t="s">
        <v>7278</v>
      </c>
      <c r="E2280" s="15" t="s">
        <v>11203</v>
      </c>
      <c r="F2280" s="16" t="str">
        <f>VLOOKUP(Table8[[#This Row],[Mã khách hàng]],code_khach_hang[],2,0)</f>
        <v>CHI NHÁNH THANH HÓA - CÔNG TY CỔ PHẦN DỊCH VỤ THƯƠNG MẠI TỔNG HỢP WINCOMMERCE</v>
      </c>
      <c r="G2280" s="16"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c r="A2281" s="14" t="s">
        <v>1917</v>
      </c>
      <c r="B2281" s="15" t="s">
        <v>5</v>
      </c>
      <c r="C2281" s="10" t="e">
        <v>#N/A</v>
      </c>
      <c r="D2281" s="16" t="s">
        <v>7281</v>
      </c>
      <c r="E2281" s="15" t="s">
        <v>11203</v>
      </c>
      <c r="F2281" s="16" t="str">
        <f>VLOOKUP(Table8[[#This Row],[Mã khách hàng]],code_khach_hang[],2,0)</f>
        <v>CHI NHÁNH THANH HÓA - CÔNG TY CỔ PHẦN DỊCH VỤ THƯƠNG MẠI TỔNG HỢP WINCOMMERCE</v>
      </c>
      <c r="G2281" s="16"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c r="A2282" s="14" t="s">
        <v>1922</v>
      </c>
      <c r="B2282" s="15" t="s">
        <v>5</v>
      </c>
      <c r="C2282" s="10" t="e">
        <v>#N/A</v>
      </c>
      <c r="D2282" s="16" t="s">
        <v>7284</v>
      </c>
      <c r="E2282" s="15" t="s">
        <v>11203</v>
      </c>
      <c r="F2282" s="16" t="str">
        <f>VLOOKUP(Table8[[#This Row],[Mã khách hàng]],code_khach_hang[],2,0)</f>
        <v>CHI NHÁNH THANH HÓA - CÔNG TY CỔ PHẦN DỊCH VỤ THƯƠNG MẠI TỔNG HỢP WINCOMMERCE</v>
      </c>
      <c r="G2282" s="16"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c r="A2283" s="14" t="s">
        <v>1927</v>
      </c>
      <c r="B2283" s="15" t="s">
        <v>5</v>
      </c>
      <c r="C2283" s="10" t="s">
        <v>1928</v>
      </c>
      <c r="D2283" s="16" t="s">
        <v>7287</v>
      </c>
      <c r="E2283" s="15" t="s">
        <v>11200</v>
      </c>
      <c r="F2283" s="16" t="str">
        <f>VLOOKUP(Table8[[#This Row],[Mã khách hàng]],code_khach_hang[],2,0)</f>
        <v>CHI NHÁNH THÁI BÌNH - CÔNG TY CỔ PHẦN DỊCH VỤ THƯƠNG MẠI TỔNG HỢP WINCOMMERCE</v>
      </c>
      <c r="G2283" s="16"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c r="A2284" s="14" t="s">
        <v>1924</v>
      </c>
      <c r="B2284" s="15" t="s">
        <v>5</v>
      </c>
      <c r="C2284" s="10" t="s">
        <v>1925</v>
      </c>
      <c r="D2284" s="16" t="s">
        <v>7290</v>
      </c>
      <c r="E2284" s="15" t="s">
        <v>11200</v>
      </c>
      <c r="F2284" s="16" t="str">
        <f>VLOOKUP(Table8[[#This Row],[Mã khách hàng]],code_khach_hang[],2,0)</f>
        <v>CHI NHÁNH THÁI BÌNH - CÔNG TY CỔ PHẦN DỊCH VỤ THƯƠNG MẠI TỔNG HỢP WINCOMMERCE</v>
      </c>
      <c r="G2284" s="16"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c r="A2285" s="14" t="s">
        <v>1939</v>
      </c>
      <c r="B2285" s="15" t="s">
        <v>5</v>
      </c>
      <c r="C2285" s="10" t="s">
        <v>1940</v>
      </c>
      <c r="D2285" s="16" t="s">
        <v>7293</v>
      </c>
      <c r="E2285" s="15" t="s">
        <v>11200</v>
      </c>
      <c r="F2285" s="16" t="str">
        <f>VLOOKUP(Table8[[#This Row],[Mã khách hàng]],code_khach_hang[],2,0)</f>
        <v>CHI NHÁNH THÁI BÌNH - CÔNG TY CỔ PHẦN DỊCH VỤ THƯƠNG MẠI TỔNG HỢP WINCOMMERCE</v>
      </c>
      <c r="G2285" s="16"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c r="A2286" s="14" t="s">
        <v>1960</v>
      </c>
      <c r="B2286" s="15" t="s">
        <v>5</v>
      </c>
      <c r="C2286" s="10" t="s">
        <v>1961</v>
      </c>
      <c r="D2286" s="16" t="s">
        <v>7296</v>
      </c>
      <c r="E2286" s="15" t="s">
        <v>11200</v>
      </c>
      <c r="F2286" s="16" t="str">
        <f>VLOOKUP(Table8[[#This Row],[Mã khách hàng]],code_khach_hang[],2,0)</f>
        <v>CHI NHÁNH THÁI BÌNH - CÔNG TY CỔ PHẦN DỊCH VỤ THƯƠNG MẠI TỔNG HỢP WINCOMMERCE</v>
      </c>
      <c r="G2286" s="16"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c r="A2287" s="14" t="s">
        <v>1936</v>
      </c>
      <c r="B2287" s="15" t="s">
        <v>5</v>
      </c>
      <c r="C2287" s="10" t="s">
        <v>1937</v>
      </c>
      <c r="D2287" s="16" t="s">
        <v>7299</v>
      </c>
      <c r="E2287" s="15" t="s">
        <v>11194</v>
      </c>
      <c r="F2287" s="16" t="str">
        <f>VLOOKUP(Table8[[#This Row],[Mã khách hàng]],code_khach_hang[],2,0)</f>
        <v>CHI NHÁNH VĨNH PHÚC - CÔNG TY CỔ PHẦN DỊCH VỤ THƯƠNG MẠI TỔNG HỢP WINCOMMERCE</v>
      </c>
      <c r="G2287" s="16"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c r="A2288" s="14" t="s">
        <v>1954</v>
      </c>
      <c r="B2288" s="15" t="s">
        <v>5</v>
      </c>
      <c r="C2288" s="10" t="s">
        <v>1955</v>
      </c>
      <c r="D2288" s="16" t="s">
        <v>7302</v>
      </c>
      <c r="E2288" s="15" t="s">
        <v>11198</v>
      </c>
      <c r="F2288" s="16" t="str">
        <f>VLOOKUP(Table8[[#This Row],[Mã khách hàng]],code_khach_hang[],2,0)</f>
        <v>CHI NHÁNH HẢI PHÒNG - CÔNG TY CỔ PHẦN DỊCH VỤ THƯƠNG MẠI TỔNG HỢP WINCOMMERCE</v>
      </c>
      <c r="G2288" s="16"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c r="A2289" s="14" t="s">
        <v>1969</v>
      </c>
      <c r="B2289" s="15" t="s">
        <v>5</v>
      </c>
      <c r="C2289" s="10" t="e">
        <v>#N/A</v>
      </c>
      <c r="D2289" s="16" t="s">
        <v>7305</v>
      </c>
      <c r="E2289" s="15" t="s">
        <v>11211</v>
      </c>
      <c r="F2289" s="16" t="str">
        <f>VLOOKUP(Table8[[#This Row],[Mã khách hàng]],code_khach_hang[],2,0)</f>
        <v>CHI NHÁNH NGHỆ AN - CÔNG TY CỔ PHẦN DỊCH VỤ THƯƠNG MẠI TỔNG HỢP WINCOMMERCE</v>
      </c>
      <c r="G2289" s="16"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c r="A2290" s="14" t="s">
        <v>4734</v>
      </c>
      <c r="B2290" s="15" t="s">
        <v>5</v>
      </c>
      <c r="C2290" s="10" t="s">
        <v>4735</v>
      </c>
      <c r="D2290" s="16" t="s">
        <v>7308</v>
      </c>
      <c r="E2290" s="15" t="s">
        <v>11198</v>
      </c>
      <c r="F2290" s="16" t="str">
        <f>VLOOKUP(Table8[[#This Row],[Mã khách hàng]],code_khach_hang[],2,0)</f>
        <v>CHI NHÁNH HẢI PHÒNG - CÔNG TY CỔ PHẦN DỊCH VỤ THƯƠNG MẠI TỔNG HỢP WINCOMMERCE</v>
      </c>
      <c r="G2290" s="16"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c r="A2291" s="14" t="s">
        <v>4758</v>
      </c>
      <c r="B2291" s="15" t="s">
        <v>5</v>
      </c>
      <c r="C2291" s="10" t="s">
        <v>4759</v>
      </c>
      <c r="D2291" s="16" t="s">
        <v>7311</v>
      </c>
      <c r="E2291" s="15" t="s">
        <v>11198</v>
      </c>
      <c r="F2291" s="16" t="str">
        <f>VLOOKUP(Table8[[#This Row],[Mã khách hàng]],code_khach_hang[],2,0)</f>
        <v>CHI NHÁNH HẢI PHÒNG - CÔNG TY CỔ PHẦN DỊCH VỤ THƯƠNG MẠI TỔNG HỢP WINCOMMERCE</v>
      </c>
      <c r="G2291" s="16"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c r="A2292" s="14" t="s">
        <v>1689</v>
      </c>
      <c r="B2292" s="15" t="s">
        <v>5</v>
      </c>
      <c r="C2292" s="10" t="e">
        <v>#N/A</v>
      </c>
      <c r="D2292" s="16" t="s">
        <v>7314</v>
      </c>
      <c r="E2292" s="15" t="s">
        <v>11220</v>
      </c>
      <c r="F2292" s="16" t="str">
        <f>VLOOKUP(Table8[[#This Row],[Mã khách hàng]],code_khach_hang[],2,0)</f>
        <v>CHI NHÁNH HÀ GIANG - CÔNG TY CỔ PHẦN DỊCH VỤ THƯƠNG MẠI TỔNG HỢP WINCOMMERCE</v>
      </c>
      <c r="G2292" s="16"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c r="A2293" s="14" t="s">
        <v>1933</v>
      </c>
      <c r="B2293" s="15" t="s">
        <v>5</v>
      </c>
      <c r="C2293" s="10" t="s">
        <v>1934</v>
      </c>
      <c r="D2293" s="16" t="s">
        <v>7317</v>
      </c>
      <c r="E2293" s="15" t="s">
        <v>11197</v>
      </c>
      <c r="F2293" s="16" t="str">
        <f>VLOOKUP(Table8[[#This Row],[Mã khách hàng]],code_khach_hang[],2,0)</f>
        <v>CHI NHÁNH QUẢNG NINH - CÔNG TY CỔ PHẦN DỊCH VỤ THƯƠNG MẠI TỔNG HỢP WINCOMMERCE</v>
      </c>
      <c r="G2293" s="16"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c r="A2294" s="14" t="s">
        <v>1829</v>
      </c>
      <c r="B2294" s="15" t="s">
        <v>5</v>
      </c>
      <c r="C2294" s="10" t="s">
        <v>1830</v>
      </c>
      <c r="D2294" s="16" t="s">
        <v>7320</v>
      </c>
      <c r="E2294" s="15" t="s">
        <v>11215</v>
      </c>
      <c r="F2294" s="16" t="str">
        <f>VLOOKUP(Table8[[#This Row],[Mã khách hàng]],code_khach_hang[],2,0)</f>
        <v>CHI NHÁNH HÀ NỘI - CÔNG TY CỔ PHẦN DỊCH VỤ THƯƠNG MẠI TỔNG HỢP WINCOMMERCE</v>
      </c>
      <c r="G2294" s="16"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c r="A2295" s="14" t="s">
        <v>1835</v>
      </c>
      <c r="B2295" s="15" t="s">
        <v>5</v>
      </c>
      <c r="C2295" s="10" t="s">
        <v>1836</v>
      </c>
      <c r="D2295" s="16" t="s">
        <v>7323</v>
      </c>
      <c r="E2295" s="15" t="s">
        <v>11215</v>
      </c>
      <c r="F2295" s="16" t="str">
        <f>VLOOKUP(Table8[[#This Row],[Mã khách hàng]],code_khach_hang[],2,0)</f>
        <v>CHI NHÁNH HÀ NỘI - CÔNG TY CỔ PHẦN DỊCH VỤ THƯƠNG MẠI TỔNG HỢP WINCOMMERCE</v>
      </c>
      <c r="G2295" s="16"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c r="A2296" s="14" t="s">
        <v>1760</v>
      </c>
      <c r="B2296" s="15" t="s">
        <v>5</v>
      </c>
      <c r="C2296" s="10" t="s">
        <v>1761</v>
      </c>
      <c r="D2296" s="16" t="s">
        <v>7326</v>
      </c>
      <c r="E2296" s="15" t="s">
        <v>11196</v>
      </c>
      <c r="F2296" s="16" t="str">
        <f>VLOOKUP(Table8[[#This Row],[Mã khách hàng]],code_khach_hang[],2,0)</f>
        <v>CHI NHÁNH NINH BÌNH - CÔNG TY CỔ PHẦN DỊCH VỤ THƯƠNG MẠI TỔNG HỢP WINCOMMERCE</v>
      </c>
      <c r="G2296" s="16"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c r="A2297" s="14" t="s">
        <v>1591</v>
      </c>
      <c r="B2297" s="15" t="s">
        <v>5</v>
      </c>
      <c r="C2297" s="10" t="s">
        <v>1592</v>
      </c>
      <c r="D2297" s="16" t="s">
        <v>7329</v>
      </c>
      <c r="E2297" s="15" t="s">
        <v>11193</v>
      </c>
      <c r="F2297" s="16" t="str">
        <f>VLOOKUP(Table8[[#This Row],[Mã khách hàng]],code_khach_hang[],2,0)</f>
        <v>CHI NHÁNH BẮC NINH - CÔNG TY CỔ PHẦN DỊCH VỤ THƯƠNG MẠI TỔNG HỢP WINCOMMERCE</v>
      </c>
      <c r="G2297" s="16"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c r="A2298" s="14" t="s">
        <v>4647</v>
      </c>
      <c r="B2298" s="15" t="s">
        <v>5</v>
      </c>
      <c r="C2298" s="10" t="s">
        <v>4648</v>
      </c>
      <c r="D2298" s="16" t="s">
        <v>7332</v>
      </c>
      <c r="E2298" s="15" t="s">
        <v>11198</v>
      </c>
      <c r="F2298" s="16" t="str">
        <f>VLOOKUP(Table8[[#This Row],[Mã khách hàng]],code_khach_hang[],2,0)</f>
        <v>CHI NHÁNH HẢI PHÒNG - CÔNG TY CỔ PHẦN DỊCH VỤ THƯƠNG MẠI TỔNG HỢP WINCOMMERCE</v>
      </c>
      <c r="G2298" s="16"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c r="A2299" s="14" t="s">
        <v>4815</v>
      </c>
      <c r="B2299" s="15" t="s">
        <v>5</v>
      </c>
      <c r="C2299" s="10" t="s">
        <v>4816</v>
      </c>
      <c r="D2299" s="16" t="s">
        <v>7335</v>
      </c>
      <c r="E2299" s="15" t="s">
        <v>11198</v>
      </c>
      <c r="F2299" s="16" t="str">
        <f>VLOOKUP(Table8[[#This Row],[Mã khách hàng]],code_khach_hang[],2,0)</f>
        <v>CHI NHÁNH HẢI PHÒNG - CÔNG TY CỔ PHẦN DỊCH VỤ THƯƠNG MẠI TỔNG HỢP WINCOMMERCE</v>
      </c>
      <c r="G2299" s="16"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c r="A2300" s="14" t="s">
        <v>5091</v>
      </c>
      <c r="B2300" s="15" t="s">
        <v>5</v>
      </c>
      <c r="C2300" s="10" t="s">
        <v>5092</v>
      </c>
      <c r="D2300" s="16" t="s">
        <v>7338</v>
      </c>
      <c r="E2300" s="15" t="s">
        <v>11198</v>
      </c>
      <c r="F2300" s="16" t="str">
        <f>VLOOKUP(Table8[[#This Row],[Mã khách hàng]],code_khach_hang[],2,0)</f>
        <v>CHI NHÁNH HẢI PHÒNG - CÔNG TY CỔ PHẦN DỊCH VỤ THƯƠNG MẠI TỔNG HỢP WINCOMMERCE</v>
      </c>
      <c r="G2300" s="16"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c r="A2301" s="14" t="s">
        <v>9322</v>
      </c>
      <c r="B2301" s="15" t="s">
        <v>5</v>
      </c>
      <c r="C2301" s="10" t="s">
        <v>9323</v>
      </c>
      <c r="D2301" s="16" t="s">
        <v>7341</v>
      </c>
      <c r="E2301" s="15" t="s">
        <v>11198</v>
      </c>
      <c r="F2301" s="16" t="str">
        <f>VLOOKUP(Table8[[#This Row],[Mã khách hàng]],code_khach_hang[],2,0)</f>
        <v>CHI NHÁNH HẢI PHÒNG - CÔNG TY CỔ PHẦN DỊCH VỤ THƯƠNG MẠI TỔNG HỢP WINCOMMERCE</v>
      </c>
      <c r="G2301" s="16"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c r="A2302" s="14" t="s">
        <v>1951</v>
      </c>
      <c r="B2302" s="15" t="s">
        <v>5</v>
      </c>
      <c r="C2302" s="10" t="s">
        <v>1952</v>
      </c>
      <c r="D2302" s="16" t="s">
        <v>7344</v>
      </c>
      <c r="E2302" s="15" t="s">
        <v>11203</v>
      </c>
      <c r="F2302" s="16" t="str">
        <f>VLOOKUP(Table8[[#This Row],[Mã khách hàng]],code_khach_hang[],2,0)</f>
        <v>CHI NHÁNH THANH HÓA - CÔNG TY CỔ PHẦN DỊCH VỤ THƯƠNG MẠI TỔNG HỢP WINCOMMERCE</v>
      </c>
      <c r="G2302" s="16"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c r="A2303" s="14" t="s">
        <v>1957</v>
      </c>
      <c r="B2303" s="15" t="s">
        <v>5</v>
      </c>
      <c r="C2303" s="10" t="s">
        <v>1958</v>
      </c>
      <c r="D2303" s="16" t="s">
        <v>7347</v>
      </c>
      <c r="E2303" s="15" t="s">
        <v>11216</v>
      </c>
      <c r="F2303" s="16" t="str">
        <f>VLOOKUP(Table8[[#This Row],[Mã khách hàng]],code_khach_hang[],2,0)</f>
        <v>CHI NHÁNH HƯNG YÊN - CÔNG TY CỔ PHẦN DỊCH VỤ THƯƠNG MẠI TỔNG HỢP WINCOMMERCE</v>
      </c>
      <c r="G2303" s="16"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c r="A2304" s="14" t="s">
        <v>1942</v>
      </c>
      <c r="B2304" s="15" t="s">
        <v>5</v>
      </c>
      <c r="C2304" s="10" t="s">
        <v>1943</v>
      </c>
      <c r="D2304" s="16" t="s">
        <v>7350</v>
      </c>
      <c r="E2304" s="15" t="s">
        <v>11199</v>
      </c>
      <c r="F2304" s="16" t="str">
        <f>VLOOKUP(Table8[[#This Row],[Mã khách hàng]],code_khach_hang[],2,0)</f>
        <v>CHI NHÁNH PHÚ THỌ - CÔNG TY CỔ PHẦN DỊCH VỤ THƯƠNG MẠI TỔNG HỢP WINCOMMERCE</v>
      </c>
      <c r="G2304" s="16"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c r="A2305" s="14" t="s">
        <v>1826</v>
      </c>
      <c r="B2305" s="15" t="s">
        <v>5</v>
      </c>
      <c r="C2305" s="10" t="s">
        <v>1827</v>
      </c>
      <c r="D2305" s="16" t="s">
        <v>7353</v>
      </c>
      <c r="E2305" s="15" t="s">
        <v>11193</v>
      </c>
      <c r="F2305" s="16" t="str">
        <f>VLOOKUP(Table8[[#This Row],[Mã khách hàng]],code_khach_hang[],2,0)</f>
        <v>CHI NHÁNH BẮC NINH - CÔNG TY CỔ PHẦN DỊCH VỤ THƯƠNG MẠI TỔNG HỢP WINCOMMERCE</v>
      </c>
      <c r="G2305" s="16"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c r="A2306" s="14" t="s">
        <v>1974</v>
      </c>
      <c r="B2306" s="15" t="s">
        <v>5</v>
      </c>
      <c r="C2306" s="10" t="s">
        <v>1975</v>
      </c>
      <c r="D2306" s="16" t="s">
        <v>7356</v>
      </c>
      <c r="E2306" s="15" t="s">
        <v>11217</v>
      </c>
      <c r="F2306" s="16" t="str">
        <f>VLOOKUP(Table8[[#This Row],[Mã khách hàng]],code_khach_hang[],2,0)</f>
        <v>CHI NHÁNH BẮC GIANG - CÔNG TY CỔ PHẦN DỊCH VỤ THƯƠNG MẠI TỔNG HỢP WINCOMMERCE</v>
      </c>
      <c r="G2306" s="16"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c r="A2307" s="14" t="s">
        <v>1966</v>
      </c>
      <c r="B2307" s="15" t="s">
        <v>5</v>
      </c>
      <c r="C2307" s="10" t="s">
        <v>1967</v>
      </c>
      <c r="D2307" s="16" t="s">
        <v>7359</v>
      </c>
      <c r="E2307" s="15" t="s">
        <v>11215</v>
      </c>
      <c r="F2307" s="16" t="str">
        <f>VLOOKUP(Table8[[#This Row],[Mã khách hàng]],code_khach_hang[],2,0)</f>
        <v>CHI NHÁNH HÀ NỘI - CÔNG TY CỔ PHẦN DỊCH VỤ THƯƠNG MẠI TỔNG HỢP WINCOMMERCE</v>
      </c>
      <c r="G2307" s="16"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c r="A2308" s="14" t="s">
        <v>1977</v>
      </c>
      <c r="B2308" s="15" t="s">
        <v>5</v>
      </c>
      <c r="C2308" s="10" t="s">
        <v>1978</v>
      </c>
      <c r="D2308" s="16" t="s">
        <v>7362</v>
      </c>
      <c r="E2308" s="15" t="s">
        <v>11215</v>
      </c>
      <c r="F2308" s="16" t="str">
        <f>VLOOKUP(Table8[[#This Row],[Mã khách hàng]],code_khach_hang[],2,0)</f>
        <v>CHI NHÁNH HÀ NỘI - CÔNG TY CỔ PHẦN DỊCH VỤ THƯƠNG MẠI TỔNG HỢP WINCOMMERCE</v>
      </c>
      <c r="G2308" s="16"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c r="A2309" s="14" t="s">
        <v>1945</v>
      </c>
      <c r="B2309" s="15" t="s">
        <v>5</v>
      </c>
      <c r="C2309" s="10" t="s">
        <v>1946</v>
      </c>
      <c r="D2309" s="16" t="s">
        <v>7365</v>
      </c>
      <c r="E2309" s="15" t="s">
        <v>11202</v>
      </c>
      <c r="F2309" s="16" t="str">
        <f>VLOOKUP(Table8[[#This Row],[Mã khách hàng]],code_khach_hang[],2,0)</f>
        <v>CHI NHÁNH YÊN BÁI - CÔNG TY CỔ PHẦN DỊCH VỤ THƯƠNG MẠI TỔNG HỢP WINCOMMERCE</v>
      </c>
      <c r="G2309" s="16"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c r="A2310" s="14" t="s">
        <v>1873</v>
      </c>
      <c r="B2310" s="15" t="s">
        <v>5</v>
      </c>
      <c r="C2310" s="10" t="s">
        <v>1874</v>
      </c>
      <c r="D2310" s="16" t="s">
        <v>7368</v>
      </c>
      <c r="E2310" s="15" t="s">
        <v>11215</v>
      </c>
      <c r="F2310" s="16" t="str">
        <f>VLOOKUP(Table8[[#This Row],[Mã khách hàng]],code_khach_hang[],2,0)</f>
        <v>CHI NHÁNH HÀ NỘI - CÔNG TY CỔ PHẦN DỊCH VỤ THƯƠNG MẠI TỔNG HỢP WINCOMMERCE</v>
      </c>
      <c r="G2310" s="16"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c r="A2311" s="14" t="s">
        <v>1844</v>
      </c>
      <c r="B2311" s="15" t="s">
        <v>5</v>
      </c>
      <c r="C2311" s="10" t="s">
        <v>1845</v>
      </c>
      <c r="D2311" s="16" t="s">
        <v>7371</v>
      </c>
      <c r="E2311" s="15" t="s">
        <v>11215</v>
      </c>
      <c r="F2311" s="16" t="str">
        <f>VLOOKUP(Table8[[#This Row],[Mã khách hàng]],code_khach_hang[],2,0)</f>
        <v>CHI NHÁNH HÀ NỘI - CÔNG TY CỔ PHẦN DỊCH VỤ THƯƠNG MẠI TỔNG HỢP WINCOMMERCE</v>
      </c>
      <c r="G2311" s="16"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c r="A2312" s="14" t="s">
        <v>2646</v>
      </c>
      <c r="B2312" s="15" t="s">
        <v>5</v>
      </c>
      <c r="C2312" s="10" t="s">
        <v>2647</v>
      </c>
      <c r="D2312" s="16" t="s">
        <v>7374</v>
      </c>
      <c r="E2312" s="15" t="s">
        <v>11215</v>
      </c>
      <c r="F2312" s="16" t="str">
        <f>VLOOKUP(Table8[[#This Row],[Mã khách hàng]],code_khach_hang[],2,0)</f>
        <v>CHI NHÁNH HÀ NỘI - CÔNG TY CỔ PHẦN DỊCH VỤ THƯƠNG MẠI TỔNG HỢP WINCOMMERCE</v>
      </c>
      <c r="G2312" s="16"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c r="A2313" s="14" t="s">
        <v>1963</v>
      </c>
      <c r="B2313" s="15" t="s">
        <v>5</v>
      </c>
      <c r="C2313" s="10" t="s">
        <v>1964</v>
      </c>
      <c r="D2313" s="16" t="s">
        <v>7377</v>
      </c>
      <c r="E2313" s="15" t="s">
        <v>11220</v>
      </c>
      <c r="F2313" s="16" t="str">
        <f>VLOOKUP(Table8[[#This Row],[Mã khách hàng]],code_khach_hang[],2,0)</f>
        <v>CHI NHÁNH HÀ GIANG - CÔNG TY CỔ PHẦN DỊCH VỤ THƯƠNG MẠI TỔNG HỢP WINCOMMERCE</v>
      </c>
      <c r="G2313" s="16"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c r="A2314" s="14" t="s">
        <v>2539</v>
      </c>
      <c r="B2314" s="15" t="s">
        <v>5</v>
      </c>
      <c r="C2314" s="10" t="s">
        <v>2540</v>
      </c>
      <c r="D2314" s="16" t="s">
        <v>7380</v>
      </c>
      <c r="E2314" s="15" t="s">
        <v>11211</v>
      </c>
      <c r="F2314" s="16" t="str">
        <f>VLOOKUP(Table8[[#This Row],[Mã khách hàng]],code_khach_hang[],2,0)</f>
        <v>CHI NHÁNH NGHỆ AN - CÔNG TY CỔ PHẦN DỊCH VỤ THƯƠNG MẠI TỔNG HỢP WINCOMMERCE</v>
      </c>
      <c r="G2314" s="16"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c r="A2315" s="14" t="s">
        <v>1971</v>
      </c>
      <c r="B2315" s="15" t="s">
        <v>5</v>
      </c>
      <c r="C2315" s="10" t="s">
        <v>1972</v>
      </c>
      <c r="D2315" s="16" t="s">
        <v>7383</v>
      </c>
      <c r="E2315" s="15" t="s">
        <v>11214</v>
      </c>
      <c r="F2315" s="16" t="str">
        <f>VLOOKUP(Table8[[#This Row],[Mã khách hàng]],code_khach_hang[],2,0)</f>
        <v>CHI NHÁNH LAI CHÂU - CÔNG TY CỔ PHẦN DỊCH VỤ THƯƠNG MẠI TỔNG HỢP WINCOMMERCE</v>
      </c>
      <c r="G2315" s="16"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c r="A2316" s="14" t="s">
        <v>1748</v>
      </c>
      <c r="B2316" s="15" t="s">
        <v>5</v>
      </c>
      <c r="C2316" s="10" t="s">
        <v>1749</v>
      </c>
      <c r="D2316" s="16" t="s">
        <v>7386</v>
      </c>
      <c r="E2316" s="15" t="s">
        <v>11203</v>
      </c>
      <c r="F2316" s="16" t="str">
        <f>VLOOKUP(Table8[[#This Row],[Mã khách hàng]],code_khach_hang[],2,0)</f>
        <v>CHI NHÁNH THANH HÓA - CÔNG TY CỔ PHẦN DỊCH VỤ THƯƠNG MẠI TỔNG HỢP WINCOMMERCE</v>
      </c>
      <c r="G2316" s="16"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c r="A2317" s="14" t="s">
        <v>1879</v>
      </c>
      <c r="B2317" s="15" t="s">
        <v>5</v>
      </c>
      <c r="C2317" s="10" t="s">
        <v>1880</v>
      </c>
      <c r="D2317" s="16" t="s">
        <v>7389</v>
      </c>
      <c r="E2317" s="15" t="s">
        <v>11200</v>
      </c>
      <c r="F2317" s="16" t="str">
        <f>VLOOKUP(Table8[[#This Row],[Mã khách hàng]],code_khach_hang[],2,0)</f>
        <v>CHI NHÁNH THÁI BÌNH - CÔNG TY CỔ PHẦN DỊCH VỤ THƯƠNG MẠI TỔNG HỢP WINCOMMERCE</v>
      </c>
      <c r="G2317" s="16"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c r="A2318" s="14" t="s">
        <v>1993</v>
      </c>
      <c r="B2318" s="15" t="s">
        <v>5</v>
      </c>
      <c r="C2318" s="10" t="e">
        <v>#N/A</v>
      </c>
      <c r="D2318" s="16" t="s">
        <v>7392</v>
      </c>
      <c r="E2318" s="15" t="s">
        <v>11211</v>
      </c>
      <c r="F2318" s="16" t="str">
        <f>VLOOKUP(Table8[[#This Row],[Mã khách hàng]],code_khach_hang[],2,0)</f>
        <v>CHI NHÁNH NGHỆ AN - CÔNG TY CỔ PHẦN DỊCH VỤ THƯƠNG MẠI TỔNG HỢP WINCOMMERCE</v>
      </c>
      <c r="G2318" s="16"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c r="A2319" s="14" t="s">
        <v>9233</v>
      </c>
      <c r="B2319" s="15" t="s">
        <v>5</v>
      </c>
      <c r="C2319" s="10" t="s">
        <v>9234</v>
      </c>
      <c r="D2319" s="16" t="s">
        <v>7395</v>
      </c>
      <c r="E2319" s="15" t="s">
        <v>11199</v>
      </c>
      <c r="F2319" s="16" t="str">
        <f>VLOOKUP(Table8[[#This Row],[Mã khách hàng]],code_khach_hang[],2,0)</f>
        <v>CHI NHÁNH PHÚ THỌ - CÔNG TY CỔ PHẦN DỊCH VỤ THƯƠNG MẠI TỔNG HỢP WINCOMMERCE</v>
      </c>
      <c r="G2319" s="16"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c r="A2320" s="14" t="s">
        <v>11139</v>
      </c>
      <c r="B2320" s="15" t="s">
        <v>5</v>
      </c>
      <c r="C2320" s="10" t="e">
        <v>#N/A</v>
      </c>
      <c r="D2320" s="16" t="s">
        <v>7398</v>
      </c>
      <c r="E2320" s="15" t="s">
        <v>11198</v>
      </c>
      <c r="F2320" s="16" t="str">
        <f>VLOOKUP(Table8[[#This Row],[Mã khách hàng]],code_khach_hang[],2,0)</f>
        <v>CHI NHÁNH HẢI PHÒNG - CÔNG TY CỔ PHẦN DỊCH VỤ THƯƠNG MẠI TỔNG HỢP WINCOMMERCE</v>
      </c>
      <c r="G2320" s="16"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c r="A2321" s="14" t="s">
        <v>1727</v>
      </c>
      <c r="B2321" s="15" t="s">
        <v>5</v>
      </c>
      <c r="C2321" s="10" t="s">
        <v>1728</v>
      </c>
      <c r="D2321" s="16" t="s">
        <v>7401</v>
      </c>
      <c r="E2321" s="15" t="s">
        <v>11197</v>
      </c>
      <c r="F2321" s="16" t="str">
        <f>VLOOKUP(Table8[[#This Row],[Mã khách hàng]],code_khach_hang[],2,0)</f>
        <v>CHI NHÁNH QUẢNG NINH - CÔNG TY CỔ PHẦN DỊCH VỤ THƯƠNG MẠI TỔNG HỢP WINCOMMERCE</v>
      </c>
      <c r="G2321" s="16"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c r="A2322" s="14" t="s">
        <v>1785</v>
      </c>
      <c r="B2322" s="15" t="s">
        <v>5</v>
      </c>
      <c r="C2322" s="10" t="s">
        <v>1786</v>
      </c>
      <c r="D2322" s="16" t="s">
        <v>7404</v>
      </c>
      <c r="E2322" s="15" t="s">
        <v>11216</v>
      </c>
      <c r="F2322" s="16" t="str">
        <f>VLOOKUP(Table8[[#This Row],[Mã khách hàng]],code_khach_hang[],2,0)</f>
        <v>CHI NHÁNH HƯNG YÊN - CÔNG TY CỔ PHẦN DỊCH VỤ THƯƠNG MẠI TỔNG HỢP WINCOMMERCE</v>
      </c>
      <c r="G2322" s="16"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c r="A2323" s="14" t="s">
        <v>1788</v>
      </c>
      <c r="B2323" s="15" t="s">
        <v>5</v>
      </c>
      <c r="C2323" s="10" t="s">
        <v>1789</v>
      </c>
      <c r="D2323" s="16" t="s">
        <v>7406</v>
      </c>
      <c r="E2323" s="15" t="s">
        <v>11200</v>
      </c>
      <c r="F2323" s="16" t="str">
        <f>VLOOKUP(Table8[[#This Row],[Mã khách hàng]],code_khach_hang[],2,0)</f>
        <v>CHI NHÁNH THÁI BÌNH - CÔNG TY CỔ PHẦN DỊCH VỤ THƯƠNG MẠI TỔNG HỢP WINCOMMERCE</v>
      </c>
      <c r="G2323" s="16"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c r="A2324" s="14" t="s">
        <v>1838</v>
      </c>
      <c r="B2324" s="15" t="s">
        <v>5</v>
      </c>
      <c r="C2324" s="10" t="s">
        <v>1839</v>
      </c>
      <c r="D2324" s="16" t="s">
        <v>7409</v>
      </c>
      <c r="E2324" s="15" t="s">
        <v>11210</v>
      </c>
      <c r="F2324" s="16" t="str">
        <f>VLOOKUP(Table8[[#This Row],[Mã khách hàng]],code_khach_hang[],2,0)</f>
        <v>CHI NHÁNH HÀ NAM - CÔNG TY CỔ PHẦN DỊCH VỤ THƯƠNG MẠI TỔNG HỢP WINCOMMERCE</v>
      </c>
      <c r="G2324" s="16" t="str">
        <f>VLOOKUP(Table8[[#This Row],[Mã khách hàng]],code_khach_hang[],3,0)</f>
        <v>Miền Bắc đặc biệt 3</v>
      </c>
      <c r="H2324" t="str">
        <f>VLOOKUP(Table8[[#This Row],[Mã khách hàng]],'Khách hàng'!A:D,4,0)</f>
        <v>Food Đức Việt</v>
      </c>
      <c r="I2324" t="str">
        <f>VLOOKUP(Table8[[#This Row],[Mã khách hàng]],'Khách hàng'!A:E,5,0)</f>
        <v>HN0040</v>
      </c>
    </row>
    <row r="2325" spans="1:9">
      <c r="A2325" s="14" t="s">
        <v>1820</v>
      </c>
      <c r="B2325" s="15" t="s">
        <v>5</v>
      </c>
      <c r="C2325" s="10" t="s">
        <v>1821</v>
      </c>
      <c r="D2325" s="16" t="s">
        <v>7412</v>
      </c>
      <c r="E2325" s="15" t="s">
        <v>11210</v>
      </c>
      <c r="F2325" s="16" t="str">
        <f>VLOOKUP(Table8[[#This Row],[Mã khách hàng]],code_khach_hang[],2,0)</f>
        <v>CHI NHÁNH HÀ NAM - CÔNG TY CỔ PHẦN DỊCH VỤ THƯƠNG MẠI TỔNG HỢP WINCOMMERCE</v>
      </c>
      <c r="G2325" s="16" t="str">
        <f>VLOOKUP(Table8[[#This Row],[Mã khách hàng]],code_khach_hang[],3,0)</f>
        <v>Miền Bắc đặc biệt 3</v>
      </c>
      <c r="H2325" t="str">
        <f>VLOOKUP(Table8[[#This Row],[Mã khách hàng]],'Khách hàng'!A:D,4,0)</f>
        <v>Food Đức Việt</v>
      </c>
      <c r="I2325" t="str">
        <f>VLOOKUP(Table8[[#This Row],[Mã khách hàng]],'Khách hàng'!A:E,5,0)</f>
        <v>HN0040</v>
      </c>
    </row>
    <row r="2326" spans="1:9">
      <c r="A2326" s="14" t="s">
        <v>1867</v>
      </c>
      <c r="B2326" s="15" t="s">
        <v>5</v>
      </c>
      <c r="C2326" s="10" t="s">
        <v>1868</v>
      </c>
      <c r="D2326" s="16" t="s">
        <v>7415</v>
      </c>
      <c r="E2326" s="15" t="s">
        <v>11219</v>
      </c>
      <c r="F2326" s="16" t="str">
        <f>VLOOKUP(Table8[[#This Row],[Mã khách hàng]],code_khach_hang[],2,0)</f>
        <v>CHI NHÁNH NAM ĐỊNH - CÔNG TY CỔ PHẦN DỊCH VỤ THƯƠNG MẠI TỔNG HỢP WINCOMMERCE</v>
      </c>
      <c r="G2326" s="16"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c r="A2327" s="14" t="s">
        <v>1864</v>
      </c>
      <c r="B2327" s="15" t="s">
        <v>5</v>
      </c>
      <c r="C2327" s="10" t="s">
        <v>1865</v>
      </c>
      <c r="D2327" s="16" t="s">
        <v>7418</v>
      </c>
      <c r="E2327" s="15" t="s">
        <v>11193</v>
      </c>
      <c r="F2327" s="16" t="str">
        <f>VLOOKUP(Table8[[#This Row],[Mã khách hàng]],code_khach_hang[],2,0)</f>
        <v>CHI NHÁNH BẮC NINH - CÔNG TY CỔ PHẦN DỊCH VỤ THƯƠNG MẠI TỔNG HỢP WINCOMMERCE</v>
      </c>
      <c r="G2327" s="16"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c r="A2328" s="14" t="s">
        <v>1876</v>
      </c>
      <c r="B2328" s="15" t="s">
        <v>5</v>
      </c>
      <c r="C2328" s="10" t="s">
        <v>1877</v>
      </c>
      <c r="D2328" s="16" t="s">
        <v>7421</v>
      </c>
      <c r="E2328" s="15" t="s">
        <v>11200</v>
      </c>
      <c r="F2328" s="16" t="str">
        <f>VLOOKUP(Table8[[#This Row],[Mã khách hàng]],code_khach_hang[],2,0)</f>
        <v>CHI NHÁNH THÁI BÌNH - CÔNG TY CỔ PHẦN DỊCH VỤ THƯƠNG MẠI TỔNG HỢP WINCOMMERCE</v>
      </c>
      <c r="G2328" s="16"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c r="A2329" s="14" t="s">
        <v>2079</v>
      </c>
      <c r="B2329" s="15" t="s">
        <v>5</v>
      </c>
      <c r="C2329" s="10" t="s">
        <v>2080</v>
      </c>
      <c r="D2329" s="16" t="s">
        <v>7424</v>
      </c>
      <c r="E2329" s="15" t="s">
        <v>11200</v>
      </c>
      <c r="F2329" s="16" t="str">
        <f>VLOOKUP(Table8[[#This Row],[Mã khách hàng]],code_khach_hang[],2,0)</f>
        <v>CHI NHÁNH THÁI BÌNH - CÔNG TY CỔ PHẦN DỊCH VỤ THƯƠNG MẠI TỔNG HỢP WINCOMMERCE</v>
      </c>
      <c r="G2329" s="16"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c r="A2330" s="14" t="s">
        <v>1988</v>
      </c>
      <c r="B2330" s="15" t="s">
        <v>5</v>
      </c>
      <c r="C2330" s="10" t="e">
        <v>#N/A</v>
      </c>
      <c r="D2330" s="16" t="s">
        <v>7427</v>
      </c>
      <c r="E2330" s="15" t="s">
        <v>11200</v>
      </c>
      <c r="F2330" s="16" t="str">
        <f>VLOOKUP(Table8[[#This Row],[Mã khách hàng]],code_khach_hang[],2,0)</f>
        <v>CHI NHÁNH THÁI BÌNH - CÔNG TY CỔ PHẦN DỊCH VỤ THƯƠNG MẠI TỔNG HỢP WINCOMMERCE</v>
      </c>
      <c r="G2330" s="16"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c r="A2331" s="14" t="s">
        <v>1983</v>
      </c>
      <c r="B2331" s="15" t="s">
        <v>5</v>
      </c>
      <c r="C2331" s="10" t="s">
        <v>1984</v>
      </c>
      <c r="D2331" s="16" t="s">
        <v>7430</v>
      </c>
      <c r="E2331" s="15" t="s">
        <v>11210</v>
      </c>
      <c r="F2331" s="16" t="str">
        <f>VLOOKUP(Table8[[#This Row],[Mã khách hàng]],code_khach_hang[],2,0)</f>
        <v>CHI NHÁNH HÀ NAM - CÔNG TY CỔ PHẦN DỊCH VỤ THƯƠNG MẠI TỔNG HỢP WINCOMMERCE</v>
      </c>
      <c r="G2331" s="16" t="str">
        <f>VLOOKUP(Table8[[#This Row],[Mã khách hàng]],code_khach_hang[],3,0)</f>
        <v>Miền Bắc đặc biệt 3</v>
      </c>
      <c r="H2331" t="str">
        <f>VLOOKUP(Table8[[#This Row],[Mã khách hàng]],'Khách hàng'!A:D,4,0)</f>
        <v>Food Đức Việt</v>
      </c>
      <c r="I2331" t="str">
        <f>VLOOKUP(Table8[[#This Row],[Mã khách hàng]],'Khách hàng'!A:E,5,0)</f>
        <v>HN0040</v>
      </c>
    </row>
    <row r="2332" spans="1:9">
      <c r="A2332" s="14" t="s">
        <v>1990</v>
      </c>
      <c r="B2332" s="15" t="s">
        <v>5</v>
      </c>
      <c r="C2332" s="10" t="s">
        <v>1991</v>
      </c>
      <c r="D2332" s="16" t="s">
        <v>7433</v>
      </c>
      <c r="E2332" s="15" t="s">
        <v>11194</v>
      </c>
      <c r="F2332" s="16" t="str">
        <f>VLOOKUP(Table8[[#This Row],[Mã khách hàng]],code_khach_hang[],2,0)</f>
        <v>CHI NHÁNH VĨNH PHÚC - CÔNG TY CỔ PHẦN DỊCH VỤ THƯƠNG MẠI TỔNG HỢP WINCOMMERCE</v>
      </c>
      <c r="G2332" s="16"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c r="A2333" s="14" t="s">
        <v>2028</v>
      </c>
      <c r="B2333" s="15" t="s">
        <v>5</v>
      </c>
      <c r="C2333" s="10" t="s">
        <v>2029</v>
      </c>
      <c r="D2333" s="16" t="s">
        <v>7436</v>
      </c>
      <c r="E2333" s="15" t="s">
        <v>11199</v>
      </c>
      <c r="F2333" s="16" t="str">
        <f>VLOOKUP(Table8[[#This Row],[Mã khách hàng]],code_khach_hang[],2,0)</f>
        <v>CHI NHÁNH PHÚ THỌ - CÔNG TY CỔ PHẦN DỊCH VỤ THƯƠNG MẠI TỔNG HỢP WINCOMMERCE</v>
      </c>
      <c r="G2333" s="16"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c r="A2334" s="14" t="s">
        <v>2042</v>
      </c>
      <c r="B2334" s="15" t="s">
        <v>5</v>
      </c>
      <c r="C2334" s="10" t="s">
        <v>2043</v>
      </c>
      <c r="D2334" s="16" t="s">
        <v>7439</v>
      </c>
      <c r="E2334" s="15" t="s">
        <v>11211</v>
      </c>
      <c r="F2334" s="16" t="str">
        <f>VLOOKUP(Table8[[#This Row],[Mã khách hàng]],code_khach_hang[],2,0)</f>
        <v>CHI NHÁNH NGHỆ AN - CÔNG TY CỔ PHẦN DỊCH VỤ THƯƠNG MẠI TỔNG HỢP WINCOMMERCE</v>
      </c>
      <c r="G2334" s="16"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c r="A2335" s="14" t="s">
        <v>1817</v>
      </c>
      <c r="B2335" s="15" t="s">
        <v>5</v>
      </c>
      <c r="C2335" s="10" t="s">
        <v>1818</v>
      </c>
      <c r="D2335" s="16" t="s">
        <v>7442</v>
      </c>
      <c r="E2335" s="15" t="s">
        <v>11197</v>
      </c>
      <c r="F2335" s="16" t="str">
        <f>VLOOKUP(Table8[[#This Row],[Mã khách hàng]],code_khach_hang[],2,0)</f>
        <v>CHI NHÁNH QUẢNG NINH - CÔNG TY CỔ PHẦN DỊCH VỤ THƯƠNG MẠI TỔNG HỢP WINCOMMERCE</v>
      </c>
      <c r="G2335" s="16"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c r="A2336" s="14" t="s">
        <v>1814</v>
      </c>
      <c r="B2336" s="15" t="s">
        <v>5</v>
      </c>
      <c r="C2336" s="10" t="s">
        <v>1815</v>
      </c>
      <c r="D2336" s="16" t="s">
        <v>7445</v>
      </c>
      <c r="E2336" s="15" t="s">
        <v>11217</v>
      </c>
      <c r="F2336" s="16" t="str">
        <f>VLOOKUP(Table8[[#This Row],[Mã khách hàng]],code_khach_hang[],2,0)</f>
        <v>CHI NHÁNH BẮC GIANG - CÔNG TY CỔ PHẦN DỊCH VỤ THƯƠNG MẠI TỔNG HỢP WINCOMMERCE</v>
      </c>
      <c r="G2336" s="16"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c r="A2337" s="14" t="s">
        <v>1797</v>
      </c>
      <c r="B2337" s="15" t="s">
        <v>5</v>
      </c>
      <c r="C2337" s="10" t="s">
        <v>1798</v>
      </c>
      <c r="D2337" s="16" t="s">
        <v>7448</v>
      </c>
      <c r="E2337" s="15" t="s">
        <v>11217</v>
      </c>
      <c r="F2337" s="16" t="str">
        <f>VLOOKUP(Table8[[#This Row],[Mã khách hàng]],code_khach_hang[],2,0)</f>
        <v>CHI NHÁNH BẮC GIANG - CÔNG TY CỔ PHẦN DỊCH VỤ THƯƠNG MẠI TỔNG HỢP WINCOMMERCE</v>
      </c>
      <c r="G2337" s="16"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c r="A2338" s="14" t="s">
        <v>2691</v>
      </c>
      <c r="B2338" s="15" t="s">
        <v>5</v>
      </c>
      <c r="C2338" s="10" t="s">
        <v>2692</v>
      </c>
      <c r="D2338" s="16" t="s">
        <v>7451</v>
      </c>
      <c r="E2338" s="15" t="s">
        <v>11217</v>
      </c>
      <c r="F2338" s="16" t="str">
        <f>VLOOKUP(Table8[[#This Row],[Mã khách hàng]],code_khach_hang[],2,0)</f>
        <v>CHI NHÁNH BẮC GIANG - CÔNG TY CỔ PHẦN DỊCH VỤ THƯƠNG MẠI TỔNG HỢP WINCOMMERCE</v>
      </c>
      <c r="G2338" s="16"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c r="A2339" s="14" t="s">
        <v>1980</v>
      </c>
      <c r="B2339" s="15" t="s">
        <v>5</v>
      </c>
      <c r="C2339" s="10" t="s">
        <v>1981</v>
      </c>
      <c r="D2339" s="16" t="s">
        <v>7453</v>
      </c>
      <c r="E2339" s="15" t="s">
        <v>11215</v>
      </c>
      <c r="F2339" s="16" t="str">
        <f>VLOOKUP(Table8[[#This Row],[Mã khách hàng]],code_khach_hang[],2,0)</f>
        <v>CHI NHÁNH HÀ NỘI - CÔNG TY CỔ PHẦN DỊCH VỤ THƯƠNG MẠI TỔNG HỢP WINCOMMERCE</v>
      </c>
      <c r="G2339" s="16"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c r="A2340" s="14" t="s">
        <v>2010</v>
      </c>
      <c r="B2340" s="15" t="s">
        <v>5</v>
      </c>
      <c r="C2340" s="10" t="s">
        <v>2011</v>
      </c>
      <c r="D2340" s="16" t="s">
        <v>7456</v>
      </c>
      <c r="E2340" s="15" t="s">
        <v>11221</v>
      </c>
      <c r="F2340" s="16" t="str">
        <f>VLOOKUP(Table8[[#This Row],[Mã khách hàng]],code_khach_hang[],2,0)</f>
        <v>CHI NHÁNH ĐIỆN BIÊN - CÔNG TY CỔ PHẦN DỊCH VỤ THƯƠNG MẠI TỔNG HỢP WINCOMMERCE</v>
      </c>
      <c r="G2340" s="16"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c r="A2341" s="14" t="s">
        <v>2013</v>
      </c>
      <c r="B2341" s="15" t="s">
        <v>5</v>
      </c>
      <c r="C2341" s="10" t="s">
        <v>2014</v>
      </c>
      <c r="D2341" s="16" t="s">
        <v>7459</v>
      </c>
      <c r="E2341" s="15" t="s">
        <v>11217</v>
      </c>
      <c r="F2341" s="16" t="str">
        <f>VLOOKUP(Table8[[#This Row],[Mã khách hàng]],code_khach_hang[],2,0)</f>
        <v>CHI NHÁNH BẮC GIANG - CÔNG TY CỔ PHẦN DỊCH VỤ THƯƠNG MẠI TỔNG HỢP WINCOMMERCE</v>
      </c>
      <c r="G2341" s="16"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c r="A2342" s="14" t="s">
        <v>2031</v>
      </c>
      <c r="B2342" s="15" t="s">
        <v>5</v>
      </c>
      <c r="C2342" s="10" t="s">
        <v>2032</v>
      </c>
      <c r="D2342" s="16" t="s">
        <v>7462</v>
      </c>
      <c r="E2342" s="15" t="s">
        <v>11194</v>
      </c>
      <c r="F2342" s="16" t="str">
        <f>VLOOKUP(Table8[[#This Row],[Mã khách hàng]],code_khach_hang[],2,0)</f>
        <v>CHI NHÁNH VĨNH PHÚC - CÔNG TY CỔ PHẦN DỊCH VỤ THƯƠNG MẠI TỔNG HỢP WINCOMMERCE</v>
      </c>
      <c r="G2342" s="16"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c r="A2343" s="14" t="s">
        <v>2037</v>
      </c>
      <c r="B2343" s="15" t="s">
        <v>5</v>
      </c>
      <c r="C2343" s="10" t="e">
        <v>#N/A</v>
      </c>
      <c r="D2343" s="16" t="s">
        <v>7465</v>
      </c>
      <c r="E2343" s="15" t="s">
        <v>11203</v>
      </c>
      <c r="F2343" s="16" t="str">
        <f>VLOOKUP(Table8[[#This Row],[Mã khách hàng]],code_khach_hang[],2,0)</f>
        <v>CHI NHÁNH THANH HÓA - CÔNG TY CỔ PHẦN DỊCH VỤ THƯƠNG MẠI TỔNG HỢP WINCOMMERCE</v>
      </c>
      <c r="G2343" s="16"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c r="A2344" s="14" t="s">
        <v>2039</v>
      </c>
      <c r="B2344" s="15" t="s">
        <v>5</v>
      </c>
      <c r="C2344" s="10" t="s">
        <v>2040</v>
      </c>
      <c r="D2344" s="16" t="s">
        <v>7468</v>
      </c>
      <c r="E2344" s="15" t="s">
        <v>11194</v>
      </c>
      <c r="F2344" s="16" t="str">
        <f>VLOOKUP(Table8[[#This Row],[Mã khách hàng]],code_khach_hang[],2,0)</f>
        <v>CHI NHÁNH VĨNH PHÚC - CÔNG TY CỔ PHẦN DỊCH VỤ THƯƠNG MẠI TỔNG HỢP WINCOMMERCE</v>
      </c>
      <c r="G2344" s="16"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c r="A2345" s="14" t="s">
        <v>2054</v>
      </c>
      <c r="B2345" s="15" t="s">
        <v>5</v>
      </c>
      <c r="C2345" s="10" t="s">
        <v>2055</v>
      </c>
      <c r="D2345" s="16" t="s">
        <v>7471</v>
      </c>
      <c r="E2345" s="15" t="s">
        <v>11215</v>
      </c>
      <c r="F2345" s="16" t="str">
        <f>VLOOKUP(Table8[[#This Row],[Mã khách hàng]],code_khach_hang[],2,0)</f>
        <v>CHI NHÁNH HÀ NỘI - CÔNG TY CỔ PHẦN DỊCH VỤ THƯƠNG MẠI TỔNG HỢP WINCOMMERCE</v>
      </c>
      <c r="G2345" s="16"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c r="A2346" s="14" t="s">
        <v>2082</v>
      </c>
      <c r="B2346" s="15" t="s">
        <v>5</v>
      </c>
      <c r="C2346" s="10" t="e">
        <v>#N/A</v>
      </c>
      <c r="D2346" s="16" t="s">
        <v>7474</v>
      </c>
      <c r="E2346" s="15" t="s">
        <v>11203</v>
      </c>
      <c r="F2346" s="16" t="str">
        <f>VLOOKUP(Table8[[#This Row],[Mã khách hàng]],code_khach_hang[],2,0)</f>
        <v>CHI NHÁNH THANH HÓA - CÔNG TY CỔ PHẦN DỊCH VỤ THƯƠNG MẠI TỔNG HỢP WINCOMMERCE</v>
      </c>
      <c r="G2346" s="16"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c r="A2347" s="14" t="s">
        <v>1894</v>
      </c>
      <c r="B2347" s="15" t="s">
        <v>5</v>
      </c>
      <c r="C2347" s="10" t="s">
        <v>1895</v>
      </c>
      <c r="D2347" s="16" t="s">
        <v>7477</v>
      </c>
      <c r="E2347" s="15" t="s">
        <v>11198</v>
      </c>
      <c r="F2347" s="16" t="str">
        <f>VLOOKUP(Table8[[#This Row],[Mã khách hàng]],code_khach_hang[],2,0)</f>
        <v>CHI NHÁNH HẢI PHÒNG - CÔNG TY CỔ PHẦN DỊCH VỤ THƯƠNG MẠI TỔNG HỢP WINCOMMERCE</v>
      </c>
      <c r="G2347" s="16"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c r="A2348" s="14" t="s">
        <v>1914</v>
      </c>
      <c r="B2348" s="15" t="s">
        <v>5</v>
      </c>
      <c r="C2348" s="10" t="s">
        <v>1915</v>
      </c>
      <c r="D2348" s="16" t="s">
        <v>7480</v>
      </c>
      <c r="E2348" s="15" t="s">
        <v>11193</v>
      </c>
      <c r="F2348" s="16" t="str">
        <f>VLOOKUP(Table8[[#This Row],[Mã khách hàng]],code_khach_hang[],2,0)</f>
        <v>CHI NHÁNH BẮC NINH - CÔNG TY CỔ PHẦN DỊCH VỤ THƯƠNG MẠI TỔNG HỢP WINCOMMERCE</v>
      </c>
      <c r="G2348" s="16"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c r="A2349" s="14" t="s">
        <v>2045</v>
      </c>
      <c r="B2349" s="15" t="s">
        <v>5</v>
      </c>
      <c r="C2349" s="10" t="s">
        <v>2046</v>
      </c>
      <c r="D2349" s="16" t="s">
        <v>7483</v>
      </c>
      <c r="E2349" s="15" t="s">
        <v>11198</v>
      </c>
      <c r="F2349" s="16" t="str">
        <f>VLOOKUP(Table8[[#This Row],[Mã khách hàng]],code_khach_hang[],2,0)</f>
        <v>CHI NHÁNH HẢI PHÒNG - CÔNG TY CỔ PHẦN DỊCH VỤ THƯƠNG MẠI TỔNG HỢP WINCOMMERCE</v>
      </c>
      <c r="G2349" s="16"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c r="A2350" s="14" t="s">
        <v>2019</v>
      </c>
      <c r="B2350" s="15" t="s">
        <v>5</v>
      </c>
      <c r="C2350" s="10" t="s">
        <v>2020</v>
      </c>
      <c r="D2350" s="16" t="s">
        <v>7486</v>
      </c>
      <c r="E2350" s="15" t="s">
        <v>11197</v>
      </c>
      <c r="F2350" s="16" t="str">
        <f>VLOOKUP(Table8[[#This Row],[Mã khách hàng]],code_khach_hang[],2,0)</f>
        <v>CHI NHÁNH QUẢNG NINH - CÔNG TY CỔ PHẦN DỊCH VỤ THƯƠNG MẠI TỔNG HỢP WINCOMMERCE</v>
      </c>
      <c r="G2350" s="16"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c r="A2351" s="14" t="s">
        <v>1986</v>
      </c>
      <c r="B2351" s="15" t="s">
        <v>5</v>
      </c>
      <c r="C2351" s="10" t="e">
        <v>#N/A</v>
      </c>
      <c r="D2351" s="16" t="s">
        <v>7489</v>
      </c>
      <c r="E2351" s="15" t="s">
        <v>11211</v>
      </c>
      <c r="F2351" s="16" t="str">
        <f>VLOOKUP(Table8[[#This Row],[Mã khách hàng]],code_khach_hang[],2,0)</f>
        <v>CHI NHÁNH NGHỆ AN - CÔNG TY CỔ PHẦN DỊCH VỤ THƯƠNG MẠI TỔNG HỢP WINCOMMERCE</v>
      </c>
      <c r="G2351" s="16"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c r="A2352" s="14" t="s">
        <v>1882</v>
      </c>
      <c r="B2352" s="15" t="s">
        <v>5</v>
      </c>
      <c r="C2352" s="10" t="s">
        <v>1883</v>
      </c>
      <c r="D2352" s="16" t="s">
        <v>7492</v>
      </c>
      <c r="E2352" s="15" t="s">
        <v>11200</v>
      </c>
      <c r="F2352" s="16" t="str">
        <f>VLOOKUP(Table8[[#This Row],[Mã khách hàng]],code_khach_hang[],2,0)</f>
        <v>CHI NHÁNH THÁI BÌNH - CÔNG TY CỔ PHẦN DỊCH VỤ THƯƠNG MẠI TỔNG HỢP WINCOMMERCE</v>
      </c>
      <c r="G2352" s="16"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c r="A2353" s="14" t="s">
        <v>2022</v>
      </c>
      <c r="B2353" s="15" t="s">
        <v>5</v>
      </c>
      <c r="C2353" s="10" t="s">
        <v>2023</v>
      </c>
      <c r="D2353" s="16" t="s">
        <v>7495</v>
      </c>
      <c r="E2353" s="15" t="s">
        <v>11199</v>
      </c>
      <c r="F2353" s="16" t="str">
        <f>VLOOKUP(Table8[[#This Row],[Mã khách hàng]],code_khach_hang[],2,0)</f>
        <v>CHI NHÁNH PHÚ THỌ - CÔNG TY CỔ PHẦN DỊCH VỤ THƯƠNG MẠI TỔNG HỢP WINCOMMERCE</v>
      </c>
      <c r="G2353" s="16"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c r="A2354" s="14" t="s">
        <v>2034</v>
      </c>
      <c r="B2354" s="15" t="s">
        <v>5</v>
      </c>
      <c r="C2354" s="10" t="s">
        <v>2035</v>
      </c>
      <c r="D2354" s="16" t="s">
        <v>7498</v>
      </c>
      <c r="E2354" s="15" t="s">
        <v>11219</v>
      </c>
      <c r="F2354" s="16" t="str">
        <f>VLOOKUP(Table8[[#This Row],[Mã khách hàng]],code_khach_hang[],2,0)</f>
        <v>CHI NHÁNH NAM ĐỊNH - CÔNG TY CỔ PHẦN DỊCH VỤ THƯƠNG MẠI TỔNG HỢP WINCOMMERCE</v>
      </c>
      <c r="G2354" s="16"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c r="A2355" s="14" t="s">
        <v>2048</v>
      </c>
      <c r="B2355" s="15" t="s">
        <v>5</v>
      </c>
      <c r="C2355" s="10" t="s">
        <v>2049</v>
      </c>
      <c r="D2355" s="16" t="s">
        <v>7501</v>
      </c>
      <c r="E2355" s="15" t="s">
        <v>11215</v>
      </c>
      <c r="F2355" s="16" t="str">
        <f>VLOOKUP(Table8[[#This Row],[Mã khách hàng]],code_khach_hang[],2,0)</f>
        <v>CHI NHÁNH HÀ NỘI - CÔNG TY CỔ PHẦN DỊCH VỤ THƯƠNG MẠI TỔNG HỢP WINCOMMERCE</v>
      </c>
      <c r="G2355" s="16"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c r="A2356" s="14" t="s">
        <v>2077</v>
      </c>
      <c r="B2356" s="15" t="s">
        <v>5</v>
      </c>
      <c r="C2356" s="10" t="e">
        <v>#N/A</v>
      </c>
      <c r="D2356" s="16" t="s">
        <v>7504</v>
      </c>
      <c r="E2356" s="15" t="s">
        <v>11205</v>
      </c>
      <c r="F2356" s="16" t="str">
        <f>VLOOKUP(Table8[[#This Row],[Mã khách hàng]],code_khach_hang[],2,0)</f>
        <v>CHI NHÁNH HÀ TĨNH - CÔNG TY CỔ PHẦN DỊCH VỤ THƯƠNG MẠI TỔNG HỢP WINCOMMERCE</v>
      </c>
      <c r="G2356" s="16"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c r="A2357" s="14" t="s">
        <v>2093</v>
      </c>
      <c r="B2357" s="15" t="s">
        <v>5</v>
      </c>
      <c r="C2357" s="10" t="s">
        <v>2094</v>
      </c>
      <c r="D2357" s="16" t="s">
        <v>7507</v>
      </c>
      <c r="E2357" s="15" t="s">
        <v>11199</v>
      </c>
      <c r="F2357" s="16" t="str">
        <f>VLOOKUP(Table8[[#This Row],[Mã khách hàng]],code_khach_hang[],2,0)</f>
        <v>CHI NHÁNH PHÚ THỌ - CÔNG TY CỔ PHẦN DỊCH VỤ THƯƠNG MẠI TỔNG HỢP WINCOMMERCE</v>
      </c>
      <c r="G2357" s="16"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c r="A2358" s="14" t="s">
        <v>2096</v>
      </c>
      <c r="B2358" s="15" t="s">
        <v>5</v>
      </c>
      <c r="C2358" s="10" t="s">
        <v>2097</v>
      </c>
      <c r="D2358" s="16" t="s">
        <v>7510</v>
      </c>
      <c r="E2358" s="15" t="s">
        <v>11200</v>
      </c>
      <c r="F2358" s="16" t="str">
        <f>VLOOKUP(Table8[[#This Row],[Mã khách hàng]],code_khach_hang[],2,0)</f>
        <v>CHI NHÁNH THÁI BÌNH - CÔNG TY CỔ PHẦN DỊCH VỤ THƯƠNG MẠI TỔNG HỢP WINCOMMERCE</v>
      </c>
      <c r="G2358" s="16"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c r="A2359" s="14" t="s">
        <v>2116</v>
      </c>
      <c r="B2359" s="15" t="s">
        <v>5</v>
      </c>
      <c r="C2359" s="10" t="s">
        <v>2117</v>
      </c>
      <c r="D2359" s="16" t="s">
        <v>7513</v>
      </c>
      <c r="E2359" s="15" t="s">
        <v>11198</v>
      </c>
      <c r="F2359" s="16" t="str">
        <f>VLOOKUP(Table8[[#This Row],[Mã khách hàng]],code_khach_hang[],2,0)</f>
        <v>CHI NHÁNH HẢI PHÒNG - CÔNG TY CỔ PHẦN DỊCH VỤ THƯƠNG MẠI TỔNG HỢP WINCOMMERCE</v>
      </c>
      <c r="G2359" s="16"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c r="A2360" s="14" t="s">
        <v>2121</v>
      </c>
      <c r="B2360" s="15" t="s">
        <v>5</v>
      </c>
      <c r="C2360" s="10" t="s">
        <v>2122</v>
      </c>
      <c r="D2360" s="16" t="s">
        <v>7516</v>
      </c>
      <c r="E2360" s="15" t="s">
        <v>11198</v>
      </c>
      <c r="F2360" s="16" t="str">
        <f>VLOOKUP(Table8[[#This Row],[Mã khách hàng]],code_khach_hang[],2,0)</f>
        <v>CHI NHÁNH HẢI PHÒNG - CÔNG TY CỔ PHẦN DỊCH VỤ THƯƠNG MẠI TỔNG HỢP WINCOMMERCE</v>
      </c>
      <c r="G2360" s="16"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c r="A2361" s="14" t="s">
        <v>2127</v>
      </c>
      <c r="B2361" s="15" t="s">
        <v>5</v>
      </c>
      <c r="C2361" s="10" t="e">
        <v>#N/A</v>
      </c>
      <c r="D2361" s="16" t="s">
        <v>7519</v>
      </c>
      <c r="E2361" s="15" t="s">
        <v>11203</v>
      </c>
      <c r="F2361" s="16" t="str">
        <f>VLOOKUP(Table8[[#This Row],[Mã khách hàng]],code_khach_hang[],2,0)</f>
        <v>CHI NHÁNH THANH HÓA - CÔNG TY CỔ PHẦN DỊCH VỤ THƯƠNG MẠI TỔNG HỢP WINCOMMERCE</v>
      </c>
      <c r="G2361" s="16"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c r="A2362" s="14" t="s">
        <v>2129</v>
      </c>
      <c r="B2362" s="15" t="s">
        <v>5</v>
      </c>
      <c r="C2362" s="10" t="s">
        <v>2130</v>
      </c>
      <c r="D2362" s="16" t="s">
        <v>7522</v>
      </c>
      <c r="E2362" s="15" t="s">
        <v>11203</v>
      </c>
      <c r="F2362" s="16" t="str">
        <f>VLOOKUP(Table8[[#This Row],[Mã khách hàng]],code_khach_hang[],2,0)</f>
        <v>CHI NHÁNH THANH HÓA - CÔNG TY CỔ PHẦN DỊCH VỤ THƯƠNG MẠI TỔNG HỢP WINCOMMERCE</v>
      </c>
      <c r="G2362" s="16"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c r="A2363" s="14" t="s">
        <v>2143</v>
      </c>
      <c r="B2363" s="15" t="s">
        <v>5</v>
      </c>
      <c r="C2363" s="10" t="e">
        <v>#N/A</v>
      </c>
      <c r="D2363" s="16" t="s">
        <v>7525</v>
      </c>
      <c r="E2363" s="15" t="s">
        <v>11211</v>
      </c>
      <c r="F2363" s="16" t="str">
        <f>VLOOKUP(Table8[[#This Row],[Mã khách hàng]],code_khach_hang[],2,0)</f>
        <v>CHI NHÁNH NGHỆ AN - CÔNG TY CỔ PHẦN DỊCH VỤ THƯƠNG MẠI TỔNG HỢP WINCOMMERCE</v>
      </c>
      <c r="G2363" s="16"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c r="A2364" s="14" t="s">
        <v>2159</v>
      </c>
      <c r="B2364" s="15" t="s">
        <v>5</v>
      </c>
      <c r="C2364" s="10" t="s">
        <v>2160</v>
      </c>
      <c r="D2364" s="16" t="s">
        <v>7528</v>
      </c>
      <c r="E2364" s="15" t="s">
        <v>11199</v>
      </c>
      <c r="F2364" s="16" t="str">
        <f>VLOOKUP(Table8[[#This Row],[Mã khách hàng]],code_khach_hang[],2,0)</f>
        <v>CHI NHÁNH PHÚ THỌ - CÔNG TY CỔ PHẦN DỊCH VỤ THƯƠNG MẠI TỔNG HỢP WINCOMMERCE</v>
      </c>
      <c r="G2364" s="16"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c r="A2365" s="14" t="s">
        <v>2165</v>
      </c>
      <c r="B2365" s="15" t="s">
        <v>5</v>
      </c>
      <c r="C2365" s="10" t="s">
        <v>2166</v>
      </c>
      <c r="D2365" s="16" t="s">
        <v>7531</v>
      </c>
      <c r="E2365" s="15" t="s">
        <v>11205</v>
      </c>
      <c r="F2365" s="16" t="str">
        <f>VLOOKUP(Table8[[#This Row],[Mã khách hàng]],code_khach_hang[],2,0)</f>
        <v>CHI NHÁNH HÀ TĨNH - CÔNG TY CỔ PHẦN DỊCH VỤ THƯƠNG MẠI TỔNG HỢP WINCOMMERCE</v>
      </c>
      <c r="G2365" s="16"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c r="A2366" s="14" t="s">
        <v>2168</v>
      </c>
      <c r="B2366" s="15" t="s">
        <v>5</v>
      </c>
      <c r="C2366" s="10" t="s">
        <v>2169</v>
      </c>
      <c r="D2366" s="16" t="s">
        <v>7534</v>
      </c>
      <c r="E2366" s="15" t="s">
        <v>11207</v>
      </c>
      <c r="F2366" s="16" t="str">
        <f>VLOOKUP(Table8[[#This Row],[Mã khách hàng]],code_khach_hang[],2,0)</f>
        <v>CHI NHÁNH THÁI NGUYÊN - CÔNG TY CỔ PHẦN DỊCH VỤ THƯƠNG MẠI TỔNG HỢP WINCOMMERCE</v>
      </c>
      <c r="G2366" s="16"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c r="A2367" s="14" t="s">
        <v>2025</v>
      </c>
      <c r="B2367" s="15" t="s">
        <v>5</v>
      </c>
      <c r="C2367" s="10" t="s">
        <v>2026</v>
      </c>
      <c r="D2367" s="16" t="s">
        <v>7537</v>
      </c>
      <c r="E2367" s="15" t="s">
        <v>11215</v>
      </c>
      <c r="F2367" s="16" t="str">
        <f>VLOOKUP(Table8[[#This Row],[Mã khách hàng]],code_khach_hang[],2,0)</f>
        <v>CHI NHÁNH HÀ NỘI - CÔNG TY CỔ PHẦN DỊCH VỤ THƯƠNG MẠI TỔNG HỢP WINCOMMERCE</v>
      </c>
      <c r="G2367" s="16"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c r="A2368" s="14" t="s">
        <v>2156</v>
      </c>
      <c r="B2368" s="15" t="s">
        <v>5</v>
      </c>
      <c r="C2368" s="10" t="s">
        <v>2157</v>
      </c>
      <c r="D2368" s="16" t="s">
        <v>7540</v>
      </c>
      <c r="E2368" s="15" t="s">
        <v>11197</v>
      </c>
      <c r="F2368" s="16" t="str">
        <f>VLOOKUP(Table8[[#This Row],[Mã khách hàng]],code_khach_hang[],2,0)</f>
        <v>CHI NHÁNH QUẢNG NINH - CÔNG TY CỔ PHẦN DỊCH VỤ THƯƠNG MẠI TỔNG HỢP WINCOMMERCE</v>
      </c>
      <c r="G2368" s="16"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c r="A2369" s="14" t="s">
        <v>1930</v>
      </c>
      <c r="B2369" s="15" t="s">
        <v>5</v>
      </c>
      <c r="C2369" s="10" t="s">
        <v>1931</v>
      </c>
      <c r="D2369" s="16" t="s">
        <v>7543</v>
      </c>
      <c r="E2369" s="15" t="s">
        <v>11216</v>
      </c>
      <c r="F2369" s="16" t="str">
        <f>VLOOKUP(Table8[[#This Row],[Mã khách hàng]],code_khach_hang[],2,0)</f>
        <v>CHI NHÁNH HƯNG YÊN - CÔNG TY CỔ PHẦN DỊCH VỤ THƯƠNG MẠI TỔNG HỢP WINCOMMERCE</v>
      </c>
      <c r="G2369" s="16"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c r="A2370" s="14" t="s">
        <v>2016</v>
      </c>
      <c r="B2370" s="15" t="s">
        <v>5</v>
      </c>
      <c r="C2370" s="10" t="s">
        <v>2017</v>
      </c>
      <c r="D2370" s="16" t="s">
        <v>7546</v>
      </c>
      <c r="E2370" s="15" t="s">
        <v>11197</v>
      </c>
      <c r="F2370" s="16" t="str">
        <f>VLOOKUP(Table8[[#This Row],[Mã khách hàng]],code_khach_hang[],2,0)</f>
        <v>CHI NHÁNH QUẢNG NINH - CÔNG TY CỔ PHẦN DỊCH VỤ THƯƠNG MẠI TỔNG HỢP WINCOMMERCE</v>
      </c>
      <c r="G2370" s="16"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c r="A2371" s="14" t="s">
        <v>2179</v>
      </c>
      <c r="B2371" s="15" t="s">
        <v>5</v>
      </c>
      <c r="C2371" s="10" t="s">
        <v>2180</v>
      </c>
      <c r="D2371" s="16" t="s">
        <v>7549</v>
      </c>
      <c r="E2371" s="15" t="s">
        <v>11203</v>
      </c>
      <c r="F2371" s="16" t="str">
        <f>VLOOKUP(Table8[[#This Row],[Mã khách hàng]],code_khach_hang[],2,0)</f>
        <v>CHI NHÁNH THANH HÓA - CÔNG TY CỔ PHẦN DỊCH VỤ THƯƠNG MẠI TỔNG HỢP WINCOMMERCE</v>
      </c>
      <c r="G2371" s="16"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c r="A2372" s="14" t="s">
        <v>1665</v>
      </c>
      <c r="B2372" s="15" t="s">
        <v>5</v>
      </c>
      <c r="C2372" s="10" t="s">
        <v>1666</v>
      </c>
      <c r="D2372" s="16" t="s">
        <v>7552</v>
      </c>
      <c r="E2372" s="15" t="s">
        <v>11193</v>
      </c>
      <c r="F2372" s="16" t="str">
        <f>VLOOKUP(Table8[[#This Row],[Mã khách hàng]],code_khach_hang[],2,0)</f>
        <v>CHI NHÁNH BẮC NINH - CÔNG TY CỔ PHẦN DỊCH VỤ THƯƠNG MẠI TỔNG HỢP WINCOMMERCE</v>
      </c>
      <c r="G2372" s="16"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c r="A2373" s="14" t="s">
        <v>2400</v>
      </c>
      <c r="B2373" s="15" t="s">
        <v>5</v>
      </c>
      <c r="C2373" s="10" t="s">
        <v>2401</v>
      </c>
      <c r="D2373" s="16" t="s">
        <v>7555</v>
      </c>
      <c r="E2373" s="15" t="s">
        <v>11215</v>
      </c>
      <c r="F2373" s="16" t="str">
        <f>VLOOKUP(Table8[[#This Row],[Mã khách hàng]],code_khach_hang[],2,0)</f>
        <v>CHI NHÁNH HÀ NỘI - CÔNG TY CỔ PHẦN DỊCH VỤ THƯƠNG MẠI TỔNG HỢP WINCOMMERCE</v>
      </c>
      <c r="G2373" s="16"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c r="A2374" s="14" t="s">
        <v>2119</v>
      </c>
      <c r="B2374" s="15" t="s">
        <v>5</v>
      </c>
      <c r="C2374" s="10" t="e">
        <v>#N/A</v>
      </c>
      <c r="D2374" s="16" t="s">
        <v>7558</v>
      </c>
      <c r="E2374" s="15" t="s">
        <v>11203</v>
      </c>
      <c r="F2374" s="16" t="str">
        <f>VLOOKUP(Table8[[#This Row],[Mã khách hàng]],code_khach_hang[],2,0)</f>
        <v>CHI NHÁNH THANH HÓA - CÔNG TY CỔ PHẦN DỊCH VỤ THƯƠNG MẠI TỔNG HỢP WINCOMMERCE</v>
      </c>
      <c r="G2374" s="16"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c r="A2375" s="14" t="s">
        <v>2176</v>
      </c>
      <c r="B2375" s="15" t="s">
        <v>5</v>
      </c>
      <c r="C2375" s="10" t="s">
        <v>2177</v>
      </c>
      <c r="D2375" s="16" t="s">
        <v>7561</v>
      </c>
      <c r="E2375" s="15" t="s">
        <v>11215</v>
      </c>
      <c r="F2375" s="16" t="str">
        <f>VLOOKUP(Table8[[#This Row],[Mã khách hàng]],code_khach_hang[],2,0)</f>
        <v>CHI NHÁNH HÀ NỘI - CÔNG TY CỔ PHẦN DỊCH VỤ THƯƠNG MẠI TỔNG HỢP WINCOMMERCE</v>
      </c>
      <c r="G2375" s="16"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c r="A2376" s="14" t="s">
        <v>1716</v>
      </c>
      <c r="B2376" s="15" t="s">
        <v>5</v>
      </c>
      <c r="C2376" s="10" t="e">
        <v>#N/A</v>
      </c>
      <c r="D2376" s="16" t="s">
        <v>7564</v>
      </c>
      <c r="E2376" s="15" t="s">
        <v>11197</v>
      </c>
      <c r="F2376" s="16" t="str">
        <f>VLOOKUP(Table8[[#This Row],[Mã khách hàng]],code_khach_hang[],2,0)</f>
        <v>CHI NHÁNH QUẢNG NINH - CÔNG TY CỔ PHẦN DỊCH VỤ THƯƠNG MẠI TỔNG HỢP WINCOMMERCE</v>
      </c>
      <c r="G2376" s="16"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c r="A2377" s="14" t="s">
        <v>2135</v>
      </c>
      <c r="B2377" s="15" t="s">
        <v>5</v>
      </c>
      <c r="C2377" s="10" t="s">
        <v>2136</v>
      </c>
      <c r="D2377" s="16" t="s">
        <v>7567</v>
      </c>
      <c r="E2377" s="15" t="s">
        <v>11201</v>
      </c>
      <c r="F2377" s="16" t="str">
        <f>VLOOKUP(Table8[[#This Row],[Mã khách hàng]],code_khach_hang[],2,0)</f>
        <v>CHI NHÁNH HẢI DƯƠNG - CÔNG TY CỔ PHẦN DỊCH VỤ THƯƠNG MẠI TỔNG HỢP WINCOMMERCE</v>
      </c>
      <c r="G2377" s="16"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c r="A2378" s="14" t="s">
        <v>2132</v>
      </c>
      <c r="B2378" s="15" t="s">
        <v>5</v>
      </c>
      <c r="C2378" s="10" t="s">
        <v>2133</v>
      </c>
      <c r="D2378" s="16" t="s">
        <v>7570</v>
      </c>
      <c r="E2378" s="15" t="s">
        <v>11197</v>
      </c>
      <c r="F2378" s="16" t="str">
        <f>VLOOKUP(Table8[[#This Row],[Mã khách hàng]],code_khach_hang[],2,0)</f>
        <v>CHI NHÁNH QUẢNG NINH - CÔNG TY CỔ PHẦN DỊCH VỤ THƯƠNG MẠI TỔNG HỢP WINCOMMERCE</v>
      </c>
      <c r="G2378" s="16"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c r="A2379" s="14" t="s">
        <v>2171</v>
      </c>
      <c r="B2379" s="15" t="s">
        <v>5</v>
      </c>
      <c r="C2379" s="10" t="e">
        <v>#N/A</v>
      </c>
      <c r="D2379" s="16" t="s">
        <v>7573</v>
      </c>
      <c r="E2379" s="15" t="s">
        <v>11194</v>
      </c>
      <c r="F2379" s="16" t="str">
        <f>VLOOKUP(Table8[[#This Row],[Mã khách hàng]],code_khach_hang[],2,0)</f>
        <v>CHI NHÁNH VĨNH PHÚC - CÔNG TY CỔ PHẦN DỊCH VỤ THƯƠNG MẠI TỔNG HỢP WINCOMMERCE</v>
      </c>
      <c r="G2379" s="16"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c r="A2380" s="14" t="s">
        <v>9306</v>
      </c>
      <c r="B2380" s="15" t="s">
        <v>5</v>
      </c>
      <c r="C2380" s="10" t="s">
        <v>9307</v>
      </c>
      <c r="D2380" s="16" t="s">
        <v>7576</v>
      </c>
      <c r="E2380" s="15" t="s">
        <v>11198</v>
      </c>
      <c r="F2380" s="16" t="str">
        <f>VLOOKUP(Table8[[#This Row],[Mã khách hàng]],code_khach_hang[],2,0)</f>
        <v>CHI NHÁNH HẢI PHÒNG - CÔNG TY CỔ PHẦN DỊCH VỤ THƯƠNG MẠI TỔNG HỢP WINCOMMERCE</v>
      </c>
      <c r="G2380" s="16"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c r="A2381" s="14" t="s">
        <v>2074</v>
      </c>
      <c r="B2381" s="15" t="s">
        <v>5</v>
      </c>
      <c r="C2381" s="10" t="s">
        <v>2075</v>
      </c>
      <c r="D2381" s="16" t="s">
        <v>7579</v>
      </c>
      <c r="E2381" s="15" t="s">
        <v>11211</v>
      </c>
      <c r="F2381" s="16" t="str">
        <f>VLOOKUP(Table8[[#This Row],[Mã khách hàng]],code_khach_hang[],2,0)</f>
        <v>CHI NHÁNH NGHỆ AN - CÔNG TY CỔ PHẦN DỊCH VỤ THƯƠNG MẠI TỔNG HỢP WINCOMMERCE</v>
      </c>
      <c r="G2381" s="16"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c r="A2382" s="14" t="s">
        <v>2141</v>
      </c>
      <c r="B2382" s="15" t="s">
        <v>5</v>
      </c>
      <c r="C2382" s="10" t="e">
        <v>#N/A</v>
      </c>
      <c r="D2382" s="16" t="s">
        <v>7582</v>
      </c>
      <c r="E2382" s="15" t="s">
        <v>11205</v>
      </c>
      <c r="F2382" s="16" t="str">
        <f>VLOOKUP(Table8[[#This Row],[Mã khách hàng]],code_khach_hang[],2,0)</f>
        <v>CHI NHÁNH HÀ TĨNH - CÔNG TY CỔ PHẦN DỊCH VỤ THƯƠNG MẠI TỔNG HỢP WINCOMMERCE</v>
      </c>
      <c r="G2382" s="16"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c r="A2383" s="14" t="s">
        <v>2188</v>
      </c>
      <c r="B2383" s="15" t="s">
        <v>5</v>
      </c>
      <c r="C2383" s="10" t="s">
        <v>2189</v>
      </c>
      <c r="D2383" s="16" t="s">
        <v>7585</v>
      </c>
      <c r="E2383" s="15" t="s">
        <v>11201</v>
      </c>
      <c r="F2383" s="16" t="str">
        <f>VLOOKUP(Table8[[#This Row],[Mã khách hàng]],code_khach_hang[],2,0)</f>
        <v>CHI NHÁNH HẢI DƯƠNG - CÔNG TY CỔ PHẦN DỊCH VỤ THƯƠNG MẠI TỔNG HỢP WINCOMMERCE</v>
      </c>
      <c r="G2383" s="16"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c r="A2384" s="14" t="s">
        <v>2114</v>
      </c>
      <c r="B2384" s="15" t="s">
        <v>5</v>
      </c>
      <c r="C2384" s="10" t="e">
        <v>#N/A</v>
      </c>
      <c r="D2384" s="16" t="s">
        <v>7588</v>
      </c>
      <c r="E2384" s="15" t="s">
        <v>11203</v>
      </c>
      <c r="F2384" s="16" t="str">
        <f>VLOOKUP(Table8[[#This Row],[Mã khách hàng]],code_khach_hang[],2,0)</f>
        <v>CHI NHÁNH THANH HÓA - CÔNG TY CỔ PHẦN DỊCH VỤ THƯƠNG MẠI TỔNG HỢP WINCOMMERCE</v>
      </c>
      <c r="G2384" s="16"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c r="A2385" s="14" t="s">
        <v>2191</v>
      </c>
      <c r="B2385" s="15" t="s">
        <v>5</v>
      </c>
      <c r="C2385" s="10" t="e">
        <v>#N/A</v>
      </c>
      <c r="D2385" s="16" t="s">
        <v>7591</v>
      </c>
      <c r="E2385" s="15" t="s">
        <v>11203</v>
      </c>
      <c r="F2385" s="16" t="str">
        <f>VLOOKUP(Table8[[#This Row],[Mã khách hàng]],code_khach_hang[],2,0)</f>
        <v>CHI NHÁNH THANH HÓA - CÔNG TY CỔ PHẦN DỊCH VỤ THƯƠNG MẠI TỔNG HỢP WINCOMMERCE</v>
      </c>
      <c r="G2385" s="16"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c r="A2386" s="14" t="s">
        <v>2211</v>
      </c>
      <c r="B2386" s="15" t="s">
        <v>5</v>
      </c>
      <c r="C2386" s="10" t="s">
        <v>2212</v>
      </c>
      <c r="D2386" s="16" t="s">
        <v>7594</v>
      </c>
      <c r="E2386" s="15" t="s">
        <v>11215</v>
      </c>
      <c r="F2386" s="16" t="str">
        <f>VLOOKUP(Table8[[#This Row],[Mã khách hàng]],code_khach_hang[],2,0)</f>
        <v>CHI NHÁNH HÀ NỘI - CÔNG TY CỔ PHẦN DỊCH VỤ THƯƠNG MẠI TỔNG HỢP WINCOMMERCE</v>
      </c>
      <c r="G2386" s="16"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c r="A2387" s="14" t="s">
        <v>2217</v>
      </c>
      <c r="B2387" s="15" t="s">
        <v>5</v>
      </c>
      <c r="C2387" s="10" t="s">
        <v>2218</v>
      </c>
      <c r="D2387" s="16" t="s">
        <v>7597</v>
      </c>
      <c r="E2387" s="15" t="s">
        <v>11215</v>
      </c>
      <c r="F2387" s="16" t="str">
        <f>VLOOKUP(Table8[[#This Row],[Mã khách hàng]],code_khach_hang[],2,0)</f>
        <v>CHI NHÁNH HÀ NỘI - CÔNG TY CỔ PHẦN DỊCH VỤ THƯƠNG MẠI TỔNG HỢP WINCOMMERCE</v>
      </c>
      <c r="G2387" s="16"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c r="A2388" s="14" t="s">
        <v>2099</v>
      </c>
      <c r="B2388" s="15" t="s">
        <v>5</v>
      </c>
      <c r="C2388" s="10" t="s">
        <v>2100</v>
      </c>
      <c r="D2388" s="16" t="s">
        <v>7600</v>
      </c>
      <c r="E2388" s="15" t="s">
        <v>11207</v>
      </c>
      <c r="F2388" s="16" t="str">
        <f>VLOOKUP(Table8[[#This Row],[Mã khách hàng]],code_khach_hang[],2,0)</f>
        <v>CHI NHÁNH THÁI NGUYÊN - CÔNG TY CỔ PHẦN DỊCH VỤ THƯƠNG MẠI TỔNG HỢP WINCOMMERCE</v>
      </c>
      <c r="G2388" s="16"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c r="A2389" s="14" t="s">
        <v>2071</v>
      </c>
      <c r="B2389" s="15" t="s">
        <v>5</v>
      </c>
      <c r="C2389" s="10" t="s">
        <v>2072</v>
      </c>
      <c r="D2389" s="16" t="s">
        <v>7603</v>
      </c>
      <c r="E2389" s="15" t="s">
        <v>11199</v>
      </c>
      <c r="F2389" s="16" t="str">
        <f>VLOOKUP(Table8[[#This Row],[Mã khách hàng]],code_khach_hang[],2,0)</f>
        <v>CHI NHÁNH PHÚ THỌ - CÔNG TY CỔ PHẦN DỊCH VỤ THƯƠNG MẠI TỔNG HỢP WINCOMMERCE</v>
      </c>
      <c r="G2389" s="16"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c r="A2390" s="14" t="s">
        <v>2162</v>
      </c>
      <c r="B2390" s="15" t="s">
        <v>5</v>
      </c>
      <c r="C2390" s="10" t="s">
        <v>2163</v>
      </c>
      <c r="D2390" s="16" t="s">
        <v>7606</v>
      </c>
      <c r="E2390" s="15" t="s">
        <v>11199</v>
      </c>
      <c r="F2390" s="16" t="str">
        <f>VLOOKUP(Table8[[#This Row],[Mã khách hàng]],code_khach_hang[],2,0)</f>
        <v>CHI NHÁNH PHÚ THỌ - CÔNG TY CỔ PHẦN DỊCH VỤ THƯƠNG MẠI TỔNG HỢP WINCOMMERCE</v>
      </c>
      <c r="G2390" s="16"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c r="A2391" s="14" t="s">
        <v>2173</v>
      </c>
      <c r="B2391" s="15" t="s">
        <v>5</v>
      </c>
      <c r="C2391" s="10" t="s">
        <v>2174</v>
      </c>
      <c r="D2391" s="16" t="s">
        <v>7609</v>
      </c>
      <c r="E2391" s="15" t="s">
        <v>11216</v>
      </c>
      <c r="F2391" s="16" t="str">
        <f>VLOOKUP(Table8[[#This Row],[Mã khách hàng]],code_khach_hang[],2,0)</f>
        <v>CHI NHÁNH HƯNG YÊN - CÔNG TY CỔ PHẦN DỊCH VỤ THƯƠNG MẠI TỔNG HỢP WINCOMMERCE</v>
      </c>
      <c r="G2391" s="16"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c r="A2392" s="14" t="s">
        <v>2182</v>
      </c>
      <c r="B2392" s="15" t="s">
        <v>5</v>
      </c>
      <c r="C2392" s="10" t="s">
        <v>2183</v>
      </c>
      <c r="D2392" s="16" t="s">
        <v>7612</v>
      </c>
      <c r="E2392" s="15" t="s">
        <v>11211</v>
      </c>
      <c r="F2392" s="16" t="str">
        <f>VLOOKUP(Table8[[#This Row],[Mã khách hàng]],code_khach_hang[],2,0)</f>
        <v>CHI NHÁNH NGHỆ AN - CÔNG TY CỔ PHẦN DỊCH VỤ THƯƠNG MẠI TỔNG HỢP WINCOMMERCE</v>
      </c>
      <c r="G2392" s="16"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c r="A2393" s="14" t="s">
        <v>2220</v>
      </c>
      <c r="B2393" s="15" t="s">
        <v>5</v>
      </c>
      <c r="C2393" s="10" t="s">
        <v>2221</v>
      </c>
      <c r="D2393" s="16" t="s">
        <v>7615</v>
      </c>
      <c r="E2393" s="15" t="s">
        <v>11201</v>
      </c>
      <c r="F2393" s="16" t="str">
        <f>VLOOKUP(Table8[[#This Row],[Mã khách hàng]],code_khach_hang[],2,0)</f>
        <v>CHI NHÁNH HẢI DƯƠNG - CÔNG TY CỔ PHẦN DỊCH VỤ THƯƠNG MẠI TỔNG HỢP WINCOMMERCE</v>
      </c>
      <c r="G2393" s="16"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c r="A2394" s="14" t="s">
        <v>2223</v>
      </c>
      <c r="B2394" s="15" t="s">
        <v>5</v>
      </c>
      <c r="C2394" s="10" t="s">
        <v>2224</v>
      </c>
      <c r="D2394" s="16" t="s">
        <v>7618</v>
      </c>
      <c r="E2394" s="15" t="s">
        <v>11207</v>
      </c>
      <c r="F2394" s="16" t="str">
        <f>VLOOKUP(Table8[[#This Row],[Mã khách hàng]],code_khach_hang[],2,0)</f>
        <v>CHI NHÁNH THÁI NGUYÊN - CÔNG TY CỔ PHẦN DỊCH VỤ THƯƠNG MẠI TỔNG HỢP WINCOMMERCE</v>
      </c>
      <c r="G2394" s="16"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c r="A2395" s="14" t="s">
        <v>2229</v>
      </c>
      <c r="B2395" s="15" t="s">
        <v>5</v>
      </c>
      <c r="C2395" s="10" t="s">
        <v>2230</v>
      </c>
      <c r="D2395" s="16" t="s">
        <v>7621</v>
      </c>
      <c r="E2395" s="15" t="s">
        <v>11203</v>
      </c>
      <c r="F2395" s="16" t="str">
        <f>VLOOKUP(Table8[[#This Row],[Mã khách hàng]],code_khach_hang[],2,0)</f>
        <v>CHI NHÁNH THANH HÓA - CÔNG TY CỔ PHẦN DỊCH VỤ THƯƠNG MẠI TỔNG HỢP WINCOMMERCE</v>
      </c>
      <c r="G2395" s="16"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c r="A2396" s="14" t="s">
        <v>2246</v>
      </c>
      <c r="B2396" s="15" t="s">
        <v>5</v>
      </c>
      <c r="C2396" s="10" t="s">
        <v>2247</v>
      </c>
      <c r="D2396" s="16" t="s">
        <v>7624</v>
      </c>
      <c r="E2396" s="15" t="s">
        <v>11198</v>
      </c>
      <c r="F2396" s="16" t="str">
        <f>VLOOKUP(Table8[[#This Row],[Mã khách hàng]],code_khach_hang[],2,0)</f>
        <v>CHI NHÁNH HẢI PHÒNG - CÔNG TY CỔ PHẦN DỊCH VỤ THƯƠNG MẠI TỔNG HỢP WINCOMMERCE</v>
      </c>
      <c r="G2396" s="16"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c r="A2397" s="14" t="s">
        <v>2255</v>
      </c>
      <c r="B2397" s="15" t="s">
        <v>5</v>
      </c>
      <c r="C2397" s="10" t="s">
        <v>2256</v>
      </c>
      <c r="D2397" s="16" t="s">
        <v>7627</v>
      </c>
      <c r="E2397" s="15" t="s">
        <v>11207</v>
      </c>
      <c r="F2397" s="16" t="str">
        <f>VLOOKUP(Table8[[#This Row],[Mã khách hàng]],code_khach_hang[],2,0)</f>
        <v>CHI NHÁNH THÁI NGUYÊN - CÔNG TY CỔ PHẦN DỊCH VỤ THƯƠNG MẠI TỔNG HỢP WINCOMMERCE</v>
      </c>
      <c r="G2397" s="16"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c r="A2398" s="14" t="s">
        <v>2287</v>
      </c>
      <c r="B2398" s="15" t="s">
        <v>5</v>
      </c>
      <c r="C2398" s="10" t="s">
        <v>2288</v>
      </c>
      <c r="D2398" s="16" t="s">
        <v>7630</v>
      </c>
      <c r="E2398" s="15" t="s">
        <v>11215</v>
      </c>
      <c r="F2398" s="16" t="str">
        <f>VLOOKUP(Table8[[#This Row],[Mã khách hàng]],code_khach_hang[],2,0)</f>
        <v>CHI NHÁNH HÀ NỘI - CÔNG TY CỔ PHẦN DỊCH VỤ THƯƠNG MẠI TỔNG HỢP WINCOMMERCE</v>
      </c>
      <c r="G2398" s="16"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c r="A2399" s="14" t="s">
        <v>2296</v>
      </c>
      <c r="B2399" s="15" t="s">
        <v>5</v>
      </c>
      <c r="C2399" s="10" t="s">
        <v>2297</v>
      </c>
      <c r="D2399" s="16" t="s">
        <v>7633</v>
      </c>
      <c r="E2399" s="15" t="s">
        <v>11215</v>
      </c>
      <c r="F2399" s="16" t="str">
        <f>VLOOKUP(Table8[[#This Row],[Mã khách hàng]],code_khach_hang[],2,0)</f>
        <v>CHI NHÁNH HÀ NỘI - CÔNG TY CỔ PHẦN DỊCH VỤ THƯƠNG MẠI TỔNG HỢP WINCOMMERCE</v>
      </c>
      <c r="G2399" s="16"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c r="A2400" s="14" t="s">
        <v>2299</v>
      </c>
      <c r="B2400" s="15" t="s">
        <v>5</v>
      </c>
      <c r="C2400" s="10" t="s">
        <v>2300</v>
      </c>
      <c r="D2400" s="16" t="s">
        <v>7636</v>
      </c>
      <c r="E2400" s="15" t="s">
        <v>11198</v>
      </c>
      <c r="F2400" s="16" t="str">
        <f>VLOOKUP(Table8[[#This Row],[Mã khách hàng]],code_khach_hang[],2,0)</f>
        <v>CHI NHÁNH HẢI PHÒNG - CÔNG TY CỔ PHẦN DỊCH VỤ THƯƠNG MẠI TỔNG HỢP WINCOMMERCE</v>
      </c>
      <c r="G2400" s="16"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c r="A2401" s="14" t="s">
        <v>1751</v>
      </c>
      <c r="B2401" s="15" t="s">
        <v>5</v>
      </c>
      <c r="C2401" s="10" t="s">
        <v>1752</v>
      </c>
      <c r="D2401" s="16" t="s">
        <v>7639</v>
      </c>
      <c r="E2401" s="15" t="s">
        <v>11206</v>
      </c>
      <c r="F2401" s="16" t="str">
        <f>VLOOKUP(Table8[[#This Row],[Mã khách hàng]],code_khach_hang[],2,0)</f>
        <v>CHI NHÁNH SƠN LA - CÔNG TY CỔ PHẦN DỊCH VỤ THƯƠNG MẠI TỔNG HỢP WINCOMMERCE</v>
      </c>
      <c r="G2401" s="16"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c r="A2402" s="14" t="s">
        <v>2051</v>
      </c>
      <c r="B2402" s="15" t="s">
        <v>5</v>
      </c>
      <c r="C2402" s="10" t="s">
        <v>2052</v>
      </c>
      <c r="D2402" s="16" t="s">
        <v>7642</v>
      </c>
      <c r="E2402" s="15" t="s">
        <v>11199</v>
      </c>
      <c r="F2402" s="16" t="str">
        <f>VLOOKUP(Table8[[#This Row],[Mã khách hàng]],code_khach_hang[],2,0)</f>
        <v>CHI NHÁNH PHÚ THỌ - CÔNG TY CỔ PHẦN DỊCH VỤ THƯƠNG MẠI TỔNG HỢP WINCOMMERCE</v>
      </c>
      <c r="G2402" s="16"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c r="A2403" s="14" t="s">
        <v>2084</v>
      </c>
      <c r="B2403" s="15" t="s">
        <v>5</v>
      </c>
      <c r="C2403" s="10" t="s">
        <v>2085</v>
      </c>
      <c r="D2403" s="16" t="s">
        <v>7645</v>
      </c>
      <c r="E2403" s="15" t="s">
        <v>11199</v>
      </c>
      <c r="F2403" s="16" t="str">
        <f>VLOOKUP(Table8[[#This Row],[Mã khách hàng]],code_khach_hang[],2,0)</f>
        <v>CHI NHÁNH PHÚ THỌ - CÔNG TY CỔ PHẦN DỊCH VỤ THƯƠNG MẠI TỔNG HỢP WINCOMMERCE</v>
      </c>
      <c r="G2403" s="16"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c r="A2404" s="14" t="s">
        <v>2264</v>
      </c>
      <c r="B2404" s="15" t="s">
        <v>5</v>
      </c>
      <c r="C2404" s="10" t="s">
        <v>2265</v>
      </c>
      <c r="D2404" s="16" t="s">
        <v>7648</v>
      </c>
      <c r="E2404" s="15" t="s">
        <v>11199</v>
      </c>
      <c r="F2404" s="16" t="str">
        <f>VLOOKUP(Table8[[#This Row],[Mã khách hàng]],code_khach_hang[],2,0)</f>
        <v>CHI NHÁNH PHÚ THỌ - CÔNG TY CỔ PHẦN DỊCH VỤ THƯƠNG MẠI TỔNG HỢP WINCOMMERCE</v>
      </c>
      <c r="G2404" s="16"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c r="A2405" s="14" t="s">
        <v>2090</v>
      </c>
      <c r="B2405" s="15" t="s">
        <v>5</v>
      </c>
      <c r="C2405" s="10" t="s">
        <v>2091</v>
      </c>
      <c r="D2405" s="16" t="s">
        <v>7651</v>
      </c>
      <c r="E2405" s="15" t="s">
        <v>11198</v>
      </c>
      <c r="F2405" s="16" t="str">
        <f>VLOOKUP(Table8[[#This Row],[Mã khách hàng]],code_khach_hang[],2,0)</f>
        <v>CHI NHÁNH HẢI PHÒNG - CÔNG TY CỔ PHẦN DỊCH VỤ THƯƠNG MẠI TỔNG HỢP WINCOMMERCE</v>
      </c>
      <c r="G2405" s="16"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c r="A2406" s="14" t="s">
        <v>2185</v>
      </c>
      <c r="B2406" s="15" t="s">
        <v>5</v>
      </c>
      <c r="C2406" s="10" t="s">
        <v>2186</v>
      </c>
      <c r="D2406" s="16" t="s">
        <v>7654</v>
      </c>
      <c r="E2406" s="15" t="s">
        <v>11199</v>
      </c>
      <c r="F2406" s="16" t="str">
        <f>VLOOKUP(Table8[[#This Row],[Mã khách hàng]],code_khach_hang[],2,0)</f>
        <v>CHI NHÁNH PHÚ THỌ - CÔNG TY CỔ PHẦN DỊCH VỤ THƯƠNG MẠI TỔNG HỢP WINCOMMERCE</v>
      </c>
      <c r="G2406" s="16"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c r="A2407" s="14" t="s">
        <v>2193</v>
      </c>
      <c r="B2407" s="15" t="s">
        <v>5</v>
      </c>
      <c r="C2407" s="10" t="e">
        <v>#N/A</v>
      </c>
      <c r="D2407" s="16" t="s">
        <v>7657</v>
      </c>
      <c r="E2407" s="15" t="s">
        <v>11203</v>
      </c>
      <c r="F2407" s="16" t="str">
        <f>VLOOKUP(Table8[[#This Row],[Mã khách hàng]],code_khach_hang[],2,0)</f>
        <v>CHI NHÁNH THANH HÓA - CÔNG TY CỔ PHẦN DỊCH VỤ THƯƠNG MẠI TỔNG HỢP WINCOMMERCE</v>
      </c>
      <c r="G2407" s="16"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c r="A2408" s="14" t="s">
        <v>2226</v>
      </c>
      <c r="B2408" s="15" t="s">
        <v>5</v>
      </c>
      <c r="C2408" s="10" t="s">
        <v>2227</v>
      </c>
      <c r="D2408" s="16" t="s">
        <v>7660</v>
      </c>
      <c r="E2408" s="15" t="s">
        <v>11207</v>
      </c>
      <c r="F2408" s="16" t="str">
        <f>VLOOKUP(Table8[[#This Row],[Mã khách hàng]],code_khach_hang[],2,0)</f>
        <v>CHI NHÁNH THÁI NGUYÊN - CÔNG TY CỔ PHẦN DỊCH VỤ THƯƠNG MẠI TỔNG HỢP WINCOMMERCE</v>
      </c>
      <c r="G2408" s="16"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c r="A2409" s="14" t="s">
        <v>2305</v>
      </c>
      <c r="B2409" s="15" t="s">
        <v>5</v>
      </c>
      <c r="C2409" s="10" t="s">
        <v>2306</v>
      </c>
      <c r="D2409" s="16" t="s">
        <v>7663</v>
      </c>
      <c r="E2409" s="15" t="s">
        <v>11203</v>
      </c>
      <c r="F2409" s="16" t="str">
        <f>VLOOKUP(Table8[[#This Row],[Mã khách hàng]],code_khach_hang[],2,0)</f>
        <v>CHI NHÁNH THANH HÓA - CÔNG TY CỔ PHẦN DỊCH VỤ THƯƠNG MẠI TỔNG HỢP WINCOMMERCE</v>
      </c>
      <c r="G2409" s="16"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c r="A2410" s="14" t="s">
        <v>2308</v>
      </c>
      <c r="B2410" s="15" t="s">
        <v>5</v>
      </c>
      <c r="C2410" s="10" t="s">
        <v>2309</v>
      </c>
      <c r="D2410" s="16" t="s">
        <v>7666</v>
      </c>
      <c r="E2410" s="15" t="s">
        <v>11215</v>
      </c>
      <c r="F2410" s="16" t="str">
        <f>VLOOKUP(Table8[[#This Row],[Mã khách hàng]],code_khach_hang[],2,0)</f>
        <v>CHI NHÁNH HÀ NỘI - CÔNG TY CỔ PHẦN DỊCH VỤ THƯƠNG MẠI TỔNG HỢP WINCOMMERCE</v>
      </c>
      <c r="G2410" s="16"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c r="A2411" s="14" t="s">
        <v>2336</v>
      </c>
      <c r="B2411" s="15" t="s">
        <v>5</v>
      </c>
      <c r="C2411" s="10" t="e">
        <v>#N/A</v>
      </c>
      <c r="D2411" s="16" t="s">
        <v>7669</v>
      </c>
      <c r="E2411" s="15" t="s">
        <v>11203</v>
      </c>
      <c r="F2411" s="16" t="str">
        <f>VLOOKUP(Table8[[#This Row],[Mã khách hàng]],code_khach_hang[],2,0)</f>
        <v>CHI NHÁNH THANH HÓA - CÔNG TY CỔ PHẦN DỊCH VỤ THƯƠNG MẠI TỔNG HỢP WINCOMMERCE</v>
      </c>
      <c r="G2411" s="16"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c r="A2412" s="14" t="s">
        <v>2341</v>
      </c>
      <c r="B2412" s="15" t="s">
        <v>5</v>
      </c>
      <c r="C2412" s="10" t="s">
        <v>2342</v>
      </c>
      <c r="D2412" s="16" t="s">
        <v>7672</v>
      </c>
      <c r="E2412" s="15" t="s">
        <v>11215</v>
      </c>
      <c r="F2412" s="16" t="str">
        <f>VLOOKUP(Table8[[#This Row],[Mã khách hàng]],code_khach_hang[],2,0)</f>
        <v>CHI NHÁNH HÀ NỘI - CÔNG TY CỔ PHẦN DỊCH VỤ THƯƠNG MẠI TỔNG HỢP WINCOMMERCE</v>
      </c>
      <c r="G2412" s="16"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c r="A2413" s="14" t="s">
        <v>2216</v>
      </c>
      <c r="B2413" s="15" t="s">
        <v>5</v>
      </c>
      <c r="C2413" s="10" t="e">
        <v>#N/A</v>
      </c>
      <c r="D2413" s="16" t="s">
        <v>7675</v>
      </c>
      <c r="E2413" s="15" t="s">
        <v>11203</v>
      </c>
      <c r="F2413" s="16" t="str">
        <f>VLOOKUP(Table8[[#This Row],[Mã khách hàng]],code_khach_hang[],2,0)</f>
        <v>CHI NHÁNH THANH HÓA - CÔNG TY CỔ PHẦN DỊCH VỤ THƯƠNG MẠI TỔNG HỢP WINCOMMERCE</v>
      </c>
      <c r="G2413" s="16"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c r="A2414" s="14" t="s">
        <v>1948</v>
      </c>
      <c r="B2414" s="15" t="s">
        <v>5</v>
      </c>
      <c r="C2414" s="10" t="s">
        <v>1949</v>
      </c>
      <c r="D2414" s="16" t="s">
        <v>7678</v>
      </c>
      <c r="E2414" s="15" t="s">
        <v>11200</v>
      </c>
      <c r="F2414" s="16" t="str">
        <f>VLOOKUP(Table8[[#This Row],[Mã khách hàng]],code_khach_hang[],2,0)</f>
        <v>CHI NHÁNH THÁI BÌNH - CÔNG TY CỔ PHẦN DỊCH VỤ THƯƠNG MẠI TỔNG HỢP WINCOMMERCE</v>
      </c>
      <c r="G2414" s="16"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c r="A2415" s="14" t="s">
        <v>2087</v>
      </c>
      <c r="B2415" s="15" t="s">
        <v>5</v>
      </c>
      <c r="C2415" s="10" t="s">
        <v>2088</v>
      </c>
      <c r="D2415" s="16" t="s">
        <v>7681</v>
      </c>
      <c r="E2415" s="15" t="s">
        <v>11211</v>
      </c>
      <c r="F2415" s="16" t="str">
        <f>VLOOKUP(Table8[[#This Row],[Mã khách hàng]],code_khach_hang[],2,0)</f>
        <v>CHI NHÁNH NGHỆ AN - CÔNG TY CỔ PHẦN DỊCH VỤ THƯƠNG MẠI TỔNG HỢP WINCOMMERCE</v>
      </c>
      <c r="G2415" s="16"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c r="A2416" s="14" t="s">
        <v>2258</v>
      </c>
      <c r="B2416" s="15" t="s">
        <v>5</v>
      </c>
      <c r="C2416" s="10" t="s">
        <v>2259</v>
      </c>
      <c r="D2416" s="16" t="s">
        <v>7684</v>
      </c>
      <c r="E2416" s="15" t="s">
        <v>11203</v>
      </c>
      <c r="F2416" s="16" t="str">
        <f>VLOOKUP(Table8[[#This Row],[Mã khách hàng]],code_khach_hang[],2,0)</f>
        <v>CHI NHÁNH THANH HÓA - CÔNG TY CỔ PHẦN DỊCH VỤ THƯƠNG MẠI TỔNG HỢP WINCOMMERCE</v>
      </c>
      <c r="G2416" s="16"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c r="A2417" s="14" t="s">
        <v>2270</v>
      </c>
      <c r="B2417" s="15" t="s">
        <v>5</v>
      </c>
      <c r="C2417" s="10" t="e">
        <v>#N/A</v>
      </c>
      <c r="D2417" s="16" t="s">
        <v>7687</v>
      </c>
      <c r="E2417" s="15" t="s">
        <v>11203</v>
      </c>
      <c r="F2417" s="16" t="str">
        <f>VLOOKUP(Table8[[#This Row],[Mã khách hàng]],code_khach_hang[],2,0)</f>
        <v>CHI NHÁNH THANH HÓA - CÔNG TY CỔ PHẦN DỊCH VỤ THƯƠNG MẠI TỔNG HỢP WINCOMMERCE</v>
      </c>
      <c r="G2417" s="16"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c r="A2418" s="14" t="s">
        <v>2284</v>
      </c>
      <c r="B2418" s="15" t="s">
        <v>5</v>
      </c>
      <c r="C2418" s="10" t="s">
        <v>2285</v>
      </c>
      <c r="D2418" s="16" t="s">
        <v>7690</v>
      </c>
      <c r="E2418" s="15" t="s">
        <v>11199</v>
      </c>
      <c r="F2418" s="16" t="str">
        <f>VLOOKUP(Table8[[#This Row],[Mã khách hàng]],code_khach_hang[],2,0)</f>
        <v>CHI NHÁNH PHÚ THỌ - CÔNG TY CỔ PHẦN DỊCH VỤ THƯƠNG MẠI TỔNG HỢP WINCOMMERCE</v>
      </c>
      <c r="G2418" s="16"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c r="A2419" s="14" t="s">
        <v>2317</v>
      </c>
      <c r="B2419" s="15" t="s">
        <v>5</v>
      </c>
      <c r="C2419" s="10" t="s">
        <v>2318</v>
      </c>
      <c r="D2419" s="16" t="s">
        <v>7693</v>
      </c>
      <c r="E2419" s="15" t="s">
        <v>11217</v>
      </c>
      <c r="F2419" s="16" t="str">
        <f>VLOOKUP(Table8[[#This Row],[Mã khách hàng]],code_khach_hang[],2,0)</f>
        <v>CHI NHÁNH BẮC GIANG - CÔNG TY CỔ PHẦN DỊCH VỤ THƯƠNG MẠI TỔNG HỢP WINCOMMERCE</v>
      </c>
      <c r="G2419" s="16"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c r="A2420" s="14" t="s">
        <v>2320</v>
      </c>
      <c r="B2420" s="15" t="s">
        <v>5</v>
      </c>
      <c r="C2420" s="10" t="s">
        <v>2321</v>
      </c>
      <c r="D2420" s="16" t="s">
        <v>7696</v>
      </c>
      <c r="E2420" s="15" t="s">
        <v>11215</v>
      </c>
      <c r="F2420" s="16" t="str">
        <f>VLOOKUP(Table8[[#This Row],[Mã khách hàng]],code_khach_hang[],2,0)</f>
        <v>CHI NHÁNH HÀ NỘI - CÔNG TY CỔ PHẦN DỊCH VỤ THƯƠNG MẠI TỔNG HỢP WINCOMMERCE</v>
      </c>
      <c r="G2420" s="16"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c r="A2421" s="14" t="s">
        <v>2347</v>
      </c>
      <c r="B2421" s="15" t="s">
        <v>5</v>
      </c>
      <c r="C2421" s="10" t="s">
        <v>2348</v>
      </c>
      <c r="D2421" s="16" t="s">
        <v>7699</v>
      </c>
      <c r="E2421" s="15" t="s">
        <v>11215</v>
      </c>
      <c r="F2421" s="16" t="str">
        <f>VLOOKUP(Table8[[#This Row],[Mã khách hàng]],code_khach_hang[],2,0)</f>
        <v>CHI NHÁNH HÀ NỘI - CÔNG TY CỔ PHẦN DỊCH VỤ THƯƠNG MẠI TỔNG HỢP WINCOMMERCE</v>
      </c>
      <c r="G2421" s="16"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c r="A2422" s="14" t="s">
        <v>2350</v>
      </c>
      <c r="B2422" s="15" t="s">
        <v>5</v>
      </c>
      <c r="C2422" s="10" t="e">
        <v>#N/A</v>
      </c>
      <c r="D2422" s="16" t="s">
        <v>7702</v>
      </c>
      <c r="E2422" s="15" t="s">
        <v>11203</v>
      </c>
      <c r="F2422" s="16" t="str">
        <f>VLOOKUP(Table8[[#This Row],[Mã khách hàng]],code_khach_hang[],2,0)</f>
        <v>CHI NHÁNH THANH HÓA - CÔNG TY CỔ PHẦN DỊCH VỤ THƯƠNG MẠI TỔNG HỢP WINCOMMERCE</v>
      </c>
      <c r="G2422" s="16"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c r="A2423" s="14" t="s">
        <v>2352</v>
      </c>
      <c r="B2423" s="15" t="s">
        <v>5</v>
      </c>
      <c r="C2423" s="10" t="s">
        <v>2353</v>
      </c>
      <c r="D2423" s="16" t="s">
        <v>7705</v>
      </c>
      <c r="E2423" s="15" t="s">
        <v>11215</v>
      </c>
      <c r="F2423" s="16" t="str">
        <f>VLOOKUP(Table8[[#This Row],[Mã khách hàng]],code_khach_hang[],2,0)</f>
        <v>CHI NHÁNH HÀ NỘI - CÔNG TY CỔ PHẦN DỊCH VỤ THƯƠNG MẠI TỔNG HỢP WINCOMMERCE</v>
      </c>
      <c r="G2423" s="16"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c r="A2424" s="14" t="s">
        <v>2355</v>
      </c>
      <c r="B2424" s="15" t="s">
        <v>5</v>
      </c>
      <c r="C2424" s="10" t="s">
        <v>2356</v>
      </c>
      <c r="D2424" s="16" t="s">
        <v>7708</v>
      </c>
      <c r="E2424" s="15" t="s">
        <v>11215</v>
      </c>
      <c r="F2424" s="16" t="str">
        <f>VLOOKUP(Table8[[#This Row],[Mã khách hàng]],code_khach_hang[],2,0)</f>
        <v>CHI NHÁNH HÀ NỘI - CÔNG TY CỔ PHẦN DỊCH VỤ THƯƠNG MẠI TỔNG HỢP WINCOMMERCE</v>
      </c>
      <c r="G2424" s="16"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c r="A2425" s="14" t="s">
        <v>2358</v>
      </c>
      <c r="B2425" s="15" t="s">
        <v>5</v>
      </c>
      <c r="C2425" s="10" t="s">
        <v>2359</v>
      </c>
      <c r="D2425" s="16" t="s">
        <v>7711</v>
      </c>
      <c r="E2425" s="15" t="s">
        <v>11215</v>
      </c>
      <c r="F2425" s="16" t="str">
        <f>VLOOKUP(Table8[[#This Row],[Mã khách hàng]],code_khach_hang[],2,0)</f>
        <v>CHI NHÁNH HÀ NỘI - CÔNG TY CỔ PHẦN DỊCH VỤ THƯƠNG MẠI TỔNG HỢP WINCOMMERCE</v>
      </c>
      <c r="G2425" s="16"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c r="A2426" s="14" t="s">
        <v>2394</v>
      </c>
      <c r="B2426" s="15" t="s">
        <v>5</v>
      </c>
      <c r="C2426" s="10" t="s">
        <v>2395</v>
      </c>
      <c r="D2426" s="16" t="s">
        <v>7714</v>
      </c>
      <c r="E2426" s="15" t="s">
        <v>11215</v>
      </c>
      <c r="F2426" s="16" t="str">
        <f>VLOOKUP(Table8[[#This Row],[Mã khách hàng]],code_khach_hang[],2,0)</f>
        <v>CHI NHÁNH HÀ NỘI - CÔNG TY CỔ PHẦN DỊCH VỤ THƯƠNG MẠI TỔNG HỢP WINCOMMERCE</v>
      </c>
      <c r="G2426" s="16"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c r="A2427" s="14" t="s">
        <v>2281</v>
      </c>
      <c r="B2427" s="15" t="s">
        <v>5</v>
      </c>
      <c r="C2427" s="10" t="s">
        <v>2282</v>
      </c>
      <c r="D2427" s="16" t="s">
        <v>7717</v>
      </c>
      <c r="E2427" s="15" t="s">
        <v>11211</v>
      </c>
      <c r="F2427" s="16" t="str">
        <f>VLOOKUP(Table8[[#This Row],[Mã khách hàng]],code_khach_hang[],2,0)</f>
        <v>CHI NHÁNH NGHỆ AN - CÔNG TY CỔ PHẦN DỊCH VỤ THƯƠNG MẠI TỔNG HỢP WINCOMMERCE</v>
      </c>
      <c r="G2427" s="16"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c r="A2428" s="14" t="s">
        <v>2442</v>
      </c>
      <c r="B2428" s="15" t="s">
        <v>5</v>
      </c>
      <c r="C2428" s="10" t="s">
        <v>2443</v>
      </c>
      <c r="D2428" s="16" t="s">
        <v>7720</v>
      </c>
      <c r="E2428" s="15" t="s">
        <v>11204</v>
      </c>
      <c r="F2428" s="16" t="str">
        <f>VLOOKUP(Table8[[#This Row],[Mã khách hàng]],code_khach_hang[],2,0)</f>
        <v>CHI NHÁNH TUYÊN QUANG - CÔNG TY CỔ PHẦN DỊCH VỤ THƯƠNG MẠI TỔNG HỢP WINCOMMERCE</v>
      </c>
      <c r="G2428" s="16"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c r="A2429" s="14" t="s">
        <v>2323</v>
      </c>
      <c r="B2429" s="15" t="s">
        <v>5</v>
      </c>
      <c r="C2429" s="10" t="s">
        <v>2324</v>
      </c>
      <c r="D2429" s="16" t="s">
        <v>7723</v>
      </c>
      <c r="E2429" s="15" t="s">
        <v>11215</v>
      </c>
      <c r="F2429" s="16" t="str">
        <f>VLOOKUP(Table8[[#This Row],[Mã khách hàng]],code_khach_hang[],2,0)</f>
        <v>CHI NHÁNH HÀ NỘI - CÔNG TY CỔ PHẦN DỊCH VỤ THƯƠNG MẠI TỔNG HỢP WINCOMMERCE</v>
      </c>
      <c r="G2429" s="16"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c r="A2430" s="14" t="s">
        <v>2326</v>
      </c>
      <c r="B2430" s="15" t="s">
        <v>5</v>
      </c>
      <c r="C2430" s="10" t="s">
        <v>2327</v>
      </c>
      <c r="D2430" s="16" t="s">
        <v>7726</v>
      </c>
      <c r="E2430" s="15" t="s">
        <v>11215</v>
      </c>
      <c r="F2430" s="16" t="str">
        <f>VLOOKUP(Table8[[#This Row],[Mã khách hàng]],code_khach_hang[],2,0)</f>
        <v>CHI NHÁNH HÀ NỘI - CÔNG TY CỔ PHẦN DỊCH VỤ THƯƠNG MẠI TỔNG HỢP WINCOMMERCE</v>
      </c>
      <c r="G2430" s="16"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c r="A2431" s="14" t="s">
        <v>2373</v>
      </c>
      <c r="B2431" s="15" t="s">
        <v>5</v>
      </c>
      <c r="C2431" s="10" t="s">
        <v>2374</v>
      </c>
      <c r="D2431" s="16" t="s">
        <v>7729</v>
      </c>
      <c r="E2431" s="15" t="s">
        <v>11215</v>
      </c>
      <c r="F2431" s="16" t="str">
        <f>VLOOKUP(Table8[[#This Row],[Mã khách hàng]],code_khach_hang[],2,0)</f>
        <v>CHI NHÁNH HÀ NỘI - CÔNG TY CỔ PHẦN DỊCH VỤ THƯƠNG MẠI TỔNG HỢP WINCOMMERCE</v>
      </c>
      <c r="G2431" s="16"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c r="A2432" s="14" t="s">
        <v>2379</v>
      </c>
      <c r="B2432" s="15" t="s">
        <v>5</v>
      </c>
      <c r="C2432" s="10" t="s">
        <v>2380</v>
      </c>
      <c r="D2432" s="16" t="s">
        <v>7732</v>
      </c>
      <c r="E2432" s="15" t="s">
        <v>11215</v>
      </c>
      <c r="F2432" s="16" t="str">
        <f>VLOOKUP(Table8[[#This Row],[Mã khách hàng]],code_khach_hang[],2,0)</f>
        <v>CHI NHÁNH HÀ NỘI - CÔNG TY CỔ PHẦN DỊCH VỤ THƯƠNG MẠI TỔNG HỢP WINCOMMERCE</v>
      </c>
      <c r="G2432" s="16"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c r="A2433" s="14" t="s">
        <v>2382</v>
      </c>
      <c r="B2433" s="15" t="s">
        <v>5</v>
      </c>
      <c r="C2433" s="10" t="s">
        <v>2383</v>
      </c>
      <c r="D2433" s="16" t="s">
        <v>7735</v>
      </c>
      <c r="E2433" s="15" t="s">
        <v>11217</v>
      </c>
      <c r="F2433" s="16" t="str">
        <f>VLOOKUP(Table8[[#This Row],[Mã khách hàng]],code_khach_hang[],2,0)</f>
        <v>CHI NHÁNH BẮC GIANG - CÔNG TY CỔ PHẦN DỊCH VỤ THƯƠNG MẠI TỔNG HỢP WINCOMMERCE</v>
      </c>
      <c r="G2433" s="16"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c r="A2434" s="14" t="s">
        <v>2436</v>
      </c>
      <c r="B2434" s="15" t="s">
        <v>5</v>
      </c>
      <c r="C2434" s="10" t="s">
        <v>2437</v>
      </c>
      <c r="D2434" s="16" t="s">
        <v>7738</v>
      </c>
      <c r="E2434" s="15" t="s">
        <v>11209</v>
      </c>
      <c r="F2434" s="16" t="str">
        <f>VLOOKUP(Table8[[#This Row],[Mã khách hàng]],code_khach_hang[],2,0)</f>
        <v>CHI NHÁNH QUẢNG BÌNH - CÔNG TY CỔ PHẦN DỊCH VỤ THƯƠNG MẠI TỔNG HỢP WINCOMMERCE</v>
      </c>
      <c r="G2434" s="16"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c r="A2435" s="14" t="s">
        <v>2302</v>
      </c>
      <c r="B2435" s="15" t="s">
        <v>5</v>
      </c>
      <c r="C2435" s="10" t="s">
        <v>2303</v>
      </c>
      <c r="D2435" s="16" t="s">
        <v>7741</v>
      </c>
      <c r="E2435" s="15" t="s">
        <v>11215</v>
      </c>
      <c r="F2435" s="16" t="str">
        <f>VLOOKUP(Table8[[#This Row],[Mã khách hàng]],code_khach_hang[],2,0)</f>
        <v>CHI NHÁNH HÀ NỘI - CÔNG TY CỔ PHẦN DỊCH VỤ THƯƠNG MẠI TỔNG HỢP WINCOMMERCE</v>
      </c>
      <c r="G2435" s="16"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c r="A2436" s="14" t="s">
        <v>2455</v>
      </c>
      <c r="B2436" s="15" t="s">
        <v>5</v>
      </c>
      <c r="C2436" s="10" t="s">
        <v>2456</v>
      </c>
      <c r="D2436" s="16" t="s">
        <v>7744</v>
      </c>
      <c r="E2436" s="15" t="s">
        <v>11215</v>
      </c>
      <c r="F2436" s="16" t="str">
        <f>VLOOKUP(Table8[[#This Row],[Mã khách hàng]],code_khach_hang[],2,0)</f>
        <v>CHI NHÁNH HÀ NỘI - CÔNG TY CỔ PHẦN DỊCH VỤ THƯƠNG MẠI TỔNG HỢP WINCOMMERCE</v>
      </c>
      <c r="G2436" s="16"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c r="A2437" s="14" t="s">
        <v>2483</v>
      </c>
      <c r="B2437" s="15" t="s">
        <v>5</v>
      </c>
      <c r="C2437" s="10" t="s">
        <v>2484</v>
      </c>
      <c r="D2437" s="16" t="s">
        <v>7747</v>
      </c>
      <c r="E2437" s="15" t="s">
        <v>11215</v>
      </c>
      <c r="F2437" s="16" t="str">
        <f>VLOOKUP(Table8[[#This Row],[Mã khách hàng]],code_khach_hang[],2,0)</f>
        <v>CHI NHÁNH HÀ NỘI - CÔNG TY CỔ PHẦN DỊCH VỤ THƯƠNG MẠI TỔNG HỢP WINCOMMERCE</v>
      </c>
      <c r="G2437" s="16"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c r="A2438" s="14" t="s">
        <v>2344</v>
      </c>
      <c r="B2438" s="15" t="s">
        <v>5</v>
      </c>
      <c r="C2438" s="10" t="s">
        <v>2345</v>
      </c>
      <c r="D2438" s="16" t="s">
        <v>7750</v>
      </c>
      <c r="E2438" s="15" t="s">
        <v>11215</v>
      </c>
      <c r="F2438" s="16" t="str">
        <f>VLOOKUP(Table8[[#This Row],[Mã khách hàng]],code_khach_hang[],2,0)</f>
        <v>CHI NHÁNH HÀ NỘI - CÔNG TY CỔ PHẦN DỊCH VỤ THƯƠNG MẠI TỔNG HỢP WINCOMMERCE</v>
      </c>
      <c r="G2438" s="16"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c r="A2439" s="14" t="s">
        <v>2493</v>
      </c>
      <c r="B2439" s="15" t="s">
        <v>5</v>
      </c>
      <c r="C2439" s="10" t="e">
        <v>#N/A</v>
      </c>
      <c r="D2439" s="16" t="s">
        <v>7753</v>
      </c>
      <c r="E2439" s="15" t="s">
        <v>11211</v>
      </c>
      <c r="F2439" s="16" t="str">
        <f>VLOOKUP(Table8[[#This Row],[Mã khách hàng]],code_khach_hang[],2,0)</f>
        <v>CHI NHÁNH NGHỆ AN - CÔNG TY CỔ PHẦN DỊCH VỤ THƯƠNG MẠI TỔNG HỢP WINCOMMERCE</v>
      </c>
      <c r="G2439" s="16"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c r="A2440" s="14" t="s">
        <v>2501</v>
      </c>
      <c r="B2440" s="15" t="s">
        <v>5</v>
      </c>
      <c r="C2440" s="10" t="s">
        <v>2502</v>
      </c>
      <c r="D2440" s="16" t="s">
        <v>7756</v>
      </c>
      <c r="E2440" s="15" t="s">
        <v>11215</v>
      </c>
      <c r="F2440" s="16" t="str">
        <f>VLOOKUP(Table8[[#This Row],[Mã khách hàng]],code_khach_hang[],2,0)</f>
        <v>CHI NHÁNH HÀ NỘI - CÔNG TY CỔ PHẦN DỊCH VỤ THƯƠNG MẠI TỔNG HỢP WINCOMMERCE</v>
      </c>
      <c r="G2440" s="16"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c r="A2441" s="14" t="s">
        <v>2364</v>
      </c>
      <c r="B2441" s="15" t="s">
        <v>5</v>
      </c>
      <c r="C2441" s="10" t="s">
        <v>2365</v>
      </c>
      <c r="D2441" s="16" t="s">
        <v>7758</v>
      </c>
      <c r="E2441" s="15" t="s">
        <v>11203</v>
      </c>
      <c r="F2441" s="16" t="str">
        <f>VLOOKUP(Table8[[#This Row],[Mã khách hàng]],code_khach_hang[],2,0)</f>
        <v>CHI NHÁNH THANH HÓA - CÔNG TY CỔ PHẦN DỊCH VỤ THƯƠNG MẠI TỔNG HỢP WINCOMMERCE</v>
      </c>
      <c r="G2441" s="16"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c r="A2442" s="14" t="s">
        <v>2504</v>
      </c>
      <c r="B2442" s="15" t="s">
        <v>5</v>
      </c>
      <c r="C2442" s="10" t="s">
        <v>2505</v>
      </c>
      <c r="D2442" s="16" t="s">
        <v>7761</v>
      </c>
      <c r="E2442" s="15" t="s">
        <v>11215</v>
      </c>
      <c r="F2442" s="16" t="str">
        <f>VLOOKUP(Table8[[#This Row],[Mã khách hàng]],code_khach_hang[],2,0)</f>
        <v>CHI NHÁNH HÀ NỘI - CÔNG TY CỔ PHẦN DỊCH VỤ THƯƠNG MẠI TỔNG HỢP WINCOMMERCE</v>
      </c>
      <c r="G2442" s="16"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c r="A2443" s="14" t="s">
        <v>2370</v>
      </c>
      <c r="B2443" s="15" t="s">
        <v>5</v>
      </c>
      <c r="C2443" s="10" t="s">
        <v>2371</v>
      </c>
      <c r="D2443" s="16" t="s">
        <v>7764</v>
      </c>
      <c r="E2443" s="15" t="s">
        <v>11215</v>
      </c>
      <c r="F2443" s="16" t="str">
        <f>VLOOKUP(Table8[[#This Row],[Mã khách hàng]],code_khach_hang[],2,0)</f>
        <v>CHI NHÁNH HÀ NỘI - CÔNG TY CỔ PHẦN DỊCH VỤ THƯƠNG MẠI TỔNG HỢP WINCOMMERCE</v>
      </c>
      <c r="G2443" s="16"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c r="A2444" s="14" t="s">
        <v>2512</v>
      </c>
      <c r="B2444" s="15" t="s">
        <v>5</v>
      </c>
      <c r="C2444" s="10" t="s">
        <v>2513</v>
      </c>
      <c r="D2444" s="16" t="s">
        <v>7767</v>
      </c>
      <c r="E2444" s="15" t="s">
        <v>11215</v>
      </c>
      <c r="F2444" s="16" t="str">
        <f>VLOOKUP(Table8[[#This Row],[Mã khách hàng]],code_khach_hang[],2,0)</f>
        <v>CHI NHÁNH HÀ NỘI - CÔNG TY CỔ PHẦN DỊCH VỤ THƯƠNG MẠI TỔNG HỢP WINCOMMERCE</v>
      </c>
      <c r="G2444" s="16"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c r="A2445" s="14" t="s">
        <v>2515</v>
      </c>
      <c r="B2445" s="15" t="s">
        <v>5</v>
      </c>
      <c r="C2445" s="10" t="s">
        <v>2516</v>
      </c>
      <c r="D2445" s="16" t="s">
        <v>7770</v>
      </c>
      <c r="E2445" s="15" t="s">
        <v>11209</v>
      </c>
      <c r="F2445" s="16" t="str">
        <f>VLOOKUP(Table8[[#This Row],[Mã khách hàng]],code_khach_hang[],2,0)</f>
        <v>CHI NHÁNH QUẢNG BÌNH - CÔNG TY CỔ PHẦN DỊCH VỤ THƯƠNG MẠI TỔNG HỢP WINCOMMERCE</v>
      </c>
      <c r="G2445" s="16"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c r="A2446" s="14" t="s">
        <v>2415</v>
      </c>
      <c r="B2446" s="15" t="s">
        <v>5</v>
      </c>
      <c r="C2446" s="10" t="s">
        <v>2416</v>
      </c>
      <c r="D2446" s="16" t="s">
        <v>7773</v>
      </c>
      <c r="E2446" s="15" t="s">
        <v>11215</v>
      </c>
      <c r="F2446" s="16" t="str">
        <f>VLOOKUP(Table8[[#This Row],[Mã khách hàng]],code_khach_hang[],2,0)</f>
        <v>CHI NHÁNH HÀ NỘI - CÔNG TY CỔ PHẦN DỊCH VỤ THƯƠNG MẠI TỔNG HỢP WINCOMMERCE</v>
      </c>
      <c r="G2446" s="16"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c r="A2447" s="14" t="s">
        <v>2418</v>
      </c>
      <c r="B2447" s="15" t="s">
        <v>5</v>
      </c>
      <c r="C2447" s="10" t="s">
        <v>2419</v>
      </c>
      <c r="D2447" s="16" t="s">
        <v>7776</v>
      </c>
      <c r="E2447" s="15" t="s">
        <v>11216</v>
      </c>
      <c r="F2447" s="16" t="str">
        <f>VLOOKUP(Table8[[#This Row],[Mã khách hàng]],code_khach_hang[],2,0)</f>
        <v>CHI NHÁNH HƯNG YÊN - CÔNG TY CỔ PHẦN DỊCH VỤ THƯƠNG MẠI TỔNG HỢP WINCOMMERCE</v>
      </c>
      <c r="G2447" s="16"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c r="A2448" s="14" t="s">
        <v>2533</v>
      </c>
      <c r="B2448" s="15" t="s">
        <v>5</v>
      </c>
      <c r="C2448" s="10" t="s">
        <v>2534</v>
      </c>
      <c r="D2448" s="16" t="s">
        <v>7779</v>
      </c>
      <c r="E2448" s="15" t="s">
        <v>11217</v>
      </c>
      <c r="F2448" s="16" t="str">
        <f>VLOOKUP(Table8[[#This Row],[Mã khách hàng]],code_khach_hang[],2,0)</f>
        <v>CHI NHÁNH BẮC GIANG - CÔNG TY CỔ PHẦN DỊCH VỤ THƯƠNG MẠI TỔNG HỢP WINCOMMERCE</v>
      </c>
      <c r="G2448" s="16"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c r="A2449" s="14" t="s">
        <v>2421</v>
      </c>
      <c r="B2449" s="15" t="s">
        <v>5</v>
      </c>
      <c r="C2449" s="10" t="s">
        <v>2422</v>
      </c>
      <c r="D2449" s="16" t="s">
        <v>7782</v>
      </c>
      <c r="E2449" s="15" t="s">
        <v>11199</v>
      </c>
      <c r="F2449" s="16" t="str">
        <f>VLOOKUP(Table8[[#This Row],[Mã khách hàng]],code_khach_hang[],2,0)</f>
        <v>CHI NHÁNH PHÚ THỌ - CÔNG TY CỔ PHẦN DỊCH VỤ THƯƠNG MẠI TỔNG HỢP WINCOMMERCE</v>
      </c>
      <c r="G2449" s="16"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c r="A2450" s="14" t="s">
        <v>2557</v>
      </c>
      <c r="B2450" s="15" t="s">
        <v>5</v>
      </c>
      <c r="C2450" s="10" t="s">
        <v>2558</v>
      </c>
      <c r="D2450" s="16" t="s">
        <v>7785</v>
      </c>
      <c r="E2450" s="15" t="s">
        <v>11197</v>
      </c>
      <c r="F2450" s="16" t="str">
        <f>VLOOKUP(Table8[[#This Row],[Mã khách hàng]],code_khach_hang[],2,0)</f>
        <v>CHI NHÁNH QUẢNG NINH - CÔNG TY CỔ PHẦN DỊCH VỤ THƯƠNG MẠI TỔNG HỢP WINCOMMERCE</v>
      </c>
      <c r="G2450" s="16"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c r="A2451" s="14" t="s">
        <v>2430</v>
      </c>
      <c r="B2451" s="15" t="s">
        <v>5</v>
      </c>
      <c r="C2451" s="10" t="s">
        <v>2431</v>
      </c>
      <c r="D2451" s="16" t="s">
        <v>7788</v>
      </c>
      <c r="E2451" s="15" t="s">
        <v>11211</v>
      </c>
      <c r="F2451" s="16" t="str">
        <f>VLOOKUP(Table8[[#This Row],[Mã khách hàng]],code_khach_hang[],2,0)</f>
        <v>CHI NHÁNH NGHỆ AN - CÔNG TY CỔ PHẦN DỊCH VỤ THƯƠNG MẠI TỔNG HỢP WINCOMMERCE</v>
      </c>
      <c r="G2451" s="16"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c r="A2452" s="14" t="s">
        <v>2111</v>
      </c>
      <c r="B2452" s="15" t="s">
        <v>5</v>
      </c>
      <c r="C2452" s="10" t="s">
        <v>2112</v>
      </c>
      <c r="D2452" s="16" t="s">
        <v>7791</v>
      </c>
      <c r="E2452" s="15" t="s">
        <v>11215</v>
      </c>
      <c r="F2452" s="16" t="str">
        <f>VLOOKUP(Table8[[#This Row],[Mã khách hàng]],code_khach_hang[],2,0)</f>
        <v>CHI NHÁNH HÀ NỘI - CÔNG TY CỔ PHẦN DỊCH VỤ THƯƠNG MẠI TỔNG HỢP WINCOMMERCE</v>
      </c>
      <c r="G2452" s="16"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c r="A2453" s="14" t="s">
        <v>2314</v>
      </c>
      <c r="B2453" s="15" t="s">
        <v>5</v>
      </c>
      <c r="C2453" s="10" t="s">
        <v>2315</v>
      </c>
      <c r="D2453" s="16" t="s">
        <v>7794</v>
      </c>
      <c r="E2453" s="15" t="s">
        <v>11193</v>
      </c>
      <c r="F2453" s="16" t="str">
        <f>VLOOKUP(Table8[[#This Row],[Mã khách hàng]],code_khach_hang[],2,0)</f>
        <v>CHI NHÁNH BẮC NINH - CÔNG TY CỔ PHẦN DỊCH VỤ THƯƠNG MẠI TỔNG HỢP WINCOMMERCE</v>
      </c>
      <c r="G2453" s="16"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c r="A2454" s="14" t="s">
        <v>2261</v>
      </c>
      <c r="B2454" s="15" t="s">
        <v>5</v>
      </c>
      <c r="C2454" s="10" t="s">
        <v>2262</v>
      </c>
      <c r="D2454" s="16" t="s">
        <v>7797</v>
      </c>
      <c r="E2454" s="15" t="s">
        <v>11201</v>
      </c>
      <c r="F2454" s="16" t="str">
        <f>VLOOKUP(Table8[[#This Row],[Mã khách hàng]],code_khach_hang[],2,0)</f>
        <v>CHI NHÁNH HẢI DƯƠNG - CÔNG TY CỔ PHẦN DỊCH VỤ THƯƠNG MẠI TỔNG HỢP WINCOMMERCE</v>
      </c>
      <c r="G2454" s="16"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c r="A2455" s="14" t="s">
        <v>2252</v>
      </c>
      <c r="B2455" s="15" t="s">
        <v>5</v>
      </c>
      <c r="C2455" s="10" t="s">
        <v>2253</v>
      </c>
      <c r="D2455" s="16" t="s">
        <v>7800</v>
      </c>
      <c r="E2455" s="15" t="s">
        <v>11198</v>
      </c>
      <c r="F2455" s="16" t="str">
        <f>VLOOKUP(Table8[[#This Row],[Mã khách hàng]],code_khach_hang[],2,0)</f>
        <v>CHI NHÁNH HẢI PHÒNG - CÔNG TY CỔ PHẦN DỊCH VỤ THƯƠNG MẠI TỔNG HỢP WINCOMMERCE</v>
      </c>
      <c r="G2455" s="16"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c r="A2456" s="14" t="s">
        <v>2449</v>
      </c>
      <c r="B2456" s="15" t="s">
        <v>5</v>
      </c>
      <c r="C2456" s="10" t="s">
        <v>2450</v>
      </c>
      <c r="D2456" s="16" t="s">
        <v>7803</v>
      </c>
      <c r="E2456" s="15" t="s">
        <v>11215</v>
      </c>
      <c r="F2456" s="16" t="str">
        <f>VLOOKUP(Table8[[#This Row],[Mã khách hàng]],code_khach_hang[],2,0)</f>
        <v>CHI NHÁNH HÀ NỘI - CÔNG TY CỔ PHẦN DỊCH VỤ THƯƠNG MẠI TỔNG HỢP WINCOMMERCE</v>
      </c>
      <c r="G2456" s="16"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c r="A2457" s="14" t="s">
        <v>2530</v>
      </c>
      <c r="B2457" s="15" t="s">
        <v>5</v>
      </c>
      <c r="C2457" s="10" t="s">
        <v>2531</v>
      </c>
      <c r="D2457" s="16" t="s">
        <v>7806</v>
      </c>
      <c r="E2457" s="15" t="s">
        <v>11215</v>
      </c>
      <c r="F2457" s="16" t="str">
        <f>VLOOKUP(Table8[[#This Row],[Mã khách hàng]],code_khach_hang[],2,0)</f>
        <v>CHI NHÁNH HÀ NỘI - CÔNG TY CỔ PHẦN DỊCH VỤ THƯƠNG MẠI TỔNG HỢP WINCOMMERCE</v>
      </c>
      <c r="G2457" s="16"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c r="A2458" s="14" t="s">
        <v>2563</v>
      </c>
      <c r="B2458" s="15" t="s">
        <v>5</v>
      </c>
      <c r="C2458" s="10" t="s">
        <v>2564</v>
      </c>
      <c r="D2458" s="16" t="s">
        <v>7809</v>
      </c>
      <c r="E2458" s="15" t="s">
        <v>11215</v>
      </c>
      <c r="F2458" s="16" t="str">
        <f>VLOOKUP(Table8[[#This Row],[Mã khách hàng]],code_khach_hang[],2,0)</f>
        <v>CHI NHÁNH HÀ NỘI - CÔNG TY CỔ PHẦN DỊCH VỤ THƯƠNG MẠI TỔNG HỢP WINCOMMERCE</v>
      </c>
      <c r="G2458" s="16"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c r="A2459" s="14" t="s">
        <v>2376</v>
      </c>
      <c r="B2459" s="15" t="s">
        <v>5</v>
      </c>
      <c r="C2459" s="10" t="s">
        <v>2377</v>
      </c>
      <c r="D2459" s="16" t="s">
        <v>7812</v>
      </c>
      <c r="E2459" s="15" t="s">
        <v>11201</v>
      </c>
      <c r="F2459" s="16" t="str">
        <f>VLOOKUP(Table8[[#This Row],[Mã khách hàng]],code_khach_hang[],2,0)</f>
        <v>CHI NHÁNH HẢI DƯƠNG - CÔNG TY CỔ PHẦN DỊCH VỤ THƯƠNG MẠI TỔNG HỢP WINCOMMERCE</v>
      </c>
      <c r="G2459" s="16"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c r="A2460" s="14" t="s">
        <v>2388</v>
      </c>
      <c r="B2460" s="15" t="s">
        <v>5</v>
      </c>
      <c r="C2460" s="10" t="s">
        <v>2389</v>
      </c>
      <c r="D2460" s="16" t="s">
        <v>7815</v>
      </c>
      <c r="E2460" s="15" t="s">
        <v>11201</v>
      </c>
      <c r="F2460" s="16" t="str">
        <f>VLOOKUP(Table8[[#This Row],[Mã khách hàng]],code_khach_hang[],2,0)</f>
        <v>CHI NHÁNH HẢI DƯƠNG - CÔNG TY CỔ PHẦN DỊCH VỤ THƯƠNG MẠI TỔNG HỢP WINCOMMERCE</v>
      </c>
      <c r="G2460" s="16"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c r="A2461" s="14" t="s">
        <v>2367</v>
      </c>
      <c r="B2461" s="15" t="s">
        <v>5</v>
      </c>
      <c r="C2461" s="10" t="s">
        <v>2368</v>
      </c>
      <c r="D2461" s="16" t="s">
        <v>7818</v>
      </c>
      <c r="E2461" s="15" t="s">
        <v>11200</v>
      </c>
      <c r="F2461" s="16" t="str">
        <f>VLOOKUP(Table8[[#This Row],[Mã khách hàng]],code_khach_hang[],2,0)</f>
        <v>CHI NHÁNH THÁI BÌNH - CÔNG TY CỔ PHẦN DỊCH VỤ THƯƠNG MẠI TỔNG HỢP WINCOMMERCE</v>
      </c>
      <c r="G2461" s="16"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c r="A2462" s="14" t="s">
        <v>2138</v>
      </c>
      <c r="B2462" s="15" t="s">
        <v>5</v>
      </c>
      <c r="C2462" s="10" t="s">
        <v>2139</v>
      </c>
      <c r="D2462" s="16" t="s">
        <v>7821</v>
      </c>
      <c r="E2462" s="15" t="s">
        <v>11199</v>
      </c>
      <c r="F2462" s="16" t="str">
        <f>VLOOKUP(Table8[[#This Row],[Mã khách hàng]],code_khach_hang[],2,0)</f>
        <v>CHI NHÁNH PHÚ THỌ - CÔNG TY CỔ PHẦN DỊCH VỤ THƯƠNG MẠI TỔNG HỢP WINCOMMERCE</v>
      </c>
      <c r="G2462" s="16"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c r="A2463" s="14" t="s">
        <v>2267</v>
      </c>
      <c r="B2463" s="15" t="s">
        <v>5</v>
      </c>
      <c r="C2463" s="10" t="s">
        <v>2268</v>
      </c>
      <c r="D2463" s="16" t="s">
        <v>7824</v>
      </c>
      <c r="E2463" s="15" t="s">
        <v>11215</v>
      </c>
      <c r="F2463" s="16" t="str">
        <f>VLOOKUP(Table8[[#This Row],[Mã khách hàng]],code_khach_hang[],2,0)</f>
        <v>CHI NHÁNH HÀ NỘI - CÔNG TY CỔ PHẦN DỊCH VỤ THƯƠNG MẠI TỔNG HỢP WINCOMMERCE</v>
      </c>
      <c r="G2463" s="16"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c r="A2464" s="14" t="s">
        <v>2361</v>
      </c>
      <c r="B2464" s="15" t="s">
        <v>5</v>
      </c>
      <c r="C2464" s="10" t="s">
        <v>2362</v>
      </c>
      <c r="D2464" s="16" t="s">
        <v>7827</v>
      </c>
      <c r="E2464" s="15" t="s">
        <v>11205</v>
      </c>
      <c r="F2464" s="16" t="str">
        <f>VLOOKUP(Table8[[#This Row],[Mã khách hàng]],code_khach_hang[],2,0)</f>
        <v>CHI NHÁNH HÀ TĨNH - CÔNG TY CỔ PHẦN DỊCH VỤ THƯƠNG MẠI TỔNG HỢP WINCOMMERCE</v>
      </c>
      <c r="G2464" s="16"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c r="A2465" s="14" t="s">
        <v>9274</v>
      </c>
      <c r="B2465" s="15" t="s">
        <v>5</v>
      </c>
      <c r="C2465" s="10" t="s">
        <v>9275</v>
      </c>
      <c r="D2465" s="16" t="s">
        <v>7830</v>
      </c>
      <c r="E2465" s="15" t="s">
        <v>11215</v>
      </c>
      <c r="F2465" s="16" t="str">
        <f>VLOOKUP(Table8[[#This Row],[Mã khách hàng]],code_khach_hang[],2,0)</f>
        <v>CHI NHÁNH HÀ NỘI - CÔNG TY CỔ PHẦN DỊCH VỤ THƯƠNG MẠI TỔNG HỢP WINCOMMERCE</v>
      </c>
      <c r="G2465" s="16"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c r="A2466" s="14" t="s">
        <v>2439</v>
      </c>
      <c r="B2466" s="15" t="s">
        <v>5</v>
      </c>
      <c r="C2466" s="10" t="s">
        <v>2440</v>
      </c>
      <c r="D2466" s="16" t="s">
        <v>7833</v>
      </c>
      <c r="E2466" s="15" t="s">
        <v>11201</v>
      </c>
      <c r="F2466" s="16" t="str">
        <f>VLOOKUP(Table8[[#This Row],[Mã khách hàng]],code_khach_hang[],2,0)</f>
        <v>CHI NHÁNH HẢI DƯƠNG - CÔNG TY CỔ PHẦN DỊCH VỤ THƯƠNG MẠI TỔNG HỢP WINCOMMERCE</v>
      </c>
      <c r="G2466" s="16"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c r="A2467" s="14" t="s">
        <v>2452</v>
      </c>
      <c r="B2467" s="15" t="s">
        <v>5</v>
      </c>
      <c r="C2467" s="10" t="s">
        <v>2453</v>
      </c>
      <c r="D2467" s="16" t="s">
        <v>7836</v>
      </c>
      <c r="E2467" s="15" t="s">
        <v>11215</v>
      </c>
      <c r="F2467" s="16" t="str">
        <f>VLOOKUP(Table8[[#This Row],[Mã khách hàng]],code_khach_hang[],2,0)</f>
        <v>CHI NHÁNH HÀ NỘI - CÔNG TY CỔ PHẦN DỊCH VỤ THƯƠNG MẠI TỔNG HỢP WINCOMMERCE</v>
      </c>
      <c r="G2467" s="16"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c r="A2468" s="14" t="s">
        <v>2458</v>
      </c>
      <c r="B2468" s="15" t="s">
        <v>5</v>
      </c>
      <c r="C2468" s="10" t="s">
        <v>2459</v>
      </c>
      <c r="D2468" s="16" t="s">
        <v>7839</v>
      </c>
      <c r="E2468" s="15" t="s">
        <v>11215</v>
      </c>
      <c r="F2468" s="16" t="str">
        <f>VLOOKUP(Table8[[#This Row],[Mã khách hàng]],code_khach_hang[],2,0)</f>
        <v>CHI NHÁNH HÀ NỘI - CÔNG TY CỔ PHẦN DỊCH VỤ THƯƠNG MẠI TỔNG HỢP WINCOMMERCE</v>
      </c>
      <c r="G2468" s="16"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c r="A2469" s="14" t="s">
        <v>2507</v>
      </c>
      <c r="B2469" s="15" t="s">
        <v>5</v>
      </c>
      <c r="C2469" s="10" t="s">
        <v>2508</v>
      </c>
      <c r="D2469" s="16" t="s">
        <v>7842</v>
      </c>
      <c r="E2469" s="15" t="s">
        <v>11209</v>
      </c>
      <c r="F2469" s="16" t="str">
        <f>VLOOKUP(Table8[[#This Row],[Mã khách hàng]],code_khach_hang[],2,0)</f>
        <v>CHI NHÁNH QUẢNG BÌNH - CÔNG TY CỔ PHẦN DỊCH VỤ THƯƠNG MẠI TỔNG HỢP WINCOMMERCE</v>
      </c>
      <c r="G2469" s="16"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c r="A2470" s="14" t="s">
        <v>2560</v>
      </c>
      <c r="B2470" s="15" t="s">
        <v>5</v>
      </c>
      <c r="C2470" s="10" t="s">
        <v>2561</v>
      </c>
      <c r="D2470" s="16" t="s">
        <v>7845</v>
      </c>
      <c r="E2470" s="15" t="s">
        <v>11207</v>
      </c>
      <c r="F2470" s="16" t="str">
        <f>VLOOKUP(Table8[[#This Row],[Mã khách hàng]],code_khach_hang[],2,0)</f>
        <v>CHI NHÁNH THÁI NGUYÊN - CÔNG TY CỔ PHẦN DỊCH VỤ THƯƠNG MẠI TỔNG HỢP WINCOMMERCE</v>
      </c>
      <c r="G2470" s="16"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c r="A2471" s="14" t="s">
        <v>2575</v>
      </c>
      <c r="B2471" s="15" t="s">
        <v>5</v>
      </c>
      <c r="C2471" s="10" t="s">
        <v>2576</v>
      </c>
      <c r="D2471" s="16" t="s">
        <v>7848</v>
      </c>
      <c r="E2471" s="15" t="s">
        <v>11215</v>
      </c>
      <c r="F2471" s="16" t="str">
        <f>VLOOKUP(Table8[[#This Row],[Mã khách hàng]],code_khach_hang[],2,0)</f>
        <v>CHI NHÁNH HÀ NỘI - CÔNG TY CỔ PHẦN DỊCH VỤ THƯƠNG MẠI TỔNG HỢP WINCOMMERCE</v>
      </c>
      <c r="G2471" s="16"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c r="A2472" s="14" t="s">
        <v>2584</v>
      </c>
      <c r="B2472" s="15" t="s">
        <v>5</v>
      </c>
      <c r="C2472" s="10" t="s">
        <v>2585</v>
      </c>
      <c r="D2472" s="16" t="s">
        <v>7851</v>
      </c>
      <c r="E2472" s="15" t="s">
        <v>11215</v>
      </c>
      <c r="F2472" s="16" t="str">
        <f>VLOOKUP(Table8[[#This Row],[Mã khách hàng]],code_khach_hang[],2,0)</f>
        <v>CHI NHÁNH HÀ NỘI - CÔNG TY CỔ PHẦN DỊCH VỤ THƯƠNG MẠI TỔNG HỢP WINCOMMERCE</v>
      </c>
      <c r="G2472" s="16"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c r="A2473" s="14" t="s">
        <v>2587</v>
      </c>
      <c r="B2473" s="15" t="s">
        <v>5</v>
      </c>
      <c r="C2473" s="10" t="s">
        <v>2588</v>
      </c>
      <c r="D2473" s="16" t="s">
        <v>7854</v>
      </c>
      <c r="E2473" s="15" t="s">
        <v>11203</v>
      </c>
      <c r="F2473" s="16" t="str">
        <f>VLOOKUP(Table8[[#This Row],[Mã khách hàng]],code_khach_hang[],2,0)</f>
        <v>CHI NHÁNH THANH HÓA - CÔNG TY CỔ PHẦN DỊCH VỤ THƯƠNG MẠI TỔNG HỢP WINCOMMERCE</v>
      </c>
      <c r="G2473" s="16"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c r="A2474" s="14" t="s">
        <v>2590</v>
      </c>
      <c r="B2474" s="15" t="s">
        <v>5</v>
      </c>
      <c r="C2474" s="10" t="s">
        <v>2591</v>
      </c>
      <c r="D2474" s="16" t="s">
        <v>7857</v>
      </c>
      <c r="E2474" s="15" t="s">
        <v>11205</v>
      </c>
      <c r="F2474" s="16" t="str">
        <f>VLOOKUP(Table8[[#This Row],[Mã khách hàng]],code_khach_hang[],2,0)</f>
        <v>CHI NHÁNH HÀ TĨNH - CÔNG TY CỔ PHẦN DỊCH VỤ THƯƠNG MẠI TỔNG HỢP WINCOMMERCE</v>
      </c>
      <c r="G2474" s="16"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c r="A2475" s="14" t="s">
        <v>2605</v>
      </c>
      <c r="B2475" s="15" t="s">
        <v>5</v>
      </c>
      <c r="C2475" s="10" t="s">
        <v>2606</v>
      </c>
      <c r="D2475" s="16" t="s">
        <v>7860</v>
      </c>
      <c r="E2475" s="15" t="s">
        <v>11211</v>
      </c>
      <c r="F2475" s="16" t="str">
        <f>VLOOKUP(Table8[[#This Row],[Mã khách hàng]],code_khach_hang[],2,0)</f>
        <v>CHI NHÁNH NGHỆ AN - CÔNG TY CỔ PHẦN DỊCH VỤ THƯƠNG MẠI TỔNG HỢP WINCOMMERCE</v>
      </c>
      <c r="G2475" s="16"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c r="A2476" s="14" t="s">
        <v>2311</v>
      </c>
      <c r="B2476" s="15" t="s">
        <v>5</v>
      </c>
      <c r="C2476" s="10" t="s">
        <v>2312</v>
      </c>
      <c r="D2476" s="16" t="s">
        <v>7862</v>
      </c>
      <c r="E2476" s="15" t="s">
        <v>11215</v>
      </c>
      <c r="F2476" s="16" t="str">
        <f>VLOOKUP(Table8[[#This Row],[Mã khách hàng]],code_khach_hang[],2,0)</f>
        <v>CHI NHÁNH HÀ NỘI - CÔNG TY CỔ PHẦN DỊCH VỤ THƯƠNG MẠI TỔNG HỢP WINCOMMERCE</v>
      </c>
      <c r="G2476" s="16"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c r="A2477" s="14" t="s">
        <v>2338</v>
      </c>
      <c r="B2477" s="15" t="s">
        <v>5</v>
      </c>
      <c r="C2477" s="10" t="s">
        <v>2339</v>
      </c>
      <c r="D2477" s="16" t="s">
        <v>7865</v>
      </c>
      <c r="E2477" s="15" t="s">
        <v>11215</v>
      </c>
      <c r="F2477" s="16" t="str">
        <f>VLOOKUP(Table8[[#This Row],[Mã khách hàng]],code_khach_hang[],2,0)</f>
        <v>CHI NHÁNH HÀ NỘI - CÔNG TY CỔ PHẦN DỊCH VỤ THƯƠNG MẠI TỔNG HỢP WINCOMMERCE</v>
      </c>
      <c r="G2477" s="16"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c r="A2478" s="14" t="s">
        <v>2385</v>
      </c>
      <c r="B2478" s="15" t="s">
        <v>5</v>
      </c>
      <c r="C2478" s="10" t="s">
        <v>2386</v>
      </c>
      <c r="D2478" s="16" t="s">
        <v>7868</v>
      </c>
      <c r="E2478" s="15" t="s">
        <v>11215</v>
      </c>
      <c r="F2478" s="16" t="str">
        <f>VLOOKUP(Table8[[#This Row],[Mã khách hàng]],code_khach_hang[],2,0)</f>
        <v>CHI NHÁNH HÀ NỘI - CÔNG TY CỔ PHẦN DỊCH VỤ THƯƠNG MẠI TỔNG HỢP WINCOMMERCE</v>
      </c>
      <c r="G2478" s="16"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c r="A2479" s="14" t="s">
        <v>2397</v>
      </c>
      <c r="B2479" s="15" t="s">
        <v>5</v>
      </c>
      <c r="C2479" s="10" t="s">
        <v>2398</v>
      </c>
      <c r="D2479" s="16" t="s">
        <v>7871</v>
      </c>
      <c r="E2479" s="15" t="s">
        <v>11215</v>
      </c>
      <c r="F2479" s="16" t="str">
        <f>VLOOKUP(Table8[[#This Row],[Mã khách hàng]],code_khach_hang[],2,0)</f>
        <v>CHI NHÁNH HÀ NỘI - CÔNG TY CỔ PHẦN DỊCH VỤ THƯƠNG MẠI TỔNG HỢP WINCOMMERCE</v>
      </c>
      <c r="G2479" s="16"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c r="A2480" s="14" t="s">
        <v>2446</v>
      </c>
      <c r="B2480" s="15" t="s">
        <v>5</v>
      </c>
      <c r="C2480" s="10" t="s">
        <v>2447</v>
      </c>
      <c r="D2480" s="16" t="s">
        <v>7874</v>
      </c>
      <c r="E2480" s="15" t="s">
        <v>11215</v>
      </c>
      <c r="F2480" s="16" t="str">
        <f>VLOOKUP(Table8[[#This Row],[Mã khách hàng]],code_khach_hang[],2,0)</f>
        <v>CHI NHÁNH HÀ NỘI - CÔNG TY CỔ PHẦN DỊCH VỤ THƯƠNG MẠI TỔNG HỢP WINCOMMERCE</v>
      </c>
      <c r="G2480" s="16"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c r="A2481" s="14" t="s">
        <v>2486</v>
      </c>
      <c r="B2481" s="15" t="s">
        <v>5</v>
      </c>
      <c r="C2481" s="10" t="e">
        <v>#N/A</v>
      </c>
      <c r="D2481" s="16" t="s">
        <v>7877</v>
      </c>
      <c r="E2481" s="15" t="s">
        <v>11209</v>
      </c>
      <c r="F2481" s="16" t="str">
        <f>VLOOKUP(Table8[[#This Row],[Mã khách hàng]],code_khach_hang[],2,0)</f>
        <v>CHI NHÁNH QUẢNG BÌNH - CÔNG TY CỔ PHẦN DỊCH VỤ THƯƠNG MẠI TỔNG HỢP WINCOMMERCE</v>
      </c>
      <c r="G2481" s="16"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c r="A2482" s="14" t="s">
        <v>2524</v>
      </c>
      <c r="B2482" s="15" t="s">
        <v>5</v>
      </c>
      <c r="C2482" s="10" t="s">
        <v>2525</v>
      </c>
      <c r="D2482" s="16" t="s">
        <v>7880</v>
      </c>
      <c r="E2482" s="15" t="s">
        <v>11215</v>
      </c>
      <c r="F2482" s="16" t="str">
        <f>VLOOKUP(Table8[[#This Row],[Mã khách hàng]],code_khach_hang[],2,0)</f>
        <v>CHI NHÁNH HÀ NỘI - CÔNG TY CỔ PHẦN DỊCH VỤ THƯƠNG MẠI TỔNG HỢP WINCOMMERCE</v>
      </c>
      <c r="G2482" s="16"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c r="A2483" s="14" t="s">
        <v>2536</v>
      </c>
      <c r="B2483" s="15" t="s">
        <v>5</v>
      </c>
      <c r="C2483" s="10" t="s">
        <v>2537</v>
      </c>
      <c r="D2483" s="16" t="s">
        <v>7883</v>
      </c>
      <c r="E2483" s="15" t="s">
        <v>11211</v>
      </c>
      <c r="F2483" s="16" t="str">
        <f>VLOOKUP(Table8[[#This Row],[Mã khách hàng]],code_khach_hang[],2,0)</f>
        <v>CHI NHÁNH NGHỆ AN - CÔNG TY CỔ PHẦN DỊCH VỤ THƯƠNG MẠI TỔNG HỢP WINCOMMERCE</v>
      </c>
      <c r="G2483" s="16"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c r="A2484" s="14" t="s">
        <v>2569</v>
      </c>
      <c r="B2484" s="15" t="s">
        <v>5</v>
      </c>
      <c r="C2484" s="10" t="s">
        <v>2570</v>
      </c>
      <c r="D2484" s="16" t="s">
        <v>7885</v>
      </c>
      <c r="E2484" s="15" t="s">
        <v>11215</v>
      </c>
      <c r="F2484" s="16" t="str">
        <f>VLOOKUP(Table8[[#This Row],[Mã khách hàng]],code_khach_hang[],2,0)</f>
        <v>CHI NHÁNH HÀ NỘI - CÔNG TY CỔ PHẦN DỊCH VỤ THƯƠNG MẠI TỔNG HỢP WINCOMMERCE</v>
      </c>
      <c r="G2484" s="16"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c r="A2485" s="14" t="s">
        <v>2593</v>
      </c>
      <c r="B2485" s="15" t="s">
        <v>5</v>
      </c>
      <c r="C2485" s="10" t="s">
        <v>2594</v>
      </c>
      <c r="D2485" s="16" t="s">
        <v>7888</v>
      </c>
      <c r="E2485" s="15" t="s">
        <v>11196</v>
      </c>
      <c r="F2485" s="16" t="str">
        <f>VLOOKUP(Table8[[#This Row],[Mã khách hàng]],code_khach_hang[],2,0)</f>
        <v>CHI NHÁNH NINH BÌNH - CÔNG TY CỔ PHẦN DỊCH VỤ THƯƠNG MẠI TỔNG HỢP WINCOMMERCE</v>
      </c>
      <c r="G2485" s="16"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c r="A2486" s="14" t="s">
        <v>2608</v>
      </c>
      <c r="B2486" s="15" t="s">
        <v>5</v>
      </c>
      <c r="C2486" s="10" t="s">
        <v>2609</v>
      </c>
      <c r="D2486" s="16" t="s">
        <v>7891</v>
      </c>
      <c r="E2486" s="15" t="s">
        <v>11215</v>
      </c>
      <c r="F2486" s="16" t="str">
        <f>VLOOKUP(Table8[[#This Row],[Mã khách hàng]],code_khach_hang[],2,0)</f>
        <v>CHI NHÁNH HÀ NỘI - CÔNG TY CỔ PHẦN DỊCH VỤ THƯƠNG MẠI TỔNG HỢP WINCOMMERCE</v>
      </c>
      <c r="G2486" s="16"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c r="A2487" s="14" t="s">
        <v>2630</v>
      </c>
      <c r="B2487" s="15" t="s">
        <v>5</v>
      </c>
      <c r="C2487" s="10" t="e">
        <v>#N/A</v>
      </c>
      <c r="D2487" s="16" t="s">
        <v>7894</v>
      </c>
      <c r="E2487" s="15" t="s">
        <v>11203</v>
      </c>
      <c r="F2487" s="16" t="str">
        <f>VLOOKUP(Table8[[#This Row],[Mã khách hàng]],code_khach_hang[],2,0)</f>
        <v>CHI NHÁNH THANH HÓA - CÔNG TY CỔ PHẦN DỊCH VỤ THƯƠNG MẠI TỔNG HỢP WINCOMMERCE</v>
      </c>
      <c r="G2487" s="16"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c r="A2488" s="14" t="s">
        <v>2632</v>
      </c>
      <c r="B2488" s="15" t="s">
        <v>5</v>
      </c>
      <c r="C2488" s="10" t="s">
        <v>2633</v>
      </c>
      <c r="D2488" s="16" t="s">
        <v>7896</v>
      </c>
      <c r="E2488" s="15" t="s">
        <v>11209</v>
      </c>
      <c r="F2488" s="16" t="str">
        <f>VLOOKUP(Table8[[#This Row],[Mã khách hàng]],code_khach_hang[],2,0)</f>
        <v>CHI NHÁNH QUẢNG BÌNH - CÔNG TY CỔ PHẦN DỊCH VỤ THƯƠNG MẠI TỔNG HỢP WINCOMMERCE</v>
      </c>
      <c r="G2488" s="16"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c r="A2489" s="14" t="s">
        <v>2637</v>
      </c>
      <c r="B2489" s="15" t="s">
        <v>5</v>
      </c>
      <c r="C2489" s="10" t="s">
        <v>2638</v>
      </c>
      <c r="D2489" s="16" t="s">
        <v>7899</v>
      </c>
      <c r="E2489" s="15" t="s">
        <v>11215</v>
      </c>
      <c r="F2489" s="16" t="str">
        <f>VLOOKUP(Table8[[#This Row],[Mã khách hàng]],code_khach_hang[],2,0)</f>
        <v>CHI NHÁNH HÀ NỘI - CÔNG TY CỔ PHẦN DỊCH VỤ THƯƠNG MẠI TỔNG HỢP WINCOMMERCE</v>
      </c>
      <c r="G2489" s="16"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c r="A2490" s="14" t="s">
        <v>2491</v>
      </c>
      <c r="B2490" s="15" t="s">
        <v>5</v>
      </c>
      <c r="C2490" s="10" t="e">
        <v>#N/A</v>
      </c>
      <c r="D2490" s="16" t="s">
        <v>7902</v>
      </c>
      <c r="E2490" s="15" t="s">
        <v>11203</v>
      </c>
      <c r="F2490" s="16" t="str">
        <f>VLOOKUP(Table8[[#This Row],[Mã khách hàng]],code_khach_hang[],2,0)</f>
        <v>CHI NHÁNH THANH HÓA - CÔNG TY CỔ PHẦN DỊCH VỤ THƯƠNG MẠI TỔNG HỢP WINCOMMERCE</v>
      </c>
      <c r="G2490" s="16"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c r="A2491" s="14" t="s">
        <v>2635</v>
      </c>
      <c r="B2491" s="15" t="s">
        <v>5</v>
      </c>
      <c r="C2491" s="10" t="e">
        <v>#N/A</v>
      </c>
      <c r="D2491" s="16" t="s">
        <v>7905</v>
      </c>
      <c r="E2491" s="15" t="s">
        <v>11203</v>
      </c>
      <c r="F2491" s="16" t="str">
        <f>VLOOKUP(Table8[[#This Row],[Mã khách hàng]],code_khach_hang[],2,0)</f>
        <v>CHI NHÁNH THANH HÓA - CÔNG TY CỔ PHẦN DỊCH VỤ THƯƠNG MẠI TỔNG HỢP WINCOMMERCE</v>
      </c>
      <c r="G2491" s="16"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c r="A2492" s="14" t="s">
        <v>2652</v>
      </c>
      <c r="B2492" s="15" t="s">
        <v>5</v>
      </c>
      <c r="C2492" s="10" t="s">
        <v>2653</v>
      </c>
      <c r="D2492" s="16" t="s">
        <v>7908</v>
      </c>
      <c r="E2492" s="15" t="s">
        <v>11215</v>
      </c>
      <c r="F2492" s="16" t="str">
        <f>VLOOKUP(Table8[[#This Row],[Mã khách hàng]],code_khach_hang[],2,0)</f>
        <v>CHI NHÁNH HÀ NỘI - CÔNG TY CỔ PHẦN DỊCH VỤ THƯƠNG MẠI TỔNG HỢP WINCOMMERCE</v>
      </c>
      <c r="G2492" s="16"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c r="A2493" s="14" t="s">
        <v>9336</v>
      </c>
      <c r="B2493" s="15" t="s">
        <v>5</v>
      </c>
      <c r="C2493" s="10" t="s">
        <v>9337</v>
      </c>
      <c r="D2493" s="16" t="s">
        <v>7911</v>
      </c>
      <c r="E2493" s="15" t="s">
        <v>11207</v>
      </c>
      <c r="F2493" s="16" t="str">
        <f>VLOOKUP(Table8[[#This Row],[Mã khách hàng]],code_khach_hang[],2,0)</f>
        <v>CHI NHÁNH THÁI NGUYÊN - CÔNG TY CỔ PHẦN DỊCH VỤ THƯƠNG MẠI TỔNG HỢP WINCOMMERCE</v>
      </c>
      <c r="G2493" s="16"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c r="A2494" s="14" t="s">
        <v>2658</v>
      </c>
      <c r="B2494" s="15" t="s">
        <v>5</v>
      </c>
      <c r="C2494" s="10" t="s">
        <v>2659</v>
      </c>
      <c r="D2494" s="16" t="s">
        <v>7914</v>
      </c>
      <c r="E2494" s="15" t="s">
        <v>11215</v>
      </c>
      <c r="F2494" s="16" t="str">
        <f>VLOOKUP(Table8[[#This Row],[Mã khách hàng]],code_khach_hang[],2,0)</f>
        <v>CHI NHÁNH HÀ NỘI - CÔNG TY CỔ PHẦN DỊCH VỤ THƯƠNG MẠI TỔNG HỢP WINCOMMERCE</v>
      </c>
      <c r="G2494" s="16"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c r="A2495" s="14" t="s">
        <v>2670</v>
      </c>
      <c r="B2495" s="15" t="s">
        <v>5</v>
      </c>
      <c r="C2495" s="10" t="s">
        <v>2671</v>
      </c>
      <c r="D2495" s="16" t="s">
        <v>7917</v>
      </c>
      <c r="E2495" s="15" t="s">
        <v>11200</v>
      </c>
      <c r="F2495" s="16" t="str">
        <f>VLOOKUP(Table8[[#This Row],[Mã khách hàng]],code_khach_hang[],2,0)</f>
        <v>CHI NHÁNH THÁI BÌNH - CÔNG TY CỔ PHẦN DỊCH VỤ THƯƠNG MẠI TỔNG HỢP WINCOMMERCE</v>
      </c>
      <c r="G2495" s="16"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c r="A2496" s="14" t="s">
        <v>2676</v>
      </c>
      <c r="B2496" s="15" t="s">
        <v>5</v>
      </c>
      <c r="C2496" s="10" t="s">
        <v>2677</v>
      </c>
      <c r="D2496" s="16" t="s">
        <v>7920</v>
      </c>
      <c r="E2496" s="15" t="s">
        <v>11215</v>
      </c>
      <c r="F2496" s="16" t="str">
        <f>VLOOKUP(Table8[[#This Row],[Mã khách hàng]],code_khach_hang[],2,0)</f>
        <v>CHI NHÁNH HÀ NỘI - CÔNG TY CỔ PHẦN DỊCH VỤ THƯƠNG MẠI TỔNG HỢP WINCOMMERCE</v>
      </c>
      <c r="G2496" s="16"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c r="A2497" s="14" t="s">
        <v>2768</v>
      </c>
      <c r="B2497" s="15" t="s">
        <v>5</v>
      </c>
      <c r="C2497" s="10" t="s">
        <v>2769</v>
      </c>
      <c r="D2497" s="16" t="s">
        <v>7923</v>
      </c>
      <c r="E2497" s="15" t="s">
        <v>11215</v>
      </c>
      <c r="F2497" s="16" t="str">
        <f>VLOOKUP(Table8[[#This Row],[Mã khách hàng]],code_khach_hang[],2,0)</f>
        <v>CHI NHÁNH HÀ NỘI - CÔNG TY CỔ PHẦN DỊCH VỤ THƯƠNG MẠI TỔNG HỢP WINCOMMERCE</v>
      </c>
      <c r="G2497" s="16"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c r="A2498" s="14" t="s">
        <v>2510</v>
      </c>
      <c r="B2498" s="15" t="s">
        <v>5</v>
      </c>
      <c r="C2498" s="10" t="e">
        <v>#N/A</v>
      </c>
      <c r="D2498" s="16" t="s">
        <v>7926</v>
      </c>
      <c r="E2498" s="15" t="s">
        <v>11205</v>
      </c>
      <c r="F2498" s="16" t="str">
        <f>VLOOKUP(Table8[[#This Row],[Mã khách hàng]],code_khach_hang[],2,0)</f>
        <v>CHI NHÁNH HÀ TĨNH - CÔNG TY CỔ PHẦN DỊCH VỤ THƯƠNG MẠI TỔNG HỢP WINCOMMERCE</v>
      </c>
      <c r="G2498" s="16"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c r="A2499" s="14" t="s">
        <v>2581</v>
      </c>
      <c r="B2499" s="15" t="s">
        <v>5</v>
      </c>
      <c r="C2499" s="10" t="s">
        <v>2582</v>
      </c>
      <c r="D2499" s="16" t="s">
        <v>7929</v>
      </c>
      <c r="E2499" s="15" t="s">
        <v>11206</v>
      </c>
      <c r="F2499" s="16" t="str">
        <f>VLOOKUP(Table8[[#This Row],[Mã khách hàng]],code_khach_hang[],2,0)</f>
        <v>CHI NHÁNH SƠN LA - CÔNG TY CỔ PHẦN DỊCH VỤ THƯƠNG MẠI TỔNG HỢP WINCOMMERCE</v>
      </c>
      <c r="G2499" s="16"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c r="A2500" s="14" t="s">
        <v>2602</v>
      </c>
      <c r="B2500" s="15" t="s">
        <v>5</v>
      </c>
      <c r="C2500" s="10" t="s">
        <v>2603</v>
      </c>
      <c r="D2500" s="16" t="s">
        <v>7932</v>
      </c>
      <c r="E2500" s="15" t="s">
        <v>11217</v>
      </c>
      <c r="F2500" s="16" t="str">
        <f>VLOOKUP(Table8[[#This Row],[Mã khách hàng]],code_khach_hang[],2,0)</f>
        <v>CHI NHÁNH BẮC GIANG - CÔNG TY CỔ PHẦN DỊCH VỤ THƯƠNG MẠI TỔNG HỢP WINCOMMERCE</v>
      </c>
      <c r="G2500" s="16"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c r="A2501" s="14" t="s">
        <v>2572</v>
      </c>
      <c r="B2501" s="15" t="s">
        <v>5</v>
      </c>
      <c r="C2501" s="10" t="s">
        <v>2573</v>
      </c>
      <c r="D2501" s="16" t="s">
        <v>7935</v>
      </c>
      <c r="E2501" s="15" t="s">
        <v>11215</v>
      </c>
      <c r="F2501" s="16" t="str">
        <f>VLOOKUP(Table8[[#This Row],[Mã khách hàng]],code_khach_hang[],2,0)</f>
        <v>CHI NHÁNH HÀ NỘI - CÔNG TY CỔ PHẦN DỊCH VỤ THƯƠNG MẠI TỔNG HỢP WINCOMMERCE</v>
      </c>
      <c r="G2501" s="16"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c r="A2502" s="14" t="s">
        <v>2214</v>
      </c>
      <c r="B2502" s="15" t="s">
        <v>5</v>
      </c>
      <c r="C2502" s="10" t="e">
        <v>#N/A</v>
      </c>
      <c r="D2502" s="16" t="s">
        <v>7938</v>
      </c>
      <c r="E2502" s="15" t="s">
        <v>11203</v>
      </c>
      <c r="F2502" s="16" t="str">
        <f>VLOOKUP(Table8[[#This Row],[Mã khách hàng]],code_khach_hang[],2,0)</f>
        <v>CHI NHÁNH THANH HÓA - CÔNG TY CỔ PHẦN DỊCH VỤ THƯƠNG MẠI TỔNG HỢP WINCOMMERCE</v>
      </c>
      <c r="G2502" s="16"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c r="A2503" s="14" t="s">
        <v>2249</v>
      </c>
      <c r="B2503" s="15" t="s">
        <v>5</v>
      </c>
      <c r="C2503" s="10" t="s">
        <v>2250</v>
      </c>
      <c r="D2503" s="16" t="s">
        <v>7941</v>
      </c>
      <c r="E2503" s="15" t="s">
        <v>11197</v>
      </c>
      <c r="F2503" s="16" t="str">
        <f>VLOOKUP(Table8[[#This Row],[Mã khách hàng]],code_khach_hang[],2,0)</f>
        <v>CHI NHÁNH QUẢNG NINH - CÔNG TY CỔ PHẦN DỊCH VỤ THƯƠNG MẠI TỔNG HỢP WINCOMMERCE</v>
      </c>
      <c r="G2503" s="16"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c r="A2504" s="14" t="s">
        <v>2518</v>
      </c>
      <c r="B2504" s="15" t="s">
        <v>5</v>
      </c>
      <c r="C2504" s="10" t="s">
        <v>2519</v>
      </c>
      <c r="D2504" s="16" t="s">
        <v>7944</v>
      </c>
      <c r="E2504" s="15" t="s">
        <v>11215</v>
      </c>
      <c r="F2504" s="16" t="str">
        <f>VLOOKUP(Table8[[#This Row],[Mã khách hàng]],code_khach_hang[],2,0)</f>
        <v>CHI NHÁNH HÀ NỘI - CÔNG TY CỔ PHẦN DỊCH VỤ THƯƠNG MẠI TỔNG HỢP WINCOMMERCE</v>
      </c>
      <c r="G2504" s="16"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c r="A2505" s="14" t="s">
        <v>2424</v>
      </c>
      <c r="B2505" s="15" t="s">
        <v>5</v>
      </c>
      <c r="C2505" s="10" t="s">
        <v>2425</v>
      </c>
      <c r="D2505" s="16" t="s">
        <v>7947</v>
      </c>
      <c r="E2505" s="15" t="s">
        <v>11205</v>
      </c>
      <c r="F2505" s="16" t="str">
        <f>VLOOKUP(Table8[[#This Row],[Mã khách hàng]],code_khach_hang[],2,0)</f>
        <v>CHI NHÁNH HÀ TĨNH - CÔNG TY CỔ PHẦN DỊCH VỤ THƯƠNG MẠI TỔNG HỢP WINCOMMERCE</v>
      </c>
      <c r="G2505" s="16"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c r="A2506" s="14" t="s">
        <v>2427</v>
      </c>
      <c r="B2506" s="15" t="s">
        <v>5</v>
      </c>
      <c r="C2506" s="10" t="s">
        <v>2428</v>
      </c>
      <c r="D2506" s="16" t="s">
        <v>7950</v>
      </c>
      <c r="E2506" s="15" t="s">
        <v>11205</v>
      </c>
      <c r="F2506" s="16" t="str">
        <f>VLOOKUP(Table8[[#This Row],[Mã khách hàng]],code_khach_hang[],2,0)</f>
        <v>CHI NHÁNH HÀ TĨNH - CÔNG TY CỔ PHẦN DỊCH VỤ THƯƠNG MẠI TỔNG HỢP WINCOMMERCE</v>
      </c>
      <c r="G2506" s="16"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c r="A2507" s="14" t="s">
        <v>2664</v>
      </c>
      <c r="B2507" s="15" t="s">
        <v>5</v>
      </c>
      <c r="C2507" s="10" t="s">
        <v>2665</v>
      </c>
      <c r="D2507" s="16" t="s">
        <v>7953</v>
      </c>
      <c r="E2507" s="15" t="s">
        <v>11219</v>
      </c>
      <c r="F2507" s="16" t="str">
        <f>VLOOKUP(Table8[[#This Row],[Mã khách hàng]],code_khach_hang[],2,0)</f>
        <v>CHI NHÁNH NAM ĐỊNH - CÔNG TY CỔ PHẦN DỊCH VỤ THƯƠNG MẠI TỔNG HỢP WINCOMMERCE</v>
      </c>
      <c r="G2507" s="16"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c r="A2508" s="14" t="s">
        <v>2673</v>
      </c>
      <c r="B2508" s="15" t="s">
        <v>5</v>
      </c>
      <c r="C2508" s="10" t="s">
        <v>2674</v>
      </c>
      <c r="D2508" s="16" t="s">
        <v>7956</v>
      </c>
      <c r="E2508" s="15" t="s">
        <v>11211</v>
      </c>
      <c r="F2508" s="16" t="str">
        <f>VLOOKUP(Table8[[#This Row],[Mã khách hàng]],code_khach_hang[],2,0)</f>
        <v>CHI NHÁNH NGHỆ AN - CÔNG TY CỔ PHẦN DỊCH VỤ THƯƠNG MẠI TỔNG HỢP WINCOMMERCE</v>
      </c>
      <c r="G2508" s="16"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c r="A2509" s="14" t="s">
        <v>2682</v>
      </c>
      <c r="B2509" s="15" t="s">
        <v>5</v>
      </c>
      <c r="C2509" s="10" t="s">
        <v>2683</v>
      </c>
      <c r="D2509" s="16" t="s">
        <v>7959</v>
      </c>
      <c r="E2509" s="15" t="s">
        <v>11215</v>
      </c>
      <c r="F2509" s="16" t="str">
        <f>VLOOKUP(Table8[[#This Row],[Mã khách hàng]],code_khach_hang[],2,0)</f>
        <v>CHI NHÁNH HÀ NỘI - CÔNG TY CỔ PHẦN DỊCH VỤ THƯƠNG MẠI TỔNG HỢP WINCOMMERCE</v>
      </c>
      <c r="G2509" s="16"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c r="A2510" s="14" t="s">
        <v>2685</v>
      </c>
      <c r="B2510" s="15" t="s">
        <v>5</v>
      </c>
      <c r="C2510" s="10" t="s">
        <v>2686</v>
      </c>
      <c r="D2510" s="16" t="s">
        <v>7962</v>
      </c>
      <c r="E2510" s="15" t="s">
        <v>11215</v>
      </c>
      <c r="F2510" s="16" t="str">
        <f>VLOOKUP(Table8[[#This Row],[Mã khách hàng]],code_khach_hang[],2,0)</f>
        <v>CHI NHÁNH HÀ NỘI - CÔNG TY CỔ PHẦN DỊCH VỤ THƯƠNG MẠI TỔNG HỢP WINCOMMERCE</v>
      </c>
      <c r="G2510" s="16"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c r="A2511" s="14" t="s">
        <v>2495</v>
      </c>
      <c r="B2511" s="15" t="s">
        <v>5</v>
      </c>
      <c r="C2511" s="10" t="s">
        <v>2496</v>
      </c>
      <c r="D2511" s="16" t="s">
        <v>7965</v>
      </c>
      <c r="E2511" s="15" t="s">
        <v>11211</v>
      </c>
      <c r="F2511" s="16" t="str">
        <f>VLOOKUP(Table8[[#This Row],[Mã khách hàng]],code_khach_hang[],2,0)</f>
        <v>CHI NHÁNH NGHỆ AN - CÔNG TY CỔ PHẦN DỊCH VỤ THƯƠNG MẠI TỔNG HỢP WINCOMMERCE</v>
      </c>
      <c r="G2511" s="16"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c r="A2512" s="14" t="s">
        <v>2566</v>
      </c>
      <c r="B2512" s="15" t="s">
        <v>5</v>
      </c>
      <c r="C2512" s="10" t="s">
        <v>2567</v>
      </c>
      <c r="D2512" s="16" t="s">
        <v>7968</v>
      </c>
      <c r="E2512" s="15" t="s">
        <v>11203</v>
      </c>
      <c r="F2512" s="16" t="str">
        <f>VLOOKUP(Table8[[#This Row],[Mã khách hàng]],code_khach_hang[],2,0)</f>
        <v>CHI NHÁNH THANH HÓA - CÔNG TY CỔ PHẦN DỊCH VỤ THƯƠNG MẠI TỔNG HỢP WINCOMMERCE</v>
      </c>
      <c r="G2512" s="16"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c r="A2513" s="14" t="s">
        <v>2640</v>
      </c>
      <c r="B2513" s="15" t="s">
        <v>5</v>
      </c>
      <c r="C2513" s="10" t="s">
        <v>2641</v>
      </c>
      <c r="D2513" s="16" t="s">
        <v>7971</v>
      </c>
      <c r="E2513" s="15" t="s">
        <v>11197</v>
      </c>
      <c r="F2513" s="16" t="str">
        <f>VLOOKUP(Table8[[#This Row],[Mã khách hàng]],code_khach_hang[],2,0)</f>
        <v>CHI NHÁNH QUẢNG NINH - CÔNG TY CỔ PHẦN DỊCH VỤ THƯƠNG MẠI TỔNG HỢP WINCOMMERCE</v>
      </c>
      <c r="G2513" s="16"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c r="A2514" s="14" t="s">
        <v>2679</v>
      </c>
      <c r="B2514" s="15" t="s">
        <v>5</v>
      </c>
      <c r="C2514" s="10" t="s">
        <v>2680</v>
      </c>
      <c r="D2514" s="16" t="s">
        <v>7974</v>
      </c>
      <c r="E2514" s="15" t="s">
        <v>11215</v>
      </c>
      <c r="F2514" s="16" t="str">
        <f>VLOOKUP(Table8[[#This Row],[Mã khách hàng]],code_khach_hang[],2,0)</f>
        <v>CHI NHÁNH HÀ NỘI - CÔNG TY CỔ PHẦN DỊCH VỤ THƯƠNG MẠI TỔNG HỢP WINCOMMERCE</v>
      </c>
      <c r="G2514" s="16"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c r="A2515" s="14" t="s">
        <v>2700</v>
      </c>
      <c r="B2515" s="15" t="s">
        <v>5</v>
      </c>
      <c r="C2515" s="10" t="s">
        <v>2701</v>
      </c>
      <c r="D2515" s="16" t="s">
        <v>7977</v>
      </c>
      <c r="E2515" s="15" t="s">
        <v>11201</v>
      </c>
      <c r="F2515" s="16" t="str">
        <f>VLOOKUP(Table8[[#This Row],[Mã khách hàng]],code_khach_hang[],2,0)</f>
        <v>CHI NHÁNH HẢI DƯƠNG - CÔNG TY CỔ PHẦN DỊCH VỤ THƯƠNG MẠI TỔNG HỢP WINCOMMERCE</v>
      </c>
      <c r="G2515" s="16"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c r="A2516" s="14" t="s">
        <v>2712</v>
      </c>
      <c r="B2516" s="15" t="s">
        <v>5</v>
      </c>
      <c r="C2516" s="10" t="s">
        <v>2713</v>
      </c>
      <c r="D2516" s="16" t="s">
        <v>7979</v>
      </c>
      <c r="E2516" s="15" t="s">
        <v>11201</v>
      </c>
      <c r="F2516" s="16" t="str">
        <f>VLOOKUP(Table8[[#This Row],[Mã khách hàng]],code_khach_hang[],2,0)</f>
        <v>CHI NHÁNH HẢI DƯƠNG - CÔNG TY CỔ PHẦN DỊCH VỤ THƯƠNG MẠI TỔNG HỢP WINCOMMERCE</v>
      </c>
      <c r="G2516" s="16"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c r="A2517" s="14" t="s">
        <v>2433</v>
      </c>
      <c r="B2517" s="15" t="s">
        <v>5</v>
      </c>
      <c r="C2517" s="10" t="s">
        <v>2434</v>
      </c>
      <c r="D2517" s="16" t="s">
        <v>7982</v>
      </c>
      <c r="E2517" s="15" t="s">
        <v>11198</v>
      </c>
      <c r="F2517" s="16" t="str">
        <f>VLOOKUP(Table8[[#This Row],[Mã khách hàng]],code_khach_hang[],2,0)</f>
        <v>CHI NHÁNH HẢI PHÒNG - CÔNG TY CỔ PHẦN DỊCH VỤ THƯƠNG MẠI TỔNG HỢP WINCOMMERCE</v>
      </c>
      <c r="G2517" s="16"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c r="A2518" s="14" t="s">
        <v>2578</v>
      </c>
      <c r="B2518" s="15" t="s">
        <v>5</v>
      </c>
      <c r="C2518" s="10" t="s">
        <v>2579</v>
      </c>
      <c r="D2518" s="16" t="s">
        <v>7985</v>
      </c>
      <c r="E2518" s="15" t="s">
        <v>11215</v>
      </c>
      <c r="F2518" s="16" t="str">
        <f>VLOOKUP(Table8[[#This Row],[Mã khách hàng]],code_khach_hang[],2,0)</f>
        <v>CHI NHÁNH HÀ NỘI - CÔNG TY CỔ PHẦN DỊCH VỤ THƯƠNG MẠI TỔNG HỢP WINCOMMERCE</v>
      </c>
      <c r="G2518" s="16"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c r="A2519" s="14" t="s">
        <v>2599</v>
      </c>
      <c r="B2519" s="15" t="s">
        <v>5</v>
      </c>
      <c r="C2519" s="10" t="s">
        <v>2600</v>
      </c>
      <c r="D2519" s="16" t="s">
        <v>7988</v>
      </c>
      <c r="E2519" s="15" t="s">
        <v>11215</v>
      </c>
      <c r="F2519" s="16" t="str">
        <f>VLOOKUP(Table8[[#This Row],[Mã khách hàng]],code_khach_hang[],2,0)</f>
        <v>CHI NHÁNH HÀ NỘI - CÔNG TY CỔ PHẦN DỊCH VỤ THƯƠNG MẠI TỔNG HỢP WINCOMMERCE</v>
      </c>
      <c r="G2519" s="16"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c r="A2520" s="14" t="s">
        <v>2655</v>
      </c>
      <c r="B2520" s="15" t="s">
        <v>5</v>
      </c>
      <c r="C2520" s="10" t="s">
        <v>2656</v>
      </c>
      <c r="D2520" s="16" t="s">
        <v>7991</v>
      </c>
      <c r="E2520" s="15" t="s">
        <v>11215</v>
      </c>
      <c r="F2520" s="16" t="str">
        <f>VLOOKUP(Table8[[#This Row],[Mã khách hàng]],code_khach_hang[],2,0)</f>
        <v>CHI NHÁNH HÀ NỘI - CÔNG TY CỔ PHẦN DỊCH VỤ THƯƠNG MẠI TỔNG HỢP WINCOMMERCE</v>
      </c>
      <c r="G2520" s="16"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c r="A2521" s="14" t="s">
        <v>2706</v>
      </c>
      <c r="B2521" s="15" t="s">
        <v>5</v>
      </c>
      <c r="C2521" s="10" t="s">
        <v>2707</v>
      </c>
      <c r="D2521" s="16" t="s">
        <v>7994</v>
      </c>
      <c r="E2521" s="15" t="s">
        <v>11203</v>
      </c>
      <c r="F2521" s="16" t="str">
        <f>VLOOKUP(Table8[[#This Row],[Mã khách hàng]],code_khach_hang[],2,0)</f>
        <v>CHI NHÁNH THANH HÓA - CÔNG TY CỔ PHẦN DỊCH VỤ THƯƠNG MẠI TỔNG HỢP WINCOMMERCE</v>
      </c>
      <c r="G2521" s="16"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c r="A2522" s="14" t="s">
        <v>2730</v>
      </c>
      <c r="B2522" s="15" t="s">
        <v>5</v>
      </c>
      <c r="C2522" s="10" t="s">
        <v>2731</v>
      </c>
      <c r="D2522" s="16" t="s">
        <v>7997</v>
      </c>
      <c r="E2522" s="15" t="s">
        <v>11215</v>
      </c>
      <c r="F2522" s="16" t="str">
        <f>VLOOKUP(Table8[[#This Row],[Mã khách hàng]],code_khach_hang[],2,0)</f>
        <v>CHI NHÁNH HÀ NỘI - CÔNG TY CỔ PHẦN DỊCH VỤ THƯƠNG MẠI TỔNG HỢP WINCOMMERCE</v>
      </c>
      <c r="G2522" s="16"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c r="A2523" s="14" t="s">
        <v>2391</v>
      </c>
      <c r="B2523" s="15" t="s">
        <v>5</v>
      </c>
      <c r="C2523" s="10" t="s">
        <v>2392</v>
      </c>
      <c r="D2523" s="16" t="s">
        <v>8000</v>
      </c>
      <c r="E2523" s="15" t="s">
        <v>11201</v>
      </c>
      <c r="F2523" s="16" t="str">
        <f>VLOOKUP(Table8[[#This Row],[Mã khách hàng]],code_khach_hang[],2,0)</f>
        <v>CHI NHÁNH HẢI DƯƠNG - CÔNG TY CỔ PHẦN DỊCH VỤ THƯƠNG MẠI TỔNG HỢP WINCOMMERCE</v>
      </c>
      <c r="G2523" s="16"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c r="A2524" s="14" t="s">
        <v>2521</v>
      </c>
      <c r="B2524" s="15" t="s">
        <v>5</v>
      </c>
      <c r="C2524" s="10" t="s">
        <v>2522</v>
      </c>
      <c r="D2524" s="16" t="s">
        <v>8003</v>
      </c>
      <c r="E2524" s="15" t="s">
        <v>11215</v>
      </c>
      <c r="F2524" s="16" t="str">
        <f>VLOOKUP(Table8[[#This Row],[Mã khách hàng]],code_khach_hang[],2,0)</f>
        <v>CHI NHÁNH HÀ NỘI - CÔNG TY CỔ PHẦN DỊCH VỤ THƯƠNG MẠI TỔNG HỢP WINCOMMERCE</v>
      </c>
      <c r="G2524" s="16"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c r="A2525" s="14" t="s">
        <v>2703</v>
      </c>
      <c r="B2525" s="15" t="s">
        <v>5</v>
      </c>
      <c r="C2525" s="10" t="s">
        <v>2704</v>
      </c>
      <c r="D2525" s="16" t="s">
        <v>8006</v>
      </c>
      <c r="E2525" s="15" t="s">
        <v>11215</v>
      </c>
      <c r="F2525" s="16" t="str">
        <f>VLOOKUP(Table8[[#This Row],[Mã khách hàng]],code_khach_hang[],2,0)</f>
        <v>CHI NHÁNH HÀ NỘI - CÔNG TY CỔ PHẦN DỊCH VỤ THƯƠNG MẠI TỔNG HỢP WINCOMMERCE</v>
      </c>
      <c r="G2525" s="16"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c r="A2526" s="14" t="s">
        <v>2715</v>
      </c>
      <c r="B2526" s="15" t="s">
        <v>5</v>
      </c>
      <c r="C2526" s="10" t="s">
        <v>2716</v>
      </c>
      <c r="D2526" s="16" t="s">
        <v>8009</v>
      </c>
      <c r="E2526" s="15" t="s">
        <v>11203</v>
      </c>
      <c r="F2526" s="16" t="str">
        <f>VLOOKUP(Table8[[#This Row],[Mã khách hàng]],code_khach_hang[],2,0)</f>
        <v>CHI NHÁNH THANH HÓA - CÔNG TY CỔ PHẦN DỊCH VỤ THƯƠNG MẠI TỔNG HỢP WINCOMMERCE</v>
      </c>
      <c r="G2526" s="16"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c r="A2527" s="14" t="s">
        <v>2718</v>
      </c>
      <c r="B2527" s="15" t="s">
        <v>5</v>
      </c>
      <c r="C2527" s="10" t="s">
        <v>2719</v>
      </c>
      <c r="D2527" s="16" t="s">
        <v>8012</v>
      </c>
      <c r="E2527" s="15" t="s">
        <v>11211</v>
      </c>
      <c r="F2527" s="16" t="str">
        <f>VLOOKUP(Table8[[#This Row],[Mã khách hàng]],code_khach_hang[],2,0)</f>
        <v>CHI NHÁNH NGHỆ AN - CÔNG TY CỔ PHẦN DỊCH VỤ THƯƠNG MẠI TỔNG HỢP WINCOMMERCE</v>
      </c>
      <c r="G2527" s="16"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c r="A2528" s="14" t="s">
        <v>2721</v>
      </c>
      <c r="B2528" s="15" t="s">
        <v>5</v>
      </c>
      <c r="C2528" s="10" t="s">
        <v>2722</v>
      </c>
      <c r="D2528" s="16" t="s">
        <v>8015</v>
      </c>
      <c r="E2528" s="15" t="s">
        <v>11215</v>
      </c>
      <c r="F2528" s="16" t="str">
        <f>VLOOKUP(Table8[[#This Row],[Mã khách hàng]],code_khach_hang[],2,0)</f>
        <v>CHI NHÁNH HÀ NỘI - CÔNG TY CỔ PHẦN DỊCH VỤ THƯƠNG MẠI TỔNG HỢP WINCOMMERCE</v>
      </c>
      <c r="G2528" s="16"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c r="A2529" s="14" t="s">
        <v>2727</v>
      </c>
      <c r="B2529" s="15" t="s">
        <v>5</v>
      </c>
      <c r="C2529" s="10" t="s">
        <v>2728</v>
      </c>
      <c r="D2529" s="16" t="s">
        <v>8018</v>
      </c>
      <c r="E2529" s="15" t="s">
        <v>11215</v>
      </c>
      <c r="F2529" s="16" t="str">
        <f>VLOOKUP(Table8[[#This Row],[Mã khách hàng]],code_khach_hang[],2,0)</f>
        <v>CHI NHÁNH HÀ NỘI - CÔNG TY CỔ PHẦN DỊCH VỤ THƯƠNG MẠI TỔNG HỢP WINCOMMERCE</v>
      </c>
      <c r="G2529" s="16"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c r="A2530" s="14" t="s">
        <v>2771</v>
      </c>
      <c r="B2530" s="15" t="s">
        <v>5</v>
      </c>
      <c r="C2530" s="10" t="s">
        <v>2772</v>
      </c>
      <c r="D2530" s="16" t="s">
        <v>8021</v>
      </c>
      <c r="E2530" s="15" t="s">
        <v>11203</v>
      </c>
      <c r="F2530" s="16" t="str">
        <f>VLOOKUP(Table8[[#This Row],[Mã khách hàng]],code_khach_hang[],2,0)</f>
        <v>CHI NHÁNH THANH HÓA - CÔNG TY CỔ PHẦN DỊCH VỤ THƯƠNG MẠI TỔNG HỢP WINCOMMERCE</v>
      </c>
      <c r="G2530" s="16"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c r="A2531" s="14" t="s">
        <v>2792</v>
      </c>
      <c r="B2531" s="15" t="s">
        <v>5</v>
      </c>
      <c r="C2531" s="10" t="s">
        <v>2793</v>
      </c>
      <c r="D2531" s="16" t="s">
        <v>8024</v>
      </c>
      <c r="E2531" s="15" t="s">
        <v>11203</v>
      </c>
      <c r="F2531" s="16" t="str">
        <f>VLOOKUP(Table8[[#This Row],[Mã khách hàng]],code_khach_hang[],2,0)</f>
        <v>CHI NHÁNH THANH HÓA - CÔNG TY CỔ PHẦN DỊCH VỤ THƯƠNG MẠI TỔNG HỢP WINCOMMERCE</v>
      </c>
      <c r="G2531" s="16"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c r="A2532" s="14" t="s">
        <v>2795</v>
      </c>
      <c r="B2532" s="15" t="s">
        <v>5</v>
      </c>
      <c r="C2532" s="10" t="s">
        <v>2796</v>
      </c>
      <c r="D2532" s="16" t="s">
        <v>8027</v>
      </c>
      <c r="E2532" s="15" t="s">
        <v>11200</v>
      </c>
      <c r="F2532" s="16" t="str">
        <f>VLOOKUP(Table8[[#This Row],[Mã khách hàng]],code_khach_hang[],2,0)</f>
        <v>CHI NHÁNH THÁI BÌNH - CÔNG TY CỔ PHẦN DỊCH VỤ THƯƠNG MẠI TỔNG HỢP WINCOMMERCE</v>
      </c>
      <c r="G2532" s="16"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c r="A2533" s="14" t="s">
        <v>2798</v>
      </c>
      <c r="B2533" s="15" t="s">
        <v>5</v>
      </c>
      <c r="C2533" s="10" t="s">
        <v>2799</v>
      </c>
      <c r="D2533" s="16" t="s">
        <v>8030</v>
      </c>
      <c r="E2533" s="15" t="s">
        <v>11200</v>
      </c>
      <c r="F2533" s="16" t="str">
        <f>VLOOKUP(Table8[[#This Row],[Mã khách hàng]],code_khach_hang[],2,0)</f>
        <v>CHI NHÁNH THÁI BÌNH - CÔNG TY CỔ PHẦN DỊCH VỤ THƯƠNG MẠI TỔNG HỢP WINCOMMERCE</v>
      </c>
      <c r="G2533" s="16"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c r="A2534" s="14" t="s">
        <v>2825</v>
      </c>
      <c r="B2534" s="15" t="s">
        <v>5</v>
      </c>
      <c r="C2534" s="10" t="s">
        <v>2826</v>
      </c>
      <c r="D2534" s="16" t="s">
        <v>8033</v>
      </c>
      <c r="E2534" s="15" t="s">
        <v>11215</v>
      </c>
      <c r="F2534" s="16" t="str">
        <f>VLOOKUP(Table8[[#This Row],[Mã khách hàng]],code_khach_hang[],2,0)</f>
        <v>CHI NHÁNH HÀ NỘI - CÔNG TY CỔ PHẦN DỊCH VỤ THƯƠNG MẠI TỔNG HỢP WINCOMMERCE</v>
      </c>
      <c r="G2534" s="16"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c r="A2535" s="14" t="s">
        <v>2828</v>
      </c>
      <c r="B2535" s="15" t="s">
        <v>5</v>
      </c>
      <c r="C2535" s="10" t="s">
        <v>2829</v>
      </c>
      <c r="D2535" s="16" t="s">
        <v>8036</v>
      </c>
      <c r="E2535" s="15" t="s">
        <v>11200</v>
      </c>
      <c r="F2535" s="16" t="str">
        <f>VLOOKUP(Table8[[#This Row],[Mã khách hàng]],code_khach_hang[],2,0)</f>
        <v>CHI NHÁNH THÁI BÌNH - CÔNG TY CỔ PHẦN DỊCH VỤ THƯƠNG MẠI TỔNG HỢP WINCOMMERCE</v>
      </c>
      <c r="G2535" s="16"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c r="A2536" s="14" t="s">
        <v>2840</v>
      </c>
      <c r="B2536" s="15" t="s">
        <v>5</v>
      </c>
      <c r="C2536" s="10" t="s">
        <v>2841</v>
      </c>
      <c r="D2536" s="16" t="s">
        <v>8039</v>
      </c>
      <c r="E2536" s="15" t="s">
        <v>11215</v>
      </c>
      <c r="F2536" s="16" t="str">
        <f>VLOOKUP(Table8[[#This Row],[Mã khách hàng]],code_khach_hang[],2,0)</f>
        <v>CHI NHÁNH HÀ NỘI - CÔNG TY CỔ PHẦN DỊCH VỤ THƯƠNG MẠI TỔNG HỢP WINCOMMERCE</v>
      </c>
      <c r="G2536" s="16"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c r="A2537" s="14" t="s">
        <v>2851</v>
      </c>
      <c r="B2537" s="15" t="s">
        <v>5</v>
      </c>
      <c r="C2537" s="10" t="s">
        <v>2852</v>
      </c>
      <c r="D2537" s="16" t="s">
        <v>8042</v>
      </c>
      <c r="E2537" s="15" t="s">
        <v>11215</v>
      </c>
      <c r="F2537" s="16" t="str">
        <f>VLOOKUP(Table8[[#This Row],[Mã khách hàng]],code_khach_hang[],2,0)</f>
        <v>CHI NHÁNH HÀ NỘI - CÔNG TY CỔ PHẦN DỊCH VỤ THƯƠNG MẠI TỔNG HỢP WINCOMMERCE</v>
      </c>
      <c r="G2537" s="16"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c r="A2538" s="14" t="s">
        <v>2709</v>
      </c>
      <c r="B2538" s="15" t="s">
        <v>5</v>
      </c>
      <c r="C2538" s="10" t="s">
        <v>2710</v>
      </c>
      <c r="D2538" s="16" t="s">
        <v>8045</v>
      </c>
      <c r="E2538" s="15" t="s">
        <v>11205</v>
      </c>
      <c r="F2538" s="16" t="str">
        <f>VLOOKUP(Table8[[#This Row],[Mã khách hàng]],code_khach_hang[],2,0)</f>
        <v>CHI NHÁNH HÀ TĨNH - CÔNG TY CỔ PHẦN DỊCH VỤ THƯƠNG MẠI TỔNG HỢP WINCOMMERCE</v>
      </c>
      <c r="G2538" s="16"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c r="A2539" s="14" t="s">
        <v>2736</v>
      </c>
      <c r="B2539" s="15" t="s">
        <v>5</v>
      </c>
      <c r="C2539" s="10" t="s">
        <v>2737</v>
      </c>
      <c r="D2539" s="16" t="s">
        <v>8048</v>
      </c>
      <c r="E2539" s="15" t="s">
        <v>11205</v>
      </c>
      <c r="F2539" s="16" t="str">
        <f>VLOOKUP(Table8[[#This Row],[Mã khách hàng]],code_khach_hang[],2,0)</f>
        <v>CHI NHÁNH HÀ TĨNH - CÔNG TY CỔ PHẦN DỊCH VỤ THƯƠNG MẠI TỔNG HỢP WINCOMMERCE</v>
      </c>
      <c r="G2539" s="16"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c r="A2540" s="14" t="s">
        <v>2846</v>
      </c>
      <c r="B2540" s="15" t="s">
        <v>5</v>
      </c>
      <c r="C2540" s="10">
        <v>0</v>
      </c>
      <c r="D2540" s="16" t="s">
        <v>8051</v>
      </c>
      <c r="E2540" s="15" t="s">
        <v>11198</v>
      </c>
      <c r="F2540" s="16" t="str">
        <f>VLOOKUP(Table8[[#This Row],[Mã khách hàng]],code_khach_hang[],2,0)</f>
        <v>CHI NHÁNH HẢI PHÒNG - CÔNG TY CỔ PHẦN DỊCH VỤ THƯƠNG MẠI TỔNG HỢP WINCOMMERCE</v>
      </c>
      <c r="G2540" s="16"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c r="A2541" s="14" t="s">
        <v>2124</v>
      </c>
      <c r="B2541" s="15" t="s">
        <v>5</v>
      </c>
      <c r="C2541" s="10" t="s">
        <v>2125</v>
      </c>
      <c r="D2541" s="16" t="s">
        <v>8054</v>
      </c>
      <c r="E2541" s="15" t="s">
        <v>11215</v>
      </c>
      <c r="F2541" s="16" t="str">
        <f>VLOOKUP(Table8[[#This Row],[Mã khách hàng]],code_khach_hang[],2,0)</f>
        <v>CHI NHÁNH HÀ NỘI - CÔNG TY CỔ PHẦN DỊCH VỤ THƯƠNG MẠI TỔNG HỢP WINCOMMERCE</v>
      </c>
      <c r="G2541" s="16"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c r="A2542" s="14" t="s">
        <v>2488</v>
      </c>
      <c r="B2542" s="15" t="s">
        <v>5</v>
      </c>
      <c r="C2542" s="10" t="s">
        <v>2489</v>
      </c>
      <c r="D2542" s="16" t="s">
        <v>8057</v>
      </c>
      <c r="E2542" s="15" t="s">
        <v>11215</v>
      </c>
      <c r="F2542" s="16" t="str">
        <f>VLOOKUP(Table8[[#This Row],[Mã khách hàng]],code_khach_hang[],2,0)</f>
        <v>CHI NHÁNH HÀ NỘI - CÔNG TY CỔ PHẦN DỊCH VỤ THƯƠNG MẠI TỔNG HỢP WINCOMMERCE</v>
      </c>
      <c r="G2542" s="16"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c r="A2543" s="14" t="s">
        <v>2801</v>
      </c>
      <c r="B2543" s="15" t="s">
        <v>5</v>
      </c>
      <c r="C2543" s="10" t="s">
        <v>2802</v>
      </c>
      <c r="D2543" s="16" t="s">
        <v>8060</v>
      </c>
      <c r="E2543" s="15" t="s">
        <v>11211</v>
      </c>
      <c r="F2543" s="16" t="str">
        <f>VLOOKUP(Table8[[#This Row],[Mã khách hàng]],code_khach_hang[],2,0)</f>
        <v>CHI NHÁNH NGHỆ AN - CÔNG TY CỔ PHẦN DỊCH VỤ THƯƠNG MẠI TỔNG HỢP WINCOMMERCE</v>
      </c>
      <c r="G2543" s="16"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c r="A2544" s="14" t="s">
        <v>2848</v>
      </c>
      <c r="B2544" s="15" t="s">
        <v>5</v>
      </c>
      <c r="C2544" s="10" t="s">
        <v>2849</v>
      </c>
      <c r="D2544" s="16" t="s">
        <v>8063</v>
      </c>
      <c r="E2544" s="15" t="s">
        <v>11215</v>
      </c>
      <c r="F2544" s="16" t="str">
        <f>VLOOKUP(Table8[[#This Row],[Mã khách hàng]],code_khach_hang[],2,0)</f>
        <v>CHI NHÁNH HÀ NỘI - CÔNG TY CỔ PHẦN DỊCH VỤ THƯƠNG MẠI TỔNG HỢP WINCOMMERCE</v>
      </c>
      <c r="G2544" s="16"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c r="A2545" s="14" t="s">
        <v>2854</v>
      </c>
      <c r="B2545" s="15" t="s">
        <v>5</v>
      </c>
      <c r="C2545" s="10" t="s">
        <v>2855</v>
      </c>
      <c r="D2545" s="16" t="s">
        <v>8066</v>
      </c>
      <c r="E2545" s="15" t="s">
        <v>11201</v>
      </c>
      <c r="F2545" s="16" t="str">
        <f>VLOOKUP(Table8[[#This Row],[Mã khách hàng]],code_khach_hang[],2,0)</f>
        <v>CHI NHÁNH HẢI DƯƠNG - CÔNG TY CỔ PHẦN DỊCH VỤ THƯƠNG MẠI TỔNG HỢP WINCOMMERCE</v>
      </c>
      <c r="G2545" s="16"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c r="A2546" s="14" t="s">
        <v>2863</v>
      </c>
      <c r="B2546" s="15" t="s">
        <v>5</v>
      </c>
      <c r="C2546" s="10" t="s">
        <v>2864</v>
      </c>
      <c r="D2546" s="16" t="s">
        <v>8069</v>
      </c>
      <c r="E2546" s="15" t="s">
        <v>11203</v>
      </c>
      <c r="F2546" s="16" t="str">
        <f>VLOOKUP(Table8[[#This Row],[Mã khách hàng]],code_khach_hang[],2,0)</f>
        <v>CHI NHÁNH THANH HÓA - CÔNG TY CỔ PHẦN DỊCH VỤ THƯƠNG MẠI TỔNG HỢP WINCOMMERCE</v>
      </c>
      <c r="G2546" s="16"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c r="A2547" s="14" t="s">
        <v>2843</v>
      </c>
      <c r="B2547" s="15" t="s">
        <v>5</v>
      </c>
      <c r="C2547" s="10" t="s">
        <v>2844</v>
      </c>
      <c r="D2547" s="16" t="s">
        <v>8072</v>
      </c>
      <c r="E2547" s="15" t="s">
        <v>11197</v>
      </c>
      <c r="F2547" s="16" t="str">
        <f>VLOOKUP(Table8[[#This Row],[Mã khách hàng]],code_khach_hang[],2,0)</f>
        <v>CHI NHÁNH QUẢNG NINH - CÔNG TY CỔ PHẦN DỊCH VỤ THƯƠNG MẠI TỔNG HỢP WINCOMMERCE</v>
      </c>
      <c r="G2547" s="16"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c r="A2548" s="14" t="s">
        <v>2789</v>
      </c>
      <c r="B2548" s="15" t="s">
        <v>5</v>
      </c>
      <c r="C2548" s="10" t="s">
        <v>2790</v>
      </c>
      <c r="D2548" s="16" t="s">
        <v>8075</v>
      </c>
      <c r="E2548" s="15" t="s">
        <v>11215</v>
      </c>
      <c r="F2548" s="16" t="str">
        <f>VLOOKUP(Table8[[#This Row],[Mã khách hàng]],code_khach_hang[],2,0)</f>
        <v>CHI NHÁNH HÀ NỘI - CÔNG TY CỔ PHẦN DỊCH VỤ THƯƠNG MẠI TỔNG HỢP WINCOMMERCE</v>
      </c>
      <c r="G2548" s="16"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c r="A2549" s="14" t="s">
        <v>2628</v>
      </c>
      <c r="B2549" s="15" t="s">
        <v>5</v>
      </c>
      <c r="C2549" s="10">
        <v>0</v>
      </c>
      <c r="D2549" s="16" t="s">
        <v>8078</v>
      </c>
      <c r="E2549" s="15" t="s">
        <v>11217</v>
      </c>
      <c r="F2549" s="16" t="str">
        <f>VLOOKUP(Table8[[#This Row],[Mã khách hàng]],code_khach_hang[],2,0)</f>
        <v>CHI NHÁNH BẮC GIANG - CÔNG TY CỔ PHẦN DỊCH VỤ THƯƠNG MẠI TỔNG HỢP WINCOMMERCE</v>
      </c>
      <c r="G2549" s="16"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c r="A2550" s="14" t="s">
        <v>2498</v>
      </c>
      <c r="B2550" s="15" t="s">
        <v>5</v>
      </c>
      <c r="C2550" s="10" t="s">
        <v>2499</v>
      </c>
      <c r="D2550" s="16" t="s">
        <v>8081</v>
      </c>
      <c r="E2550" s="15" t="s">
        <v>11198</v>
      </c>
      <c r="F2550" s="16" t="str">
        <f>VLOOKUP(Table8[[#This Row],[Mã khách hàng]],code_khach_hang[],2,0)</f>
        <v>CHI NHÁNH HẢI PHÒNG - CÔNG TY CỔ PHẦN DỊCH VỤ THƯƠNG MẠI TỔNG HỢP WINCOMMERCE</v>
      </c>
      <c r="G2550" s="16"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c r="A2551" s="14" t="s">
        <v>2869</v>
      </c>
      <c r="B2551" s="15" t="s">
        <v>5</v>
      </c>
      <c r="C2551" s="10" t="s">
        <v>2870</v>
      </c>
      <c r="D2551" s="16" t="s">
        <v>8084</v>
      </c>
      <c r="E2551" s="15" t="s">
        <v>11194</v>
      </c>
      <c r="F2551" s="16" t="str">
        <f>VLOOKUP(Table8[[#This Row],[Mã khách hàng]],code_khach_hang[],2,0)</f>
        <v>CHI NHÁNH VĨNH PHÚC - CÔNG TY CỔ PHẦN DỊCH VỤ THƯƠNG MẠI TỔNG HỢP WINCOMMERCE</v>
      </c>
      <c r="G2551" s="16"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c r="A2552" s="14" t="s">
        <v>2857</v>
      </c>
      <c r="B2552" s="15" t="s">
        <v>5</v>
      </c>
      <c r="C2552" s="10" t="s">
        <v>2858</v>
      </c>
      <c r="D2552" s="16" t="s">
        <v>8087</v>
      </c>
      <c r="E2552" s="15" t="s">
        <v>11215</v>
      </c>
      <c r="F2552" s="16" t="str">
        <f>VLOOKUP(Table8[[#This Row],[Mã khách hàng]],code_khach_hang[],2,0)</f>
        <v>CHI NHÁNH HÀ NỘI - CÔNG TY CỔ PHẦN DỊCH VỤ THƯƠNG MẠI TỔNG HỢP WINCOMMERCE</v>
      </c>
      <c r="G2552" s="16"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c r="A2553" s="14" t="s">
        <v>2661</v>
      </c>
      <c r="B2553" s="15" t="s">
        <v>5</v>
      </c>
      <c r="C2553" s="10" t="s">
        <v>2662</v>
      </c>
      <c r="D2553" s="16" t="s">
        <v>8090</v>
      </c>
      <c r="E2553" s="15" t="s">
        <v>11215</v>
      </c>
      <c r="F2553" s="16" t="str">
        <f>VLOOKUP(Table8[[#This Row],[Mã khách hàng]],code_khach_hang[],2,0)</f>
        <v>CHI NHÁNH HÀ NỘI - CÔNG TY CỔ PHẦN DỊCH VỤ THƯƠNG MẠI TỔNG HỢP WINCOMMERCE</v>
      </c>
      <c r="G2553" s="16"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c r="A2554" s="14" t="s">
        <v>2875</v>
      </c>
      <c r="B2554" s="15" t="s">
        <v>5</v>
      </c>
      <c r="C2554" s="10" t="s">
        <v>2876</v>
      </c>
      <c r="D2554" s="16" t="s">
        <v>8093</v>
      </c>
      <c r="E2554" s="15" t="s">
        <v>11215</v>
      </c>
      <c r="F2554" s="16" t="str">
        <f>VLOOKUP(Table8[[#This Row],[Mã khách hàng]],code_khach_hang[],2,0)</f>
        <v>CHI NHÁNH HÀ NỘI - CÔNG TY CỔ PHẦN DỊCH VỤ THƯƠNG MẠI TỔNG HỢP WINCOMMERCE</v>
      </c>
      <c r="G2554" s="16"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c r="A2555" s="14" t="s">
        <v>2878</v>
      </c>
      <c r="B2555" s="15" t="s">
        <v>5</v>
      </c>
      <c r="C2555" s="10" t="s">
        <v>2879</v>
      </c>
      <c r="D2555" s="16" t="s">
        <v>8096</v>
      </c>
      <c r="E2555" s="15" t="s">
        <v>11215</v>
      </c>
      <c r="F2555" s="16" t="str">
        <f>VLOOKUP(Table8[[#This Row],[Mã khách hàng]],code_khach_hang[],2,0)</f>
        <v>CHI NHÁNH HÀ NỘI - CÔNG TY CỔ PHẦN DỊCH VỤ THƯƠNG MẠI TỔNG HỢP WINCOMMERCE</v>
      </c>
      <c r="G2555" s="16"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c r="A2556" s="14" t="s">
        <v>2724</v>
      </c>
      <c r="B2556" s="15" t="s">
        <v>5</v>
      </c>
      <c r="C2556" s="10" t="s">
        <v>2725</v>
      </c>
      <c r="D2556" s="16" t="s">
        <v>8099</v>
      </c>
      <c r="E2556" s="15" t="s">
        <v>11215</v>
      </c>
      <c r="F2556" s="16" t="str">
        <f>VLOOKUP(Table8[[#This Row],[Mã khách hàng]],code_khach_hang[],2,0)</f>
        <v>CHI NHÁNH HÀ NỘI - CÔNG TY CỔ PHẦN DỊCH VỤ THƯƠNG MẠI TỔNG HỢP WINCOMMERCE</v>
      </c>
      <c r="G2556" s="16"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c r="A2557" s="14" t="s">
        <v>2881</v>
      </c>
      <c r="B2557" s="15" t="s">
        <v>5</v>
      </c>
      <c r="C2557" s="10" t="s">
        <v>2882</v>
      </c>
      <c r="D2557" s="16" t="s">
        <v>8102</v>
      </c>
      <c r="E2557" s="15" t="s">
        <v>11215</v>
      </c>
      <c r="F2557" s="16" t="str">
        <f>VLOOKUP(Table8[[#This Row],[Mã khách hàng]],code_khach_hang[],2,0)</f>
        <v>CHI NHÁNH HÀ NỘI - CÔNG TY CỔ PHẦN DỊCH VỤ THƯƠNG MẠI TỔNG HỢP WINCOMMERCE</v>
      </c>
      <c r="G2557" s="16"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c r="A2558" s="14" t="s">
        <v>2733</v>
      </c>
      <c r="B2558" s="15" t="s">
        <v>5</v>
      </c>
      <c r="C2558" s="10" t="s">
        <v>2734</v>
      </c>
      <c r="D2558" s="16" t="s">
        <v>8105</v>
      </c>
      <c r="E2558" s="15" t="s">
        <v>11215</v>
      </c>
      <c r="F2558" s="16" t="str">
        <f>VLOOKUP(Table8[[#This Row],[Mã khách hàng]],code_khach_hang[],2,0)</f>
        <v>CHI NHÁNH HÀ NỘI - CÔNG TY CỔ PHẦN DỊCH VỤ THƯƠNG MẠI TỔNG HỢP WINCOMMERCE</v>
      </c>
      <c r="G2558" s="16"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c r="A2559" s="14" t="s">
        <v>2890</v>
      </c>
      <c r="B2559" s="15" t="s">
        <v>5</v>
      </c>
      <c r="C2559" s="10" t="s">
        <v>2891</v>
      </c>
      <c r="D2559" s="16" t="s">
        <v>8108</v>
      </c>
      <c r="E2559" s="15" t="s">
        <v>11215</v>
      </c>
      <c r="F2559" s="16" t="str">
        <f>VLOOKUP(Table8[[#This Row],[Mã khách hàng]],code_khach_hang[],2,0)</f>
        <v>CHI NHÁNH HÀ NỘI - CÔNG TY CỔ PHẦN DỊCH VỤ THƯƠNG MẠI TỔNG HỢP WINCOMMERCE</v>
      </c>
      <c r="G2559" s="16"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c r="A2560" s="14" t="s">
        <v>2739</v>
      </c>
      <c r="B2560" s="15" t="s">
        <v>5</v>
      </c>
      <c r="C2560" s="10" t="s">
        <v>2740</v>
      </c>
      <c r="D2560" s="16" t="s">
        <v>8111</v>
      </c>
      <c r="E2560" s="15" t="s">
        <v>11215</v>
      </c>
      <c r="F2560" s="16" t="str">
        <f>VLOOKUP(Table8[[#This Row],[Mã khách hàng]],code_khach_hang[],2,0)</f>
        <v>CHI NHÁNH HÀ NỘI - CÔNG TY CỔ PHẦN DỊCH VỤ THƯƠNG MẠI TỔNG HỢP WINCOMMERCE</v>
      </c>
      <c r="G2560" s="16"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c r="A2561" s="14" t="s">
        <v>2765</v>
      </c>
      <c r="B2561" s="15" t="s">
        <v>5</v>
      </c>
      <c r="C2561" s="10" t="s">
        <v>2766</v>
      </c>
      <c r="D2561" s="16" t="s">
        <v>8114</v>
      </c>
      <c r="E2561" s="15" t="s">
        <v>11203</v>
      </c>
      <c r="F2561" s="16" t="str">
        <f>VLOOKUP(Table8[[#This Row],[Mã khách hàng]],code_khach_hang[],2,0)</f>
        <v>CHI NHÁNH THANH HÓA - CÔNG TY CỔ PHẦN DỊCH VỤ THƯƠNG MẠI TỔNG HỢP WINCOMMERCE</v>
      </c>
      <c r="G2561" s="16"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c r="A2562" s="14" t="s">
        <v>2893</v>
      </c>
      <c r="B2562" s="15" t="s">
        <v>5</v>
      </c>
      <c r="C2562" s="10" t="s">
        <v>2894</v>
      </c>
      <c r="D2562" s="16" t="s">
        <v>8117</v>
      </c>
      <c r="E2562" s="15" t="s">
        <v>11215</v>
      </c>
      <c r="F2562" s="16" t="str">
        <f>VLOOKUP(Table8[[#This Row],[Mã khách hàng]],code_khach_hang[],2,0)</f>
        <v>CHI NHÁNH HÀ NỘI - CÔNG TY CỔ PHẦN DỊCH VỤ THƯƠNG MẠI TỔNG HỢP WINCOMMERCE</v>
      </c>
      <c r="G2562" s="16"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c r="A2563" s="14" t="s">
        <v>2902</v>
      </c>
      <c r="B2563" s="15" t="s">
        <v>5</v>
      </c>
      <c r="C2563" s="10" t="s">
        <v>2903</v>
      </c>
      <c r="D2563" s="16" t="s">
        <v>8120</v>
      </c>
      <c r="E2563" s="15" t="s">
        <v>11211</v>
      </c>
      <c r="F2563" s="16" t="str">
        <f>VLOOKUP(Table8[[#This Row],[Mã khách hàng]],code_khach_hang[],2,0)</f>
        <v>CHI NHÁNH NGHỆ AN - CÔNG TY CỔ PHẦN DỊCH VỤ THƯƠNG MẠI TỔNG HỢP WINCOMMERCE</v>
      </c>
      <c r="G2563" s="16"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c r="A2564" s="14" t="s">
        <v>2777</v>
      </c>
      <c r="B2564" s="15" t="s">
        <v>5</v>
      </c>
      <c r="C2564" s="10" t="s">
        <v>2778</v>
      </c>
      <c r="D2564" s="16" t="s">
        <v>8123</v>
      </c>
      <c r="E2564" s="15" t="s">
        <v>11203</v>
      </c>
      <c r="F2564" s="16" t="str">
        <f>VLOOKUP(Table8[[#This Row],[Mã khách hàng]],code_khach_hang[],2,0)</f>
        <v>CHI NHÁNH THANH HÓA - CÔNG TY CỔ PHẦN DỊCH VỤ THƯƠNG MẠI TỔNG HỢP WINCOMMERCE</v>
      </c>
      <c r="G2564" s="16"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c r="A2565" s="14" t="s">
        <v>2905</v>
      </c>
      <c r="B2565" s="15" t="s">
        <v>5</v>
      </c>
      <c r="C2565" s="10" t="s">
        <v>2906</v>
      </c>
      <c r="D2565" s="16" t="s">
        <v>8126</v>
      </c>
      <c r="E2565" s="15" t="s">
        <v>11215</v>
      </c>
      <c r="F2565" s="16" t="str">
        <f>VLOOKUP(Table8[[#This Row],[Mã khách hàng]],code_khach_hang[],2,0)</f>
        <v>CHI NHÁNH HÀ NỘI - CÔNG TY CỔ PHẦN DỊCH VỤ THƯƠNG MẠI TỔNG HỢP WINCOMMERCE</v>
      </c>
      <c r="G2565" s="16"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c r="A2566" s="14" t="s">
        <v>2786</v>
      </c>
      <c r="B2566" s="15" t="s">
        <v>5</v>
      </c>
      <c r="C2566" s="10" t="s">
        <v>2787</v>
      </c>
      <c r="D2566" s="16" t="s">
        <v>8129</v>
      </c>
      <c r="E2566" s="15" t="s">
        <v>11215</v>
      </c>
      <c r="F2566" s="16" t="str">
        <f>VLOOKUP(Table8[[#This Row],[Mã khách hàng]],code_khach_hang[],2,0)</f>
        <v>CHI NHÁNH HÀ NỘI - CÔNG TY CỔ PHẦN DỊCH VỤ THƯƠNG MẠI TỔNG HỢP WINCOMMERCE</v>
      </c>
      <c r="G2566" s="16"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c r="A2567" s="14" t="s">
        <v>2914</v>
      </c>
      <c r="B2567" s="15" t="s">
        <v>5</v>
      </c>
      <c r="C2567" s="10" t="s">
        <v>2915</v>
      </c>
      <c r="D2567" s="16" t="s">
        <v>8132</v>
      </c>
      <c r="E2567" s="15" t="s">
        <v>11203</v>
      </c>
      <c r="F2567" s="16" t="str">
        <f>VLOOKUP(Table8[[#This Row],[Mã khách hàng]],code_khach_hang[],2,0)</f>
        <v>CHI NHÁNH THANH HÓA - CÔNG TY CỔ PHẦN DỊCH VỤ THƯƠNG MẠI TỔNG HỢP WINCOMMERCE</v>
      </c>
      <c r="G2567" s="16"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c r="A2568" s="14" t="s">
        <v>9263</v>
      </c>
      <c r="B2568" s="15" t="s">
        <v>5</v>
      </c>
      <c r="C2568" s="10" t="s">
        <v>9264</v>
      </c>
      <c r="D2568" s="16" t="s">
        <v>8135</v>
      </c>
      <c r="E2568" s="15" t="s">
        <v>11203</v>
      </c>
      <c r="F2568" s="16" t="str">
        <f>VLOOKUP(Table8[[#This Row],[Mã khách hàng]],code_khach_hang[],2,0)</f>
        <v>CHI NHÁNH THANH HÓA - CÔNG TY CỔ PHẦN DỊCH VỤ THƯƠNG MẠI TỔNG HỢP WINCOMMERCE</v>
      </c>
      <c r="G2568" s="16"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c r="A2569" s="14" t="s">
        <v>2917</v>
      </c>
      <c r="B2569" s="15" t="s">
        <v>5</v>
      </c>
      <c r="C2569" s="10" t="s">
        <v>2918</v>
      </c>
      <c r="D2569" s="16" t="s">
        <v>8138</v>
      </c>
      <c r="E2569" s="15" t="s">
        <v>11201</v>
      </c>
      <c r="F2569" s="16" t="str">
        <f>VLOOKUP(Table8[[#This Row],[Mã khách hàng]],code_khach_hang[],2,0)</f>
        <v>CHI NHÁNH HẢI DƯƠNG - CÔNG TY CỔ PHẦN DỊCH VỤ THƯƠNG MẠI TỔNG HỢP WINCOMMERCE</v>
      </c>
      <c r="G2569" s="16"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c r="A2570" s="14" t="s">
        <v>2931</v>
      </c>
      <c r="B2570" s="15" t="s">
        <v>5</v>
      </c>
      <c r="C2570" s="10" t="s">
        <v>2932</v>
      </c>
      <c r="D2570" s="16" t="s">
        <v>8141</v>
      </c>
      <c r="E2570" s="15" t="s">
        <v>11211</v>
      </c>
      <c r="F2570" s="16" t="str">
        <f>VLOOKUP(Table8[[#This Row],[Mã khách hàng]],code_khach_hang[],2,0)</f>
        <v>CHI NHÁNH NGHỆ AN - CÔNG TY CỔ PHẦN DỊCH VỤ THƯƠNG MẠI TỔNG HỢP WINCOMMERCE</v>
      </c>
      <c r="G2570" s="16"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c r="A2571" s="14" t="s">
        <v>2837</v>
      </c>
      <c r="B2571" s="15" t="s">
        <v>5</v>
      </c>
      <c r="C2571" s="10" t="s">
        <v>2838</v>
      </c>
      <c r="D2571" s="16" t="s">
        <v>8144</v>
      </c>
      <c r="E2571" s="15" t="s">
        <v>11198</v>
      </c>
      <c r="F2571" s="16" t="str">
        <f>VLOOKUP(Table8[[#This Row],[Mã khách hàng]],code_khach_hang[],2,0)</f>
        <v>CHI NHÁNH HẢI PHÒNG - CÔNG TY CỔ PHẦN DỊCH VỤ THƯƠNG MẠI TỔNG HỢP WINCOMMERCE</v>
      </c>
      <c r="G2571" s="16"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c r="A2572" s="14" t="s">
        <v>2958</v>
      </c>
      <c r="B2572" s="15" t="s">
        <v>5</v>
      </c>
      <c r="C2572" s="10" t="s">
        <v>2959</v>
      </c>
      <c r="D2572" s="16" t="s">
        <v>8147</v>
      </c>
      <c r="E2572" s="15" t="s">
        <v>11215</v>
      </c>
      <c r="F2572" s="16" t="str">
        <f>VLOOKUP(Table8[[#This Row],[Mã khách hàng]],code_khach_hang[],2,0)</f>
        <v>CHI NHÁNH HÀ NỘI - CÔNG TY CỔ PHẦN DỊCH VỤ THƯƠNG MẠI TỔNG HỢP WINCOMMERCE</v>
      </c>
      <c r="G2572" s="16"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c r="A2573" s="14" t="s">
        <v>2774</v>
      </c>
      <c r="B2573" s="15" t="s">
        <v>5</v>
      </c>
      <c r="C2573" s="10" t="s">
        <v>2775</v>
      </c>
      <c r="D2573" s="16" t="s">
        <v>8150</v>
      </c>
      <c r="E2573" s="15" t="s">
        <v>11205</v>
      </c>
      <c r="F2573" s="16" t="str">
        <f>VLOOKUP(Table8[[#This Row],[Mã khách hàng]],code_khach_hang[],2,0)</f>
        <v>CHI NHÁNH HÀ TĨNH - CÔNG TY CỔ PHẦN DỊCH VỤ THƯƠNG MẠI TỔNG HỢP WINCOMMERCE</v>
      </c>
      <c r="G2573" s="16"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c r="A2574" s="14" t="s">
        <v>2860</v>
      </c>
      <c r="B2574" s="15" t="s">
        <v>5</v>
      </c>
      <c r="C2574" s="10" t="s">
        <v>2861</v>
      </c>
      <c r="D2574" s="16" t="s">
        <v>8153</v>
      </c>
      <c r="E2574" s="15" t="s">
        <v>11216</v>
      </c>
      <c r="F2574" s="16" t="str">
        <f>VLOOKUP(Table8[[#This Row],[Mã khách hàng]],code_khach_hang[],2,0)</f>
        <v>CHI NHÁNH HƯNG YÊN - CÔNG TY CỔ PHẦN DỊCH VỤ THƯƠNG MẠI TỔNG HỢP WINCOMMERCE</v>
      </c>
      <c r="G2574" s="16"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c r="A2575" s="14" t="s">
        <v>2834</v>
      </c>
      <c r="B2575" s="15" t="s">
        <v>5</v>
      </c>
      <c r="C2575" s="10" t="s">
        <v>2835</v>
      </c>
      <c r="D2575" s="16" t="s">
        <v>8156</v>
      </c>
      <c r="E2575" s="15" t="s">
        <v>11200</v>
      </c>
      <c r="F2575" s="16" t="str">
        <f>VLOOKUP(Table8[[#This Row],[Mã khách hàng]],code_khach_hang[],2,0)</f>
        <v>CHI NHÁNH THÁI BÌNH - CÔNG TY CỔ PHẦN DỊCH VỤ THƯƠNG MẠI TỔNG HỢP WINCOMMERCE</v>
      </c>
      <c r="G2575" s="16"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c r="A2576" s="14" t="s">
        <v>2884</v>
      </c>
      <c r="B2576" s="15" t="s">
        <v>5</v>
      </c>
      <c r="C2576" s="10" t="s">
        <v>2885</v>
      </c>
      <c r="D2576" s="16" t="s">
        <v>8159</v>
      </c>
      <c r="E2576" s="15" t="s">
        <v>11219</v>
      </c>
      <c r="F2576" s="16" t="str">
        <f>VLOOKUP(Table8[[#This Row],[Mã khách hàng]],code_khach_hang[],2,0)</f>
        <v>CHI NHÁNH NAM ĐỊNH - CÔNG TY CỔ PHẦN DỊCH VỤ THƯƠNG MẠI TỔNG HỢP WINCOMMERCE</v>
      </c>
      <c r="G2576" s="16"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c r="A2577" s="14" t="s">
        <v>2920</v>
      </c>
      <c r="B2577" s="15" t="s">
        <v>5</v>
      </c>
      <c r="C2577" s="10" t="s">
        <v>2921</v>
      </c>
      <c r="D2577" s="16" t="s">
        <v>8162</v>
      </c>
      <c r="E2577" s="15" t="s">
        <v>11201</v>
      </c>
      <c r="F2577" s="16" t="str">
        <f>VLOOKUP(Table8[[#This Row],[Mã khách hàng]],code_khach_hang[],2,0)</f>
        <v>CHI NHÁNH HẢI DƯƠNG - CÔNG TY CỔ PHẦN DỊCH VỤ THƯƠNG MẠI TỔNG HỢP WINCOMMERCE</v>
      </c>
      <c r="G2577" s="16"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c r="A2578" s="14" t="s">
        <v>2926</v>
      </c>
      <c r="B2578" s="15" t="s">
        <v>5</v>
      </c>
      <c r="C2578" s="10" t="s">
        <v>13171</v>
      </c>
      <c r="D2578" s="16" t="s">
        <v>8165</v>
      </c>
      <c r="E2578" s="15" t="s">
        <v>11215</v>
      </c>
      <c r="F2578" s="16" t="str">
        <f>VLOOKUP(Table8[[#This Row],[Mã khách hàng]],code_khach_hang[],2,0)</f>
        <v>CHI NHÁNH HÀ NỘI - CÔNG TY CỔ PHẦN DỊCH VỤ THƯƠNG MẠI TỔNG HỢP WINCOMMERCE</v>
      </c>
      <c r="G2578" s="16"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c r="A2579" s="14" t="s">
        <v>2742</v>
      </c>
      <c r="B2579" s="15" t="s">
        <v>5</v>
      </c>
      <c r="C2579" s="10" t="s">
        <v>2743</v>
      </c>
      <c r="D2579" s="16" t="s">
        <v>8168</v>
      </c>
      <c r="E2579" s="15" t="s">
        <v>11198</v>
      </c>
      <c r="F2579" s="16" t="str">
        <f>VLOOKUP(Table8[[#This Row],[Mã khách hàng]],code_khach_hang[],2,0)</f>
        <v>CHI NHÁNH HẢI PHÒNG - CÔNG TY CỔ PHẦN DỊCH VỤ THƯƠNG MẠI TỔNG HỢP WINCOMMERCE</v>
      </c>
      <c r="G2579" s="16"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c r="A2580" s="14" t="s">
        <v>2899</v>
      </c>
      <c r="B2580" s="15" t="s">
        <v>5</v>
      </c>
      <c r="C2580" s="10" t="s">
        <v>2900</v>
      </c>
      <c r="D2580" s="16" t="s">
        <v>8171</v>
      </c>
      <c r="E2580" s="15" t="s">
        <v>11211</v>
      </c>
      <c r="F2580" s="16" t="str">
        <f>VLOOKUP(Table8[[#This Row],[Mã khách hàng]],code_khach_hang[],2,0)</f>
        <v>CHI NHÁNH NGHỆ AN - CÔNG TY CỔ PHẦN DỊCH VỤ THƯƠNG MẠI TỔNG HỢP WINCOMMERCE</v>
      </c>
      <c r="G2580" s="16"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c r="A2581" s="14" t="s">
        <v>2943</v>
      </c>
      <c r="B2581" s="15" t="s">
        <v>5</v>
      </c>
      <c r="C2581" s="10" t="s">
        <v>2944</v>
      </c>
      <c r="D2581" s="16" t="s">
        <v>8174</v>
      </c>
      <c r="E2581" s="15" t="s">
        <v>11215</v>
      </c>
      <c r="F2581" s="16" t="str">
        <f>VLOOKUP(Table8[[#This Row],[Mã khách hàng]],code_khach_hang[],2,0)</f>
        <v>CHI NHÁNH HÀ NỘI - CÔNG TY CỔ PHẦN DỊCH VỤ THƯƠNG MẠI TỔNG HỢP WINCOMMERCE</v>
      </c>
      <c r="G2581" s="16"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c r="A2582" s="14" t="s">
        <v>2946</v>
      </c>
      <c r="B2582" s="15" t="s">
        <v>5</v>
      </c>
      <c r="C2582" s="10" t="s">
        <v>2947</v>
      </c>
      <c r="D2582" s="16" t="s">
        <v>8177</v>
      </c>
      <c r="E2582" s="15" t="s">
        <v>11199</v>
      </c>
      <c r="F2582" s="16" t="str">
        <f>VLOOKUP(Table8[[#This Row],[Mã khách hàng]],code_khach_hang[],2,0)</f>
        <v>CHI NHÁNH PHÚ THỌ - CÔNG TY CỔ PHẦN DỊCH VỤ THƯƠNG MẠI TỔNG HỢP WINCOMMERCE</v>
      </c>
      <c r="G2582" s="16"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c r="A2583" s="14" t="s">
        <v>2955</v>
      </c>
      <c r="B2583" s="15" t="s">
        <v>5</v>
      </c>
      <c r="C2583" s="10" t="s">
        <v>2956</v>
      </c>
      <c r="D2583" s="16" t="s">
        <v>8180</v>
      </c>
      <c r="E2583" s="14" t="s">
        <v>11210</v>
      </c>
      <c r="F2583" s="16" t="str">
        <f>VLOOKUP(Table8[[#This Row],[Mã khách hàng]],code_khach_hang[],2,0)</f>
        <v>CHI NHÁNH HÀ NAM - CÔNG TY CỔ PHẦN DỊCH VỤ THƯƠNG MẠI TỔNG HỢP WINCOMMERCE</v>
      </c>
      <c r="G2583" s="16" t="str">
        <f>VLOOKUP(Table8[[#This Row],[Mã khách hàng]],code_khach_hang[],3,0)</f>
        <v>Miền Bắc đặc biệt 3</v>
      </c>
      <c r="H2583" t="str">
        <f>VLOOKUP(Table8[[#This Row],[Mã khách hàng]],'Khách hàng'!A:D,4,0)</f>
        <v>Food Đức Việt</v>
      </c>
      <c r="I2583" t="str">
        <f>VLOOKUP(Table8[[#This Row],[Mã khách hàng]],'Khách hàng'!A:E,5,0)</f>
        <v>HN0040</v>
      </c>
    </row>
    <row r="2584" spans="1:9">
      <c r="A2584" s="14" t="s">
        <v>2961</v>
      </c>
      <c r="B2584" s="15" t="s">
        <v>5</v>
      </c>
      <c r="C2584" s="10" t="s">
        <v>2962</v>
      </c>
      <c r="D2584" s="16" t="s">
        <v>8183</v>
      </c>
      <c r="E2584" s="15" t="s">
        <v>11215</v>
      </c>
      <c r="F2584" s="16" t="str">
        <f>VLOOKUP(Table8[[#This Row],[Mã khách hàng]],code_khach_hang[],2,0)</f>
        <v>CHI NHÁNH HÀ NỘI - CÔNG TY CỔ PHẦN DỊCH VỤ THƯƠNG MẠI TỔNG HỢP WINCOMMERCE</v>
      </c>
      <c r="G2584" s="16"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c r="A2585" s="14" t="s">
        <v>2997</v>
      </c>
      <c r="B2585" s="15" t="s">
        <v>5</v>
      </c>
      <c r="C2585" s="10" t="s">
        <v>2998</v>
      </c>
      <c r="D2585" s="16" t="s">
        <v>8186</v>
      </c>
      <c r="E2585" s="15" t="s">
        <v>11198</v>
      </c>
      <c r="F2585" s="16" t="str">
        <f>VLOOKUP(Table8[[#This Row],[Mã khách hàng]],code_khach_hang[],2,0)</f>
        <v>CHI NHÁNH HẢI PHÒNG - CÔNG TY CỔ PHẦN DỊCH VỤ THƯƠNG MẠI TỔNG HỢP WINCOMMERCE</v>
      </c>
      <c r="G2585" s="16"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c r="A2586" s="14" t="s">
        <v>2940</v>
      </c>
      <c r="B2586" s="15" t="s">
        <v>5</v>
      </c>
      <c r="C2586" s="10" t="s">
        <v>2941</v>
      </c>
      <c r="D2586" s="16" t="s">
        <v>8189</v>
      </c>
      <c r="E2586" s="15" t="s">
        <v>11215</v>
      </c>
      <c r="F2586" s="16" t="str">
        <f>VLOOKUP(Table8[[#This Row],[Mã khách hàng]],code_khach_hang[],2,0)</f>
        <v>CHI NHÁNH HÀ NỘI - CÔNG TY CỔ PHẦN DỊCH VỤ THƯƠNG MẠI TỔNG HỢP WINCOMMERCE</v>
      </c>
      <c r="G2586" s="16"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c r="A2587" s="14" t="s">
        <v>2928</v>
      </c>
      <c r="B2587" s="15" t="s">
        <v>5</v>
      </c>
      <c r="C2587" s="10" t="s">
        <v>2929</v>
      </c>
      <c r="D2587" s="16" t="s">
        <v>8191</v>
      </c>
      <c r="E2587" s="15" t="s">
        <v>11201</v>
      </c>
      <c r="F2587" s="16" t="str">
        <f>VLOOKUP(Table8[[#This Row],[Mã khách hàng]],code_khach_hang[],2,0)</f>
        <v>CHI NHÁNH HẢI DƯƠNG - CÔNG TY CỔ PHẦN DỊCH VỤ THƯƠNG MẠI TỔNG HỢP WINCOMMERCE</v>
      </c>
      <c r="G2587" s="16"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c r="A2588" s="14" t="s">
        <v>2982</v>
      </c>
      <c r="B2588" s="15" t="s">
        <v>5</v>
      </c>
      <c r="C2588" s="10" t="s">
        <v>2983</v>
      </c>
      <c r="D2588" s="16" t="s">
        <v>8194</v>
      </c>
      <c r="E2588" s="15" t="s">
        <v>11196</v>
      </c>
      <c r="F2588" s="16" t="str">
        <f>VLOOKUP(Table8[[#This Row],[Mã khách hàng]],code_khach_hang[],2,0)</f>
        <v>CHI NHÁNH NINH BÌNH - CÔNG TY CỔ PHẦN DỊCH VỤ THƯƠNG MẠI TỔNG HỢP WINCOMMERCE</v>
      </c>
      <c r="G2588" s="16"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c r="A2589" s="14" t="s">
        <v>1585</v>
      </c>
      <c r="B2589" s="15" t="s">
        <v>5</v>
      </c>
      <c r="C2589" s="10" t="s">
        <v>1586</v>
      </c>
      <c r="D2589" s="16" t="s">
        <v>8197</v>
      </c>
      <c r="E2589" s="15" t="s">
        <v>11200</v>
      </c>
      <c r="F2589" s="16" t="str">
        <f>VLOOKUP(Table8[[#This Row],[Mã khách hàng]],code_khach_hang[],2,0)</f>
        <v>CHI NHÁNH THÁI BÌNH - CÔNG TY CỔ PHẦN DỊCH VỤ THƯƠNG MẠI TỔNG HỢP WINCOMMERCE</v>
      </c>
      <c r="G2589" s="16"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c r="A2590" s="14" t="s">
        <v>2911</v>
      </c>
      <c r="B2590" s="15" t="s">
        <v>5</v>
      </c>
      <c r="C2590" s="10" t="s">
        <v>2912</v>
      </c>
      <c r="D2590" s="16" t="s">
        <v>8200</v>
      </c>
      <c r="E2590" s="15" t="s">
        <v>11215</v>
      </c>
      <c r="F2590" s="16" t="str">
        <f>VLOOKUP(Table8[[#This Row],[Mã khách hàng]],code_khach_hang[],2,0)</f>
        <v>CHI NHÁNH HÀ NỘI - CÔNG TY CỔ PHẦN DỊCH VỤ THƯƠNG MẠI TỔNG HỢP WINCOMMERCE</v>
      </c>
      <c r="G2590" s="16"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c r="A2591" s="14" t="s">
        <v>2923</v>
      </c>
      <c r="B2591" s="15" t="s">
        <v>5</v>
      </c>
      <c r="C2591" s="10" t="s">
        <v>2924</v>
      </c>
      <c r="D2591" s="16" t="s">
        <v>8203</v>
      </c>
      <c r="E2591" s="15" t="s">
        <v>11194</v>
      </c>
      <c r="F2591" s="16" t="str">
        <f>VLOOKUP(Table8[[#This Row],[Mã khách hàng]],code_khach_hang[],2,0)</f>
        <v>CHI NHÁNH VĨNH PHÚC - CÔNG TY CỔ PHẦN DỊCH VỤ THƯƠNG MẠI TỔNG HỢP WINCOMMERCE</v>
      </c>
      <c r="G2591" s="16"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c r="A2592" s="14" t="s">
        <v>2934</v>
      </c>
      <c r="B2592" s="15" t="s">
        <v>5</v>
      </c>
      <c r="C2592" s="10" t="s">
        <v>2935</v>
      </c>
      <c r="D2592" s="16" t="s">
        <v>8206</v>
      </c>
      <c r="E2592" s="15" t="s">
        <v>11203</v>
      </c>
      <c r="F2592" s="16" t="str">
        <f>VLOOKUP(Table8[[#This Row],[Mã khách hàng]],code_khach_hang[],2,0)</f>
        <v>CHI NHÁNH THANH HÓA - CÔNG TY CỔ PHẦN DỊCH VỤ THƯƠNG MẠI TỔNG HỢP WINCOMMERCE</v>
      </c>
      <c r="G2592" s="16"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c r="A2593" s="14" t="s">
        <v>2949</v>
      </c>
      <c r="B2593" s="15" t="s">
        <v>5</v>
      </c>
      <c r="C2593" s="10" t="s">
        <v>2950</v>
      </c>
      <c r="D2593" s="16" t="s">
        <v>8209</v>
      </c>
      <c r="E2593" s="15" t="s">
        <v>11201</v>
      </c>
      <c r="F2593" s="16" t="str">
        <f>VLOOKUP(Table8[[#This Row],[Mã khách hàng]],code_khach_hang[],2,0)</f>
        <v>CHI NHÁNH HẢI DƯƠNG - CÔNG TY CỔ PHẦN DỊCH VỤ THƯƠNG MẠI TỔNG HỢP WINCOMMERCE</v>
      </c>
      <c r="G2593" s="16"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c r="A2594" s="14" t="s">
        <v>2964</v>
      </c>
      <c r="B2594" s="15" t="s">
        <v>5</v>
      </c>
      <c r="C2594" s="10" t="s">
        <v>2965</v>
      </c>
      <c r="D2594" s="16" t="s">
        <v>8212</v>
      </c>
      <c r="E2594" s="15" t="s">
        <v>11211</v>
      </c>
      <c r="F2594" s="16" t="str">
        <f>VLOOKUP(Table8[[#This Row],[Mã khách hàng]],code_khach_hang[],2,0)</f>
        <v>CHI NHÁNH NGHỆ AN - CÔNG TY CỔ PHẦN DỊCH VỤ THƯƠNG MẠI TỔNG HỢP WINCOMMERCE</v>
      </c>
      <c r="G2594" s="16"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c r="A2595" s="14" t="s">
        <v>2970</v>
      </c>
      <c r="B2595" s="15" t="s">
        <v>5</v>
      </c>
      <c r="C2595" s="10" t="s">
        <v>2971</v>
      </c>
      <c r="D2595" s="16" t="s">
        <v>8214</v>
      </c>
      <c r="E2595" s="15" t="s">
        <v>11215</v>
      </c>
      <c r="F2595" s="16" t="str">
        <f>VLOOKUP(Table8[[#This Row],[Mã khách hàng]],code_khach_hang[],2,0)</f>
        <v>CHI NHÁNH HÀ NỘI - CÔNG TY CỔ PHẦN DỊCH VỤ THƯƠNG MẠI TỔNG HỢP WINCOMMERCE</v>
      </c>
      <c r="G2595" s="16"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c r="A2596" s="14" t="s">
        <v>2991</v>
      </c>
      <c r="B2596" s="15" t="s">
        <v>5</v>
      </c>
      <c r="C2596" s="10" t="s">
        <v>2992</v>
      </c>
      <c r="D2596" s="16" t="s">
        <v>8217</v>
      </c>
      <c r="E2596" s="15" t="s">
        <v>11196</v>
      </c>
      <c r="F2596" s="16" t="str">
        <f>VLOOKUP(Table8[[#This Row],[Mã khách hàng]],code_khach_hang[],2,0)</f>
        <v>CHI NHÁNH NINH BÌNH - CÔNG TY CỔ PHẦN DỊCH VỤ THƯƠNG MẠI TỔNG HỢP WINCOMMERCE</v>
      </c>
      <c r="G2596" s="16"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c r="A2597" s="14" t="s">
        <v>3020</v>
      </c>
      <c r="B2597" s="15" t="s">
        <v>5</v>
      </c>
      <c r="C2597" s="10" t="s">
        <v>3021</v>
      </c>
      <c r="D2597" s="16" t="s">
        <v>8220</v>
      </c>
      <c r="E2597" s="15" t="s">
        <v>11194</v>
      </c>
      <c r="F2597" s="16" t="str">
        <f>VLOOKUP(Table8[[#This Row],[Mã khách hàng]],code_khach_hang[],2,0)</f>
        <v>CHI NHÁNH VĨNH PHÚC - CÔNG TY CỔ PHẦN DỊCH VỤ THƯƠNG MẠI TỔNG HỢP WINCOMMERCE</v>
      </c>
      <c r="G2597" s="16"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c r="A2598" s="14" t="s">
        <v>3023</v>
      </c>
      <c r="B2598" s="15" t="s">
        <v>5</v>
      </c>
      <c r="C2598" s="10" t="s">
        <v>3024</v>
      </c>
      <c r="D2598" s="16" t="s">
        <v>8223</v>
      </c>
      <c r="E2598" s="15" t="s">
        <v>11194</v>
      </c>
      <c r="F2598" s="16" t="str">
        <f>VLOOKUP(Table8[[#This Row],[Mã khách hàng]],code_khach_hang[],2,0)</f>
        <v>CHI NHÁNH VĨNH PHÚC - CÔNG TY CỔ PHẦN DỊCH VỤ THƯƠNG MẠI TỔNG HỢP WINCOMMERCE</v>
      </c>
      <c r="G2598" s="16"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c r="A2599" s="14" t="s">
        <v>2667</v>
      </c>
      <c r="B2599" s="15" t="s">
        <v>5</v>
      </c>
      <c r="C2599" s="10" t="s">
        <v>2668</v>
      </c>
      <c r="D2599" s="16" t="s">
        <v>8226</v>
      </c>
      <c r="E2599" s="15" t="s">
        <v>11211</v>
      </c>
      <c r="F2599" s="16" t="str">
        <f>VLOOKUP(Table8[[#This Row],[Mã khách hàng]],code_khach_hang[],2,0)</f>
        <v>CHI NHÁNH NGHỆ AN - CÔNG TY CỔ PHẦN DỊCH VỤ THƯƠNG MẠI TỔNG HỢP WINCOMMERCE</v>
      </c>
      <c r="G2599" s="16"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c r="A2600" s="14" t="s">
        <v>2866</v>
      </c>
      <c r="B2600" s="15" t="s">
        <v>5</v>
      </c>
      <c r="C2600" s="10" t="s">
        <v>2867</v>
      </c>
      <c r="D2600" s="16" t="s">
        <v>8229</v>
      </c>
      <c r="E2600" s="15" t="s">
        <v>11215</v>
      </c>
      <c r="F2600" s="16" t="str">
        <f>VLOOKUP(Table8[[#This Row],[Mã khách hàng]],code_khach_hang[],2,0)</f>
        <v>CHI NHÁNH HÀ NỘI - CÔNG TY CỔ PHẦN DỊCH VỤ THƯƠNG MẠI TỔNG HỢP WINCOMMERCE</v>
      </c>
      <c r="G2600" s="16"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c r="A2601" s="14" t="s">
        <v>2988</v>
      </c>
      <c r="B2601" s="15" t="s">
        <v>5</v>
      </c>
      <c r="C2601" s="10" t="s">
        <v>2989</v>
      </c>
      <c r="D2601" s="16" t="s">
        <v>8232</v>
      </c>
      <c r="E2601" s="15" t="s">
        <v>11203</v>
      </c>
      <c r="F2601" s="16" t="str">
        <f>VLOOKUP(Table8[[#This Row],[Mã khách hàng]],code_khach_hang[],2,0)</f>
        <v>CHI NHÁNH THANH HÓA - CÔNG TY CỔ PHẦN DỊCH VỤ THƯƠNG MẠI TỔNG HỢP WINCOMMERCE</v>
      </c>
      <c r="G2601" s="16"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c r="A2602" s="14" t="s">
        <v>3017</v>
      </c>
      <c r="B2602" s="15" t="s">
        <v>5</v>
      </c>
      <c r="C2602" s="10" t="s">
        <v>3018</v>
      </c>
      <c r="D2602" s="16" t="s">
        <v>8235</v>
      </c>
      <c r="E2602" s="15" t="s">
        <v>11201</v>
      </c>
      <c r="F2602" s="16" t="str">
        <f>VLOOKUP(Table8[[#This Row],[Mã khách hàng]],code_khach_hang[],2,0)</f>
        <v>CHI NHÁNH HẢI DƯƠNG - CÔNG TY CỔ PHẦN DỊCH VỤ THƯƠNG MẠI TỔNG HỢP WINCOMMERCE</v>
      </c>
      <c r="G2602" s="16"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c r="A2603" s="14" t="s">
        <v>3029</v>
      </c>
      <c r="B2603" s="15" t="s">
        <v>5</v>
      </c>
      <c r="C2603" s="10" t="s">
        <v>3030</v>
      </c>
      <c r="D2603" s="16" t="s">
        <v>8238</v>
      </c>
      <c r="E2603" s="15" t="s">
        <v>11215</v>
      </c>
      <c r="F2603" s="16" t="str">
        <f>VLOOKUP(Table8[[#This Row],[Mã khách hàng]],code_khach_hang[],2,0)</f>
        <v>CHI NHÁNH HÀ NỘI - CÔNG TY CỔ PHẦN DỊCH VỤ THƯƠNG MẠI TỔNG HỢP WINCOMMERCE</v>
      </c>
      <c r="G2603" s="16"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c r="A2604" s="14" t="s">
        <v>3035</v>
      </c>
      <c r="B2604" s="15" t="s">
        <v>5</v>
      </c>
      <c r="C2604" s="10" t="s">
        <v>3036</v>
      </c>
      <c r="D2604" s="16" t="s">
        <v>8241</v>
      </c>
      <c r="E2604" s="15" t="s">
        <v>11211</v>
      </c>
      <c r="F2604" s="16" t="str">
        <f>VLOOKUP(Table8[[#This Row],[Mã khách hàng]],code_khach_hang[],2,0)</f>
        <v>CHI NHÁNH NGHỆ AN - CÔNG TY CỔ PHẦN DỊCH VỤ THƯƠNG MẠI TỔNG HỢP WINCOMMERCE</v>
      </c>
      <c r="G2604" s="16"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c r="A2605" s="14" t="s">
        <v>3047</v>
      </c>
      <c r="B2605" s="15" t="s">
        <v>5</v>
      </c>
      <c r="C2605" s="10" t="s">
        <v>3048</v>
      </c>
      <c r="D2605" s="16" t="s">
        <v>8244</v>
      </c>
      <c r="E2605" s="15" t="s">
        <v>11215</v>
      </c>
      <c r="F2605" s="16" t="str">
        <f>VLOOKUP(Table8[[#This Row],[Mã khách hàng]],code_khach_hang[],2,0)</f>
        <v>CHI NHÁNH HÀ NỘI - CÔNG TY CỔ PHẦN DỊCH VỤ THƯƠNG MẠI TỔNG HỢP WINCOMMERCE</v>
      </c>
      <c r="G2605" s="16"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c r="A2606" s="14" t="s">
        <v>2596</v>
      </c>
      <c r="B2606" s="15" t="s">
        <v>5</v>
      </c>
      <c r="C2606" s="10" t="s">
        <v>2597</v>
      </c>
      <c r="D2606" s="16" t="s">
        <v>8247</v>
      </c>
      <c r="E2606" s="15" t="s">
        <v>11194</v>
      </c>
      <c r="F2606" s="16" t="str">
        <f>VLOOKUP(Table8[[#This Row],[Mã khách hàng]],code_khach_hang[],2,0)</f>
        <v>CHI NHÁNH VĨNH PHÚC - CÔNG TY CỔ PHẦN DỊCH VỤ THƯƠNG MẠI TỔNG HỢP WINCOMMERCE</v>
      </c>
      <c r="G2606" s="16"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c r="A2607" s="14" t="s">
        <v>2290</v>
      </c>
      <c r="B2607" s="15" t="s">
        <v>5</v>
      </c>
      <c r="C2607" s="10" t="s">
        <v>2291</v>
      </c>
      <c r="D2607" s="16" t="s">
        <v>8250</v>
      </c>
      <c r="E2607" s="15" t="s">
        <v>11198</v>
      </c>
      <c r="F2607" s="16" t="str">
        <f>VLOOKUP(Table8[[#This Row],[Mã khách hàng]],code_khach_hang[],2,0)</f>
        <v>CHI NHÁNH HẢI PHÒNG - CÔNG TY CỔ PHẦN DỊCH VỤ THƯƠNG MẠI TỔNG HỢP WINCOMMERCE</v>
      </c>
      <c r="G2607" s="16"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c r="A2608" s="14" t="s">
        <v>2831</v>
      </c>
      <c r="B2608" s="15" t="s">
        <v>5</v>
      </c>
      <c r="C2608" s="10" t="s">
        <v>2832</v>
      </c>
      <c r="D2608" s="16" t="s">
        <v>8253</v>
      </c>
      <c r="E2608" s="15" t="s">
        <v>11196</v>
      </c>
      <c r="F2608" s="16" t="str">
        <f>VLOOKUP(Table8[[#This Row],[Mã khách hàng]],code_khach_hang[],2,0)</f>
        <v>CHI NHÁNH NINH BÌNH - CÔNG TY CỔ PHẦN DỊCH VỤ THƯƠNG MẠI TỔNG HỢP WINCOMMERCE</v>
      </c>
      <c r="G2608" s="16"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c r="A2609" s="14" t="s">
        <v>2967</v>
      </c>
      <c r="B2609" s="15" t="s">
        <v>5</v>
      </c>
      <c r="C2609" s="10" t="s">
        <v>2968</v>
      </c>
      <c r="D2609" s="16" t="s">
        <v>8256</v>
      </c>
      <c r="E2609" s="15" t="s">
        <v>11200</v>
      </c>
      <c r="F2609" s="16" t="str">
        <f>VLOOKUP(Table8[[#This Row],[Mã khách hàng]],code_khach_hang[],2,0)</f>
        <v>CHI NHÁNH THÁI BÌNH - CÔNG TY CỔ PHẦN DỊCH VỤ THƯƠNG MẠI TỔNG HỢP WINCOMMERCE</v>
      </c>
      <c r="G2609" s="16"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c r="A2610" s="14" t="s">
        <v>3041</v>
      </c>
      <c r="B2610" s="15" t="s">
        <v>5</v>
      </c>
      <c r="C2610" s="10" t="s">
        <v>3042</v>
      </c>
      <c r="D2610" s="16" t="s">
        <v>8259</v>
      </c>
      <c r="E2610" s="15" t="s">
        <v>11203</v>
      </c>
      <c r="F2610" s="16" t="str">
        <f>VLOOKUP(Table8[[#This Row],[Mã khách hàng]],code_khach_hang[],2,0)</f>
        <v>CHI NHÁNH THANH HÓA - CÔNG TY CỔ PHẦN DỊCH VỤ THƯƠNG MẠI TỔNG HỢP WINCOMMERCE</v>
      </c>
      <c r="G2610" s="16"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c r="A2611" s="14" t="s">
        <v>3044</v>
      </c>
      <c r="B2611" s="15" t="s">
        <v>5</v>
      </c>
      <c r="C2611" s="10" t="s">
        <v>3045</v>
      </c>
      <c r="D2611" s="16" t="s">
        <v>8262</v>
      </c>
      <c r="E2611" s="15" t="s">
        <v>11196</v>
      </c>
      <c r="F2611" s="16" t="str">
        <f>VLOOKUP(Table8[[#This Row],[Mã khách hàng]],code_khach_hang[],2,0)</f>
        <v>CHI NHÁNH NINH BÌNH - CÔNG TY CỔ PHẦN DỊCH VỤ THƯƠNG MẠI TỔNG HỢP WINCOMMERCE</v>
      </c>
      <c r="G2611" s="16"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c r="A2612" s="14" t="s">
        <v>3065</v>
      </c>
      <c r="B2612" s="15" t="s">
        <v>5</v>
      </c>
      <c r="C2612" s="10" t="s">
        <v>3066</v>
      </c>
      <c r="D2612" s="16" t="s">
        <v>8265</v>
      </c>
      <c r="E2612" s="15" t="s">
        <v>11203</v>
      </c>
      <c r="F2612" s="16" t="str">
        <f>VLOOKUP(Table8[[#This Row],[Mã khách hàng]],code_khach_hang[],2,0)</f>
        <v>CHI NHÁNH THANH HÓA - CÔNG TY CỔ PHẦN DỊCH VỤ THƯƠNG MẠI TỔNG HỢP WINCOMMERCE</v>
      </c>
      <c r="G2612" s="16"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c r="A2613" s="14" t="s">
        <v>3077</v>
      </c>
      <c r="B2613" s="15" t="s">
        <v>5</v>
      </c>
      <c r="C2613" s="10" t="s">
        <v>3078</v>
      </c>
      <c r="D2613" s="16" t="s">
        <v>8268</v>
      </c>
      <c r="E2613" s="15" t="s">
        <v>11203</v>
      </c>
      <c r="F2613" s="16" t="str">
        <f>VLOOKUP(Table8[[#This Row],[Mã khách hàng]],code_khach_hang[],2,0)</f>
        <v>CHI NHÁNH THANH HÓA - CÔNG TY CỔ PHẦN DỊCH VỤ THƯƠNG MẠI TỔNG HỢP WINCOMMERCE</v>
      </c>
      <c r="G2613" s="16"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c r="A2614" s="14" t="s">
        <v>3133</v>
      </c>
      <c r="B2614" s="15" t="s">
        <v>5</v>
      </c>
      <c r="C2614" s="10" t="s">
        <v>3134</v>
      </c>
      <c r="D2614" s="16" t="s">
        <v>8271</v>
      </c>
      <c r="E2614" s="15" t="s">
        <v>11203</v>
      </c>
      <c r="F2614" s="16" t="str">
        <f>VLOOKUP(Table8[[#This Row],[Mã khách hàng]],code_khach_hang[],2,0)</f>
        <v>CHI NHÁNH THANH HÓA - CÔNG TY CỔ PHẦN DỊCH VỤ THƯƠNG MẠI TỔNG HỢP WINCOMMERCE</v>
      </c>
      <c r="G2614" s="16"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c r="A2615" s="14" t="s">
        <v>2822</v>
      </c>
      <c r="B2615" s="15" t="s">
        <v>5</v>
      </c>
      <c r="C2615" s="10" t="s">
        <v>2823</v>
      </c>
      <c r="D2615" s="16" t="s">
        <v>8274</v>
      </c>
      <c r="E2615" s="15" t="s">
        <v>11211</v>
      </c>
      <c r="F2615" s="16" t="str">
        <f>VLOOKUP(Table8[[#This Row],[Mã khách hàng]],code_khach_hang[],2,0)</f>
        <v>CHI NHÁNH NGHỆ AN - CÔNG TY CỔ PHẦN DỊCH VỤ THƯƠNG MẠI TỔNG HỢP WINCOMMERCE</v>
      </c>
      <c r="G2615" s="16"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c r="A2616" s="14" t="s">
        <v>2527</v>
      </c>
      <c r="B2616" s="15" t="s">
        <v>5</v>
      </c>
      <c r="C2616" s="10" t="s">
        <v>2528</v>
      </c>
      <c r="D2616" s="16" t="s">
        <v>8277</v>
      </c>
      <c r="E2616" s="15" t="s">
        <v>11215</v>
      </c>
      <c r="F2616" s="16" t="str">
        <f>VLOOKUP(Table8[[#This Row],[Mã khách hàng]],code_khach_hang[],2,0)</f>
        <v>CHI NHÁNH HÀ NỘI - CÔNG TY CỔ PHẦN DỊCH VỤ THƯƠNG MẠI TỔNG HỢP WINCOMMERCE</v>
      </c>
      <c r="G2616" s="16"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c r="A2617" s="14" t="s">
        <v>3071</v>
      </c>
      <c r="B2617" s="15" t="s">
        <v>5</v>
      </c>
      <c r="C2617" s="10" t="s">
        <v>3072</v>
      </c>
      <c r="D2617" s="16" t="s">
        <v>8280</v>
      </c>
      <c r="E2617" s="15" t="s">
        <v>11203</v>
      </c>
      <c r="F2617" s="16" t="str">
        <f>VLOOKUP(Table8[[#This Row],[Mã khách hàng]],code_khach_hang[],2,0)</f>
        <v>CHI NHÁNH THANH HÓA - CÔNG TY CỔ PHẦN DỊCH VỤ THƯƠNG MẠI TỔNG HỢP WINCOMMERCE</v>
      </c>
      <c r="G2617" s="16"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c r="A2618" s="14" t="s">
        <v>3217</v>
      </c>
      <c r="B2618" s="15" t="s">
        <v>5</v>
      </c>
      <c r="C2618" s="10" t="s">
        <v>3218</v>
      </c>
      <c r="D2618" s="16" t="s">
        <v>8283</v>
      </c>
      <c r="E2618" s="15" t="s">
        <v>11198</v>
      </c>
      <c r="F2618" s="16" t="str">
        <f>VLOOKUP(Table8[[#This Row],[Mã khách hàng]],code_khach_hang[],2,0)</f>
        <v>CHI NHÁNH HẢI PHÒNG - CÔNG TY CỔ PHẦN DỊCH VỤ THƯƠNG MẠI TỔNG HỢP WINCOMMERCE</v>
      </c>
      <c r="G2618" s="16"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c r="A2619" s="14" t="s">
        <v>3068</v>
      </c>
      <c r="B2619" s="15" t="s">
        <v>5</v>
      </c>
      <c r="C2619" s="10" t="s">
        <v>3069</v>
      </c>
      <c r="D2619" s="16" t="s">
        <v>8286</v>
      </c>
      <c r="E2619" s="15" t="s">
        <v>11215</v>
      </c>
      <c r="F2619" s="16" t="str">
        <f>VLOOKUP(Table8[[#This Row],[Mã khách hàng]],code_khach_hang[],2,0)</f>
        <v>CHI NHÁNH HÀ NỘI - CÔNG TY CỔ PHẦN DỊCH VỤ THƯƠNG MẠI TỔNG HỢP WINCOMMERCE</v>
      </c>
      <c r="G2619" s="16"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c r="A2620" s="14" t="s">
        <v>3080</v>
      </c>
      <c r="B2620" s="15" t="s">
        <v>5</v>
      </c>
      <c r="C2620" s="10" t="s">
        <v>3081</v>
      </c>
      <c r="D2620" s="16" t="s">
        <v>8288</v>
      </c>
      <c r="E2620" s="15" t="s">
        <v>11215</v>
      </c>
      <c r="F2620" s="16" t="str">
        <f>VLOOKUP(Table8[[#This Row],[Mã khách hàng]],code_khach_hang[],2,0)</f>
        <v>CHI NHÁNH HÀ NỘI - CÔNG TY CỔ PHẦN DỊCH VỤ THƯƠNG MẠI TỔNG HỢP WINCOMMERCE</v>
      </c>
      <c r="G2620" s="16"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c r="A2621" s="14" t="s">
        <v>3223</v>
      </c>
      <c r="B2621" s="15" t="s">
        <v>5</v>
      </c>
      <c r="C2621" s="10" t="s">
        <v>3224</v>
      </c>
      <c r="D2621" s="16" t="s">
        <v>8291</v>
      </c>
      <c r="E2621" s="15" t="s">
        <v>11199</v>
      </c>
      <c r="F2621" s="16" t="str">
        <f>VLOOKUP(Table8[[#This Row],[Mã khách hàng]],code_khach_hang[],2,0)</f>
        <v>CHI NHÁNH PHÚ THỌ - CÔNG TY CỔ PHẦN DỊCH VỤ THƯƠNG MẠI TỔNG HỢP WINCOMMERCE</v>
      </c>
      <c r="G2621" s="16"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c r="A2622" s="14" t="s">
        <v>3148</v>
      </c>
      <c r="B2622" s="15" t="s">
        <v>5</v>
      </c>
      <c r="C2622" s="10" t="s">
        <v>3149</v>
      </c>
      <c r="D2622" s="16" t="s">
        <v>8294</v>
      </c>
      <c r="E2622" s="15" t="s">
        <v>11215</v>
      </c>
      <c r="F2622" s="16" t="str">
        <f>VLOOKUP(Table8[[#This Row],[Mã khách hàng]],code_khach_hang[],2,0)</f>
        <v>CHI NHÁNH HÀ NỘI - CÔNG TY CỔ PHẦN DỊCH VỤ THƯƠNG MẠI TỔNG HỢP WINCOMMERCE</v>
      </c>
      <c r="G2622" s="16"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c r="A2623" s="14" t="s">
        <v>3151</v>
      </c>
      <c r="B2623" s="15" t="s">
        <v>5</v>
      </c>
      <c r="C2623" s="10" t="s">
        <v>3152</v>
      </c>
      <c r="D2623" s="16" t="s">
        <v>8297</v>
      </c>
      <c r="E2623" s="15" t="s">
        <v>11207</v>
      </c>
      <c r="F2623" s="16" t="str">
        <f>VLOOKUP(Table8[[#This Row],[Mã khách hàng]],code_khach_hang[],2,0)</f>
        <v>CHI NHÁNH THÁI NGUYÊN - CÔNG TY CỔ PHẦN DỊCH VỤ THƯƠNG MẠI TỔNG HỢP WINCOMMERCE</v>
      </c>
      <c r="G2623" s="16"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c r="A2624" s="14" t="s">
        <v>2896</v>
      </c>
      <c r="B2624" s="15" t="s">
        <v>5</v>
      </c>
      <c r="C2624" s="10" t="s">
        <v>2897</v>
      </c>
      <c r="D2624" s="16" t="s">
        <v>8300</v>
      </c>
      <c r="E2624" s="15" t="s">
        <v>11203</v>
      </c>
      <c r="F2624" s="16" t="str">
        <f>VLOOKUP(Table8[[#This Row],[Mã khách hàng]],code_khach_hang[],2,0)</f>
        <v>CHI NHÁNH THANH HÓA - CÔNG TY CỔ PHẦN DỊCH VỤ THƯƠNG MẠI TỔNG HỢP WINCOMMERCE</v>
      </c>
      <c r="G2624" s="16"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c r="A2625" s="14" t="s">
        <v>2985</v>
      </c>
      <c r="B2625" s="15" t="s">
        <v>5</v>
      </c>
      <c r="C2625" s="10" t="s">
        <v>2986</v>
      </c>
      <c r="D2625" s="16" t="s">
        <v>8303</v>
      </c>
      <c r="E2625" s="15" t="s">
        <v>11215</v>
      </c>
      <c r="F2625" s="16" t="str">
        <f>VLOOKUP(Table8[[#This Row],[Mã khách hàng]],code_khach_hang[],2,0)</f>
        <v>CHI NHÁNH HÀ NỘI - CÔNG TY CỔ PHẦN DỊCH VỤ THƯƠNG MẠI TỔNG HỢP WINCOMMERCE</v>
      </c>
      <c r="G2625" s="16"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c r="A2626" s="14" t="s">
        <v>3003</v>
      </c>
      <c r="B2626" s="15" t="s">
        <v>5</v>
      </c>
      <c r="C2626" s="10" t="s">
        <v>3004</v>
      </c>
      <c r="D2626" s="16" t="s">
        <v>8306</v>
      </c>
      <c r="E2626" s="15" t="s">
        <v>11205</v>
      </c>
      <c r="F2626" s="16" t="str">
        <f>VLOOKUP(Table8[[#This Row],[Mã khách hàng]],code_khach_hang[],2,0)</f>
        <v>CHI NHÁNH HÀ TĨNH - CÔNG TY CỔ PHẦN DỊCH VỤ THƯƠNG MẠI TỔNG HỢP WINCOMMERCE</v>
      </c>
      <c r="G2626" s="16"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c r="A2627" s="14" t="s">
        <v>3009</v>
      </c>
      <c r="B2627" s="15" t="s">
        <v>5</v>
      </c>
      <c r="C2627" s="10" t="s">
        <v>3010</v>
      </c>
      <c r="D2627" s="16" t="s">
        <v>8309</v>
      </c>
      <c r="E2627" s="15" t="s">
        <v>11215</v>
      </c>
      <c r="F2627" s="16" t="str">
        <f>VLOOKUP(Table8[[#This Row],[Mã khách hàng]],code_khach_hang[],2,0)</f>
        <v>CHI NHÁNH HÀ NỘI - CÔNG TY CỔ PHẦN DỊCH VỤ THƯƠNG MẠI TỔNG HỢP WINCOMMERCE</v>
      </c>
      <c r="G2627" s="16"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c r="A2628" s="14" t="s">
        <v>3053</v>
      </c>
      <c r="B2628" s="15" t="s">
        <v>5</v>
      </c>
      <c r="C2628" s="10" t="s">
        <v>3054</v>
      </c>
      <c r="D2628" s="16" t="s">
        <v>8312</v>
      </c>
      <c r="E2628" s="15" t="s">
        <v>11215</v>
      </c>
      <c r="F2628" s="16" t="str">
        <f>VLOOKUP(Table8[[#This Row],[Mã khách hàng]],code_khach_hang[],2,0)</f>
        <v>CHI NHÁNH HÀ NỘI - CÔNG TY CỔ PHẦN DỊCH VỤ THƯƠNG MẠI TỔNG HỢP WINCOMMERCE</v>
      </c>
      <c r="G2628" s="16"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c r="A2629" s="14" t="s">
        <v>3226</v>
      </c>
      <c r="B2629" s="15" t="s">
        <v>5</v>
      </c>
      <c r="C2629" s="10" t="s">
        <v>3227</v>
      </c>
      <c r="D2629" s="16" t="s">
        <v>8315</v>
      </c>
      <c r="E2629" s="15" t="s">
        <v>11215</v>
      </c>
      <c r="F2629" s="16" t="str">
        <f>VLOOKUP(Table8[[#This Row],[Mã khách hàng]],code_khach_hang[],2,0)</f>
        <v>CHI NHÁNH HÀ NỘI - CÔNG TY CỔ PHẦN DỊCH VỤ THƯƠNG MẠI TỔNG HỢP WINCOMMERCE</v>
      </c>
      <c r="G2629" s="16"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c r="A2630" s="14" t="s">
        <v>3351</v>
      </c>
      <c r="B2630" s="15" t="s">
        <v>5</v>
      </c>
      <c r="C2630" s="10" t="s">
        <v>3352</v>
      </c>
      <c r="D2630" s="16" t="s">
        <v>8318</v>
      </c>
      <c r="E2630" s="15" t="s">
        <v>11207</v>
      </c>
      <c r="F2630" s="16" t="str">
        <f>VLOOKUP(Table8[[#This Row],[Mã khách hàng]],code_khach_hang[],2,0)</f>
        <v>CHI NHÁNH THÁI NGUYÊN - CÔNG TY CỔ PHẦN DỊCH VỤ THƯƠNG MẠI TỔNG HỢP WINCOMMERCE</v>
      </c>
      <c r="G2630" s="16"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c r="A2631" s="14" t="s">
        <v>2952</v>
      </c>
      <c r="B2631" s="15" t="s">
        <v>5</v>
      </c>
      <c r="C2631" s="10" t="s">
        <v>2953</v>
      </c>
      <c r="D2631" s="16" t="s">
        <v>8321</v>
      </c>
      <c r="E2631" s="15" t="s">
        <v>11198</v>
      </c>
      <c r="F2631" s="16" t="str">
        <f>VLOOKUP(Table8[[#This Row],[Mã khách hàng]],code_khach_hang[],2,0)</f>
        <v>CHI NHÁNH HẢI PHÒNG - CÔNG TY CỔ PHẦN DỊCH VỤ THƯƠNG MẠI TỔNG HỢP WINCOMMERCE</v>
      </c>
      <c r="G2631" s="16"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c r="A2632" s="14" t="s">
        <v>11140</v>
      </c>
      <c r="B2632" s="15" t="s">
        <v>5</v>
      </c>
      <c r="C2632" s="10" t="s">
        <v>13172</v>
      </c>
      <c r="D2632" s="16" t="s">
        <v>8324</v>
      </c>
      <c r="E2632" s="15" t="s">
        <v>11215</v>
      </c>
      <c r="F2632" s="16" t="str">
        <f>VLOOKUP(Table8[[#This Row],[Mã khách hàng]],code_khach_hang[],2,0)</f>
        <v>CHI NHÁNH HÀ NỘI - CÔNG TY CỔ PHẦN DỊCH VỤ THƯƠNG MẠI TỔNG HỢP WINCOMMERCE</v>
      </c>
      <c r="G2632" s="16"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c r="A2633" s="14" t="s">
        <v>2908</v>
      </c>
      <c r="B2633" s="15" t="s">
        <v>5</v>
      </c>
      <c r="C2633" s="10" t="s">
        <v>2909</v>
      </c>
      <c r="D2633" s="16" t="s">
        <v>8327</v>
      </c>
      <c r="E2633" s="15" t="s">
        <v>11215</v>
      </c>
      <c r="F2633" s="16" t="str">
        <f>VLOOKUP(Table8[[#This Row],[Mã khách hàng]],code_khach_hang[],2,0)</f>
        <v>CHI NHÁNH HÀ NỘI - CÔNG TY CỔ PHẦN DỊCH VỤ THƯƠNG MẠI TỔNG HỢP WINCOMMERCE</v>
      </c>
      <c r="G2633" s="16"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c r="A2634" s="14" t="s">
        <v>2976</v>
      </c>
      <c r="B2634" s="15" t="s">
        <v>5</v>
      </c>
      <c r="C2634" s="10" t="s">
        <v>2977</v>
      </c>
      <c r="D2634" s="16" t="s">
        <v>8330</v>
      </c>
      <c r="E2634" s="15" t="s">
        <v>11215</v>
      </c>
      <c r="F2634" s="16" t="str">
        <f>VLOOKUP(Table8[[#This Row],[Mã khách hàng]],code_khach_hang[],2,0)</f>
        <v>CHI NHÁNH HÀ NỘI - CÔNG TY CỔ PHẦN DỊCH VỤ THƯƠNG MẠI TỔNG HỢP WINCOMMERCE</v>
      </c>
      <c r="G2634" s="16"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c r="A2635" s="14" t="s">
        <v>11141</v>
      </c>
      <c r="B2635" s="15" t="s">
        <v>5</v>
      </c>
      <c r="C2635" s="10" t="s">
        <v>13173</v>
      </c>
      <c r="D2635" s="16" t="s">
        <v>8333</v>
      </c>
      <c r="E2635" s="15" t="s">
        <v>11215</v>
      </c>
      <c r="F2635" s="16" t="str">
        <f>VLOOKUP(Table8[[#This Row],[Mã khách hàng]],code_khach_hang[],2,0)</f>
        <v>CHI NHÁNH HÀ NỘI - CÔNG TY CỔ PHẦN DỊCH VỤ THƯƠNG MẠI TỔNG HỢP WINCOMMERCE</v>
      </c>
      <c r="G2635" s="16"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c r="A2636" s="14" t="s">
        <v>3015</v>
      </c>
      <c r="B2636" s="15" t="s">
        <v>5</v>
      </c>
      <c r="C2636" s="10" t="s">
        <v>13174</v>
      </c>
      <c r="D2636" s="16" t="s">
        <v>8336</v>
      </c>
      <c r="E2636" s="15" t="s">
        <v>11215</v>
      </c>
      <c r="F2636" s="16" t="str">
        <f>VLOOKUP(Table8[[#This Row],[Mã khách hàng]],code_khach_hang[],2,0)</f>
        <v>CHI NHÁNH HÀ NỘI - CÔNG TY CỔ PHẦN DỊCH VỤ THƯƠNG MẠI TỔNG HỢP WINCOMMERCE</v>
      </c>
      <c r="G2636" s="16"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c r="A2637" s="14" t="s">
        <v>3056</v>
      </c>
      <c r="B2637" s="15" t="s">
        <v>5</v>
      </c>
      <c r="C2637" s="10" t="s">
        <v>3057</v>
      </c>
      <c r="D2637" s="16" t="s">
        <v>8339</v>
      </c>
      <c r="E2637" s="15" t="s">
        <v>11215</v>
      </c>
      <c r="F2637" s="16" t="str">
        <f>VLOOKUP(Table8[[#This Row],[Mã khách hàng]],code_khach_hang[],2,0)</f>
        <v>CHI NHÁNH HÀ NỘI - CÔNG TY CỔ PHẦN DỊCH VỤ THƯƠNG MẠI TỔNG HỢP WINCOMMERCE</v>
      </c>
      <c r="G2637" s="16"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c r="A2638" s="14" t="s">
        <v>3062</v>
      </c>
      <c r="B2638" s="15" t="s">
        <v>5</v>
      </c>
      <c r="C2638" s="10" t="s">
        <v>3063</v>
      </c>
      <c r="D2638" s="16" t="s">
        <v>8342</v>
      </c>
      <c r="E2638" s="15" t="s">
        <v>11215</v>
      </c>
      <c r="F2638" s="16" t="str">
        <f>VLOOKUP(Table8[[#This Row],[Mã khách hàng]],code_khach_hang[],2,0)</f>
        <v>CHI NHÁNH HÀ NỘI - CÔNG TY CỔ PHẦN DỊCH VỤ THƯƠNG MẠI TỔNG HỢP WINCOMMERCE</v>
      </c>
      <c r="G2638" s="16"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c r="A2639" s="14" t="s">
        <v>11142</v>
      </c>
      <c r="B2639" s="15" t="s">
        <v>5</v>
      </c>
      <c r="C2639" s="10" t="s">
        <v>13175</v>
      </c>
      <c r="D2639" s="16" t="s">
        <v>8345</v>
      </c>
      <c r="E2639" s="15" t="s">
        <v>11215</v>
      </c>
      <c r="F2639" s="16" t="str">
        <f>VLOOKUP(Table8[[#This Row],[Mã khách hàng]],code_khach_hang[],2,0)</f>
        <v>CHI NHÁNH HÀ NỘI - CÔNG TY CỔ PHẦN DỊCH VỤ THƯƠNG MẠI TỔNG HỢP WINCOMMERCE</v>
      </c>
      <c r="G2639" s="16"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c r="A2640" s="14" t="s">
        <v>11143</v>
      </c>
      <c r="B2640" s="15" t="s">
        <v>5</v>
      </c>
      <c r="C2640" s="10" t="s">
        <v>13176</v>
      </c>
      <c r="D2640" s="16" t="s">
        <v>8348</v>
      </c>
      <c r="E2640" s="15" t="s">
        <v>11215</v>
      </c>
      <c r="F2640" s="16" t="str">
        <f>VLOOKUP(Table8[[#This Row],[Mã khách hàng]],code_khach_hang[],2,0)</f>
        <v>CHI NHÁNH HÀ NỘI - CÔNG TY CỔ PHẦN DỊCH VỤ THƯƠNG MẠI TỔNG HỢP WINCOMMERCE</v>
      </c>
      <c r="G2640" s="16"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c r="A2641" s="14" t="s">
        <v>3136</v>
      </c>
      <c r="B2641" s="15" t="s">
        <v>5</v>
      </c>
      <c r="C2641" s="10" t="s">
        <v>3137</v>
      </c>
      <c r="D2641" s="16" t="s">
        <v>8351</v>
      </c>
      <c r="E2641" s="15" t="s">
        <v>11215</v>
      </c>
      <c r="F2641" s="16" t="str">
        <f>VLOOKUP(Table8[[#This Row],[Mã khách hàng]],code_khach_hang[],2,0)</f>
        <v>CHI NHÁNH HÀ NỘI - CÔNG TY CỔ PHẦN DỊCH VỤ THƯƠNG MẠI TỔNG HỢP WINCOMMERCE</v>
      </c>
      <c r="G2641" s="16"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c r="A2642" s="14" t="s">
        <v>3282</v>
      </c>
      <c r="B2642" s="15" t="s">
        <v>5</v>
      </c>
      <c r="C2642" s="10" t="s">
        <v>3283</v>
      </c>
      <c r="D2642" s="16" t="s">
        <v>8354</v>
      </c>
      <c r="E2642" s="15" t="s">
        <v>11215</v>
      </c>
      <c r="F2642" s="16" t="str">
        <f>VLOOKUP(Table8[[#This Row],[Mã khách hàng]],code_khach_hang[],2,0)</f>
        <v>CHI NHÁNH HÀ NỘI - CÔNG TY CỔ PHẦN DỊCH VỤ THƯƠNG MẠI TỔNG HỢP WINCOMMERCE</v>
      </c>
      <c r="G2642" s="16"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c r="A2643" s="14" t="s">
        <v>3006</v>
      </c>
      <c r="B2643" s="15" t="s">
        <v>5</v>
      </c>
      <c r="C2643" s="10" t="s">
        <v>3007</v>
      </c>
      <c r="D2643" s="16" t="s">
        <v>8357</v>
      </c>
      <c r="E2643" s="15" t="s">
        <v>11211</v>
      </c>
      <c r="F2643" s="16" t="str">
        <f>VLOOKUP(Table8[[#This Row],[Mã khách hàng]],code_khach_hang[],2,0)</f>
        <v>CHI NHÁNH NGHỆ AN - CÔNG TY CỔ PHẦN DỊCH VỤ THƯƠNG MẠI TỔNG HỢP WINCOMMERCE</v>
      </c>
      <c r="G2643" s="16"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c r="A2644" s="14" t="s">
        <v>3294</v>
      </c>
      <c r="B2644" s="15" t="s">
        <v>5</v>
      </c>
      <c r="C2644" s="10" t="s">
        <v>3295</v>
      </c>
      <c r="D2644" s="16" t="s">
        <v>8360</v>
      </c>
      <c r="E2644" s="15" t="s">
        <v>11203</v>
      </c>
      <c r="F2644" s="16" t="str">
        <f>VLOOKUP(Table8[[#This Row],[Mã khách hàng]],code_khach_hang[],2,0)</f>
        <v>CHI NHÁNH THANH HÓA - CÔNG TY CỔ PHẦN DỊCH VỤ THƯƠNG MẠI TỔNG HỢP WINCOMMERCE</v>
      </c>
      <c r="G2644" s="16"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c r="A2645" s="14" t="s">
        <v>2872</v>
      </c>
      <c r="B2645" s="15" t="s">
        <v>5</v>
      </c>
      <c r="C2645" s="10" t="s">
        <v>2873</v>
      </c>
      <c r="D2645" s="16" t="s">
        <v>8363</v>
      </c>
      <c r="E2645" s="15" t="s">
        <v>11199</v>
      </c>
      <c r="F2645" s="16" t="str">
        <f>VLOOKUP(Table8[[#This Row],[Mã khách hàng]],code_khach_hang[],2,0)</f>
        <v>CHI NHÁNH PHÚ THỌ - CÔNG TY CỔ PHẦN DỊCH VỤ THƯƠNG MẠI TỔNG HỢP WINCOMMERCE</v>
      </c>
      <c r="G2645" s="16"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c r="A2646" s="14" t="s">
        <v>3000</v>
      </c>
      <c r="B2646" s="15" t="s">
        <v>5</v>
      </c>
      <c r="C2646" s="10" t="s">
        <v>3001</v>
      </c>
      <c r="D2646" s="16" t="s">
        <v>8366</v>
      </c>
      <c r="E2646" s="15" t="s">
        <v>11199</v>
      </c>
      <c r="F2646" s="16" t="str">
        <f>VLOOKUP(Table8[[#This Row],[Mã khách hàng]],code_khach_hang[],2,0)</f>
        <v>CHI NHÁNH PHÚ THỌ - CÔNG TY CỔ PHẦN DỊCH VỤ THƯƠNG MẠI TỔNG HỢP WINCOMMERCE</v>
      </c>
      <c r="G2646" s="16"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c r="A2647" s="14" t="s">
        <v>3422</v>
      </c>
      <c r="B2647" s="15" t="s">
        <v>5</v>
      </c>
      <c r="C2647" s="10" t="s">
        <v>3423</v>
      </c>
      <c r="D2647" s="16" t="s">
        <v>8369</v>
      </c>
      <c r="E2647" s="15" t="s">
        <v>11199</v>
      </c>
      <c r="F2647" s="16" t="str">
        <f>VLOOKUP(Table8[[#This Row],[Mã khách hàng]],code_khach_hang[],2,0)</f>
        <v>CHI NHÁNH PHÚ THỌ - CÔNG TY CỔ PHẦN DỊCH VỤ THƯƠNG MẠI TỔNG HỢP WINCOMMERCE</v>
      </c>
      <c r="G2647" s="16"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c r="A2648" s="14" t="s">
        <v>2780</v>
      </c>
      <c r="B2648" s="15" t="s">
        <v>5</v>
      </c>
      <c r="C2648" s="10" t="s">
        <v>2781</v>
      </c>
      <c r="D2648" s="16" t="s">
        <v>8372</v>
      </c>
      <c r="E2648" s="15" t="s">
        <v>11215</v>
      </c>
      <c r="F2648" s="16" t="str">
        <f>VLOOKUP(Table8[[#This Row],[Mã khách hàng]],code_khach_hang[],2,0)</f>
        <v>CHI NHÁNH HÀ NỘI - CÔNG TY CỔ PHẦN DỊCH VỤ THƯƠNG MẠI TỔNG HỢP WINCOMMERCE</v>
      </c>
      <c r="G2648" s="16"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c r="A2649" s="14" t="s">
        <v>2937</v>
      </c>
      <c r="B2649" s="15" t="s">
        <v>5</v>
      </c>
      <c r="C2649" s="10" t="s">
        <v>2938</v>
      </c>
      <c r="D2649" s="16" t="s">
        <v>8375</v>
      </c>
      <c r="E2649" s="15" t="s">
        <v>11200</v>
      </c>
      <c r="F2649" s="16" t="str">
        <f>VLOOKUP(Table8[[#This Row],[Mã khách hàng]],code_khach_hang[],2,0)</f>
        <v>CHI NHÁNH THÁI BÌNH - CÔNG TY CỔ PHẦN DỊCH VỤ THƯƠNG MẠI TỔNG HỢP WINCOMMERCE</v>
      </c>
      <c r="G2649" s="16"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c r="A2650" s="14" t="s">
        <v>9328</v>
      </c>
      <c r="B2650" s="15" t="s">
        <v>5</v>
      </c>
      <c r="C2650" s="10" t="s">
        <v>9329</v>
      </c>
      <c r="D2650" s="16" t="s">
        <v>8378</v>
      </c>
      <c r="E2650" s="15" t="s">
        <v>11205</v>
      </c>
      <c r="F2650" s="16" t="str">
        <f>VLOOKUP(Table8[[#This Row],[Mã khách hàng]],code_khach_hang[],2,0)</f>
        <v>CHI NHÁNH HÀ TĨNH - CÔNG TY CỔ PHẦN DỊCH VỤ THƯƠNG MẠI TỔNG HỢP WINCOMMERCE</v>
      </c>
      <c r="G2650" s="16"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c r="A2651" s="14" t="s">
        <v>3026</v>
      </c>
      <c r="B2651" s="15" t="s">
        <v>5</v>
      </c>
      <c r="C2651" s="10" t="s">
        <v>3027</v>
      </c>
      <c r="D2651" s="16" t="s">
        <v>8380</v>
      </c>
      <c r="E2651" s="15" t="s">
        <v>11198</v>
      </c>
      <c r="F2651" s="16" t="str">
        <f>VLOOKUP(Table8[[#This Row],[Mã khách hàng]],code_khach_hang[],2,0)</f>
        <v>CHI NHÁNH HẢI PHÒNG - CÔNG TY CỔ PHẦN DỊCH VỤ THƯƠNG MẠI TỔNG HỢP WINCOMMERCE</v>
      </c>
      <c r="G2651" s="16"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c r="A2652" s="14" t="s">
        <v>3059</v>
      </c>
      <c r="B2652" s="15" t="s">
        <v>5</v>
      </c>
      <c r="C2652" s="10" t="s">
        <v>3060</v>
      </c>
      <c r="D2652" s="16" t="s">
        <v>8383</v>
      </c>
      <c r="E2652" s="15" t="s">
        <v>11198</v>
      </c>
      <c r="F2652" s="16" t="str">
        <f>VLOOKUP(Table8[[#This Row],[Mã khách hàng]],code_khach_hang[],2,0)</f>
        <v>CHI NHÁNH HẢI PHÒNG - CÔNG TY CỔ PHẦN DỊCH VỤ THƯƠNG MẠI TỔNG HỢP WINCOMMERCE</v>
      </c>
      <c r="G2652" s="16"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c r="A2653" s="14" t="s">
        <v>3285</v>
      </c>
      <c r="B2653" s="15" t="s">
        <v>5</v>
      </c>
      <c r="C2653" s="10" t="s">
        <v>3286</v>
      </c>
      <c r="D2653" s="16" t="s">
        <v>8386</v>
      </c>
      <c r="E2653" s="15" t="s">
        <v>11211</v>
      </c>
      <c r="F2653" s="16" t="str">
        <f>VLOOKUP(Table8[[#This Row],[Mã khách hàng]],code_khach_hang[],2,0)</f>
        <v>CHI NHÁNH NGHỆ AN - CÔNG TY CỔ PHẦN DỊCH VỤ THƯƠNG MẠI TỔNG HỢP WINCOMMERCE</v>
      </c>
      <c r="G2653" s="16"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c r="A2654" s="14" t="s">
        <v>3357</v>
      </c>
      <c r="B2654" s="15" t="s">
        <v>5</v>
      </c>
      <c r="C2654" s="10" t="s">
        <v>3358</v>
      </c>
      <c r="D2654" s="16" t="s">
        <v>8389</v>
      </c>
      <c r="E2654" s="15" t="s">
        <v>11203</v>
      </c>
      <c r="F2654" s="16" t="str">
        <f>VLOOKUP(Table8[[#This Row],[Mã khách hàng]],code_khach_hang[],2,0)</f>
        <v>CHI NHÁNH THANH HÓA - CÔNG TY CỔ PHẦN DỊCH VỤ THƯƠNG MẠI TỔNG HỢP WINCOMMERCE</v>
      </c>
      <c r="G2654" s="16"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c r="A2655" s="14" t="s">
        <v>3363</v>
      </c>
      <c r="B2655" s="15" t="s">
        <v>5</v>
      </c>
      <c r="C2655" s="10" t="s">
        <v>3364</v>
      </c>
      <c r="D2655" s="16" t="s">
        <v>8392</v>
      </c>
      <c r="E2655" s="15" t="s">
        <v>11197</v>
      </c>
      <c r="F2655" s="16" t="str">
        <f>VLOOKUP(Table8[[#This Row],[Mã khách hàng]],code_khach_hang[],2,0)</f>
        <v>CHI NHÁNH QUẢNG NINH - CÔNG TY CỔ PHẦN DỊCH VỤ THƯƠNG MẠI TỔNG HỢP WINCOMMERCE</v>
      </c>
      <c r="G2655" s="16"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c r="A2656" s="14" t="s">
        <v>3419</v>
      </c>
      <c r="B2656" s="15" t="s">
        <v>5</v>
      </c>
      <c r="C2656" s="10" t="s">
        <v>3420</v>
      </c>
      <c r="D2656" s="16" t="s">
        <v>8395</v>
      </c>
      <c r="E2656" s="15" t="s">
        <v>11198</v>
      </c>
      <c r="F2656" s="16" t="str">
        <f>VLOOKUP(Table8[[#This Row],[Mã khách hàng]],code_khach_hang[],2,0)</f>
        <v>CHI NHÁNH HẢI PHÒNG - CÔNG TY CỔ PHẦN DỊCH VỤ THƯƠNG MẠI TỔNG HỢP WINCOMMERCE</v>
      </c>
      <c r="G2656" s="16"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c r="A2657" s="14" t="s">
        <v>3434</v>
      </c>
      <c r="B2657" s="15" t="s">
        <v>5</v>
      </c>
      <c r="C2657" s="10" t="s">
        <v>3435</v>
      </c>
      <c r="D2657" s="16" t="s">
        <v>8398</v>
      </c>
      <c r="E2657" s="15" t="s">
        <v>11211</v>
      </c>
      <c r="F2657" s="16" t="str">
        <f>VLOOKUP(Table8[[#This Row],[Mã khách hàng]],code_khach_hang[],2,0)</f>
        <v>CHI NHÁNH NGHỆ AN - CÔNG TY CỔ PHẦN DỊCH VỤ THƯƠNG MẠI TỔNG HỢP WINCOMMERCE</v>
      </c>
      <c r="G2657" s="16"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c r="A2658" s="14" t="s">
        <v>3494</v>
      </c>
      <c r="B2658" s="15" t="s">
        <v>5</v>
      </c>
      <c r="C2658" s="10" t="s">
        <v>3495</v>
      </c>
      <c r="D2658" s="16" t="s">
        <v>8401</v>
      </c>
      <c r="E2658" s="15" t="s">
        <v>11203</v>
      </c>
      <c r="F2658" s="16" t="str">
        <f>VLOOKUP(Table8[[#This Row],[Mã khách hàng]],code_khach_hang[],2,0)</f>
        <v>CHI NHÁNH THANH HÓA - CÔNG TY CỔ PHẦN DỊCH VỤ THƯƠNG MẠI TỔNG HỢP WINCOMMERCE</v>
      </c>
      <c r="G2658" s="16"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c r="A2659" s="14" t="s">
        <v>3560</v>
      </c>
      <c r="B2659" s="15" t="s">
        <v>5</v>
      </c>
      <c r="C2659" s="10" t="s">
        <v>3561</v>
      </c>
      <c r="D2659" s="16" t="s">
        <v>8403</v>
      </c>
      <c r="E2659" s="15" t="s">
        <v>11211</v>
      </c>
      <c r="F2659" s="16" t="str">
        <f>VLOOKUP(Table8[[#This Row],[Mã khách hàng]],code_khach_hang[],2,0)</f>
        <v>CHI NHÁNH NGHỆ AN - CÔNG TY CỔ PHẦN DỊCH VỤ THƯƠNG MẠI TỔNG HỢP WINCOMMERCE</v>
      </c>
      <c r="G2659" s="16"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c r="A2660" s="14" t="s">
        <v>2783</v>
      </c>
      <c r="B2660" s="15" t="s">
        <v>5</v>
      </c>
      <c r="C2660" s="10" t="s">
        <v>2784</v>
      </c>
      <c r="D2660" s="16" t="s">
        <v>8406</v>
      </c>
      <c r="E2660" s="15" t="s">
        <v>11193</v>
      </c>
      <c r="F2660" s="16" t="str">
        <f>VLOOKUP(Table8[[#This Row],[Mã khách hàng]],code_khach_hang[],2,0)</f>
        <v>CHI NHÁNH BẮC NINH - CÔNG TY CỔ PHẦN DỊCH VỤ THƯƠNG MẠI TỔNG HỢP WINCOMMERCE</v>
      </c>
      <c r="G2660" s="16"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c r="A2661" s="14" t="s">
        <v>3297</v>
      </c>
      <c r="B2661" s="15" t="s">
        <v>5</v>
      </c>
      <c r="C2661" s="10" t="s">
        <v>3298</v>
      </c>
      <c r="D2661" s="16" t="s">
        <v>8409</v>
      </c>
      <c r="E2661" s="15" t="s">
        <v>11203</v>
      </c>
      <c r="F2661" s="16" t="str">
        <f>VLOOKUP(Table8[[#This Row],[Mã khách hàng]],code_khach_hang[],2,0)</f>
        <v>CHI NHÁNH THANH HÓA - CÔNG TY CỔ PHẦN DỊCH VỤ THƯƠNG MẠI TỔNG HỢP WINCOMMERCE</v>
      </c>
      <c r="G2661" s="16"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c r="A2662" s="14" t="s">
        <v>3669</v>
      </c>
      <c r="B2662" s="15" t="s">
        <v>5</v>
      </c>
      <c r="C2662" s="10" t="s">
        <v>3670</v>
      </c>
      <c r="D2662" s="16" t="s">
        <v>8412</v>
      </c>
      <c r="E2662" s="15" t="s">
        <v>11215</v>
      </c>
      <c r="F2662" s="16" t="str">
        <f>VLOOKUP(Table8[[#This Row],[Mã khách hàng]],code_khach_hang[],2,0)</f>
        <v>CHI NHÁNH HÀ NỘI - CÔNG TY CỔ PHẦN DỊCH VỤ THƯƠNG MẠI TỔNG HỢP WINCOMMERCE</v>
      </c>
      <c r="G2662" s="16"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c r="A2663" s="14" t="s">
        <v>3288</v>
      </c>
      <c r="B2663" s="15" t="s">
        <v>5</v>
      </c>
      <c r="C2663" s="10" t="s">
        <v>3289</v>
      </c>
      <c r="D2663" s="16" t="s">
        <v>8415</v>
      </c>
      <c r="E2663" s="15" t="s">
        <v>11211</v>
      </c>
      <c r="F2663" s="16" t="str">
        <f>VLOOKUP(Table8[[#This Row],[Mã khách hàng]],code_khach_hang[],2,0)</f>
        <v>CHI NHÁNH NGHỆ AN - CÔNG TY CỔ PHẦN DỊCH VỤ THƯƠNG MẠI TỔNG HỢP WINCOMMERCE</v>
      </c>
      <c r="G2663" s="16"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c r="A2664" s="14" t="s">
        <v>3038</v>
      </c>
      <c r="B2664" s="15" t="s">
        <v>5</v>
      </c>
      <c r="C2664" s="10" t="s">
        <v>3039</v>
      </c>
      <c r="D2664" s="16" t="s">
        <v>8418</v>
      </c>
      <c r="E2664" s="15" t="s">
        <v>11196</v>
      </c>
      <c r="F2664" s="16" t="str">
        <f>VLOOKUP(Table8[[#This Row],[Mã khách hàng]],code_khach_hang[],2,0)</f>
        <v>CHI NHÁNH NINH BÌNH - CÔNG TY CỔ PHẦN DỊCH VỤ THƯƠNG MẠI TỔNG HỢP WINCOMMERCE</v>
      </c>
      <c r="G2664" s="16"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c r="A2665" s="14" t="s">
        <v>3050</v>
      </c>
      <c r="B2665" s="15" t="s">
        <v>5</v>
      </c>
      <c r="C2665" s="10" t="s">
        <v>3051</v>
      </c>
      <c r="D2665" s="16" t="s">
        <v>8421</v>
      </c>
      <c r="E2665" s="15" t="s">
        <v>11215</v>
      </c>
      <c r="F2665" s="16" t="str">
        <f>VLOOKUP(Table8[[#This Row],[Mã khách hàng]],code_khach_hang[],2,0)</f>
        <v>CHI NHÁNH HÀ NỘI - CÔNG TY CỔ PHẦN DỊCH VỤ THƯƠNG MẠI TỔNG HỢP WINCOMMERCE</v>
      </c>
      <c r="G2665" s="16"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c r="A2666" s="14" t="s">
        <v>3563</v>
      </c>
      <c r="B2666" s="15" t="s">
        <v>5</v>
      </c>
      <c r="C2666" s="10" t="s">
        <v>3564</v>
      </c>
      <c r="D2666" s="16" t="s">
        <v>8424</v>
      </c>
      <c r="E2666" s="15" t="s">
        <v>11203</v>
      </c>
      <c r="F2666" s="16" t="str">
        <f>VLOOKUP(Table8[[#This Row],[Mã khách hàng]],code_khach_hang[],2,0)</f>
        <v>CHI NHÁNH THANH HÓA - CÔNG TY CỔ PHẦN DỊCH VỤ THƯƠNG MẠI TỔNG HỢP WINCOMMERCE</v>
      </c>
      <c r="G2666" s="16"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c r="A2667" s="14" t="s">
        <v>3684</v>
      </c>
      <c r="B2667" s="15" t="s">
        <v>5</v>
      </c>
      <c r="C2667" s="10" t="s">
        <v>3685</v>
      </c>
      <c r="D2667" s="16" t="s">
        <v>8427</v>
      </c>
      <c r="E2667" s="15" t="s">
        <v>11215</v>
      </c>
      <c r="F2667" s="16" t="str">
        <f>VLOOKUP(Table8[[#This Row],[Mã khách hàng]],code_khach_hang[],2,0)</f>
        <v>CHI NHÁNH HÀ NỘI - CÔNG TY CỔ PHẦN DỊCH VỤ THƯƠNG MẠI TỔNG HỢP WINCOMMERCE</v>
      </c>
      <c r="G2667" s="16"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c r="A2668" s="14" t="s">
        <v>3142</v>
      </c>
      <c r="B2668" s="15" t="s">
        <v>5</v>
      </c>
      <c r="C2668" s="10" t="s">
        <v>3143</v>
      </c>
      <c r="D2668" s="16" t="s">
        <v>8430</v>
      </c>
      <c r="E2668" s="15" t="s">
        <v>11215</v>
      </c>
      <c r="F2668" s="16" t="str">
        <f>VLOOKUP(Table8[[#This Row],[Mã khách hàng]],code_khach_hang[],2,0)</f>
        <v>CHI NHÁNH HÀ NỘI - CÔNG TY CỔ PHẦN DỊCH VỤ THƯƠNG MẠI TỔNG HỢP WINCOMMERCE</v>
      </c>
      <c r="G2668" s="16"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c r="A2669" s="14" t="s">
        <v>3437</v>
      </c>
      <c r="B2669" s="15" t="s">
        <v>5</v>
      </c>
      <c r="C2669" s="10" t="s">
        <v>3438</v>
      </c>
      <c r="D2669" s="16" t="s">
        <v>8433</v>
      </c>
      <c r="E2669" s="15" t="s">
        <v>11205</v>
      </c>
      <c r="F2669" s="16" t="str">
        <f>VLOOKUP(Table8[[#This Row],[Mã khách hàng]],code_khach_hang[],2,0)</f>
        <v>CHI NHÁNH HÀ TĨNH - CÔNG TY CỔ PHẦN DỊCH VỤ THƯƠNG MẠI TỔNG HỢP WINCOMMERCE</v>
      </c>
      <c r="G2669" s="16"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c r="A2670" s="14" t="s">
        <v>3844</v>
      </c>
      <c r="B2670" s="15" t="s">
        <v>5</v>
      </c>
      <c r="C2670" s="10" t="s">
        <v>3845</v>
      </c>
      <c r="D2670" s="16" t="s">
        <v>8436</v>
      </c>
      <c r="E2670" s="15" t="s">
        <v>11211</v>
      </c>
      <c r="F2670" s="16" t="str">
        <f>VLOOKUP(Table8[[#This Row],[Mã khách hàng]],code_khach_hang[],2,0)</f>
        <v>CHI NHÁNH NGHỆ AN - CÔNG TY CỔ PHẦN DỊCH VỤ THƯƠNG MẠI TỔNG HỢP WINCOMMERCE</v>
      </c>
      <c r="G2670" s="16"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c r="A2671" s="14" t="s">
        <v>3865</v>
      </c>
      <c r="B2671" s="15" t="s">
        <v>5</v>
      </c>
      <c r="C2671" s="10" t="s">
        <v>3866</v>
      </c>
      <c r="D2671" s="16" t="s">
        <v>8438</v>
      </c>
      <c r="E2671" s="15" t="s">
        <v>11198</v>
      </c>
      <c r="F2671" s="16" t="str">
        <f>VLOOKUP(Table8[[#This Row],[Mã khách hàng]],code_khach_hang[],2,0)</f>
        <v>CHI NHÁNH HẢI PHÒNG - CÔNG TY CỔ PHẦN DỊCH VỤ THƯƠNG MẠI TỔNG HỢP WINCOMMERCE</v>
      </c>
      <c r="G2671" s="16"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c r="A2672" s="14" t="s">
        <v>3612</v>
      </c>
      <c r="B2672" s="15" t="s">
        <v>5</v>
      </c>
      <c r="C2672" s="10" t="s">
        <v>3613</v>
      </c>
      <c r="D2672" s="16" t="s">
        <v>8441</v>
      </c>
      <c r="E2672" s="15" t="s">
        <v>11198</v>
      </c>
      <c r="F2672" s="16" t="str">
        <f>VLOOKUP(Table8[[#This Row],[Mã khách hàng]],code_khach_hang[],2,0)</f>
        <v>CHI NHÁNH HẢI PHÒNG - CÔNG TY CỔ PHẦN DỊCH VỤ THƯƠNG MẠI TỔNG HỢP WINCOMMERCE</v>
      </c>
      <c r="G2672" s="16"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c r="A2673" s="14" t="s">
        <v>3425</v>
      </c>
      <c r="B2673" s="15" t="s">
        <v>5</v>
      </c>
      <c r="C2673" s="10" t="s">
        <v>3426</v>
      </c>
      <c r="D2673" s="16" t="s">
        <v>8444</v>
      </c>
      <c r="E2673" s="15" t="s">
        <v>11198</v>
      </c>
      <c r="F2673" s="16" t="str">
        <f>VLOOKUP(Table8[[#This Row],[Mã khách hàng]],code_khach_hang[],2,0)</f>
        <v>CHI NHÁNH HẢI PHÒNG - CÔNG TY CỔ PHẦN DỊCH VỤ THƯƠNG MẠI TỔNG HỢP WINCOMMERCE</v>
      </c>
      <c r="G2673" s="16"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c r="A2674" s="14" t="s">
        <v>2887</v>
      </c>
      <c r="B2674" s="15" t="s">
        <v>5</v>
      </c>
      <c r="C2674" s="10" t="s">
        <v>2888</v>
      </c>
      <c r="D2674" s="16" t="s">
        <v>8447</v>
      </c>
      <c r="E2674" s="15" t="s">
        <v>11211</v>
      </c>
      <c r="F2674" s="16" t="str">
        <f>VLOOKUP(Table8[[#This Row],[Mã khách hàng]],code_khach_hang[],2,0)</f>
        <v>CHI NHÁNH NGHỆ AN - CÔNG TY CỔ PHẦN DỊCH VỤ THƯƠNG MẠI TỔNG HỢP WINCOMMERCE</v>
      </c>
      <c r="G2674" s="16"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c r="A2675" s="14" t="s">
        <v>3032</v>
      </c>
      <c r="B2675" s="15" t="s">
        <v>5</v>
      </c>
      <c r="C2675" s="10" t="s">
        <v>3033</v>
      </c>
      <c r="D2675" s="16" t="s">
        <v>8450</v>
      </c>
      <c r="E2675" s="15" t="s">
        <v>11211</v>
      </c>
      <c r="F2675" s="16" t="str">
        <f>VLOOKUP(Table8[[#This Row],[Mã khách hàng]],code_khach_hang[],2,0)</f>
        <v>CHI NHÁNH NGHỆ AN - CÔNG TY CỔ PHẦN DỊCH VỤ THƯƠNG MẠI TỔNG HỢP WINCOMMERCE</v>
      </c>
      <c r="G2675" s="16"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c r="A2676" s="14" t="s">
        <v>3074</v>
      </c>
      <c r="B2676" s="15" t="s">
        <v>5</v>
      </c>
      <c r="C2676" s="10" t="s">
        <v>3075</v>
      </c>
      <c r="D2676" s="16" t="s">
        <v>8453</v>
      </c>
      <c r="E2676" s="15" t="s">
        <v>11211</v>
      </c>
      <c r="F2676" s="16" t="str">
        <f>VLOOKUP(Table8[[#This Row],[Mã khách hàng]],code_khach_hang[],2,0)</f>
        <v>CHI NHÁNH NGHỆ AN - CÔNG TY CỔ PHẦN DỊCH VỤ THƯƠNG MẠI TỔNG HỢP WINCOMMERCE</v>
      </c>
      <c r="G2676" s="16"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c r="A2677" s="14" t="s">
        <v>3139</v>
      </c>
      <c r="B2677" s="15" t="s">
        <v>5</v>
      </c>
      <c r="C2677" s="10" t="s">
        <v>3140</v>
      </c>
      <c r="D2677" s="16" t="s">
        <v>8456</v>
      </c>
      <c r="E2677" s="15" t="s">
        <v>11215</v>
      </c>
      <c r="F2677" s="16" t="str">
        <f>VLOOKUP(Table8[[#This Row],[Mã khách hàng]],code_khach_hang[],2,0)</f>
        <v>CHI NHÁNH HÀ NỘI - CÔNG TY CỔ PHẦN DỊCH VỤ THƯƠNG MẠI TỔNG HỢP WINCOMMERCE</v>
      </c>
      <c r="G2677" s="16"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c r="A2678" s="14" t="s">
        <v>3291</v>
      </c>
      <c r="B2678" s="15" t="s">
        <v>5</v>
      </c>
      <c r="C2678" s="10" t="s">
        <v>3292</v>
      </c>
      <c r="D2678" s="16" t="s">
        <v>8459</v>
      </c>
      <c r="E2678" s="15" t="s">
        <v>11203</v>
      </c>
      <c r="F2678" s="16" t="str">
        <f>VLOOKUP(Table8[[#This Row],[Mã khách hàng]],code_khach_hang[],2,0)</f>
        <v>CHI NHÁNH THANH HÓA - CÔNG TY CỔ PHẦN DỊCH VỤ THƯƠNG MẠI TỔNG HỢP WINCOMMERCE</v>
      </c>
      <c r="G2678" s="16"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c r="A2679" s="14" t="s">
        <v>3428</v>
      </c>
      <c r="B2679" s="15" t="s">
        <v>5</v>
      </c>
      <c r="C2679" s="10" t="s">
        <v>3429</v>
      </c>
      <c r="D2679" s="16" t="s">
        <v>8462</v>
      </c>
      <c r="E2679" s="15" t="s">
        <v>11215</v>
      </c>
      <c r="F2679" s="16" t="str">
        <f>VLOOKUP(Table8[[#This Row],[Mã khách hàng]],code_khach_hang[],2,0)</f>
        <v>CHI NHÁNH HÀ NỘI - CÔNG TY CỔ PHẦN DỊCH VỤ THƯƠNG MẠI TỔNG HỢP WINCOMMERCE</v>
      </c>
      <c r="G2679" s="16"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c r="A2680" s="14" t="s">
        <v>3497</v>
      </c>
      <c r="B2680" s="15" t="s">
        <v>5</v>
      </c>
      <c r="C2680" s="10" t="s">
        <v>3498</v>
      </c>
      <c r="D2680" s="16" t="s">
        <v>8465</v>
      </c>
      <c r="E2680" s="15" t="s">
        <v>11215</v>
      </c>
      <c r="F2680" s="16" t="str">
        <f>VLOOKUP(Table8[[#This Row],[Mã khách hàng]],code_khach_hang[],2,0)</f>
        <v>CHI NHÁNH HÀ NỘI - CÔNG TY CỔ PHẦN DỊCH VỤ THƯƠNG MẠI TỔNG HỢP WINCOMMERCE</v>
      </c>
      <c r="G2680" s="16"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c r="A2681" s="14" t="s">
        <v>3500</v>
      </c>
      <c r="B2681" s="15" t="s">
        <v>5</v>
      </c>
      <c r="C2681" s="10" t="s">
        <v>3501</v>
      </c>
      <c r="D2681" s="16" t="s">
        <v>8468</v>
      </c>
      <c r="E2681" s="15" t="s">
        <v>11205</v>
      </c>
      <c r="F2681" s="16" t="str">
        <f>VLOOKUP(Table8[[#This Row],[Mã khách hàng]],code_khach_hang[],2,0)</f>
        <v>CHI NHÁNH HÀ TĨNH - CÔNG TY CỔ PHẦN DỊCH VỤ THƯƠNG MẠI TỔNG HỢP WINCOMMERCE</v>
      </c>
      <c r="G2681" s="16"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c r="A2682" s="14" t="s">
        <v>3503</v>
      </c>
      <c r="B2682" s="15" t="s">
        <v>5</v>
      </c>
      <c r="C2682" s="10" t="s">
        <v>3504</v>
      </c>
      <c r="D2682" s="16" t="s">
        <v>8470</v>
      </c>
      <c r="E2682" s="15" t="s">
        <v>11203</v>
      </c>
      <c r="F2682" s="16" t="str">
        <f>VLOOKUP(Table8[[#This Row],[Mã khách hàng]],code_khach_hang[],2,0)</f>
        <v>CHI NHÁNH THANH HÓA - CÔNG TY CỔ PHẦN DỊCH VỤ THƯƠNG MẠI TỔNG HỢP WINCOMMERCE</v>
      </c>
      <c r="G2682" s="16"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c r="A2683" s="14" t="s">
        <v>3557</v>
      </c>
      <c r="B2683" s="15" t="s">
        <v>5</v>
      </c>
      <c r="C2683" s="10" t="s">
        <v>3558</v>
      </c>
      <c r="D2683" s="16" t="s">
        <v>8473</v>
      </c>
      <c r="E2683" s="15" t="s">
        <v>11215</v>
      </c>
      <c r="F2683" s="16" t="str">
        <f>VLOOKUP(Table8[[#This Row],[Mã khách hàng]],code_khach_hang[],2,0)</f>
        <v>CHI NHÁNH HÀ NỘI - CÔNG TY CỔ PHẦN DỊCH VỤ THƯƠNG MẠI TỔNG HỢP WINCOMMERCE</v>
      </c>
      <c r="G2683" s="16"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c r="A2684" s="14" t="s">
        <v>3621</v>
      </c>
      <c r="B2684" s="15" t="s">
        <v>5</v>
      </c>
      <c r="C2684" s="10" t="s">
        <v>3622</v>
      </c>
      <c r="D2684" s="16" t="s">
        <v>8476</v>
      </c>
      <c r="E2684" s="15" t="s">
        <v>11205</v>
      </c>
      <c r="F2684" s="16" t="str">
        <f>VLOOKUP(Table8[[#This Row],[Mã khách hàng]],code_khach_hang[],2,0)</f>
        <v>CHI NHÁNH HÀ TĨNH - CÔNG TY CỔ PHẦN DỊCH VỤ THƯƠNG MẠI TỔNG HỢP WINCOMMERCE</v>
      </c>
      <c r="G2684" s="16"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c r="A2685" s="14" t="s">
        <v>3666</v>
      </c>
      <c r="B2685" s="15" t="s">
        <v>5</v>
      </c>
      <c r="C2685" s="10" t="s">
        <v>3667</v>
      </c>
      <c r="D2685" s="16" t="s">
        <v>8479</v>
      </c>
      <c r="E2685" s="15" t="s">
        <v>11215</v>
      </c>
      <c r="F2685" s="16" t="str">
        <f>VLOOKUP(Table8[[#This Row],[Mã khách hàng]],code_khach_hang[],2,0)</f>
        <v>CHI NHÁNH HÀ NỘI - CÔNG TY CỔ PHẦN DỊCH VỤ THƯƠNG MẠI TỔNG HỢP WINCOMMERCE</v>
      </c>
      <c r="G2685" s="16"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c r="A2686" s="14" t="s">
        <v>3672</v>
      </c>
      <c r="B2686" s="15" t="s">
        <v>5</v>
      </c>
      <c r="C2686" s="10" t="s">
        <v>3673</v>
      </c>
      <c r="D2686" s="16" t="s">
        <v>8482</v>
      </c>
      <c r="E2686" s="15" t="s">
        <v>11203</v>
      </c>
      <c r="F2686" s="16" t="str">
        <f>VLOOKUP(Table8[[#This Row],[Mã khách hàng]],code_khach_hang[],2,0)</f>
        <v>CHI NHÁNH THANH HÓA - CÔNG TY CỔ PHẦN DỊCH VỤ THƯƠNG MẠI TỔNG HỢP WINCOMMERCE</v>
      </c>
      <c r="G2686" s="16"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c r="A2687" s="14" t="s">
        <v>3678</v>
      </c>
      <c r="B2687" s="15" t="s">
        <v>5</v>
      </c>
      <c r="C2687" s="10" t="s">
        <v>3679</v>
      </c>
      <c r="D2687" s="16" t="s">
        <v>8485</v>
      </c>
      <c r="E2687" s="15" t="s">
        <v>11216</v>
      </c>
      <c r="F2687" s="16" t="str">
        <f>VLOOKUP(Table8[[#This Row],[Mã khách hàng]],code_khach_hang[],2,0)</f>
        <v>CHI NHÁNH HƯNG YÊN - CÔNG TY CỔ PHẦN DỊCH VỤ THƯƠNG MẠI TỔNG HỢP WINCOMMERCE</v>
      </c>
      <c r="G2687" s="16"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c r="A2688" s="14" t="s">
        <v>3747</v>
      </c>
      <c r="B2688" s="15" t="s">
        <v>5</v>
      </c>
      <c r="C2688" s="10" t="s">
        <v>3748</v>
      </c>
      <c r="D2688" s="16" t="s">
        <v>8488</v>
      </c>
      <c r="E2688" s="15" t="s">
        <v>11211</v>
      </c>
      <c r="F2688" s="16" t="str">
        <f>VLOOKUP(Table8[[#This Row],[Mã khách hàng]],code_khach_hang[],2,0)</f>
        <v>CHI NHÁNH NGHỆ AN - CÔNG TY CỔ PHẦN DỊCH VỤ THƯƠNG MẠI TỔNG HỢP WINCOMMERCE</v>
      </c>
      <c r="G2688" s="16"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c r="A2689" s="14" t="s">
        <v>3753</v>
      </c>
      <c r="B2689" s="15" t="s">
        <v>5</v>
      </c>
      <c r="C2689" s="10" t="s">
        <v>3754</v>
      </c>
      <c r="D2689" s="16" t="s">
        <v>8491</v>
      </c>
      <c r="E2689" s="15" t="s">
        <v>11216</v>
      </c>
      <c r="F2689" s="16" t="str">
        <f>VLOOKUP(Table8[[#This Row],[Mã khách hàng]],code_khach_hang[],2,0)</f>
        <v>CHI NHÁNH HƯNG YÊN - CÔNG TY CỔ PHẦN DỊCH VỤ THƯƠNG MẠI TỔNG HỢP WINCOMMERCE</v>
      </c>
      <c r="G2689" s="16"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c r="A2690" s="14" t="s">
        <v>3801</v>
      </c>
      <c r="B2690" s="15" t="s">
        <v>5</v>
      </c>
      <c r="C2690" s="10" t="s">
        <v>3802</v>
      </c>
      <c r="D2690" s="16" t="s">
        <v>8493</v>
      </c>
      <c r="E2690" s="15" t="s">
        <v>11211</v>
      </c>
      <c r="F2690" s="16" t="str">
        <f>VLOOKUP(Table8[[#This Row],[Mã khách hàng]],code_khach_hang[],2,0)</f>
        <v>CHI NHÁNH NGHỆ AN - CÔNG TY CỔ PHẦN DỊCH VỤ THƯƠNG MẠI TỔNG HỢP WINCOMMERCE</v>
      </c>
      <c r="G2690" s="16"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c r="A2691" s="14" t="s">
        <v>3835</v>
      </c>
      <c r="B2691" s="15" t="s">
        <v>5</v>
      </c>
      <c r="C2691" s="10" t="s">
        <v>3836</v>
      </c>
      <c r="D2691" s="16" t="s">
        <v>8496</v>
      </c>
      <c r="E2691" s="15" t="s">
        <v>11199</v>
      </c>
      <c r="F2691" s="16" t="str">
        <f>VLOOKUP(Table8[[#This Row],[Mã khách hàng]],code_khach_hang[],2,0)</f>
        <v>CHI NHÁNH PHÚ THỌ - CÔNG TY CỔ PHẦN DỊCH VỤ THƯƠNG MẠI TỔNG HỢP WINCOMMERCE</v>
      </c>
      <c r="G2691" s="16"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c r="A2692" s="14" t="s">
        <v>3862</v>
      </c>
      <c r="B2692" s="15" t="s">
        <v>5</v>
      </c>
      <c r="C2692" s="10" t="s">
        <v>3863</v>
      </c>
      <c r="D2692" s="16" t="s">
        <v>8499</v>
      </c>
      <c r="E2692" s="15" t="s">
        <v>11207</v>
      </c>
      <c r="F2692" s="16" t="str">
        <f>VLOOKUP(Table8[[#This Row],[Mã khách hàng]],code_khach_hang[],2,0)</f>
        <v>CHI NHÁNH THÁI NGUYÊN - CÔNG TY CỔ PHẦN DỊCH VỤ THƯƠNG MẠI TỔNG HỢP WINCOMMERCE</v>
      </c>
      <c r="G2692" s="16"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c r="A2693" s="14" t="s">
        <v>3892</v>
      </c>
      <c r="B2693" s="15" t="s">
        <v>5</v>
      </c>
      <c r="C2693" s="10" t="s">
        <v>3893</v>
      </c>
      <c r="D2693" s="16" t="s">
        <v>8502</v>
      </c>
      <c r="E2693" s="15" t="s">
        <v>11215</v>
      </c>
      <c r="F2693" s="16" t="str">
        <f>VLOOKUP(Table8[[#This Row],[Mã khách hàng]],code_khach_hang[],2,0)</f>
        <v>CHI NHÁNH HÀ NỘI - CÔNG TY CỔ PHẦN DỊCH VỤ THƯƠNG MẠI TỔNG HỢP WINCOMMERCE</v>
      </c>
      <c r="G2693" s="16"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c r="A2694" s="14" t="s">
        <v>2979</v>
      </c>
      <c r="B2694" s="15" t="s">
        <v>5</v>
      </c>
      <c r="C2694" s="10" t="s">
        <v>2980</v>
      </c>
      <c r="D2694" s="16" t="s">
        <v>8505</v>
      </c>
      <c r="E2694" s="15" t="s">
        <v>11199</v>
      </c>
      <c r="F2694" s="16" t="str">
        <f>VLOOKUP(Table8[[#This Row],[Mã khách hàng]],code_khach_hang[],2,0)</f>
        <v>CHI NHÁNH PHÚ THỌ - CÔNG TY CỔ PHẦN DỊCH VỤ THƯƠNG MẠI TỔNG HỢP WINCOMMERCE</v>
      </c>
      <c r="G2694" s="16"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c r="A2695" s="14" t="s">
        <v>2994</v>
      </c>
      <c r="B2695" s="15" t="s">
        <v>5</v>
      </c>
      <c r="C2695" s="10" t="s">
        <v>2995</v>
      </c>
      <c r="D2695" s="16" t="s">
        <v>8508</v>
      </c>
      <c r="E2695" s="15" t="s">
        <v>11203</v>
      </c>
      <c r="F2695" s="16" t="str">
        <f>VLOOKUP(Table8[[#This Row],[Mã khách hàng]],code_khach_hang[],2,0)</f>
        <v>CHI NHÁNH THANH HÓA - CÔNG TY CỔ PHẦN DỊCH VỤ THƯƠNG MẠI TỔNG HỢP WINCOMMERCE</v>
      </c>
      <c r="G2695" s="16"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c r="A2696" s="14" t="s">
        <v>3012</v>
      </c>
      <c r="B2696" s="15" t="s">
        <v>5</v>
      </c>
      <c r="C2696" s="10" t="s">
        <v>3013</v>
      </c>
      <c r="D2696" s="16" t="s">
        <v>8511</v>
      </c>
      <c r="E2696" s="15" t="s">
        <v>11215</v>
      </c>
      <c r="F2696" s="16" t="str">
        <f>VLOOKUP(Table8[[#This Row],[Mã khách hàng]],code_khach_hang[],2,0)</f>
        <v>CHI NHÁNH HÀ NỘI - CÔNG TY CỔ PHẦN DỊCH VỤ THƯƠNG MẠI TỔNG HỢP WINCOMMERCE</v>
      </c>
      <c r="G2696" s="16"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c r="A2697" s="14" t="s">
        <v>3083</v>
      </c>
      <c r="B2697" s="15" t="s">
        <v>5</v>
      </c>
      <c r="C2697" s="10" t="s">
        <v>3084</v>
      </c>
      <c r="D2697" s="16" t="s">
        <v>8514</v>
      </c>
      <c r="E2697" s="15" t="s">
        <v>11207</v>
      </c>
      <c r="F2697" s="16" t="str">
        <f>VLOOKUP(Table8[[#This Row],[Mã khách hàng]],code_khach_hang[],2,0)</f>
        <v>CHI NHÁNH THÁI NGUYÊN - CÔNG TY CỔ PHẦN DỊCH VỤ THƯƠNG MẠI TỔNG HỢP WINCOMMERCE</v>
      </c>
      <c r="G2697" s="16"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c r="A2698" s="14" t="s">
        <v>3220</v>
      </c>
      <c r="B2698" s="15" t="s">
        <v>5</v>
      </c>
      <c r="C2698" s="10" t="s">
        <v>3221</v>
      </c>
      <c r="D2698" s="16" t="s">
        <v>8517</v>
      </c>
      <c r="E2698" s="15" t="s">
        <v>11203</v>
      </c>
      <c r="F2698" s="16" t="str">
        <f>VLOOKUP(Table8[[#This Row],[Mã khách hàng]],code_khach_hang[],2,0)</f>
        <v>CHI NHÁNH THANH HÓA - CÔNG TY CỔ PHẦN DỊCH VỤ THƯƠNG MẠI TỔNG HỢP WINCOMMERCE</v>
      </c>
      <c r="G2698" s="16"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c r="A2699" s="14" t="s">
        <v>3354</v>
      </c>
      <c r="B2699" s="15" t="s">
        <v>5</v>
      </c>
      <c r="C2699" s="10" t="s">
        <v>3355</v>
      </c>
      <c r="D2699" s="16" t="s">
        <v>8520</v>
      </c>
      <c r="E2699" s="15" t="s">
        <v>11216</v>
      </c>
      <c r="F2699" s="16" t="str">
        <f>VLOOKUP(Table8[[#This Row],[Mã khách hàng]],code_khach_hang[],2,0)</f>
        <v>CHI NHÁNH HƯNG YÊN - CÔNG TY CỔ PHẦN DỊCH VỤ THƯƠNG MẠI TỔNG HỢP WINCOMMERCE</v>
      </c>
      <c r="G2699" s="16"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c r="A2700" s="14" t="s">
        <v>3360</v>
      </c>
      <c r="B2700" s="15" t="s">
        <v>5</v>
      </c>
      <c r="C2700" s="10" t="s">
        <v>3361</v>
      </c>
      <c r="D2700" s="16" t="s">
        <v>8523</v>
      </c>
      <c r="E2700" s="15" t="s">
        <v>11203</v>
      </c>
      <c r="F2700" s="16" t="str">
        <f>VLOOKUP(Table8[[#This Row],[Mã khách hàng]],code_khach_hang[],2,0)</f>
        <v>CHI NHÁNH THANH HÓA - CÔNG TY CỔ PHẦN DỊCH VỤ THƯƠNG MẠI TỔNG HỢP WINCOMMERCE</v>
      </c>
      <c r="G2700" s="16"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c r="A2701" s="14" t="s">
        <v>3491</v>
      </c>
      <c r="B2701" s="15" t="s">
        <v>5</v>
      </c>
      <c r="C2701" s="10" t="s">
        <v>3492</v>
      </c>
      <c r="D2701" s="16" t="s">
        <v>8525</v>
      </c>
      <c r="E2701" s="15" t="s">
        <v>11198</v>
      </c>
      <c r="F2701" s="16" t="str">
        <f>VLOOKUP(Table8[[#This Row],[Mã khách hàng]],code_khach_hang[],2,0)</f>
        <v>CHI NHÁNH HẢI PHÒNG - CÔNG TY CỔ PHẦN DỊCH VỤ THƯƠNG MẠI TỔNG HỢP WINCOMMERCE</v>
      </c>
      <c r="G2701" s="16"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c r="A2702" s="14" t="s">
        <v>3675</v>
      </c>
      <c r="B2702" s="15" t="s">
        <v>5</v>
      </c>
      <c r="C2702" s="10" t="s">
        <v>3676</v>
      </c>
      <c r="D2702" s="16" t="s">
        <v>8528</v>
      </c>
      <c r="E2702" s="15" t="s">
        <v>11216</v>
      </c>
      <c r="F2702" s="16" t="str">
        <f>VLOOKUP(Table8[[#This Row],[Mã khách hàng]],code_khach_hang[],2,0)</f>
        <v>CHI NHÁNH HƯNG YÊN - CÔNG TY CỔ PHẦN DỊCH VỤ THƯƠNG MẠI TỔNG HỢP WINCOMMERCE</v>
      </c>
      <c r="G2702" s="16"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c r="A2703" s="14" t="s">
        <v>3741</v>
      </c>
      <c r="B2703" s="15" t="s">
        <v>5</v>
      </c>
      <c r="C2703" s="10" t="s">
        <v>3742</v>
      </c>
      <c r="D2703" s="16" t="s">
        <v>8531</v>
      </c>
      <c r="E2703" s="15" t="s">
        <v>11215</v>
      </c>
      <c r="F2703" s="16" t="str">
        <f>VLOOKUP(Table8[[#This Row],[Mã khách hàng]],code_khach_hang[],2,0)</f>
        <v>CHI NHÁNH HÀ NỘI - CÔNG TY CỔ PHẦN DỊCH VỤ THƯƠNG MẠI TỔNG HỢP WINCOMMERCE</v>
      </c>
      <c r="G2703" s="16"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c r="A2704" s="14" t="s">
        <v>3744</v>
      </c>
      <c r="B2704" s="15" t="s">
        <v>5</v>
      </c>
      <c r="C2704" s="10" t="s">
        <v>3745</v>
      </c>
      <c r="D2704" s="16" t="s">
        <v>8534</v>
      </c>
      <c r="E2704" s="15" t="s">
        <v>11216</v>
      </c>
      <c r="F2704" s="16" t="str">
        <f>VLOOKUP(Table8[[#This Row],[Mã khách hàng]],code_khach_hang[],2,0)</f>
        <v>CHI NHÁNH HƯNG YÊN - CÔNG TY CỔ PHẦN DỊCH VỤ THƯƠNG MẠI TỔNG HỢP WINCOMMERCE</v>
      </c>
      <c r="G2704" s="16"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c r="A2705" s="14" t="s">
        <v>3798</v>
      </c>
      <c r="B2705" s="15" t="s">
        <v>5</v>
      </c>
      <c r="C2705" s="10" t="s">
        <v>3799</v>
      </c>
      <c r="D2705" s="16" t="s">
        <v>8537</v>
      </c>
      <c r="E2705" s="15" t="s">
        <v>11215</v>
      </c>
      <c r="F2705" s="16" t="str">
        <f>VLOOKUP(Table8[[#This Row],[Mã khách hàng]],code_khach_hang[],2,0)</f>
        <v>CHI NHÁNH HÀ NỘI - CÔNG TY CỔ PHẦN DỊCH VỤ THƯƠNG MẠI TỔNG HỢP WINCOMMERCE</v>
      </c>
      <c r="G2705" s="16"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c r="A2706" s="14" t="s">
        <v>3838</v>
      </c>
      <c r="B2706" s="15" t="s">
        <v>5</v>
      </c>
      <c r="C2706" s="10" t="s">
        <v>3839</v>
      </c>
      <c r="D2706" s="16" t="s">
        <v>8540</v>
      </c>
      <c r="E2706" s="15" t="s">
        <v>11193</v>
      </c>
      <c r="F2706" s="16" t="str">
        <f>VLOOKUP(Table8[[#This Row],[Mã khách hàng]],code_khach_hang[],2,0)</f>
        <v>CHI NHÁNH BẮC NINH - CÔNG TY CỔ PHẦN DỊCH VỤ THƯƠNG MẠI TỔNG HỢP WINCOMMERCE</v>
      </c>
      <c r="G2706" s="16"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c r="A2707" s="14" t="s">
        <v>3853</v>
      </c>
      <c r="B2707" s="15" t="s">
        <v>5</v>
      </c>
      <c r="C2707" s="10" t="s">
        <v>3854</v>
      </c>
      <c r="D2707" s="16" t="s">
        <v>8543</v>
      </c>
      <c r="E2707" s="15" t="s">
        <v>11203</v>
      </c>
      <c r="F2707" s="16" t="str">
        <f>VLOOKUP(Table8[[#This Row],[Mã khách hàng]],code_khach_hang[],2,0)</f>
        <v>CHI NHÁNH THANH HÓA - CÔNG TY CỔ PHẦN DỊCH VỤ THƯƠNG MẠI TỔNG HỢP WINCOMMERCE</v>
      </c>
      <c r="G2707" s="16"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c r="A2708" s="14" t="s">
        <v>3889</v>
      </c>
      <c r="B2708" s="15" t="s">
        <v>5</v>
      </c>
      <c r="C2708" s="10" t="s">
        <v>3890</v>
      </c>
      <c r="D2708" s="16" t="s">
        <v>8546</v>
      </c>
      <c r="E2708" s="15" t="s">
        <v>11199</v>
      </c>
      <c r="F2708" s="16" t="str">
        <f>VLOOKUP(Table8[[#This Row],[Mã khách hàng]],code_khach_hang[],2,0)</f>
        <v>CHI NHÁNH PHÚ THỌ - CÔNG TY CỔ PHẦN DỊCH VỤ THƯƠNG MẠI TỔNG HỢP WINCOMMERCE</v>
      </c>
      <c r="G2708" s="16"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c r="A2709" s="14" t="s">
        <v>3904</v>
      </c>
      <c r="B2709" s="15" t="s">
        <v>5</v>
      </c>
      <c r="C2709" s="10" t="s">
        <v>3905</v>
      </c>
      <c r="D2709" s="16" t="s">
        <v>8549</v>
      </c>
      <c r="E2709" s="15" t="s">
        <v>11215</v>
      </c>
      <c r="F2709" s="16" t="str">
        <f>VLOOKUP(Table8[[#This Row],[Mã khách hàng]],code_khach_hang[],2,0)</f>
        <v>CHI NHÁNH HÀ NỘI - CÔNG TY CỔ PHẦN DỊCH VỤ THƯƠNG MẠI TỔNG HỢP WINCOMMERCE</v>
      </c>
      <c r="G2709" s="16"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c r="A2710" s="14" t="s">
        <v>3877</v>
      </c>
      <c r="B2710" s="15" t="s">
        <v>5</v>
      </c>
      <c r="C2710" s="10" t="s">
        <v>3878</v>
      </c>
      <c r="D2710" s="16" t="s">
        <v>8552</v>
      </c>
      <c r="E2710" s="15" t="s">
        <v>11215</v>
      </c>
      <c r="F2710" s="16" t="str">
        <f>VLOOKUP(Table8[[#This Row],[Mã khách hàng]],code_khach_hang[],2,0)</f>
        <v>CHI NHÁNH HÀ NỘI - CÔNG TY CỔ PHẦN DỊCH VỤ THƯƠNG MẠI TỔNG HỢP WINCOMMERCE</v>
      </c>
      <c r="G2710" s="16"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c r="A2711" s="14" t="s">
        <v>2293</v>
      </c>
      <c r="B2711" s="15" t="s">
        <v>5</v>
      </c>
      <c r="C2711" s="10" t="s">
        <v>2294</v>
      </c>
      <c r="D2711" s="16" t="s">
        <v>8555</v>
      </c>
      <c r="E2711" s="15" t="s">
        <v>11198</v>
      </c>
      <c r="F2711" s="16" t="str">
        <f>VLOOKUP(Table8[[#This Row],[Mã khách hàng]],code_khach_hang[],2,0)</f>
        <v>CHI NHÁNH HẢI PHÒNG - CÔNG TY CỔ PHẦN DỊCH VỤ THƯƠNG MẠI TỔNG HỢP WINCOMMERCE</v>
      </c>
      <c r="G2711" s="16"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c r="A2712" s="14" t="s">
        <v>3681</v>
      </c>
      <c r="B2712" s="15" t="s">
        <v>5</v>
      </c>
      <c r="C2712" s="10" t="s">
        <v>3682</v>
      </c>
      <c r="D2712" s="16" t="s">
        <v>8558</v>
      </c>
      <c r="E2712" s="15" t="s">
        <v>11203</v>
      </c>
      <c r="F2712" s="16" t="str">
        <f>VLOOKUP(Table8[[#This Row],[Mã khách hàng]],code_khach_hang[],2,0)</f>
        <v>CHI NHÁNH THANH HÓA - CÔNG TY CỔ PHẦN DỊCH VỤ THƯƠNG MẠI TỔNG HỢP WINCOMMERCE</v>
      </c>
      <c r="G2712" s="16"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c r="A2713" s="14" t="s">
        <v>3841</v>
      </c>
      <c r="B2713" s="15" t="s">
        <v>5</v>
      </c>
      <c r="C2713" s="10" t="s">
        <v>3842</v>
      </c>
      <c r="D2713" s="16" t="s">
        <v>8561</v>
      </c>
      <c r="E2713" s="15" t="s">
        <v>11207</v>
      </c>
      <c r="F2713" s="16" t="str">
        <f>VLOOKUP(Table8[[#This Row],[Mã khách hàng]],code_khach_hang[],2,0)</f>
        <v>CHI NHÁNH THÁI NGUYÊN - CÔNG TY CỔ PHẦN DỊCH VỤ THƯƠNG MẠI TỔNG HỢP WINCOMMERCE</v>
      </c>
      <c r="G2713" s="16"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c r="A2714" s="14" t="s">
        <v>3850</v>
      </c>
      <c r="B2714" s="15" t="s">
        <v>5</v>
      </c>
      <c r="C2714" s="10" t="s">
        <v>3851</v>
      </c>
      <c r="D2714" s="16" t="s">
        <v>8564</v>
      </c>
      <c r="E2714" s="15" t="s">
        <v>11196</v>
      </c>
      <c r="F2714" s="16" t="str">
        <f>VLOOKUP(Table8[[#This Row],[Mã khách hàng]],code_khach_hang[],2,0)</f>
        <v>CHI NHÁNH NINH BÌNH - CÔNG TY CỔ PHẦN DỊCH VỤ THƯƠNG MẠI TỔNG HỢP WINCOMMERCE</v>
      </c>
      <c r="G2714" s="16"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c r="A2715" s="14" t="s">
        <v>3847</v>
      </c>
      <c r="B2715" s="15" t="s">
        <v>5</v>
      </c>
      <c r="C2715" s="10" t="s">
        <v>3848</v>
      </c>
      <c r="D2715" s="16" t="s">
        <v>8566</v>
      </c>
      <c r="E2715" s="15" t="s">
        <v>11216</v>
      </c>
      <c r="F2715" s="16" t="str">
        <f>VLOOKUP(Table8[[#This Row],[Mã khách hàng]],code_khach_hang[],2,0)</f>
        <v>CHI NHÁNH HƯNG YÊN - CÔNG TY CỔ PHẦN DỊCH VỤ THƯƠNG MẠI TỔNG HỢP WINCOMMERCE</v>
      </c>
      <c r="G2715" s="16"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c r="A2716" s="14" t="s">
        <v>3859</v>
      </c>
      <c r="B2716" s="15" t="s">
        <v>5</v>
      </c>
      <c r="C2716" s="10" t="s">
        <v>3860</v>
      </c>
      <c r="D2716" s="16" t="s">
        <v>8569</v>
      </c>
      <c r="E2716" s="15" t="s">
        <v>11215</v>
      </c>
      <c r="F2716" s="16" t="str">
        <f>VLOOKUP(Table8[[#This Row],[Mã khách hàng]],code_khach_hang[],2,0)</f>
        <v>CHI NHÁNH HÀ NỘI - CÔNG TY CỔ PHẦN DỊCH VỤ THƯƠNG MẠI TỔNG HỢP WINCOMMERCE</v>
      </c>
      <c r="G2716" s="16"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c r="A2717" s="14" t="s">
        <v>3874</v>
      </c>
      <c r="B2717" s="15" t="s">
        <v>5</v>
      </c>
      <c r="C2717" s="10" t="s">
        <v>3875</v>
      </c>
      <c r="D2717" s="16" t="s">
        <v>8572</v>
      </c>
      <c r="E2717" s="15" t="s">
        <v>11211</v>
      </c>
      <c r="F2717" s="16" t="str">
        <f>VLOOKUP(Table8[[#This Row],[Mã khách hàng]],code_khach_hang[],2,0)</f>
        <v>CHI NHÁNH NGHỆ AN - CÔNG TY CỔ PHẦN DỊCH VỤ THƯƠNG MẠI TỔNG HỢP WINCOMMERCE</v>
      </c>
      <c r="G2717" s="16"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c r="A2718" s="14" t="s">
        <v>3880</v>
      </c>
      <c r="B2718" s="15" t="s">
        <v>5</v>
      </c>
      <c r="C2718" s="10" t="s">
        <v>3881</v>
      </c>
      <c r="D2718" s="16" t="s">
        <v>8575</v>
      </c>
      <c r="E2718" s="15" t="s">
        <v>11215</v>
      </c>
      <c r="F2718" s="16" t="str">
        <f>VLOOKUP(Table8[[#This Row],[Mã khách hàng]],code_khach_hang[],2,0)</f>
        <v>CHI NHÁNH HÀ NỘI - CÔNG TY CỔ PHẦN DỊCH VỤ THƯƠNG MẠI TỔNG HỢP WINCOMMERCE</v>
      </c>
      <c r="G2718" s="16"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c r="A2719" s="14" t="s">
        <v>3925</v>
      </c>
      <c r="B2719" s="15" t="s">
        <v>5</v>
      </c>
      <c r="C2719" s="10" t="s">
        <v>3926</v>
      </c>
      <c r="D2719" s="16" t="s">
        <v>8578</v>
      </c>
      <c r="E2719" s="15" t="s">
        <v>11215</v>
      </c>
      <c r="F2719" s="16" t="str">
        <f>VLOOKUP(Table8[[#This Row],[Mã khách hàng]],code_khach_hang[],2,0)</f>
        <v>CHI NHÁNH HÀ NỘI - CÔNG TY CỔ PHẦN DỊCH VỤ THƯƠNG MẠI TỔNG HỢP WINCOMMERCE</v>
      </c>
      <c r="G2719" s="16"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c r="A2720" s="14" t="s">
        <v>3868</v>
      </c>
      <c r="B2720" s="15" t="s">
        <v>5</v>
      </c>
      <c r="C2720" s="10" t="s">
        <v>3869</v>
      </c>
      <c r="D2720" s="16" t="s">
        <v>8581</v>
      </c>
      <c r="E2720" s="15" t="s">
        <v>11215</v>
      </c>
      <c r="F2720" s="16" t="str">
        <f>VLOOKUP(Table8[[#This Row],[Mã khách hàng]],code_khach_hang[],2,0)</f>
        <v>CHI NHÁNH HÀ NỘI - CÔNG TY CỔ PHẦN DỊCH VỤ THƯƠNG MẠI TỔNG HỢP WINCOMMERCE</v>
      </c>
      <c r="G2720" s="16"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c r="A2721" s="14" t="s">
        <v>3948</v>
      </c>
      <c r="B2721" s="15" t="s">
        <v>5</v>
      </c>
      <c r="C2721" s="10" t="s">
        <v>3949</v>
      </c>
      <c r="D2721" s="16" t="s">
        <v>8584</v>
      </c>
      <c r="E2721" s="15" t="s">
        <v>11211</v>
      </c>
      <c r="F2721" s="16" t="str">
        <f>VLOOKUP(Table8[[#This Row],[Mã khách hàng]],code_khach_hang[],2,0)</f>
        <v>CHI NHÁNH NGHỆ AN - CÔNG TY CỔ PHẦN DỊCH VỤ THƯƠNG MẠI TỔNG HỢP WINCOMMERCE</v>
      </c>
      <c r="G2721" s="16"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c r="A2722" s="14" t="s">
        <v>3957</v>
      </c>
      <c r="B2722" s="15" t="s">
        <v>5</v>
      </c>
      <c r="C2722" s="10" t="s">
        <v>3958</v>
      </c>
      <c r="D2722" s="16" t="s">
        <v>8587</v>
      </c>
      <c r="E2722" s="15" t="s">
        <v>11193</v>
      </c>
      <c r="F2722" s="16" t="str">
        <f>VLOOKUP(Table8[[#This Row],[Mã khách hàng]],code_khach_hang[],2,0)</f>
        <v>CHI NHÁNH BẮC NINH - CÔNG TY CỔ PHẦN DỊCH VỤ THƯƠNG MẠI TỔNG HỢP WINCOMMERCE</v>
      </c>
      <c r="G2722" s="16"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c r="A2723" s="14" t="s">
        <v>3922</v>
      </c>
      <c r="B2723" s="15" t="s">
        <v>5</v>
      </c>
      <c r="C2723" s="10" t="s">
        <v>3923</v>
      </c>
      <c r="D2723" s="16" t="s">
        <v>8590</v>
      </c>
      <c r="E2723" s="15" t="s">
        <v>11198</v>
      </c>
      <c r="F2723" s="16" t="str">
        <f>VLOOKUP(Table8[[#This Row],[Mã khách hàng]],code_khach_hang[],2,0)</f>
        <v>CHI NHÁNH HẢI PHÒNG - CÔNG TY CỔ PHẦN DỊCH VỤ THƯƠNG MẠI TỔNG HỢP WINCOMMERCE</v>
      </c>
      <c r="G2723" s="16"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c r="A2724" s="14" t="s">
        <v>3901</v>
      </c>
      <c r="B2724" s="15" t="s">
        <v>5</v>
      </c>
      <c r="C2724" s="10" t="s">
        <v>3902</v>
      </c>
      <c r="D2724" s="16" t="s">
        <v>8593</v>
      </c>
      <c r="E2724" s="15" t="s">
        <v>11198</v>
      </c>
      <c r="F2724" s="16" t="str">
        <f>VLOOKUP(Table8[[#This Row],[Mã khách hàng]],code_khach_hang[],2,0)</f>
        <v>CHI NHÁNH HẢI PHÒNG - CÔNG TY CỔ PHẦN DỊCH VỤ THƯƠNG MẠI TỔNG HỢP WINCOMMERCE</v>
      </c>
      <c r="G2724" s="16"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c r="A2725" s="14" t="s">
        <v>3913</v>
      </c>
      <c r="B2725" s="15" t="s">
        <v>5</v>
      </c>
      <c r="C2725" s="10" t="s">
        <v>3914</v>
      </c>
      <c r="D2725" s="16" t="s">
        <v>8596</v>
      </c>
      <c r="E2725" s="15" t="s">
        <v>11198</v>
      </c>
      <c r="F2725" s="16" t="str">
        <f>VLOOKUP(Table8[[#This Row],[Mã khách hàng]],code_khach_hang[],2,0)</f>
        <v>CHI NHÁNH HẢI PHÒNG - CÔNG TY CỔ PHẦN DỊCH VỤ THƯƠNG MẠI TỔNG HỢP WINCOMMERCE</v>
      </c>
      <c r="G2725" s="16"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c r="A2726" s="14" t="s">
        <v>3488</v>
      </c>
      <c r="B2726" s="15" t="s">
        <v>5</v>
      </c>
      <c r="C2726" s="10" t="s">
        <v>3489</v>
      </c>
      <c r="D2726" s="16" t="s">
        <v>8599</v>
      </c>
      <c r="E2726" s="15" t="s">
        <v>11215</v>
      </c>
      <c r="F2726" s="16" t="str">
        <f>VLOOKUP(Table8[[#This Row],[Mã khách hàng]],code_khach_hang[],2,0)</f>
        <v>CHI NHÁNH HÀ NỘI - CÔNG TY CỔ PHẦN DỊCH VỤ THƯƠNG MẠI TỔNG HỢP WINCOMMERCE</v>
      </c>
      <c r="G2726" s="16"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c r="A2727" s="14" t="s">
        <v>3618</v>
      </c>
      <c r="B2727" s="15" t="s">
        <v>5</v>
      </c>
      <c r="C2727" s="10" t="s">
        <v>3619</v>
      </c>
      <c r="D2727" s="16" t="s">
        <v>8602</v>
      </c>
      <c r="E2727" s="15" t="s">
        <v>11205</v>
      </c>
      <c r="F2727" s="16" t="str">
        <f>VLOOKUP(Table8[[#This Row],[Mã khách hàng]],code_khach_hang[],2,0)</f>
        <v>CHI NHÁNH HÀ TĨNH - CÔNG TY CỔ PHẦN DỊCH VỤ THƯƠNG MẠI TỔNG HỢP WINCOMMERCE</v>
      </c>
      <c r="G2727" s="16"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c r="A2728" s="14" t="s">
        <v>3898</v>
      </c>
      <c r="B2728" s="15" t="s">
        <v>5</v>
      </c>
      <c r="C2728" s="10" t="s">
        <v>3899</v>
      </c>
      <c r="D2728" s="16" t="s">
        <v>8604</v>
      </c>
      <c r="E2728" s="15" t="s">
        <v>11203</v>
      </c>
      <c r="F2728" s="16" t="str">
        <f>VLOOKUP(Table8[[#This Row],[Mã khách hàng]],code_khach_hang[],2,0)</f>
        <v>CHI NHÁNH THANH HÓA - CÔNG TY CỔ PHẦN DỊCH VỤ THƯƠNG MẠI TỔNG HỢP WINCOMMERCE</v>
      </c>
      <c r="G2728" s="16"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c r="A2729" s="14" t="s">
        <v>4017</v>
      </c>
      <c r="B2729" s="15" t="s">
        <v>5</v>
      </c>
      <c r="C2729" s="10" t="s">
        <v>4018</v>
      </c>
      <c r="D2729" s="16" t="s">
        <v>8607</v>
      </c>
      <c r="E2729" s="15" t="s">
        <v>11198</v>
      </c>
      <c r="F2729" s="16" t="str">
        <f>VLOOKUP(Table8[[#This Row],[Mã khách hàng]],code_khach_hang[],2,0)</f>
        <v>CHI NHÁNH HẢI PHÒNG - CÔNG TY CỔ PHẦN DỊCH VỤ THƯƠNG MẠI TỔNG HỢP WINCOMMERCE</v>
      </c>
      <c r="G2729" s="16"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c r="A2730" s="14" t="s">
        <v>3939</v>
      </c>
      <c r="B2730" s="15" t="s">
        <v>5</v>
      </c>
      <c r="C2730" s="10" t="s">
        <v>3940</v>
      </c>
      <c r="D2730" s="16" t="s">
        <v>8610</v>
      </c>
      <c r="E2730" s="15" t="s">
        <v>11198</v>
      </c>
      <c r="F2730" s="16" t="str">
        <f>VLOOKUP(Table8[[#This Row],[Mã khách hàng]],code_khach_hang[],2,0)</f>
        <v>CHI NHÁNH HẢI PHÒNG - CÔNG TY CỔ PHẦN DỊCH VỤ THƯƠNG MẠI TỔNG HỢP WINCOMMERCE</v>
      </c>
      <c r="G2730" s="16"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c r="A2731" s="14" t="s">
        <v>4026</v>
      </c>
      <c r="B2731" s="15" t="s">
        <v>5</v>
      </c>
      <c r="C2731" s="10" t="s">
        <v>4027</v>
      </c>
      <c r="D2731" s="16" t="s">
        <v>8613</v>
      </c>
      <c r="E2731" s="15" t="s">
        <v>11198</v>
      </c>
      <c r="F2731" s="16" t="str">
        <f>VLOOKUP(Table8[[#This Row],[Mã khách hàng]],code_khach_hang[],2,0)</f>
        <v>CHI NHÁNH HẢI PHÒNG - CÔNG TY CỔ PHẦN DỊCH VỤ THƯƠNG MẠI TỔNG HỢP WINCOMMERCE</v>
      </c>
      <c r="G2731" s="16"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c r="A2732" s="14" t="s">
        <v>3795</v>
      </c>
      <c r="B2732" s="15" t="s">
        <v>5</v>
      </c>
      <c r="C2732" s="10" t="s">
        <v>3796</v>
      </c>
      <c r="D2732" s="16" t="s">
        <v>8616</v>
      </c>
      <c r="E2732" s="15" t="s">
        <v>11215</v>
      </c>
      <c r="F2732" s="16" t="str">
        <f>VLOOKUP(Table8[[#This Row],[Mã khách hàng]],code_khach_hang[],2,0)</f>
        <v>CHI NHÁNH HÀ NỘI - CÔNG TY CỔ PHẦN DỊCH VỤ THƯƠNG MẠI TỔNG HỢP WINCOMMERCE</v>
      </c>
      <c r="G2732" s="16"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c r="A2733" s="14" t="s">
        <v>3919</v>
      </c>
      <c r="B2733" s="15" t="s">
        <v>5</v>
      </c>
      <c r="C2733" s="10" t="s">
        <v>3920</v>
      </c>
      <c r="D2733" s="16" t="s">
        <v>8619</v>
      </c>
      <c r="E2733" s="15" t="s">
        <v>11199</v>
      </c>
      <c r="F2733" s="16" t="str">
        <f>VLOOKUP(Table8[[#This Row],[Mã khách hàng]],code_khach_hang[],2,0)</f>
        <v>CHI NHÁNH PHÚ THỌ - CÔNG TY CỔ PHẦN DỊCH VỤ THƯƠNG MẠI TỔNG HỢP WINCOMMERCE</v>
      </c>
      <c r="G2733" s="16"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c r="A2734" s="14" t="s">
        <v>3960</v>
      </c>
      <c r="B2734" s="15" t="s">
        <v>5</v>
      </c>
      <c r="C2734" s="10" t="s">
        <v>3961</v>
      </c>
      <c r="D2734" s="16" t="s">
        <v>8622</v>
      </c>
      <c r="E2734" s="15" t="s">
        <v>11215</v>
      </c>
      <c r="F2734" s="16" t="str">
        <f>VLOOKUP(Table8[[#This Row],[Mã khách hàng]],code_khach_hang[],2,0)</f>
        <v>CHI NHÁNH HÀ NỘI - CÔNG TY CỔ PHẦN DỊCH VỤ THƯƠNG MẠI TỔNG HỢP WINCOMMERCE</v>
      </c>
      <c r="G2734" s="16"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c r="A2735" s="14" t="s">
        <v>3145</v>
      </c>
      <c r="B2735" s="15" t="s">
        <v>5</v>
      </c>
      <c r="C2735" s="10" t="s">
        <v>3146</v>
      </c>
      <c r="D2735" s="16" t="s">
        <v>8625</v>
      </c>
      <c r="E2735" s="15" t="s">
        <v>11215</v>
      </c>
      <c r="F2735" s="16" t="str">
        <f>VLOOKUP(Table8[[#This Row],[Mã khách hàng]],code_khach_hang[],2,0)</f>
        <v>CHI NHÁNH HÀ NỘI - CÔNG TY CỔ PHẦN DỊCH VỤ THƯƠNG MẠI TỔNG HỢP WINCOMMERCE</v>
      </c>
      <c r="G2735" s="16"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c r="A2736" s="14" t="s">
        <v>3431</v>
      </c>
      <c r="B2736" s="15" t="s">
        <v>5</v>
      </c>
      <c r="C2736" s="10" t="s">
        <v>3432</v>
      </c>
      <c r="D2736" s="16" t="s">
        <v>8628</v>
      </c>
      <c r="E2736" s="15" t="s">
        <v>11215</v>
      </c>
      <c r="F2736" s="16" t="str">
        <f>VLOOKUP(Table8[[#This Row],[Mã khách hàng]],code_khach_hang[],2,0)</f>
        <v>CHI NHÁNH HÀ NỘI - CÔNG TY CỔ PHẦN DỊCH VỤ THƯƠNG MẠI TỔNG HỢP WINCOMMERCE</v>
      </c>
      <c r="G2736" s="16"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c r="A2737" s="14" t="s">
        <v>3907</v>
      </c>
      <c r="B2737" s="15" t="s">
        <v>5</v>
      </c>
      <c r="C2737" s="10" t="s">
        <v>3908</v>
      </c>
      <c r="D2737" s="16" t="s">
        <v>8630</v>
      </c>
      <c r="E2737" s="15" t="s">
        <v>11204</v>
      </c>
      <c r="F2737" s="16" t="str">
        <f>VLOOKUP(Table8[[#This Row],[Mã khách hàng]],code_khach_hang[],2,0)</f>
        <v>CHI NHÁNH TUYÊN QUANG - CÔNG TY CỔ PHẦN DỊCH VỤ THƯƠNG MẠI TỔNG HỢP WINCOMMERCE</v>
      </c>
      <c r="G2737" s="16"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c r="A2738" s="14" t="s">
        <v>3928</v>
      </c>
      <c r="B2738" s="15" t="s">
        <v>5</v>
      </c>
      <c r="C2738" s="10" t="s">
        <v>3929</v>
      </c>
      <c r="D2738" s="16" t="s">
        <v>8632</v>
      </c>
      <c r="E2738" s="15" t="s">
        <v>11199</v>
      </c>
      <c r="F2738" s="16" t="str">
        <f>VLOOKUP(Table8[[#This Row],[Mã khách hàng]],code_khach_hang[],2,0)</f>
        <v>CHI NHÁNH PHÚ THỌ - CÔNG TY CỔ PHẦN DỊCH VỤ THƯƠNG MẠI TỔNG HỢP WINCOMMERCE</v>
      </c>
      <c r="G2738" s="16"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c r="A2739" s="14" t="s">
        <v>3942</v>
      </c>
      <c r="B2739" s="15" t="s">
        <v>5</v>
      </c>
      <c r="C2739" s="10" t="s">
        <v>3943</v>
      </c>
      <c r="D2739" s="16" t="s">
        <v>8635</v>
      </c>
      <c r="E2739" s="15" t="s">
        <v>11199</v>
      </c>
      <c r="F2739" s="16" t="str">
        <f>VLOOKUP(Table8[[#This Row],[Mã khách hàng]],code_khach_hang[],2,0)</f>
        <v>CHI NHÁNH PHÚ THỌ - CÔNG TY CỔ PHẦN DỊCH VỤ THƯƠNG MẠI TỔNG HỢP WINCOMMERCE</v>
      </c>
      <c r="G2739" s="16"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c r="A2740" s="14" t="s">
        <v>3945</v>
      </c>
      <c r="B2740" s="15" t="s">
        <v>5</v>
      </c>
      <c r="C2740" s="10" t="s">
        <v>3946</v>
      </c>
      <c r="D2740" s="16" t="s">
        <v>8638</v>
      </c>
      <c r="E2740" s="15" t="s">
        <v>11216</v>
      </c>
      <c r="F2740" s="16" t="str">
        <f>VLOOKUP(Table8[[#This Row],[Mã khách hàng]],code_khach_hang[],2,0)</f>
        <v>CHI NHÁNH HƯNG YÊN - CÔNG TY CỔ PHẦN DỊCH VỤ THƯƠNG MẠI TỔNG HỢP WINCOMMERCE</v>
      </c>
      <c r="G2740" s="16"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c r="A2741" s="14" t="s">
        <v>11144</v>
      </c>
      <c r="B2741" s="15" t="s">
        <v>5</v>
      </c>
      <c r="C2741" s="10" t="s">
        <v>13177</v>
      </c>
      <c r="D2741" s="16" t="s">
        <v>8641</v>
      </c>
      <c r="E2741" s="15" t="s">
        <v>11205</v>
      </c>
      <c r="F2741" s="16" t="str">
        <f>VLOOKUP(Table8[[#This Row],[Mã khách hàng]],code_khach_hang[],2,0)</f>
        <v>CHI NHÁNH HÀ TĨNH - CÔNG TY CỔ PHẦN DỊCH VỤ THƯƠNG MẠI TỔNG HỢP WINCOMMERCE</v>
      </c>
      <c r="G2741" s="16"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c r="A2742" s="14" t="s">
        <v>3951</v>
      </c>
      <c r="B2742" s="15" t="s">
        <v>5</v>
      </c>
      <c r="C2742" s="10" t="s">
        <v>3952</v>
      </c>
      <c r="D2742" s="16" t="s">
        <v>8644</v>
      </c>
      <c r="E2742" s="15" t="s">
        <v>11193</v>
      </c>
      <c r="F2742" s="16" t="str">
        <f>VLOOKUP(Table8[[#This Row],[Mã khách hàng]],code_khach_hang[],2,0)</f>
        <v>CHI NHÁNH BẮC NINH - CÔNG TY CỔ PHẦN DỊCH VỤ THƯƠNG MẠI TỔNG HỢP WINCOMMERCE</v>
      </c>
      <c r="G2742" s="16"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c r="A2743" s="14" t="s">
        <v>3966</v>
      </c>
      <c r="B2743" s="15" t="s">
        <v>5</v>
      </c>
      <c r="C2743" s="10" t="s">
        <v>3967</v>
      </c>
      <c r="D2743" s="16" t="s">
        <v>8647</v>
      </c>
      <c r="E2743" s="15" t="s">
        <v>11193</v>
      </c>
      <c r="F2743" s="16" t="str">
        <f>VLOOKUP(Table8[[#This Row],[Mã khách hàng]],code_khach_hang[],2,0)</f>
        <v>CHI NHÁNH BẮC NINH - CÔNG TY CỔ PHẦN DỊCH VỤ THƯƠNG MẠI TỔNG HỢP WINCOMMERCE</v>
      </c>
      <c r="G2743" s="16"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c r="A2744" s="14" t="s">
        <v>3975</v>
      </c>
      <c r="B2744" s="15" t="s">
        <v>5</v>
      </c>
      <c r="C2744" s="10" t="s">
        <v>3976</v>
      </c>
      <c r="D2744" s="16" t="s">
        <v>8649</v>
      </c>
      <c r="E2744" s="15" t="s">
        <v>11199</v>
      </c>
      <c r="F2744" s="16" t="str">
        <f>VLOOKUP(Table8[[#This Row],[Mã khách hàng]],code_khach_hang[],2,0)</f>
        <v>CHI NHÁNH PHÚ THỌ - CÔNG TY CỔ PHẦN DỊCH VỤ THƯƠNG MẠI TỔNG HỢP WINCOMMERCE</v>
      </c>
      <c r="G2744" s="16"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c r="A2745" s="14" t="s">
        <v>3978</v>
      </c>
      <c r="B2745" s="15" t="s">
        <v>5</v>
      </c>
      <c r="C2745" s="10" t="s">
        <v>3979</v>
      </c>
      <c r="D2745" s="16" t="s">
        <v>8652</v>
      </c>
      <c r="E2745" s="15" t="s">
        <v>11215</v>
      </c>
      <c r="F2745" s="16" t="str">
        <f>VLOOKUP(Table8[[#This Row],[Mã khách hàng]],code_khach_hang[],2,0)</f>
        <v>CHI NHÁNH HÀ NỘI - CÔNG TY CỔ PHẦN DỊCH VỤ THƯƠNG MẠI TỔNG HỢP WINCOMMERCE</v>
      </c>
      <c r="G2745" s="16"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c r="A2746" s="14" t="s">
        <v>3981</v>
      </c>
      <c r="B2746" s="15" t="s">
        <v>5</v>
      </c>
      <c r="C2746" s="10" t="s">
        <v>3982</v>
      </c>
      <c r="D2746" s="16" t="s">
        <v>8655</v>
      </c>
      <c r="E2746" s="15" t="s">
        <v>11211</v>
      </c>
      <c r="F2746" s="16" t="str">
        <f>VLOOKUP(Table8[[#This Row],[Mã khách hàng]],code_khach_hang[],2,0)</f>
        <v>CHI NHÁNH NGHỆ AN - CÔNG TY CỔ PHẦN DỊCH VỤ THƯƠNG MẠI TỔNG HỢP WINCOMMERCE</v>
      </c>
      <c r="G2746" s="16"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c r="A2747" s="14" t="s">
        <v>3987</v>
      </c>
      <c r="B2747" s="15" t="s">
        <v>5</v>
      </c>
      <c r="C2747" s="10" t="s">
        <v>3988</v>
      </c>
      <c r="D2747" s="16" t="s">
        <v>8658</v>
      </c>
      <c r="E2747" s="15" t="s">
        <v>11193</v>
      </c>
      <c r="F2747" s="16" t="str">
        <f>VLOOKUP(Table8[[#This Row],[Mã khách hàng]],code_khach_hang[],2,0)</f>
        <v>CHI NHÁNH BẮC NINH - CÔNG TY CỔ PHẦN DỊCH VỤ THƯƠNG MẠI TỔNG HỢP WINCOMMERCE</v>
      </c>
      <c r="G2747" s="16"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c r="A2748" s="14" t="s">
        <v>3990</v>
      </c>
      <c r="B2748" s="15" t="s">
        <v>5</v>
      </c>
      <c r="C2748" s="10" t="s">
        <v>3991</v>
      </c>
      <c r="D2748" s="16" t="s">
        <v>8661</v>
      </c>
      <c r="E2748" s="15" t="s">
        <v>11211</v>
      </c>
      <c r="F2748" s="16" t="str">
        <f>VLOOKUP(Table8[[#This Row],[Mã khách hàng]],code_khach_hang[],2,0)</f>
        <v>CHI NHÁNH NGHỆ AN - CÔNG TY CỔ PHẦN DỊCH VỤ THƯƠNG MẠI TỔNG HỢP WINCOMMERCE</v>
      </c>
      <c r="G2748" s="16"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c r="A2749" s="14" t="s">
        <v>4005</v>
      </c>
      <c r="B2749" s="15" t="s">
        <v>5</v>
      </c>
      <c r="C2749" s="10" t="s">
        <v>4006</v>
      </c>
      <c r="D2749" s="16" t="s">
        <v>8664</v>
      </c>
      <c r="E2749" s="15" t="s">
        <v>11215</v>
      </c>
      <c r="F2749" s="16" t="str">
        <f>VLOOKUP(Table8[[#This Row],[Mã khách hàng]],code_khach_hang[],2,0)</f>
        <v>CHI NHÁNH HÀ NỘI - CÔNG TY CỔ PHẦN DỊCH VỤ THƯƠNG MẠI TỔNG HỢP WINCOMMERCE</v>
      </c>
      <c r="G2749" s="16"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c r="A2750" s="14" t="s">
        <v>4008</v>
      </c>
      <c r="B2750" s="15" t="s">
        <v>5</v>
      </c>
      <c r="C2750" s="10" t="s">
        <v>4009</v>
      </c>
      <c r="D2750" s="16" t="s">
        <v>8667</v>
      </c>
      <c r="E2750" s="15" t="s">
        <v>11216</v>
      </c>
      <c r="F2750" s="16" t="str">
        <f>VLOOKUP(Table8[[#This Row],[Mã khách hàng]],code_khach_hang[],2,0)</f>
        <v>CHI NHÁNH HƯNG YÊN - CÔNG TY CỔ PHẦN DỊCH VỤ THƯƠNG MẠI TỔNG HỢP WINCOMMERCE</v>
      </c>
      <c r="G2750" s="16"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c r="A2751" s="14" t="s">
        <v>4011</v>
      </c>
      <c r="B2751" s="15" t="s">
        <v>5</v>
      </c>
      <c r="C2751" s="10" t="s">
        <v>4012</v>
      </c>
      <c r="D2751" s="16" t="s">
        <v>8670</v>
      </c>
      <c r="E2751" s="15" t="s">
        <v>11199</v>
      </c>
      <c r="F2751" s="16" t="str">
        <f>VLOOKUP(Table8[[#This Row],[Mã khách hàng]],code_khach_hang[],2,0)</f>
        <v>CHI NHÁNH PHÚ THỌ - CÔNG TY CỔ PHẦN DỊCH VỤ THƯƠNG MẠI TỔNG HỢP WINCOMMERCE</v>
      </c>
      <c r="G2751" s="16"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c r="A2752" s="14" t="s">
        <v>4020</v>
      </c>
      <c r="B2752" s="15" t="s">
        <v>5</v>
      </c>
      <c r="C2752" s="10" t="s">
        <v>4021</v>
      </c>
      <c r="D2752" s="16" t="s">
        <v>8673</v>
      </c>
      <c r="E2752" s="15" t="s">
        <v>11199</v>
      </c>
      <c r="F2752" s="16" t="str">
        <f>VLOOKUP(Table8[[#This Row],[Mã khách hàng]],code_khach_hang[],2,0)</f>
        <v>CHI NHÁNH PHÚ THỌ - CÔNG TY CỔ PHẦN DỊCH VỤ THƯƠNG MẠI TỔNG HỢP WINCOMMERCE</v>
      </c>
      <c r="G2752" s="16"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c r="A2753" s="14" t="s">
        <v>4041</v>
      </c>
      <c r="B2753" s="15" t="s">
        <v>5</v>
      </c>
      <c r="C2753" s="10" t="s">
        <v>4042</v>
      </c>
      <c r="D2753" s="16" t="s">
        <v>8676</v>
      </c>
      <c r="E2753" s="15" t="s">
        <v>11199</v>
      </c>
      <c r="F2753" s="16" t="str">
        <f>VLOOKUP(Table8[[#This Row],[Mã khách hàng]],code_khach_hang[],2,0)</f>
        <v>CHI NHÁNH PHÚ THỌ - CÔNG TY CỔ PHẦN DỊCH VỤ THƯƠNG MẠI TỔNG HỢP WINCOMMERCE</v>
      </c>
      <c r="G2753" s="16"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c r="A2754" s="14" t="s">
        <v>4068</v>
      </c>
      <c r="B2754" s="15" t="s">
        <v>5</v>
      </c>
      <c r="C2754" s="10" t="s">
        <v>4069</v>
      </c>
      <c r="D2754" s="16" t="s">
        <v>8679</v>
      </c>
      <c r="E2754" s="15" t="s">
        <v>11216</v>
      </c>
      <c r="F2754" s="16" t="str">
        <f>VLOOKUP(Table8[[#This Row],[Mã khách hàng]],code_khach_hang[],2,0)</f>
        <v>CHI NHÁNH HƯNG YÊN - CÔNG TY CỔ PHẦN DỊCH VỤ THƯƠNG MẠI TỔNG HỢP WINCOMMERCE</v>
      </c>
      <c r="G2754" s="16"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c r="A2755" s="14" t="s">
        <v>3804</v>
      </c>
      <c r="B2755" s="15" t="s">
        <v>5</v>
      </c>
      <c r="C2755" s="10" t="s">
        <v>3805</v>
      </c>
      <c r="D2755" s="16" t="s">
        <v>8682</v>
      </c>
      <c r="E2755" s="15" t="s">
        <v>11203</v>
      </c>
      <c r="F2755" s="16" t="str">
        <f>VLOOKUP(Table8[[#This Row],[Mã khách hàng]],code_khach_hang[],2,0)</f>
        <v>CHI NHÁNH THANH HÓA - CÔNG TY CỔ PHẦN DỊCH VỤ THƯƠNG MẠI TỔNG HỢP WINCOMMERCE</v>
      </c>
      <c r="G2755" s="16"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c r="A2756" s="14" t="s">
        <v>3936</v>
      </c>
      <c r="B2756" s="15" t="s">
        <v>5</v>
      </c>
      <c r="C2756" s="10" t="s">
        <v>3937</v>
      </c>
      <c r="D2756" s="16" t="s">
        <v>8684</v>
      </c>
      <c r="E2756" s="15" t="s">
        <v>11199</v>
      </c>
      <c r="F2756" s="16" t="str">
        <f>VLOOKUP(Table8[[#This Row],[Mã khách hàng]],code_khach_hang[],2,0)</f>
        <v>CHI NHÁNH PHÚ THỌ - CÔNG TY CỔ PHẦN DỊCH VỤ THƯƠNG MẠI TỔNG HỢP WINCOMMERCE</v>
      </c>
      <c r="G2756" s="16"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c r="A2757" s="14" t="s">
        <v>3883</v>
      </c>
      <c r="B2757" s="15" t="s">
        <v>5</v>
      </c>
      <c r="C2757" s="10" t="s">
        <v>3884</v>
      </c>
      <c r="D2757" s="16" t="s">
        <v>8687</v>
      </c>
      <c r="E2757" s="14" t="s">
        <v>11215</v>
      </c>
      <c r="F2757" s="16" t="str">
        <f>VLOOKUP(Table8[[#This Row],[Mã khách hàng]],code_khach_hang[],2,0)</f>
        <v>CHI NHÁNH HÀ NỘI - CÔNG TY CỔ PHẦN DỊCH VỤ THƯƠNG MẠI TỔNG HỢP WINCOMMERCE</v>
      </c>
      <c r="G2757" s="16"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c r="A2758" s="14" t="s">
        <v>3931</v>
      </c>
      <c r="B2758" s="15" t="s">
        <v>5</v>
      </c>
      <c r="C2758" s="10" t="s">
        <v>13178</v>
      </c>
      <c r="D2758" s="16" t="s">
        <v>8690</v>
      </c>
      <c r="E2758" s="15" t="s">
        <v>11193</v>
      </c>
      <c r="F2758" s="16" t="str">
        <f>VLOOKUP(Table8[[#This Row],[Mã khách hàng]],code_khach_hang[],2,0)</f>
        <v>CHI NHÁNH BẮC NINH - CÔNG TY CỔ PHẦN DỊCH VỤ THƯƠNG MẠI TỔNG HỢP WINCOMMERCE</v>
      </c>
      <c r="G2758" s="16"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c r="A2759" s="14" t="s">
        <v>4002</v>
      </c>
      <c r="B2759" s="15" t="s">
        <v>5</v>
      </c>
      <c r="C2759" s="10" t="s">
        <v>4003</v>
      </c>
      <c r="D2759" s="16" t="s">
        <v>8693</v>
      </c>
      <c r="E2759" s="15" t="s">
        <v>11215</v>
      </c>
      <c r="F2759" s="16" t="str">
        <f>VLOOKUP(Table8[[#This Row],[Mã khách hàng]],code_khach_hang[],2,0)</f>
        <v>CHI NHÁNH HÀ NỘI - CÔNG TY CỔ PHẦN DỊCH VỤ THƯƠNG MẠI TỔNG HỢP WINCOMMERCE</v>
      </c>
      <c r="G2759" s="16"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c r="A2760" s="14" t="s">
        <v>4038</v>
      </c>
      <c r="B2760" s="15" t="s">
        <v>5</v>
      </c>
      <c r="C2760" s="10" t="s">
        <v>4039</v>
      </c>
      <c r="D2760" s="16" t="s">
        <v>8696</v>
      </c>
      <c r="E2760" s="15" t="s">
        <v>11211</v>
      </c>
      <c r="F2760" s="16" t="str">
        <f>VLOOKUP(Table8[[#This Row],[Mã khách hàng]],code_khach_hang[],2,0)</f>
        <v>CHI NHÁNH NGHỆ AN - CÔNG TY CỔ PHẦN DỊCH VỤ THƯƠNG MẠI TỔNG HỢP WINCOMMERCE</v>
      </c>
      <c r="G2760" s="16"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c r="A2761" s="14" t="s">
        <v>4050</v>
      </c>
      <c r="B2761" s="15" t="s">
        <v>5</v>
      </c>
      <c r="C2761" s="10" t="s">
        <v>4051</v>
      </c>
      <c r="D2761" s="16" t="s">
        <v>8699</v>
      </c>
      <c r="E2761" s="15" t="s">
        <v>11215</v>
      </c>
      <c r="F2761" s="16" t="str">
        <f>VLOOKUP(Table8[[#This Row],[Mã khách hàng]],code_khach_hang[],2,0)</f>
        <v>CHI NHÁNH HÀ NỘI - CÔNG TY CỔ PHẦN DỊCH VỤ THƯƠNG MẠI TỔNG HỢP WINCOMMERCE</v>
      </c>
      <c r="G2761" s="16"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c r="A2762" s="14" t="s">
        <v>4056</v>
      </c>
      <c r="B2762" s="15" t="s">
        <v>5</v>
      </c>
      <c r="C2762" s="10" t="s">
        <v>4057</v>
      </c>
      <c r="D2762" s="16" t="s">
        <v>8702</v>
      </c>
      <c r="E2762" s="15" t="s">
        <v>11199</v>
      </c>
      <c r="F2762" s="16" t="str">
        <f>VLOOKUP(Table8[[#This Row],[Mã khách hàng]],code_khach_hang[],2,0)</f>
        <v>CHI NHÁNH PHÚ THỌ - CÔNG TY CỔ PHẦN DỊCH VỤ THƯƠNG MẠI TỔNG HỢP WINCOMMERCE</v>
      </c>
      <c r="G2762" s="16"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c r="A2763" s="14" t="s">
        <v>4059</v>
      </c>
      <c r="B2763" s="15" t="s">
        <v>5</v>
      </c>
      <c r="C2763" s="10" t="s">
        <v>4060</v>
      </c>
      <c r="D2763" s="16" t="s">
        <v>8705</v>
      </c>
      <c r="E2763" s="15" t="s">
        <v>11203</v>
      </c>
      <c r="F2763" s="16" t="str">
        <f>VLOOKUP(Table8[[#This Row],[Mã khách hàng]],code_khach_hang[],2,0)</f>
        <v>CHI NHÁNH THANH HÓA - CÔNG TY CỔ PHẦN DỊCH VỤ THƯƠNG MẠI TỔNG HỢP WINCOMMERCE</v>
      </c>
      <c r="G2763" s="16"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c r="A2764" s="14" t="s">
        <v>4071</v>
      </c>
      <c r="B2764" s="15" t="s">
        <v>5</v>
      </c>
      <c r="C2764" s="10" t="s">
        <v>4072</v>
      </c>
      <c r="D2764" s="16" t="s">
        <v>8707</v>
      </c>
      <c r="E2764" s="15" t="s">
        <v>11205</v>
      </c>
      <c r="F2764" s="16" t="str">
        <f>VLOOKUP(Table8[[#This Row],[Mã khách hàng]],code_khach_hang[],2,0)</f>
        <v>CHI NHÁNH HÀ TĨNH - CÔNG TY CỔ PHẦN DỊCH VỤ THƯƠNG MẠI TỔNG HỢP WINCOMMERCE</v>
      </c>
      <c r="G2764" s="16"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c r="A2765" s="14" t="s">
        <v>3963</v>
      </c>
      <c r="B2765" s="15" t="s">
        <v>5</v>
      </c>
      <c r="C2765" s="10" t="s">
        <v>3964</v>
      </c>
      <c r="D2765" s="16" t="s">
        <v>8710</v>
      </c>
      <c r="E2765" s="15" t="s">
        <v>11215</v>
      </c>
      <c r="F2765" s="16" t="str">
        <f>VLOOKUP(Table8[[#This Row],[Mã khách hàng]],code_khach_hang[],2,0)</f>
        <v>CHI NHÁNH HÀ NỘI - CÔNG TY CỔ PHẦN DỊCH VỤ THƯƠNG MẠI TỔNG HỢP WINCOMMERCE</v>
      </c>
      <c r="G2765" s="16"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c r="A2766" s="14" t="s">
        <v>4023</v>
      </c>
      <c r="B2766" s="15" t="s">
        <v>5</v>
      </c>
      <c r="C2766" s="10" t="s">
        <v>4024</v>
      </c>
      <c r="D2766" s="16" t="s">
        <v>8713</v>
      </c>
      <c r="E2766" s="15" t="s">
        <v>11198</v>
      </c>
      <c r="F2766" s="16" t="str">
        <f>VLOOKUP(Table8[[#This Row],[Mã khách hàng]],code_khach_hang[],2,0)</f>
        <v>CHI NHÁNH HẢI PHÒNG - CÔNG TY CỔ PHẦN DỊCH VỤ THƯƠNG MẠI TỔNG HỢP WINCOMMERCE</v>
      </c>
      <c r="G2766" s="16"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c r="A2767" s="14" t="s">
        <v>4053</v>
      </c>
      <c r="B2767" s="15" t="s">
        <v>5</v>
      </c>
      <c r="C2767" s="10" t="s">
        <v>4054</v>
      </c>
      <c r="D2767" s="16" t="s">
        <v>8716</v>
      </c>
      <c r="E2767" s="15" t="s">
        <v>11211</v>
      </c>
      <c r="F2767" s="16" t="str">
        <f>VLOOKUP(Table8[[#This Row],[Mã khách hàng]],code_khach_hang[],2,0)</f>
        <v>CHI NHÁNH NGHỆ AN - CÔNG TY CỔ PHẦN DỊCH VỤ THƯƠNG MẠI TỔNG HỢP WINCOMMERCE</v>
      </c>
      <c r="G2767" s="16"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c r="A2768" s="14" t="s">
        <v>3091</v>
      </c>
      <c r="B2768" s="15" t="s">
        <v>5</v>
      </c>
      <c r="C2768" s="10" t="s">
        <v>3092</v>
      </c>
      <c r="D2768" s="16" t="s">
        <v>8719</v>
      </c>
      <c r="E2768" s="15" t="s">
        <v>11203</v>
      </c>
      <c r="F2768" s="16" t="str">
        <f>VLOOKUP(Table8[[#This Row],[Mã khách hàng]],code_khach_hang[],2,0)</f>
        <v>CHI NHÁNH THANH HÓA - CÔNG TY CỔ PHẦN DỊCH VỤ THƯƠNG MẠI TỔNG HỢP WINCOMMERCE</v>
      </c>
      <c r="G2768" s="16"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c r="A2769" s="14" t="s">
        <v>3933</v>
      </c>
      <c r="B2769" s="15" t="s">
        <v>5</v>
      </c>
      <c r="C2769" s="10" t="s">
        <v>3934</v>
      </c>
      <c r="D2769" s="16" t="s">
        <v>8722</v>
      </c>
      <c r="E2769" s="15" t="s">
        <v>11203</v>
      </c>
      <c r="F2769" s="16" t="str">
        <f>VLOOKUP(Table8[[#This Row],[Mã khách hàng]],code_khach_hang[],2,0)</f>
        <v>CHI NHÁNH THANH HÓA - CÔNG TY CỔ PHẦN DỊCH VỤ THƯƠNG MẠI TỔNG HỢP WINCOMMERCE</v>
      </c>
      <c r="G2769" s="16"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c r="A2770" s="14" t="s">
        <v>3954</v>
      </c>
      <c r="B2770" s="15" t="s">
        <v>5</v>
      </c>
      <c r="C2770" s="10" t="s">
        <v>3955</v>
      </c>
      <c r="D2770" s="16" t="s">
        <v>8725</v>
      </c>
      <c r="E2770" s="15" t="s">
        <v>11193</v>
      </c>
      <c r="F2770" s="16" t="str">
        <f>VLOOKUP(Table8[[#This Row],[Mã khách hàng]],code_khach_hang[],2,0)</f>
        <v>CHI NHÁNH BẮC NINH - CÔNG TY CỔ PHẦN DỊCH VỤ THƯƠNG MẠI TỔNG HỢP WINCOMMERCE</v>
      </c>
      <c r="G2770" s="16"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c r="A2771" s="14" t="s">
        <v>521</v>
      </c>
      <c r="B2771" s="15" t="s">
        <v>5</v>
      </c>
      <c r="C2771" s="10" t="s">
        <v>522</v>
      </c>
      <c r="D2771" s="16" t="s">
        <v>8728</v>
      </c>
      <c r="E2771" s="15" t="s">
        <v>11193</v>
      </c>
      <c r="F2771" s="16" t="str">
        <f>VLOOKUP(Table8[[#This Row],[Mã khách hàng]],code_khach_hang[],2,0)</f>
        <v>CHI NHÁNH BẮC NINH - CÔNG TY CỔ PHẦN DỊCH VỤ THƯƠNG MẠI TỔNG HỢP WINCOMMERCE</v>
      </c>
      <c r="G2771" s="16"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c r="A2772" s="14" t="s">
        <v>3993</v>
      </c>
      <c r="B2772" s="15" t="s">
        <v>5</v>
      </c>
      <c r="C2772" s="10" t="s">
        <v>3994</v>
      </c>
      <c r="D2772" s="16" t="s">
        <v>8731</v>
      </c>
      <c r="E2772" s="15" t="s">
        <v>11196</v>
      </c>
      <c r="F2772" s="16" t="str">
        <f>VLOOKUP(Table8[[#This Row],[Mã khách hàng]],code_khach_hang[],2,0)</f>
        <v>CHI NHÁNH NINH BÌNH - CÔNG TY CỔ PHẦN DỊCH VỤ THƯƠNG MẠI TỔNG HỢP WINCOMMERCE</v>
      </c>
      <c r="G2772" s="16"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c r="A2773" s="14" t="s">
        <v>3999</v>
      </c>
      <c r="B2773" s="15" t="s">
        <v>5</v>
      </c>
      <c r="C2773" s="10" t="s">
        <v>4000</v>
      </c>
      <c r="D2773" s="16" t="s">
        <v>8734</v>
      </c>
      <c r="E2773" s="14" t="s">
        <v>11215</v>
      </c>
      <c r="F2773" s="16" t="str">
        <f>VLOOKUP(Table8[[#This Row],[Mã khách hàng]],code_khach_hang[],2,0)</f>
        <v>CHI NHÁNH HÀ NỘI - CÔNG TY CỔ PHẦN DỊCH VỤ THƯƠNG MẠI TỔNG HỢP WINCOMMERCE</v>
      </c>
      <c r="G2773" s="16"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c r="A2774" s="14" t="s">
        <v>4077</v>
      </c>
      <c r="B2774" s="15" t="s">
        <v>5</v>
      </c>
      <c r="C2774" s="10" t="s">
        <v>4078</v>
      </c>
      <c r="D2774" s="16" t="s">
        <v>8737</v>
      </c>
      <c r="E2774" s="15" t="s">
        <v>11215</v>
      </c>
      <c r="F2774" s="16" t="str">
        <f>VLOOKUP(Table8[[#This Row],[Mã khách hàng]],code_khach_hang[],2,0)</f>
        <v>CHI NHÁNH HÀ NỘI - CÔNG TY CỔ PHẦN DỊCH VỤ THƯƠNG MẠI TỔNG HỢP WINCOMMERCE</v>
      </c>
      <c r="G2774" s="16"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c r="A2775" s="14" t="s">
        <v>4080</v>
      </c>
      <c r="B2775" s="15" t="s">
        <v>5</v>
      </c>
      <c r="C2775" s="10" t="s">
        <v>4081</v>
      </c>
      <c r="D2775" s="16" t="s">
        <v>8740</v>
      </c>
      <c r="E2775" s="15" t="s">
        <v>11199</v>
      </c>
      <c r="F2775" s="16" t="str">
        <f>VLOOKUP(Table8[[#This Row],[Mã khách hàng]],code_khach_hang[],2,0)</f>
        <v>CHI NHÁNH PHÚ THỌ - CÔNG TY CỔ PHẦN DỊCH VỤ THƯƠNG MẠI TỔNG HỢP WINCOMMERCE</v>
      </c>
      <c r="G2775" s="16"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c r="A2776" s="14" t="s">
        <v>3910</v>
      </c>
      <c r="B2776" s="15" t="s">
        <v>5</v>
      </c>
      <c r="C2776" s="10" t="s">
        <v>3911</v>
      </c>
      <c r="D2776" s="16" t="s">
        <v>8743</v>
      </c>
      <c r="E2776" s="15" t="s">
        <v>11215</v>
      </c>
      <c r="F2776" s="16" t="str">
        <f>VLOOKUP(Table8[[#This Row],[Mã khách hàng]],code_khach_hang[],2,0)</f>
        <v>CHI NHÁNH HÀ NỘI - CÔNG TY CỔ PHẦN DỊCH VỤ THƯƠNG MẠI TỔNG HỢP WINCOMMERCE</v>
      </c>
      <c r="G2776" s="16"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c r="A2777" s="14" t="s">
        <v>3127</v>
      </c>
      <c r="B2777" s="15" t="s">
        <v>5</v>
      </c>
      <c r="C2777" s="10" t="s">
        <v>3128</v>
      </c>
      <c r="D2777" s="16" t="s">
        <v>8746</v>
      </c>
      <c r="E2777" s="15" t="s">
        <v>11198</v>
      </c>
      <c r="F2777" s="16" t="str">
        <f>VLOOKUP(Table8[[#This Row],[Mã khách hàng]],code_khach_hang[],2,0)</f>
        <v>CHI NHÁNH HẢI PHÒNG - CÔNG TY CỔ PHẦN DỊCH VỤ THƯƠNG MẠI TỔNG HỢP WINCOMMERCE</v>
      </c>
      <c r="G2777" s="16"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c r="A2778" s="14" t="s">
        <v>3984</v>
      </c>
      <c r="B2778" s="15" t="s">
        <v>5</v>
      </c>
      <c r="C2778" s="10" t="s">
        <v>3985</v>
      </c>
      <c r="D2778" s="16" t="s">
        <v>8749</v>
      </c>
      <c r="E2778" s="15" t="s">
        <v>11207</v>
      </c>
      <c r="F2778" s="16" t="str">
        <f>VLOOKUP(Table8[[#This Row],[Mã khách hàng]],code_khach_hang[],2,0)</f>
        <v>CHI NHÁNH THÁI NGUYÊN - CÔNG TY CỔ PHẦN DỊCH VỤ THƯƠNG MẠI TỔNG HỢP WINCOMMERCE</v>
      </c>
      <c r="G2778" s="16"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c r="A2779" s="14" t="s">
        <v>4029</v>
      </c>
      <c r="B2779" s="15" t="s">
        <v>5</v>
      </c>
      <c r="C2779" s="10" t="s">
        <v>4030</v>
      </c>
      <c r="D2779" s="16" t="s">
        <v>8752</v>
      </c>
      <c r="E2779" s="14" t="s">
        <v>11215</v>
      </c>
      <c r="F2779" s="16" t="str">
        <f>VLOOKUP(Table8[[#This Row],[Mã khách hàng]],code_khach_hang[],2,0)</f>
        <v>CHI NHÁNH HÀ NỘI - CÔNG TY CỔ PHẦN DỊCH VỤ THƯƠNG MẠI TỔNG HỢP WINCOMMERCE</v>
      </c>
      <c r="G2779" s="16"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c r="A2780" s="14" t="s">
        <v>4086</v>
      </c>
      <c r="B2780" s="15" t="s">
        <v>5</v>
      </c>
      <c r="C2780" s="10" t="s">
        <v>4087</v>
      </c>
      <c r="D2780" s="16" t="s">
        <v>8755</v>
      </c>
      <c r="E2780" s="15" t="s">
        <v>11207</v>
      </c>
      <c r="F2780" s="16" t="str">
        <f>VLOOKUP(Table8[[#This Row],[Mã khách hàng]],code_khach_hang[],2,0)</f>
        <v>CHI NHÁNH THÁI NGUYÊN - CÔNG TY CỔ PHẦN DỊCH VỤ THƯƠNG MẠI TỔNG HỢP WINCOMMERCE</v>
      </c>
      <c r="G2780" s="16"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c r="A2781" s="14" t="s">
        <v>4092</v>
      </c>
      <c r="B2781" s="15" t="s">
        <v>5</v>
      </c>
      <c r="C2781" s="10" t="s">
        <v>4093</v>
      </c>
      <c r="D2781" s="16" t="s">
        <v>8758</v>
      </c>
      <c r="E2781" s="15" t="s">
        <v>11203</v>
      </c>
      <c r="F2781" s="16" t="str">
        <f>VLOOKUP(Table8[[#This Row],[Mã khách hàng]],code_khach_hang[],2,0)</f>
        <v>CHI NHÁNH THANH HÓA - CÔNG TY CỔ PHẦN DỊCH VỤ THƯƠNG MẠI TỔNG HỢP WINCOMMERCE</v>
      </c>
      <c r="G2781" s="16"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c r="A2782" s="14" t="s">
        <v>4098</v>
      </c>
      <c r="B2782" s="15" t="s">
        <v>5</v>
      </c>
      <c r="C2782" s="10" t="s">
        <v>4099</v>
      </c>
      <c r="D2782" s="16" t="s">
        <v>8761</v>
      </c>
      <c r="E2782" s="15" t="s">
        <v>11198</v>
      </c>
      <c r="F2782" s="16" t="str">
        <f>VLOOKUP(Table8[[#This Row],[Mã khách hàng]],code_khach_hang[],2,0)</f>
        <v>CHI NHÁNH HẢI PHÒNG - CÔNG TY CỔ PHẦN DỊCH VỤ THƯƠNG MẠI TỔNG HỢP WINCOMMERCE</v>
      </c>
      <c r="G2782" s="16"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c r="A2783" s="14" t="s">
        <v>4101</v>
      </c>
      <c r="B2783" s="15" t="s">
        <v>5</v>
      </c>
      <c r="C2783" s="10" t="s">
        <v>4102</v>
      </c>
      <c r="D2783" s="16" t="s">
        <v>8764</v>
      </c>
      <c r="E2783" s="15" t="s">
        <v>11203</v>
      </c>
      <c r="F2783" s="16" t="str">
        <f>VLOOKUP(Table8[[#This Row],[Mã khách hàng]],code_khach_hang[],2,0)</f>
        <v>CHI NHÁNH THANH HÓA - CÔNG TY CỔ PHẦN DỊCH VỤ THƯƠNG MẠI TỔNG HỢP WINCOMMERCE</v>
      </c>
      <c r="G2783" s="16"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c r="A2784" s="14" t="s">
        <v>4095</v>
      </c>
      <c r="B2784" s="15" t="s">
        <v>5</v>
      </c>
      <c r="C2784" s="10" t="s">
        <v>4096</v>
      </c>
      <c r="D2784" s="16" t="s">
        <v>8767</v>
      </c>
      <c r="E2784" s="15" t="s">
        <v>11193</v>
      </c>
      <c r="F2784" s="16" t="str">
        <f>VLOOKUP(Table8[[#This Row],[Mã khách hàng]],code_khach_hang[],2,0)</f>
        <v>CHI NHÁNH BẮC NINH - CÔNG TY CỔ PHẦN DỊCH VỤ THƯƠNG MẠI TỔNG HỢP WINCOMMERCE</v>
      </c>
      <c r="G2784" s="16"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c r="A2785" s="14" t="s">
        <v>4014</v>
      </c>
      <c r="B2785" s="15" t="s">
        <v>5</v>
      </c>
      <c r="C2785" s="10" t="s">
        <v>4015</v>
      </c>
      <c r="D2785" s="16" t="s">
        <v>8770</v>
      </c>
      <c r="E2785" s="15" t="s">
        <v>11207</v>
      </c>
      <c r="F2785" s="16" t="str">
        <f>VLOOKUP(Table8[[#This Row],[Mã khách hàng]],code_khach_hang[],2,0)</f>
        <v>CHI NHÁNH THÁI NGUYÊN - CÔNG TY CỔ PHẦN DỊCH VỤ THƯƠNG MẠI TỔNG HỢP WINCOMMERCE</v>
      </c>
      <c r="G2785" s="16"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c r="A2786" s="14" t="s">
        <v>3115</v>
      </c>
      <c r="B2786" s="15" t="s">
        <v>5</v>
      </c>
      <c r="C2786" s="10" t="s">
        <v>3116</v>
      </c>
      <c r="D2786" s="16" t="s">
        <v>8773</v>
      </c>
      <c r="E2786" s="15" t="s">
        <v>11203</v>
      </c>
      <c r="F2786" s="16" t="str">
        <f>VLOOKUP(Table8[[#This Row],[Mã khách hàng]],code_khach_hang[],2,0)</f>
        <v>CHI NHÁNH THANH HÓA - CÔNG TY CỔ PHẦN DỊCH VỤ THƯƠNG MẠI TỔNG HỢP WINCOMMERCE</v>
      </c>
      <c r="G2786" s="16"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c r="A2787" s="14" t="s">
        <v>4032</v>
      </c>
      <c r="B2787" s="15" t="s">
        <v>5</v>
      </c>
      <c r="C2787" s="10" t="s">
        <v>4033</v>
      </c>
      <c r="D2787" s="16" t="s">
        <v>8776</v>
      </c>
      <c r="E2787" s="15" t="s">
        <v>11199</v>
      </c>
      <c r="F2787" s="16" t="str">
        <f>VLOOKUP(Table8[[#This Row],[Mã khách hàng]],code_khach_hang[],2,0)</f>
        <v>CHI NHÁNH PHÚ THỌ - CÔNG TY CỔ PHẦN DỊCH VỤ THƯƠNG MẠI TỔNG HỢP WINCOMMERCE</v>
      </c>
      <c r="G2787" s="16"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c r="A2788" s="14" t="s">
        <v>3972</v>
      </c>
      <c r="B2788" s="15" t="s">
        <v>5</v>
      </c>
      <c r="C2788" s="10" t="s">
        <v>3973</v>
      </c>
      <c r="D2788" s="16" t="s">
        <v>8779</v>
      </c>
      <c r="E2788" s="15" t="s">
        <v>11199</v>
      </c>
      <c r="F2788" s="16" t="str">
        <f>VLOOKUP(Table8[[#This Row],[Mã khách hàng]],code_khach_hang[],2,0)</f>
        <v>CHI NHÁNH PHÚ THỌ - CÔNG TY CỔ PHẦN DỊCH VỤ THƯƠNG MẠI TỔNG HỢP WINCOMMERCE</v>
      </c>
      <c r="G2788" s="16"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c r="A2789" s="14" t="s">
        <v>2973</v>
      </c>
      <c r="B2789" s="15" t="s">
        <v>5</v>
      </c>
      <c r="C2789" s="10" t="s">
        <v>2974</v>
      </c>
      <c r="D2789" s="16" t="s">
        <v>8782</v>
      </c>
      <c r="E2789" s="15" t="s">
        <v>11215</v>
      </c>
      <c r="F2789" s="16" t="str">
        <f>VLOOKUP(Table8[[#This Row],[Mã khách hàng]],code_khach_hang[],2,0)</f>
        <v>CHI NHÁNH HÀ NỘI - CÔNG TY CỔ PHẦN DỊCH VỤ THƯƠNG MẠI TỔNG HỢP WINCOMMERCE</v>
      </c>
      <c r="G2789" s="16"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c r="A2790" s="14" t="s">
        <v>3106</v>
      </c>
      <c r="B2790" s="15" t="s">
        <v>5</v>
      </c>
      <c r="C2790" s="10" t="s">
        <v>3107</v>
      </c>
      <c r="D2790" s="16" t="s">
        <v>8784</v>
      </c>
      <c r="E2790" s="15" t="s">
        <v>11215</v>
      </c>
      <c r="F2790" s="16" t="str">
        <f>VLOOKUP(Table8[[#This Row],[Mã khách hàng]],code_khach_hang[],2,0)</f>
        <v>CHI NHÁNH HÀ NỘI - CÔNG TY CỔ PHẦN DỊCH VỤ THƯƠNG MẠI TỔNG HỢP WINCOMMERCE</v>
      </c>
      <c r="G2790" s="16"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c r="A2791" s="14" t="s">
        <v>3109</v>
      </c>
      <c r="B2791" s="15" t="s">
        <v>5</v>
      </c>
      <c r="C2791" s="10" t="s">
        <v>3110</v>
      </c>
      <c r="D2791" s="16" t="s">
        <v>8787</v>
      </c>
      <c r="E2791" s="15" t="s">
        <v>11196</v>
      </c>
      <c r="F2791" s="16" t="str">
        <f>VLOOKUP(Table8[[#This Row],[Mã khách hàng]],code_khach_hang[],2,0)</f>
        <v>CHI NHÁNH NINH BÌNH - CÔNG TY CỔ PHẦN DỊCH VỤ THƯƠNG MẠI TỔNG HỢP WINCOMMERCE</v>
      </c>
      <c r="G2791" s="16"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c r="A2792" s="14" t="s">
        <v>3118</v>
      </c>
      <c r="B2792" s="15" t="s">
        <v>5</v>
      </c>
      <c r="C2792" s="10" t="s">
        <v>3119</v>
      </c>
      <c r="D2792" s="16" t="s">
        <v>8790</v>
      </c>
      <c r="E2792" s="15" t="s">
        <v>11193</v>
      </c>
      <c r="F2792" s="16" t="str">
        <f>VLOOKUP(Table8[[#This Row],[Mã khách hàng]],code_khach_hang[],2,0)</f>
        <v>CHI NHÁNH BẮC NINH - CÔNG TY CỔ PHẦN DỊCH VỤ THƯƠNG MẠI TỔNG HỢP WINCOMMERCE</v>
      </c>
      <c r="G2792" s="16"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c r="A2793" s="14" t="s">
        <v>3121</v>
      </c>
      <c r="B2793" s="15" t="s">
        <v>5</v>
      </c>
      <c r="C2793" s="10" t="s">
        <v>3122</v>
      </c>
      <c r="D2793" s="16" t="s">
        <v>8793</v>
      </c>
      <c r="E2793" s="15" t="s">
        <v>11218</v>
      </c>
      <c r="F2793" s="16" t="str">
        <f>VLOOKUP(Table8[[#This Row],[Mã khách hàng]],code_khach_hang[],2,0)</f>
        <v>CHI NHÁNH LÀO CAI - CÔNG TY CỔ PHẦN DỊCH VỤ THƯƠNG MẠI TỔNG HỢP WINCOMMERCE</v>
      </c>
      <c r="G2793" s="16"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c r="A2794" s="14" t="s">
        <v>3124</v>
      </c>
      <c r="B2794" s="15" t="s">
        <v>5</v>
      </c>
      <c r="C2794" s="10" t="s">
        <v>3125</v>
      </c>
      <c r="D2794" s="16" t="s">
        <v>8796</v>
      </c>
      <c r="E2794" s="15" t="s">
        <v>11199</v>
      </c>
      <c r="F2794" s="16" t="str">
        <f>VLOOKUP(Table8[[#This Row],[Mã khách hàng]],code_khach_hang[],2,0)</f>
        <v>CHI NHÁNH PHÚ THỌ - CÔNG TY CỔ PHẦN DỊCH VỤ THƯƠNG MẠI TỔNG HỢP WINCOMMERCE</v>
      </c>
      <c r="G2794" s="16"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c r="A2795" s="14" t="s">
        <v>3163</v>
      </c>
      <c r="B2795" s="15" t="s">
        <v>5</v>
      </c>
      <c r="C2795" s="10" t="s">
        <v>3164</v>
      </c>
      <c r="D2795" s="16" t="s">
        <v>8799</v>
      </c>
      <c r="E2795" s="15" t="s">
        <v>11203</v>
      </c>
      <c r="F2795" s="16" t="str">
        <f>VLOOKUP(Table8[[#This Row],[Mã khách hàng]],code_khach_hang[],2,0)</f>
        <v>CHI NHÁNH THANH HÓA - CÔNG TY CỔ PHẦN DỊCH VỤ THƯƠNG MẠI TỔNG HỢP WINCOMMERCE</v>
      </c>
      <c r="G2795" s="16"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c r="A2796" s="14" t="s">
        <v>3169</v>
      </c>
      <c r="B2796" s="15" t="s">
        <v>5</v>
      </c>
      <c r="C2796" s="10" t="s">
        <v>3170</v>
      </c>
      <c r="D2796" s="16" t="s">
        <v>8802</v>
      </c>
      <c r="E2796" s="15" t="s">
        <v>11198</v>
      </c>
      <c r="F2796" s="16" t="str">
        <f>VLOOKUP(Table8[[#This Row],[Mã khách hàng]],code_khach_hang[],2,0)</f>
        <v>CHI NHÁNH HẢI PHÒNG - CÔNG TY CỔ PHẦN DỊCH VỤ THƯƠNG MẠI TỔNG HỢP WINCOMMERCE</v>
      </c>
      <c r="G2796" s="16"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c r="A2797" s="14" t="s">
        <v>3178</v>
      </c>
      <c r="B2797" s="15" t="s">
        <v>5</v>
      </c>
      <c r="C2797" s="10" t="s">
        <v>3179</v>
      </c>
      <c r="D2797" s="16" t="s">
        <v>8805</v>
      </c>
      <c r="E2797" s="15" t="s">
        <v>11193</v>
      </c>
      <c r="F2797" s="16" t="str">
        <f>VLOOKUP(Table8[[#This Row],[Mã khách hàng]],code_khach_hang[],2,0)</f>
        <v>CHI NHÁNH BẮC NINH - CÔNG TY CỔ PHẦN DỊCH VỤ THƯƠNG MẠI TỔNG HỢP WINCOMMERCE</v>
      </c>
      <c r="G2797" s="16"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c r="A2798" s="14" t="s">
        <v>3181</v>
      </c>
      <c r="B2798" s="15" t="s">
        <v>5</v>
      </c>
      <c r="C2798" s="10" t="s">
        <v>3182</v>
      </c>
      <c r="D2798" s="16" t="s">
        <v>8808</v>
      </c>
      <c r="E2798" s="15" t="s">
        <v>11216</v>
      </c>
      <c r="F2798" s="16" t="str">
        <f>VLOOKUP(Table8[[#This Row],[Mã khách hàng]],code_khach_hang[],2,0)</f>
        <v>CHI NHÁNH HƯNG YÊN - CÔNG TY CỔ PHẦN DỊCH VỤ THƯƠNG MẠI TỔNG HỢP WINCOMMERCE</v>
      </c>
      <c r="G2798" s="16"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c r="A2799" s="14" t="s">
        <v>3190</v>
      </c>
      <c r="B2799" s="15" t="s">
        <v>5</v>
      </c>
      <c r="C2799" s="10" t="s">
        <v>3191</v>
      </c>
      <c r="D2799" s="16" t="s">
        <v>8811</v>
      </c>
      <c r="E2799" s="15" t="s">
        <v>11193</v>
      </c>
      <c r="F2799" s="16" t="str">
        <f>VLOOKUP(Table8[[#This Row],[Mã khách hàng]],code_khach_hang[],2,0)</f>
        <v>CHI NHÁNH BẮC NINH - CÔNG TY CỔ PHẦN DỊCH VỤ THƯƠNG MẠI TỔNG HỢP WINCOMMERCE</v>
      </c>
      <c r="G2799" s="16"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c r="A2800" s="14" t="s">
        <v>3193</v>
      </c>
      <c r="B2800" s="15" t="s">
        <v>5</v>
      </c>
      <c r="C2800" s="10" t="s">
        <v>3194</v>
      </c>
      <c r="D2800" s="16" t="s">
        <v>8814</v>
      </c>
      <c r="E2800" s="15" t="s">
        <v>11193</v>
      </c>
      <c r="F2800" s="16" t="str">
        <f>VLOOKUP(Table8[[#This Row],[Mã khách hàng]],code_khach_hang[],2,0)</f>
        <v>CHI NHÁNH BẮC NINH - CÔNG TY CỔ PHẦN DỊCH VỤ THƯƠNG MẠI TỔNG HỢP WINCOMMERCE</v>
      </c>
      <c r="G2800" s="16"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c r="A2801" s="14" t="s">
        <v>3196</v>
      </c>
      <c r="B2801" s="15" t="s">
        <v>5</v>
      </c>
      <c r="C2801" s="10" t="s">
        <v>3197</v>
      </c>
      <c r="D2801" s="16" t="s">
        <v>8817</v>
      </c>
      <c r="E2801" s="15" t="s">
        <v>11215</v>
      </c>
      <c r="F2801" s="16" t="str">
        <f>VLOOKUP(Table8[[#This Row],[Mã khách hàng]],code_khach_hang[],2,0)</f>
        <v>CHI NHÁNH HÀ NỘI - CÔNG TY CỔ PHẦN DỊCH VỤ THƯƠNG MẠI TỔNG HỢP WINCOMMERCE</v>
      </c>
      <c r="G2801" s="16"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c r="A2802" s="14" t="s">
        <v>3205</v>
      </c>
      <c r="B2802" s="15" t="s">
        <v>5</v>
      </c>
      <c r="C2802" s="10" t="s">
        <v>3206</v>
      </c>
      <c r="D2802" s="16" t="s">
        <v>8820</v>
      </c>
      <c r="E2802" s="15" t="s">
        <v>11198</v>
      </c>
      <c r="F2802" s="16" t="str">
        <f>VLOOKUP(Table8[[#This Row],[Mã khách hàng]],code_khach_hang[],2,0)</f>
        <v>CHI NHÁNH HẢI PHÒNG - CÔNG TY CỔ PHẦN DỊCH VỤ THƯƠNG MẠI TỔNG HỢP WINCOMMERCE</v>
      </c>
      <c r="G2802" s="16"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c r="A2803" s="14" t="s">
        <v>3208</v>
      </c>
      <c r="B2803" s="15" t="s">
        <v>5</v>
      </c>
      <c r="C2803" s="10" t="s">
        <v>3209</v>
      </c>
      <c r="D2803" s="16" t="s">
        <v>8823</v>
      </c>
      <c r="E2803" s="15" t="s">
        <v>11193</v>
      </c>
      <c r="F2803" s="16" t="str">
        <f>VLOOKUP(Table8[[#This Row],[Mã khách hàng]],code_khach_hang[],2,0)</f>
        <v>CHI NHÁNH BẮC NINH - CÔNG TY CỔ PHẦN DỊCH VỤ THƯƠNG MẠI TỔNG HỢP WINCOMMERCE</v>
      </c>
      <c r="G2803" s="16"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c r="A2804" s="14" t="s">
        <v>11145</v>
      </c>
      <c r="B2804" s="15" t="s">
        <v>5</v>
      </c>
      <c r="C2804" s="10" t="s">
        <v>13179</v>
      </c>
      <c r="D2804" s="16" t="s">
        <v>8826</v>
      </c>
      <c r="E2804" s="15" t="s">
        <v>11198</v>
      </c>
      <c r="F2804" s="16" t="str">
        <f>VLOOKUP(Table8[[#This Row],[Mã khách hàng]],code_khach_hang[],2,0)</f>
        <v>CHI NHÁNH HẢI PHÒNG - CÔNG TY CỔ PHẦN DỊCH VỤ THƯƠNG MẠI TỔNG HỢP WINCOMMERCE</v>
      </c>
      <c r="G2804" s="16"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c r="A2805" s="14" t="s">
        <v>3229</v>
      </c>
      <c r="B2805" s="15" t="s">
        <v>5</v>
      </c>
      <c r="C2805" s="10" t="s">
        <v>3230</v>
      </c>
      <c r="D2805" s="16" t="s">
        <v>8829</v>
      </c>
      <c r="E2805" s="15" t="s">
        <v>11203</v>
      </c>
      <c r="F2805" s="16" t="str">
        <f>VLOOKUP(Table8[[#This Row],[Mã khách hàng]],code_khach_hang[],2,0)</f>
        <v>CHI NHÁNH THANH HÓA - CÔNG TY CỔ PHẦN DỊCH VỤ THƯƠNG MẠI TỔNG HỢP WINCOMMERCE</v>
      </c>
      <c r="G2805" s="16"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c r="A2806" s="14" t="s">
        <v>3232</v>
      </c>
      <c r="B2806" s="15" t="s">
        <v>5</v>
      </c>
      <c r="C2806" s="10" t="s">
        <v>3233</v>
      </c>
      <c r="D2806" s="16" t="s">
        <v>8832</v>
      </c>
      <c r="E2806" s="15" t="s">
        <v>11193</v>
      </c>
      <c r="F2806" s="16" t="str">
        <f>VLOOKUP(Table8[[#This Row],[Mã khách hàng]],code_khach_hang[],2,0)</f>
        <v>CHI NHÁNH BẮC NINH - CÔNG TY CỔ PHẦN DỊCH VỤ THƯƠNG MẠI TỔNG HỢP WINCOMMERCE</v>
      </c>
      <c r="G2806" s="16"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c r="A2807" s="14" t="s">
        <v>3241</v>
      </c>
      <c r="B2807" s="15" t="s">
        <v>5</v>
      </c>
      <c r="C2807" s="10" t="s">
        <v>3242</v>
      </c>
      <c r="D2807" s="16" t="s">
        <v>8834</v>
      </c>
      <c r="E2807" s="15" t="s">
        <v>11203</v>
      </c>
      <c r="F2807" s="16" t="str">
        <f>VLOOKUP(Table8[[#This Row],[Mã khách hàng]],code_khach_hang[],2,0)</f>
        <v>CHI NHÁNH THANH HÓA - CÔNG TY CỔ PHẦN DỊCH VỤ THƯƠNG MẠI TỔNG HỢP WINCOMMERCE</v>
      </c>
      <c r="G2807" s="16"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c r="A2808" s="14" t="s">
        <v>3246</v>
      </c>
      <c r="B2808" s="15" t="s">
        <v>5</v>
      </c>
      <c r="C2808" s="10" t="s">
        <v>3247</v>
      </c>
      <c r="D2808" s="16" t="s">
        <v>8837</v>
      </c>
      <c r="E2808" s="15" t="s">
        <v>11215</v>
      </c>
      <c r="F2808" s="16" t="str">
        <f>VLOOKUP(Table8[[#This Row],[Mã khách hàng]],code_khach_hang[],2,0)</f>
        <v>CHI NHÁNH HÀ NỘI - CÔNG TY CỔ PHẦN DỊCH VỤ THƯƠNG MẠI TỔNG HỢP WINCOMMERCE</v>
      </c>
      <c r="G2808" s="16"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c r="A2809" s="14" t="s">
        <v>3249</v>
      </c>
      <c r="B2809" s="15" t="s">
        <v>5</v>
      </c>
      <c r="C2809" s="10" t="s">
        <v>3250</v>
      </c>
      <c r="D2809" s="16" t="s">
        <v>8840</v>
      </c>
      <c r="E2809" s="15" t="s">
        <v>11216</v>
      </c>
      <c r="F2809" s="16" t="str">
        <f>VLOOKUP(Table8[[#This Row],[Mã khách hàng]],code_khach_hang[],2,0)</f>
        <v>CHI NHÁNH HƯNG YÊN - CÔNG TY CỔ PHẦN DỊCH VỤ THƯƠNG MẠI TỔNG HỢP WINCOMMERCE</v>
      </c>
      <c r="G2809" s="16"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c r="A2810" s="14" t="s">
        <v>3255</v>
      </c>
      <c r="B2810" s="15" t="s">
        <v>5</v>
      </c>
      <c r="C2810" s="10" t="s">
        <v>3256</v>
      </c>
      <c r="D2810" s="16" t="s">
        <v>8843</v>
      </c>
      <c r="E2810" s="15" t="s">
        <v>11198</v>
      </c>
      <c r="F2810" s="16" t="str">
        <f>VLOOKUP(Table8[[#This Row],[Mã khách hàng]],code_khach_hang[],2,0)</f>
        <v>CHI NHÁNH HẢI PHÒNG - CÔNG TY CỔ PHẦN DỊCH VỤ THƯƠNG MẠI TỔNG HỢP WINCOMMERCE</v>
      </c>
      <c r="G2810" s="16"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c r="A2811" s="14" t="s">
        <v>3258</v>
      </c>
      <c r="B2811" s="15" t="s">
        <v>5</v>
      </c>
      <c r="C2811" s="10" t="s">
        <v>3259</v>
      </c>
      <c r="D2811" s="16" t="s">
        <v>8846</v>
      </c>
      <c r="E2811" s="15" t="s">
        <v>11193</v>
      </c>
      <c r="F2811" s="16" t="str">
        <f>VLOOKUP(Table8[[#This Row],[Mã khách hàng]],code_khach_hang[],2,0)</f>
        <v>CHI NHÁNH BẮC NINH - CÔNG TY CỔ PHẦN DỊCH VỤ THƯƠNG MẠI TỔNG HỢP WINCOMMERCE</v>
      </c>
      <c r="G2811" s="16"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c r="A2812" s="14" t="s">
        <v>11146</v>
      </c>
      <c r="B2812" s="15" t="s">
        <v>5</v>
      </c>
      <c r="C2812" s="10" t="s">
        <v>13180</v>
      </c>
      <c r="D2812" s="16" t="s">
        <v>8849</v>
      </c>
      <c r="E2812" s="15" t="s">
        <v>11215</v>
      </c>
      <c r="F2812" s="16" t="str">
        <f>VLOOKUP(Table8[[#This Row],[Mã khách hàng]],code_khach_hang[],2,0)</f>
        <v>CHI NHÁNH HÀ NỘI - CÔNG TY CỔ PHẦN DỊCH VỤ THƯƠNG MẠI TỔNG HỢP WINCOMMERCE</v>
      </c>
      <c r="G2812" s="16"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c r="A2813" s="14" t="s">
        <v>3261</v>
      </c>
      <c r="B2813" s="15" t="s">
        <v>5</v>
      </c>
      <c r="C2813" s="10" t="s">
        <v>3262</v>
      </c>
      <c r="D2813" s="16" t="s">
        <v>8852</v>
      </c>
      <c r="E2813" s="15" t="s">
        <v>11193</v>
      </c>
      <c r="F2813" s="16" t="str">
        <f>VLOOKUP(Table8[[#This Row],[Mã khách hàng]],code_khach_hang[],2,0)</f>
        <v>CHI NHÁNH BẮC NINH - CÔNG TY CỔ PHẦN DỊCH VỤ THƯƠNG MẠI TỔNG HỢP WINCOMMERCE</v>
      </c>
      <c r="G2813" s="16"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c r="A2814" s="14" t="s">
        <v>3264</v>
      </c>
      <c r="B2814" s="15" t="s">
        <v>5</v>
      </c>
      <c r="C2814" s="10" t="s">
        <v>3265</v>
      </c>
      <c r="D2814" s="16" t="s">
        <v>8855</v>
      </c>
      <c r="E2814" s="15" t="s">
        <v>11197</v>
      </c>
      <c r="F2814" s="16" t="str">
        <f>VLOOKUP(Table8[[#This Row],[Mã khách hàng]],code_khach_hang[],2,0)</f>
        <v>CHI NHÁNH QUẢNG NINH - CÔNG TY CỔ PHẦN DỊCH VỤ THƯƠNG MẠI TỔNG HỢP WINCOMMERCE</v>
      </c>
      <c r="G2814" s="16"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c r="A2815" s="14" t="s">
        <v>3750</v>
      </c>
      <c r="B2815" s="15" t="s">
        <v>5</v>
      </c>
      <c r="C2815" s="10" t="s">
        <v>3751</v>
      </c>
      <c r="D2815" s="16" t="s">
        <v>8858</v>
      </c>
      <c r="E2815" s="15" t="s">
        <v>11215</v>
      </c>
      <c r="F2815" s="16" t="str">
        <f>VLOOKUP(Table8[[#This Row],[Mã khách hàng]],code_khach_hang[],2,0)</f>
        <v>CHI NHÁNH HÀ NỘI - CÔNG TY CỔ PHẦN DỊCH VỤ THƯƠNG MẠI TỔNG HỢP WINCOMMERCE</v>
      </c>
      <c r="G2815" s="16"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c r="A2816" s="14" t="s">
        <v>4044</v>
      </c>
      <c r="B2816" s="15" t="s">
        <v>5</v>
      </c>
      <c r="C2816" s="10" t="s">
        <v>4045</v>
      </c>
      <c r="D2816" s="16" t="s">
        <v>8861</v>
      </c>
      <c r="E2816" s="15" t="s">
        <v>11199</v>
      </c>
      <c r="F2816" s="16" t="str">
        <f>VLOOKUP(Table8[[#This Row],[Mã khách hàng]],code_khach_hang[],2,0)</f>
        <v>CHI NHÁNH PHÚ THỌ - CÔNG TY CỔ PHẦN DỊCH VỤ THƯƠNG MẠI TỔNG HỢP WINCOMMERCE</v>
      </c>
      <c r="G2816" s="16"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c r="A2817" s="14" t="s">
        <v>4047</v>
      </c>
      <c r="B2817" s="15" t="s">
        <v>5</v>
      </c>
      <c r="C2817" s="10" t="s">
        <v>4048</v>
      </c>
      <c r="D2817" s="16" t="s">
        <v>8864</v>
      </c>
      <c r="E2817" s="15" t="s">
        <v>11215</v>
      </c>
      <c r="F2817" s="16" t="str">
        <f>VLOOKUP(Table8[[#This Row],[Mã khách hàng]],code_khach_hang[],2,0)</f>
        <v>CHI NHÁNH HÀ NỘI - CÔNG TY CỔ PHẦN DỊCH VỤ THƯƠNG MẠI TỔNG HỢP WINCOMMERCE</v>
      </c>
      <c r="G2817" s="16"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c r="A2818" s="14" t="s">
        <v>4062</v>
      </c>
      <c r="B2818" s="15" t="s">
        <v>5</v>
      </c>
      <c r="C2818" s="10" t="s">
        <v>4063</v>
      </c>
      <c r="D2818" s="16" t="s">
        <v>8867</v>
      </c>
      <c r="E2818" s="15" t="s">
        <v>11215</v>
      </c>
      <c r="F2818" s="16" t="str">
        <f>VLOOKUP(Table8[[#This Row],[Mã khách hàng]],code_khach_hang[],2,0)</f>
        <v>CHI NHÁNH HÀ NỘI - CÔNG TY CỔ PHẦN DỊCH VỤ THƯƠNG MẠI TỔNG HỢP WINCOMMERCE</v>
      </c>
      <c r="G2818" s="16"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c r="A2819" s="14" t="s">
        <v>4074</v>
      </c>
      <c r="B2819" s="15" t="s">
        <v>5</v>
      </c>
      <c r="C2819" s="10" t="s">
        <v>4075</v>
      </c>
      <c r="D2819" s="16" t="s">
        <v>8870</v>
      </c>
      <c r="E2819" s="15" t="s">
        <v>11199</v>
      </c>
      <c r="F2819" s="16" t="str">
        <f>VLOOKUP(Table8[[#This Row],[Mã khách hàng]],code_khach_hang[],2,0)</f>
        <v>CHI NHÁNH PHÚ THỌ - CÔNG TY CỔ PHẦN DỊCH VỤ THƯƠNG MẠI TỔNG HỢP WINCOMMERCE</v>
      </c>
      <c r="G2819" s="16"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c r="A2820" s="14" t="s">
        <v>4083</v>
      </c>
      <c r="B2820" s="15" t="s">
        <v>5</v>
      </c>
      <c r="C2820" s="10" t="s">
        <v>4084</v>
      </c>
      <c r="D2820" s="16" t="s">
        <v>8873</v>
      </c>
      <c r="E2820" s="15" t="s">
        <v>11211</v>
      </c>
      <c r="F2820" s="16" t="str">
        <f>VLOOKUP(Table8[[#This Row],[Mã khách hàng]],code_khach_hang[],2,0)</f>
        <v>CHI NHÁNH NGHỆ AN - CÔNG TY CỔ PHẦN DỊCH VỤ THƯƠNG MẠI TỔNG HỢP WINCOMMERCE</v>
      </c>
      <c r="G2820" s="16"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c r="A2821" s="14" t="s">
        <v>4089</v>
      </c>
      <c r="B2821" s="15" t="s">
        <v>5</v>
      </c>
      <c r="C2821" s="10" t="s">
        <v>4090</v>
      </c>
      <c r="D2821" s="16" t="s">
        <v>8876</v>
      </c>
      <c r="E2821" s="15" t="s">
        <v>11215</v>
      </c>
      <c r="F2821" s="16" t="str">
        <f>VLOOKUP(Table8[[#This Row],[Mã khách hàng]],code_khach_hang[],2,0)</f>
        <v>CHI NHÁNH HÀ NỘI - CÔNG TY CỔ PHẦN DỊCH VỤ THƯƠNG MẠI TỔNG HỢP WINCOMMERCE</v>
      </c>
      <c r="G2821" s="16"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c r="A2822" s="14" t="s">
        <v>3112</v>
      </c>
      <c r="B2822" s="15" t="s">
        <v>5</v>
      </c>
      <c r="C2822" s="10" t="s">
        <v>3113</v>
      </c>
      <c r="D2822" s="16" t="s">
        <v>8879</v>
      </c>
      <c r="E2822" s="15" t="s">
        <v>11199</v>
      </c>
      <c r="F2822" s="16" t="str">
        <f>VLOOKUP(Table8[[#This Row],[Mã khách hàng]],code_khach_hang[],2,0)</f>
        <v>CHI NHÁNH PHÚ THỌ - CÔNG TY CỔ PHẦN DỊCH VỤ THƯƠNG MẠI TỔNG HỢP WINCOMMERCE</v>
      </c>
      <c r="G2822" s="16"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c r="A2823" s="14" t="s">
        <v>3267</v>
      </c>
      <c r="B2823" s="15" t="s">
        <v>5</v>
      </c>
      <c r="C2823" s="10" t="s">
        <v>3268</v>
      </c>
      <c r="D2823" s="16" t="s">
        <v>8882</v>
      </c>
      <c r="E2823" s="15" t="s">
        <v>11193</v>
      </c>
      <c r="F2823" s="16" t="str">
        <f>VLOOKUP(Table8[[#This Row],[Mã khách hàng]],code_khach_hang[],2,0)</f>
        <v>CHI NHÁNH BẮC NINH - CÔNG TY CỔ PHẦN DỊCH VỤ THƯƠNG MẠI TỔNG HỢP WINCOMMERCE</v>
      </c>
      <c r="G2823" s="16"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c r="A2824" s="14" t="s">
        <v>3252</v>
      </c>
      <c r="B2824" s="15" t="s">
        <v>5</v>
      </c>
      <c r="C2824" s="10" t="s">
        <v>3253</v>
      </c>
      <c r="D2824" s="16" t="s">
        <v>8885</v>
      </c>
      <c r="E2824" s="15" t="s">
        <v>11193</v>
      </c>
      <c r="F2824" s="16" t="str">
        <f>VLOOKUP(Table8[[#This Row],[Mã khách hàng]],code_khach_hang[],2,0)</f>
        <v>CHI NHÁNH BẮC NINH - CÔNG TY CỔ PHẦN DỊCH VỤ THƯƠNG MẠI TỔNG HỢP WINCOMMERCE</v>
      </c>
      <c r="G2824" s="16"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c r="A2825" s="14" t="s">
        <v>3154</v>
      </c>
      <c r="B2825" s="15" t="s">
        <v>5</v>
      </c>
      <c r="C2825" s="10" t="s">
        <v>3155</v>
      </c>
      <c r="D2825" s="16" t="s">
        <v>8888</v>
      </c>
      <c r="E2825" s="15" t="s">
        <v>11215</v>
      </c>
      <c r="F2825" s="16" t="str">
        <f>VLOOKUP(Table8[[#This Row],[Mã khách hàng]],code_khach_hang[],2,0)</f>
        <v>CHI NHÁNH HÀ NỘI - CÔNG TY CỔ PHẦN DỊCH VỤ THƯƠNG MẠI TỔNG HỢP WINCOMMERCE</v>
      </c>
      <c r="G2825" s="16"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c r="A2826" s="14" t="s">
        <v>3300</v>
      </c>
      <c r="B2826" s="15" t="s">
        <v>5</v>
      </c>
      <c r="C2826" s="10" t="s">
        <v>3301</v>
      </c>
      <c r="D2826" s="16" t="s">
        <v>8891</v>
      </c>
      <c r="E2826" s="15" t="s">
        <v>11199</v>
      </c>
      <c r="F2826" s="16" t="str">
        <f>VLOOKUP(Table8[[#This Row],[Mã khách hàng]],code_khach_hang[],2,0)</f>
        <v>CHI NHÁNH PHÚ THỌ - CÔNG TY CỔ PHẦN DỊCH VỤ THƯƠNG MẠI TỔNG HỢP WINCOMMERCE</v>
      </c>
      <c r="G2826" s="16"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c r="A2827" s="14" t="s">
        <v>3279</v>
      </c>
      <c r="B2827" s="15" t="s">
        <v>5</v>
      </c>
      <c r="C2827" s="10" t="s">
        <v>3280</v>
      </c>
      <c r="D2827" s="16" t="s">
        <v>8894</v>
      </c>
      <c r="E2827" s="15" t="s">
        <v>11193</v>
      </c>
      <c r="F2827" s="16" t="str">
        <f>VLOOKUP(Table8[[#This Row],[Mã khách hàng]],code_khach_hang[],2,0)</f>
        <v>CHI NHÁNH BẮC NINH - CÔNG TY CỔ PHẦN DỊCH VỤ THƯƠNG MẠI TỔNG HỢP WINCOMMERCE</v>
      </c>
      <c r="G2827" s="16"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c r="A2828" s="14" t="s">
        <v>3886</v>
      </c>
      <c r="B2828" s="15" t="s">
        <v>5</v>
      </c>
      <c r="C2828" s="10" t="s">
        <v>3887</v>
      </c>
      <c r="D2828" s="16" t="s">
        <v>8897</v>
      </c>
      <c r="E2828" s="15" t="s">
        <v>11215</v>
      </c>
      <c r="F2828" s="16" t="str">
        <f>VLOOKUP(Table8[[#This Row],[Mã khách hàng]],code_khach_hang[],2,0)</f>
        <v>CHI NHÁNH HÀ NỘI - CÔNG TY CỔ PHẦN DỊCH VỤ THƯƠNG MẠI TỔNG HỢP WINCOMMERCE</v>
      </c>
      <c r="G2828" s="16"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c r="A2829" s="14" t="s">
        <v>3166</v>
      </c>
      <c r="B2829" s="15" t="s">
        <v>5</v>
      </c>
      <c r="C2829" s="10" t="s">
        <v>3167</v>
      </c>
      <c r="D2829" s="16" t="s">
        <v>8900</v>
      </c>
      <c r="E2829" s="15" t="s">
        <v>11215</v>
      </c>
      <c r="F2829" s="16" t="str">
        <f>VLOOKUP(Table8[[#This Row],[Mã khách hàng]],code_khach_hang[],2,0)</f>
        <v>CHI NHÁNH HÀ NỘI - CÔNG TY CỔ PHẦN DỊCH VỤ THƯƠNG MẠI TỔNG HỢP WINCOMMERCE</v>
      </c>
      <c r="G2829" s="16"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c r="A2830" s="14" t="s">
        <v>3184</v>
      </c>
      <c r="B2830" s="15" t="s">
        <v>5</v>
      </c>
      <c r="C2830" s="10" t="s">
        <v>3185</v>
      </c>
      <c r="D2830" s="16" t="s">
        <v>8903</v>
      </c>
      <c r="E2830" s="15" t="s">
        <v>11203</v>
      </c>
      <c r="F2830" s="16" t="str">
        <f>VLOOKUP(Table8[[#This Row],[Mã khách hàng]],code_khach_hang[],2,0)</f>
        <v>CHI NHÁNH THANH HÓA - CÔNG TY CỔ PHẦN DỊCH VỤ THƯƠNG MẠI TỔNG HỢP WINCOMMERCE</v>
      </c>
      <c r="G2830" s="16"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c r="A2831" s="14" t="s">
        <v>3238</v>
      </c>
      <c r="B2831" s="15" t="s">
        <v>5</v>
      </c>
      <c r="C2831" s="10" t="s">
        <v>3239</v>
      </c>
      <c r="D2831" s="16" t="s">
        <v>8906</v>
      </c>
      <c r="E2831" s="15" t="s">
        <v>11203</v>
      </c>
      <c r="F2831" s="16" t="str">
        <f>VLOOKUP(Table8[[#This Row],[Mã khách hàng]],code_khach_hang[],2,0)</f>
        <v>CHI NHÁNH THANH HÓA - CÔNG TY CỔ PHẦN DỊCH VỤ THƯƠNG MẠI TỔNG HỢP WINCOMMERCE</v>
      </c>
      <c r="G2831" s="16"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c r="A2832" s="14" t="s">
        <v>3103</v>
      </c>
      <c r="B2832" s="15" t="s">
        <v>5</v>
      </c>
      <c r="C2832" s="10" t="s">
        <v>3104</v>
      </c>
      <c r="D2832" s="16" t="s">
        <v>8909</v>
      </c>
      <c r="E2832" s="15" t="s">
        <v>11215</v>
      </c>
      <c r="F2832" s="16" t="str">
        <f>VLOOKUP(Table8[[#This Row],[Mã khách hàng]],code_khach_hang[],2,0)</f>
        <v>CHI NHÁNH HÀ NỘI - CÔNG TY CỔ PHẦN DỊCH VỤ THƯƠNG MẠI TỔNG HỢP WINCOMMERCE</v>
      </c>
      <c r="G2832" s="16"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c r="A2833" s="14" t="s">
        <v>3270</v>
      </c>
      <c r="B2833" s="15" t="s">
        <v>5</v>
      </c>
      <c r="C2833" s="10" t="s">
        <v>3271</v>
      </c>
      <c r="D2833" s="16" t="s">
        <v>8912</v>
      </c>
      <c r="E2833" s="15" t="s">
        <v>11215</v>
      </c>
      <c r="F2833" s="16" t="str">
        <f>VLOOKUP(Table8[[#This Row],[Mã khách hàng]],code_khach_hang[],2,0)</f>
        <v>CHI NHÁNH HÀ NỘI - CÔNG TY CỔ PHẦN DỊCH VỤ THƯƠNG MẠI TỔNG HỢP WINCOMMERCE</v>
      </c>
      <c r="G2833" s="16"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c r="A2834" s="14" t="s">
        <v>3235</v>
      </c>
      <c r="B2834" s="15" t="s">
        <v>5</v>
      </c>
      <c r="C2834" s="10" t="s">
        <v>3236</v>
      </c>
      <c r="D2834" s="16" t="s">
        <v>8915</v>
      </c>
      <c r="E2834" s="15" t="s">
        <v>11199</v>
      </c>
      <c r="F2834" s="16" t="str">
        <f>VLOOKUP(Table8[[#This Row],[Mã khách hàng]],code_khach_hang[],2,0)</f>
        <v>CHI NHÁNH PHÚ THỌ - CÔNG TY CỔ PHẦN DỊCH VỤ THƯƠNG MẠI TỔNG HỢP WINCOMMERCE</v>
      </c>
      <c r="G2834" s="16"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c r="A2835" s="14" t="s">
        <v>3160</v>
      </c>
      <c r="B2835" s="15" t="s">
        <v>5</v>
      </c>
      <c r="C2835" s="10" t="s">
        <v>3161</v>
      </c>
      <c r="D2835" s="16" t="s">
        <v>8918</v>
      </c>
      <c r="E2835" s="15" t="s">
        <v>11205</v>
      </c>
      <c r="F2835" s="16" t="str">
        <f>VLOOKUP(Table8[[#This Row],[Mã khách hàng]],code_khach_hang[],2,0)</f>
        <v>CHI NHÁNH HÀ TĨNH - CÔNG TY CỔ PHẦN DỊCH VỤ THƯƠNG MẠI TỔNG HỢP WINCOMMERCE</v>
      </c>
      <c r="G2835" s="16"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c r="A2836" s="14" t="s">
        <v>3202</v>
      </c>
      <c r="B2836" s="15" t="s">
        <v>5</v>
      </c>
      <c r="C2836" s="10" t="s">
        <v>3203</v>
      </c>
      <c r="D2836" s="16" t="s">
        <v>8921</v>
      </c>
      <c r="E2836" s="15" t="s">
        <v>11211</v>
      </c>
      <c r="F2836" s="16" t="str">
        <f>VLOOKUP(Table8[[#This Row],[Mã khách hàng]],code_khach_hang[],2,0)</f>
        <v>CHI NHÁNH NGHỆ AN - CÔNG TY CỔ PHẦN DỊCH VỤ THƯƠNG MẠI TỔNG HỢP WINCOMMERCE</v>
      </c>
      <c r="G2836" s="16"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c r="A2837" s="14" t="s">
        <v>9139</v>
      </c>
      <c r="B2837" s="15" t="s">
        <v>5</v>
      </c>
      <c r="C2837" s="10" t="s">
        <v>9140</v>
      </c>
      <c r="D2837" s="16" t="s">
        <v>8923</v>
      </c>
      <c r="E2837" s="15" t="s">
        <v>11205</v>
      </c>
      <c r="F2837" s="16" t="str">
        <f>VLOOKUP(Table8[[#This Row],[Mã khách hàng]],code_khach_hang[],2,0)</f>
        <v>CHI NHÁNH HÀ TĨNH - CÔNG TY CỔ PHẦN DỊCH VỤ THƯƠNG MẠI TỔNG HỢP WINCOMMERCE</v>
      </c>
      <c r="G2837" s="16"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c r="A2838" s="14" t="s">
        <v>3969</v>
      </c>
      <c r="B2838" s="15" t="s">
        <v>5</v>
      </c>
      <c r="C2838" s="10" t="s">
        <v>3970</v>
      </c>
      <c r="D2838" s="16" t="s">
        <v>8926</v>
      </c>
      <c r="E2838" s="15" t="s">
        <v>11215</v>
      </c>
      <c r="F2838" s="16" t="str">
        <f>VLOOKUP(Table8[[#This Row],[Mã khách hàng]],code_khach_hang[],2,0)</f>
        <v>CHI NHÁNH HÀ NỘI - CÔNG TY CỔ PHẦN DỊCH VỤ THƯƠNG MẠI TỔNG HỢP WINCOMMERCE</v>
      </c>
      <c r="G2838" s="16"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c r="A2839" s="14" t="s">
        <v>3318</v>
      </c>
      <c r="B2839" s="15" t="s">
        <v>5</v>
      </c>
      <c r="C2839" s="10" t="s">
        <v>3319</v>
      </c>
      <c r="D2839" s="16" t="s">
        <v>8929</v>
      </c>
      <c r="E2839" s="15" t="s">
        <v>11216</v>
      </c>
      <c r="F2839" s="16" t="str">
        <f>VLOOKUP(Table8[[#This Row],[Mã khách hàng]],code_khach_hang[],2,0)</f>
        <v>CHI NHÁNH HƯNG YÊN - CÔNG TY CỔ PHẦN DỊCH VỤ THƯƠNG MẠI TỔNG HỢP WINCOMMERCE</v>
      </c>
      <c r="G2839" s="16"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c r="A2840" s="14" t="s">
        <v>3336</v>
      </c>
      <c r="B2840" s="15" t="s">
        <v>5</v>
      </c>
      <c r="C2840" s="10" t="s">
        <v>3337</v>
      </c>
      <c r="D2840" s="16" t="s">
        <v>8932</v>
      </c>
      <c r="E2840" s="15" t="s">
        <v>11216</v>
      </c>
      <c r="F2840" s="16" t="str">
        <f>VLOOKUP(Table8[[#This Row],[Mã khách hàng]],code_khach_hang[],2,0)</f>
        <v>CHI NHÁNH HƯNG YÊN - CÔNG TY CỔ PHẦN DỊCH VỤ THƯƠNG MẠI TỔNG HỢP WINCOMMERCE</v>
      </c>
      <c r="G2840" s="16"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c r="A2841" s="14" t="s">
        <v>3330</v>
      </c>
      <c r="B2841" s="15" t="s">
        <v>5</v>
      </c>
      <c r="C2841" s="10" t="s">
        <v>3331</v>
      </c>
      <c r="D2841" s="16" t="s">
        <v>8935</v>
      </c>
      <c r="E2841" s="14" t="s">
        <v>11193</v>
      </c>
      <c r="F2841" s="16" t="str">
        <f>VLOOKUP(Table8[[#This Row],[Mã khách hàng]],code_khach_hang[],2,0)</f>
        <v>CHI NHÁNH BẮC NINH - CÔNG TY CỔ PHẦN DỊCH VỤ THƯƠNG MẠI TỔNG HỢP WINCOMMERCE</v>
      </c>
      <c r="G2841" s="16"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c r="A2842" s="14" t="s">
        <v>3130</v>
      </c>
      <c r="B2842" s="15" t="s">
        <v>5</v>
      </c>
      <c r="C2842" s="10" t="s">
        <v>3131</v>
      </c>
      <c r="D2842" s="16" t="s">
        <v>8938</v>
      </c>
      <c r="E2842" s="15" t="s">
        <v>11199</v>
      </c>
      <c r="F2842" s="16" t="str">
        <f>VLOOKUP(Table8[[#This Row],[Mã khách hàng]],code_khach_hang[],2,0)</f>
        <v>CHI NHÁNH PHÚ THỌ - CÔNG TY CỔ PHẦN DỊCH VỤ THƯƠNG MẠI TỔNG HỢP WINCOMMERCE</v>
      </c>
      <c r="G2842" s="16"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c r="A2843" s="14" t="s">
        <v>3211</v>
      </c>
      <c r="B2843" s="15" t="s">
        <v>5</v>
      </c>
      <c r="C2843" s="10" t="s">
        <v>3212</v>
      </c>
      <c r="D2843" s="16" t="s">
        <v>8940</v>
      </c>
      <c r="E2843" s="15" t="s">
        <v>11193</v>
      </c>
      <c r="F2843" s="16" t="str">
        <f>VLOOKUP(Table8[[#This Row],[Mã khách hàng]],code_khach_hang[],2,0)</f>
        <v>CHI NHÁNH BẮC NINH - CÔNG TY CỔ PHẦN DỊCH VỤ THƯƠNG MẠI TỔNG HỢP WINCOMMERCE</v>
      </c>
      <c r="G2843" s="16"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c r="A2844" s="14" t="s">
        <v>3187</v>
      </c>
      <c r="B2844" s="15" t="s">
        <v>5</v>
      </c>
      <c r="C2844" s="10" t="s">
        <v>3188</v>
      </c>
      <c r="D2844" s="16" t="s">
        <v>8943</v>
      </c>
      <c r="E2844" s="15" t="s">
        <v>11199</v>
      </c>
      <c r="F2844" s="16" t="str">
        <f>VLOOKUP(Table8[[#This Row],[Mã khách hàng]],code_khach_hang[],2,0)</f>
        <v>CHI NHÁNH PHÚ THỌ - CÔNG TY CỔ PHẦN DỊCH VỤ THƯƠNG MẠI TỔNG HỢP WINCOMMERCE</v>
      </c>
      <c r="G2844" s="16"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c r="A2845" s="14" t="s">
        <v>3333</v>
      </c>
      <c r="B2845" s="15" t="s">
        <v>5</v>
      </c>
      <c r="C2845" s="10" t="s">
        <v>3334</v>
      </c>
      <c r="D2845" s="16" t="s">
        <v>8946</v>
      </c>
      <c r="E2845" s="15" t="s">
        <v>11193</v>
      </c>
      <c r="F2845" s="16" t="str">
        <f>VLOOKUP(Table8[[#This Row],[Mã khách hàng]],code_khach_hang[],2,0)</f>
        <v>CHI NHÁNH BẮC NINH - CÔNG TY CỔ PHẦN DỊCH VỤ THƯƠNG MẠI TỔNG HỢP WINCOMMERCE</v>
      </c>
      <c r="G2845" s="16"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c r="A2846" s="14" t="s">
        <v>3342</v>
      </c>
      <c r="B2846" s="15" t="s">
        <v>5</v>
      </c>
      <c r="C2846" s="10" t="s">
        <v>3343</v>
      </c>
      <c r="D2846" s="16" t="s">
        <v>8949</v>
      </c>
      <c r="E2846" s="15" t="s">
        <v>11215</v>
      </c>
      <c r="F2846" s="16" t="str">
        <f>VLOOKUP(Table8[[#This Row],[Mã khách hàng]],code_khach_hang[],2,0)</f>
        <v>CHI NHÁNH HÀ NỘI - CÔNG TY CỔ PHẦN DỊCH VỤ THƯƠNG MẠI TỔNG HỢP WINCOMMERCE</v>
      </c>
      <c r="G2846" s="16"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c r="A2847" s="14" t="s">
        <v>3393</v>
      </c>
      <c r="B2847" s="15" t="s">
        <v>5</v>
      </c>
      <c r="C2847" s="10" t="s">
        <v>3394</v>
      </c>
      <c r="D2847" s="16" t="s">
        <v>8952</v>
      </c>
      <c r="E2847" s="15" t="s">
        <v>11215</v>
      </c>
      <c r="F2847" s="16" t="str">
        <f>VLOOKUP(Table8[[#This Row],[Mã khách hàng]],code_khach_hang[],2,0)</f>
        <v>CHI NHÁNH HÀ NỘI - CÔNG TY CỔ PHẦN DỊCH VỤ THƯƠNG MẠI TỔNG HỢP WINCOMMERCE</v>
      </c>
      <c r="G2847" s="16"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c r="A2848" s="14" t="s">
        <v>3315</v>
      </c>
      <c r="B2848" s="15" t="s">
        <v>5</v>
      </c>
      <c r="C2848" s="10" t="s">
        <v>3316</v>
      </c>
      <c r="D2848" s="16" t="s">
        <v>8955</v>
      </c>
      <c r="E2848" s="15" t="s">
        <v>11196</v>
      </c>
      <c r="F2848" s="16" t="str">
        <f>VLOOKUP(Table8[[#This Row],[Mã khách hàng]],code_khach_hang[],2,0)</f>
        <v>CHI NHÁNH NINH BÌNH - CÔNG TY CỔ PHẦN DỊCH VỤ THƯƠNG MẠI TỔNG HỢP WINCOMMERCE</v>
      </c>
      <c r="G2848" s="16"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c r="A2849" s="14" t="s">
        <v>3273</v>
      </c>
      <c r="B2849" s="15" t="s">
        <v>5</v>
      </c>
      <c r="C2849" s="10" t="s">
        <v>3274</v>
      </c>
      <c r="D2849" s="16" t="s">
        <v>8958</v>
      </c>
      <c r="E2849" s="15" t="s">
        <v>11215</v>
      </c>
      <c r="F2849" s="16" t="str">
        <f>VLOOKUP(Table8[[#This Row],[Mã khách hàng]],code_khach_hang[],2,0)</f>
        <v>CHI NHÁNH HÀ NỘI - CÔNG TY CỔ PHẦN DỊCH VỤ THƯƠNG MẠI TỔNG HỢP WINCOMMERCE</v>
      </c>
      <c r="G2849" s="16"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c r="A2850" s="14" t="s">
        <v>3088</v>
      </c>
      <c r="B2850" s="15" t="s">
        <v>5</v>
      </c>
      <c r="C2850" s="10" t="s">
        <v>3089</v>
      </c>
      <c r="D2850" s="16" t="s">
        <v>8961</v>
      </c>
      <c r="E2850" s="15" t="s">
        <v>11196</v>
      </c>
      <c r="F2850" s="16" t="str">
        <f>VLOOKUP(Table8[[#This Row],[Mã khách hàng]],code_khach_hang[],2,0)</f>
        <v>CHI NHÁNH NINH BÌNH - CÔNG TY CỔ PHẦN DỊCH VỤ THƯƠNG MẠI TỔNG HỢP WINCOMMERCE</v>
      </c>
      <c r="G2850" s="16"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c r="A2851" s="14" t="s">
        <v>3321</v>
      </c>
      <c r="B2851" s="15" t="s">
        <v>5</v>
      </c>
      <c r="C2851" s="10" t="s">
        <v>3322</v>
      </c>
      <c r="D2851" s="16" t="s">
        <v>8964</v>
      </c>
      <c r="E2851" s="15" t="s">
        <v>11215</v>
      </c>
      <c r="F2851" s="16" t="str">
        <f>VLOOKUP(Table8[[#This Row],[Mã khách hàng]],code_khach_hang[],2,0)</f>
        <v>CHI NHÁNH HÀ NỘI - CÔNG TY CỔ PHẦN DỊCH VỤ THƯƠNG MẠI TỔNG HỢP WINCOMMERCE</v>
      </c>
      <c r="G2851" s="16"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c r="A2852" s="14" t="s">
        <v>3312</v>
      </c>
      <c r="B2852" s="15" t="s">
        <v>5</v>
      </c>
      <c r="C2852" s="10" t="s">
        <v>3313</v>
      </c>
      <c r="D2852" s="16" t="s">
        <v>8967</v>
      </c>
      <c r="E2852" s="15" t="s">
        <v>11199</v>
      </c>
      <c r="F2852" s="16" t="str">
        <f>VLOOKUP(Table8[[#This Row],[Mã khách hàng]],code_khach_hang[],2,0)</f>
        <v>CHI NHÁNH PHÚ THỌ - CÔNG TY CỔ PHẦN DỊCH VỤ THƯƠNG MẠI TỔNG HỢP WINCOMMERCE</v>
      </c>
      <c r="G2852" s="16"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c r="A2853" s="14" t="s">
        <v>516</v>
      </c>
      <c r="B2853" s="15" t="s">
        <v>183</v>
      </c>
      <c r="C2853" s="10" t="s">
        <v>517</v>
      </c>
      <c r="D2853" s="16" t="s">
        <v>8970</v>
      </c>
      <c r="E2853" s="15" t="s">
        <v>11193</v>
      </c>
      <c r="F2853" s="16" t="str">
        <f>VLOOKUP(Table8[[#This Row],[Mã khách hàng]],code_khach_hang[],2,0)</f>
        <v>CHI NHÁNH BẮC NINH - CÔNG TY CỔ PHẦN DỊCH VỤ THƯƠNG MẠI TỔNG HỢP WINCOMMERCE</v>
      </c>
      <c r="G2853" s="16"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c r="A2854" s="14" t="s">
        <v>739</v>
      </c>
      <c r="B2854" s="15" t="s">
        <v>183</v>
      </c>
      <c r="C2854" s="10" t="s">
        <v>13181</v>
      </c>
      <c r="D2854" s="16" t="s">
        <v>8973</v>
      </c>
      <c r="E2854" s="15" t="s">
        <v>11211</v>
      </c>
      <c r="F2854" s="16" t="str">
        <f>VLOOKUP(Table8[[#This Row],[Mã khách hàng]],code_khach_hang[],2,0)</f>
        <v>CHI NHÁNH NGHỆ AN - CÔNG TY CỔ PHẦN DỊCH VỤ THƯƠNG MẠI TỔNG HỢP WINCOMMERCE</v>
      </c>
      <c r="G2854" s="16"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c r="A2855" s="14" t="s">
        <v>3100</v>
      </c>
      <c r="B2855" s="15" t="s">
        <v>5</v>
      </c>
      <c r="C2855" s="10" t="s">
        <v>3101</v>
      </c>
      <c r="D2855" s="16" t="s">
        <v>8976</v>
      </c>
      <c r="E2855" s="15" t="s">
        <v>11199</v>
      </c>
      <c r="F2855" s="16" t="str">
        <f>VLOOKUP(Table8[[#This Row],[Mã khách hàng]],code_khach_hang[],2,0)</f>
        <v>CHI NHÁNH PHÚ THỌ - CÔNG TY CỔ PHẦN DỊCH VỤ THƯƠNG MẠI TỔNG HỢP WINCOMMERCE</v>
      </c>
      <c r="G2855" s="16"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c r="A2856" s="14" t="s">
        <v>3276</v>
      </c>
      <c r="B2856" s="15" t="s">
        <v>5</v>
      </c>
      <c r="C2856" s="10" t="s">
        <v>3277</v>
      </c>
      <c r="D2856" s="16" t="s">
        <v>8979</v>
      </c>
      <c r="E2856" s="15" t="s">
        <v>11215</v>
      </c>
      <c r="F2856" s="16" t="str">
        <f>VLOOKUP(Table8[[#This Row],[Mã khách hàng]],code_khach_hang[],2,0)</f>
        <v>CHI NHÁNH HÀ NỘI - CÔNG TY CỔ PHẦN DỊCH VỤ THƯƠNG MẠI TỔNG HỢP WINCOMMERCE</v>
      </c>
      <c r="G2856" s="16"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c r="A2857" s="14" t="s">
        <v>1668</v>
      </c>
      <c r="B2857" s="15" t="s">
        <v>5</v>
      </c>
      <c r="C2857" s="10" t="s">
        <v>1669</v>
      </c>
      <c r="D2857" s="16" t="s">
        <v>8982</v>
      </c>
      <c r="E2857" s="15" t="s">
        <v>11206</v>
      </c>
      <c r="F2857" s="16" t="str">
        <f>VLOOKUP(Table8[[#This Row],[Mã khách hàng]],code_khach_hang[],2,0)</f>
        <v>CHI NHÁNH SƠN LA - CÔNG TY CỔ PHẦN DỊCH VỤ THƯƠNG MẠI TỔNG HỢP WINCOMMERCE</v>
      </c>
      <c r="G2857" s="16"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c r="A2858" s="14" t="s">
        <v>3401</v>
      </c>
      <c r="B2858" s="15" t="s">
        <v>5</v>
      </c>
      <c r="C2858" s="10" t="s">
        <v>3402</v>
      </c>
      <c r="D2858" s="16" t="s">
        <v>8985</v>
      </c>
      <c r="E2858" s="15" t="s">
        <v>11199</v>
      </c>
      <c r="F2858" s="16" t="str">
        <f>VLOOKUP(Table8[[#This Row],[Mã khách hàng]],code_khach_hang[],2,0)</f>
        <v>CHI NHÁNH PHÚ THỌ - CÔNG TY CỔ PHẦN DỊCH VỤ THƯƠNG MẠI TỔNG HỢP WINCOMMERCE</v>
      </c>
      <c r="G2858" s="16"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c r="A2859" s="14" t="s">
        <v>3327</v>
      </c>
      <c r="B2859" s="15" t="s">
        <v>5</v>
      </c>
      <c r="C2859" s="10" t="s">
        <v>3328</v>
      </c>
      <c r="D2859" s="16" t="s">
        <v>8988</v>
      </c>
      <c r="E2859" s="15" t="s">
        <v>11199</v>
      </c>
      <c r="F2859" s="16" t="str">
        <f>VLOOKUP(Table8[[#This Row],[Mã khách hàng]],code_khach_hang[],2,0)</f>
        <v>CHI NHÁNH PHÚ THỌ - CÔNG TY CỔ PHẦN DỊCH VỤ THƯƠNG MẠI TỔNG HỢP WINCOMMERCE</v>
      </c>
      <c r="G2859" s="16"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c r="A2860" s="14" t="s">
        <v>3086</v>
      </c>
      <c r="B2860" s="15" t="s">
        <v>5</v>
      </c>
      <c r="C2860" s="10" t="s">
        <v>13182</v>
      </c>
      <c r="D2860" s="16" t="s">
        <v>8991</v>
      </c>
      <c r="E2860" s="15" t="s">
        <v>11215</v>
      </c>
      <c r="F2860" s="16" t="str">
        <f>VLOOKUP(Table8[[#This Row],[Mã khách hàng]],code_khach_hang[],2,0)</f>
        <v>CHI NHÁNH HÀ NỘI - CÔNG TY CỔ PHẦN DỊCH VỤ THƯƠNG MẠI TỔNG HỢP WINCOMMERCE</v>
      </c>
      <c r="G2860" s="16"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c r="A2861" s="14" t="s">
        <v>3446</v>
      </c>
      <c r="B2861" s="15" t="s">
        <v>5</v>
      </c>
      <c r="C2861" s="10" t="s">
        <v>3447</v>
      </c>
      <c r="D2861" s="16" t="s">
        <v>8994</v>
      </c>
      <c r="E2861" s="15" t="s">
        <v>11215</v>
      </c>
      <c r="F2861" s="16" t="str">
        <f>VLOOKUP(Table8[[#This Row],[Mã khách hàng]],code_khach_hang[],2,0)</f>
        <v>CHI NHÁNH HÀ NỘI - CÔNG TY CỔ PHẦN DỊCH VỤ THƯƠNG MẠI TỔNG HỢP WINCOMMERCE</v>
      </c>
      <c r="G2861" s="16"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c r="A2862" s="14" t="s">
        <v>3410</v>
      </c>
      <c r="B2862" s="15" t="s">
        <v>5</v>
      </c>
      <c r="C2862" s="10" t="s">
        <v>3411</v>
      </c>
      <c r="D2862" s="16" t="s">
        <v>8997</v>
      </c>
      <c r="E2862" s="15" t="s">
        <v>11203</v>
      </c>
      <c r="F2862" s="16" t="str">
        <f>VLOOKUP(Table8[[#This Row],[Mã khách hàng]],code_khach_hang[],2,0)</f>
        <v>CHI NHÁNH THANH HÓA - CÔNG TY CỔ PHẦN DỊCH VỤ THƯƠNG MẠI TỔNG HỢP WINCOMMERCE</v>
      </c>
      <c r="G2862" s="16"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c r="A2863" s="14" t="s">
        <v>3345</v>
      </c>
      <c r="B2863" s="15" t="s">
        <v>5</v>
      </c>
      <c r="C2863" s="10" t="s">
        <v>3346</v>
      </c>
      <c r="D2863" s="16" t="s">
        <v>9000</v>
      </c>
      <c r="E2863" s="15" t="s">
        <v>11211</v>
      </c>
      <c r="F2863" s="16" t="str">
        <f>VLOOKUP(Table8[[#This Row],[Mã khách hàng]],code_khach_hang[],2,0)</f>
        <v>CHI NHÁNH NGHỆ AN - CÔNG TY CỔ PHẦN DỊCH VỤ THƯƠNG MẠI TỔNG HỢP WINCOMMERCE</v>
      </c>
      <c r="G2863" s="16"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c r="A2864" s="14" t="s">
        <v>3461</v>
      </c>
      <c r="B2864" s="15" t="s">
        <v>5</v>
      </c>
      <c r="C2864" s="10" t="s">
        <v>3462</v>
      </c>
      <c r="D2864" s="16" t="s">
        <v>9003</v>
      </c>
      <c r="E2864" s="15" t="s">
        <v>11203</v>
      </c>
      <c r="F2864" s="16" t="str">
        <f>VLOOKUP(Table8[[#This Row],[Mã khách hàng]],code_khach_hang[],2,0)</f>
        <v>CHI NHÁNH THANH HÓA - CÔNG TY CỔ PHẦN DỊCH VỤ THƯƠNG MẠI TỔNG HỢP WINCOMMERCE</v>
      </c>
      <c r="G2864" s="16"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c r="A2865" s="14" t="s">
        <v>3097</v>
      </c>
      <c r="B2865" s="15" t="s">
        <v>5</v>
      </c>
      <c r="C2865" s="10" t="s">
        <v>3098</v>
      </c>
      <c r="D2865" s="16" t="s">
        <v>9006</v>
      </c>
      <c r="E2865" s="15" t="s">
        <v>11198</v>
      </c>
      <c r="F2865" s="16" t="str">
        <f>VLOOKUP(Table8[[#This Row],[Mã khách hàng]],code_khach_hang[],2,0)</f>
        <v>CHI NHÁNH HẢI PHÒNG - CÔNG TY CỔ PHẦN DỊCH VỤ THƯƠNG MẠI TỔNG HỢP WINCOMMERCE</v>
      </c>
      <c r="G2865" s="16"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c r="A2866" s="14" t="s">
        <v>3399</v>
      </c>
      <c r="B2866" s="15" t="s">
        <v>5</v>
      </c>
      <c r="C2866" s="10" t="s">
        <v>13183</v>
      </c>
      <c r="D2866" s="16" t="s">
        <v>9009</v>
      </c>
      <c r="E2866" s="15" t="s">
        <v>11211</v>
      </c>
      <c r="F2866" s="16" t="str">
        <f>VLOOKUP(Table8[[#This Row],[Mã khách hàng]],code_khach_hang[],2,0)</f>
        <v>CHI NHÁNH NGHỆ AN - CÔNG TY CỔ PHẦN DỊCH VỤ THƯƠNG MẠI TỔNG HỢP WINCOMMERCE</v>
      </c>
      <c r="G2866" s="16"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c r="A2867" s="14" t="s">
        <v>4065</v>
      </c>
      <c r="B2867" s="15" t="s">
        <v>5</v>
      </c>
      <c r="C2867" s="10" t="s">
        <v>4066</v>
      </c>
      <c r="D2867" s="16" t="s">
        <v>9012</v>
      </c>
      <c r="E2867" s="15" t="s">
        <v>11198</v>
      </c>
      <c r="F2867" s="16" t="str">
        <f>VLOOKUP(Table8[[#This Row],[Mã khách hàng]],code_khach_hang[],2,0)</f>
        <v>CHI NHÁNH HẢI PHÒNG - CÔNG TY CỔ PHẦN DỊCH VỤ THƯƠNG MẠI TỔNG HỢP WINCOMMERCE</v>
      </c>
      <c r="G2867" s="16"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c r="A2868" s="14" t="s">
        <v>3157</v>
      </c>
      <c r="B2868" s="15" t="s">
        <v>5</v>
      </c>
      <c r="C2868" s="10" t="s">
        <v>3158</v>
      </c>
      <c r="D2868" s="16" t="s">
        <v>9015</v>
      </c>
      <c r="E2868" s="15" t="s">
        <v>11205</v>
      </c>
      <c r="F2868" s="16" t="str">
        <f>VLOOKUP(Table8[[#This Row],[Mã khách hàng]],code_khach_hang[],2,0)</f>
        <v>CHI NHÁNH HÀ TĨNH - CÔNG TY CỔ PHẦN DỊCH VỤ THƯƠNG MẠI TỔNG HỢP WINCOMMERCE</v>
      </c>
      <c r="G2868" s="16"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c r="A2869" s="14" t="s">
        <v>3324</v>
      </c>
      <c r="B2869" s="15" t="s">
        <v>5</v>
      </c>
      <c r="C2869" s="10" t="s">
        <v>3325</v>
      </c>
      <c r="D2869" s="16" t="s">
        <v>9018</v>
      </c>
      <c r="E2869" s="15" t="s">
        <v>11216</v>
      </c>
      <c r="F2869" s="16" t="str">
        <f>VLOOKUP(Table8[[#This Row],[Mã khách hàng]],code_khach_hang[],2,0)</f>
        <v>CHI NHÁNH HƯNG YÊN - CÔNG TY CỔ PHẦN DỊCH VỤ THƯƠNG MẠI TỔNG HỢP WINCOMMERCE</v>
      </c>
      <c r="G2869" s="16"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c r="A2870" s="14" t="s">
        <v>3996</v>
      </c>
      <c r="B2870" s="15" t="s">
        <v>5</v>
      </c>
      <c r="C2870" s="10" t="s">
        <v>3997</v>
      </c>
      <c r="D2870" s="16" t="s">
        <v>9021</v>
      </c>
      <c r="E2870" s="15" t="s">
        <v>11198</v>
      </c>
      <c r="F2870" s="16" t="str">
        <f>VLOOKUP(Table8[[#This Row],[Mã khách hàng]],code_khach_hang[],2,0)</f>
        <v>CHI NHÁNH HẢI PHÒNG - CÔNG TY CỔ PHẦN DỊCH VỤ THƯƠNG MẠI TỔNG HỢP WINCOMMERCE</v>
      </c>
      <c r="G2870" s="16"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c r="A2871" s="14" t="s">
        <v>3381</v>
      </c>
      <c r="B2871" s="15" t="s">
        <v>5</v>
      </c>
      <c r="C2871" s="10" t="s">
        <v>3382</v>
      </c>
      <c r="D2871" s="16" t="s">
        <v>9024</v>
      </c>
      <c r="E2871" s="15" t="s">
        <v>11199</v>
      </c>
      <c r="F2871" s="16" t="str">
        <f>VLOOKUP(Table8[[#This Row],[Mã khách hàng]],code_khach_hang[],2,0)</f>
        <v>CHI NHÁNH PHÚ THỌ - CÔNG TY CỔ PHẦN DỊCH VỤ THƯƠNG MẠI TỔNG HỢP WINCOMMERCE</v>
      </c>
      <c r="G2871" s="16"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c r="A2872" s="14" t="s">
        <v>3348</v>
      </c>
      <c r="B2872" s="15" t="s">
        <v>5</v>
      </c>
      <c r="C2872" s="10" t="s">
        <v>3349</v>
      </c>
      <c r="D2872" s="16" t="s">
        <v>9027</v>
      </c>
      <c r="E2872" s="15" t="s">
        <v>11211</v>
      </c>
      <c r="F2872" s="16" t="str">
        <f>VLOOKUP(Table8[[#This Row],[Mã khách hàng]],code_khach_hang[],2,0)</f>
        <v>CHI NHÁNH NGHỆ AN - CÔNG TY CỔ PHẦN DỊCH VỤ THƯƠNG MẠI TỔNG HỢP WINCOMMERCE</v>
      </c>
      <c r="G2872" s="16"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c r="A2873" s="14" t="s">
        <v>3387</v>
      </c>
      <c r="B2873" s="15" t="s">
        <v>5</v>
      </c>
      <c r="C2873" s="10" t="s">
        <v>3388</v>
      </c>
      <c r="D2873" s="16" t="s">
        <v>9030</v>
      </c>
      <c r="E2873" s="15" t="s">
        <v>11196</v>
      </c>
      <c r="F2873" s="16" t="str">
        <f>VLOOKUP(Table8[[#This Row],[Mã khách hàng]],code_khach_hang[],2,0)</f>
        <v>CHI NHÁNH NINH BÌNH - CÔNG TY CỔ PHẦN DỊCH VỤ THƯƠNG MẠI TỔNG HỢP WINCOMMERCE</v>
      </c>
      <c r="G2873" s="16"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c r="A2874" s="14" t="s">
        <v>3537</v>
      </c>
      <c r="B2874" s="15" t="s">
        <v>5</v>
      </c>
      <c r="C2874" s="10" t="s">
        <v>3538</v>
      </c>
      <c r="D2874" s="16" t="s">
        <v>9033</v>
      </c>
      <c r="E2874" s="15" t="s">
        <v>11216</v>
      </c>
      <c r="F2874" s="16" t="str">
        <f>VLOOKUP(Table8[[#This Row],[Mã khách hàng]],code_khach_hang[],2,0)</f>
        <v>CHI NHÁNH HƯNG YÊN - CÔNG TY CỔ PHẦN DỊCH VỤ THƯƠNG MẠI TỔNG HỢP WINCOMMERCE</v>
      </c>
      <c r="G2874" s="16"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c r="A2875" s="14" t="s">
        <v>3540</v>
      </c>
      <c r="B2875" s="15" t="s">
        <v>5</v>
      </c>
      <c r="C2875" s="10" t="s">
        <v>3541</v>
      </c>
      <c r="D2875" s="16" t="s">
        <v>9036</v>
      </c>
      <c r="E2875" s="15" t="s">
        <v>11203</v>
      </c>
      <c r="F2875" s="16" t="str">
        <f>VLOOKUP(Table8[[#This Row],[Mã khách hàng]],code_khach_hang[],2,0)</f>
        <v>CHI NHÁNH THANH HÓA - CÔNG TY CỔ PHẦN DỊCH VỤ THƯƠNG MẠI TỔNG HỢP WINCOMMERCE</v>
      </c>
      <c r="G2875" s="16"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c r="A2876" s="14" t="s">
        <v>4035</v>
      </c>
      <c r="B2876" s="15" t="s">
        <v>5</v>
      </c>
      <c r="C2876" s="10" t="s">
        <v>4036</v>
      </c>
      <c r="D2876" s="16" t="s">
        <v>9039</v>
      </c>
      <c r="E2876" s="15" t="s">
        <v>11203</v>
      </c>
      <c r="F2876" s="16" t="str">
        <f>VLOOKUP(Table8[[#This Row],[Mã khách hàng]],code_khach_hang[],2,0)</f>
        <v>CHI NHÁNH THANH HÓA - CÔNG TY CỔ PHẦN DỊCH VỤ THƯƠNG MẠI TỔNG HỢP WINCOMMERCE</v>
      </c>
      <c r="G2876" s="16"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c r="A2877" s="14" t="s">
        <v>3458</v>
      </c>
      <c r="B2877" s="15" t="s">
        <v>5</v>
      </c>
      <c r="C2877" s="10" t="s">
        <v>3459</v>
      </c>
      <c r="D2877" s="16" t="s">
        <v>9042</v>
      </c>
      <c r="E2877" s="15" t="s">
        <v>11203</v>
      </c>
      <c r="F2877" s="16" t="str">
        <f>VLOOKUP(Table8[[#This Row],[Mã khách hàng]],code_khach_hang[],2,0)</f>
        <v>CHI NHÁNH THANH HÓA - CÔNG TY CỔ PHẦN DỊCH VỤ THƯƠNG MẠI TỔNG HỢP WINCOMMERCE</v>
      </c>
      <c r="G2877" s="16"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c r="A2878" s="14" t="s">
        <v>3366</v>
      </c>
      <c r="B2878" s="15" t="s">
        <v>5</v>
      </c>
      <c r="C2878" s="10" t="s">
        <v>3367</v>
      </c>
      <c r="D2878" s="16" t="s">
        <v>9045</v>
      </c>
      <c r="E2878" s="15" t="s">
        <v>11215</v>
      </c>
      <c r="F2878" s="16" t="str">
        <f>VLOOKUP(Table8[[#This Row],[Mã khách hàng]],code_khach_hang[],2,0)</f>
        <v>CHI NHÁNH HÀ NỘI - CÔNG TY CỔ PHẦN DỊCH VỤ THƯƠNG MẠI TỔNG HỢP WINCOMMERCE</v>
      </c>
      <c r="G2878" s="16"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c r="A2879" s="14" t="s">
        <v>3372</v>
      </c>
      <c r="B2879" s="15" t="s">
        <v>5</v>
      </c>
      <c r="C2879" s="10" t="s">
        <v>3373</v>
      </c>
      <c r="D2879" s="16" t="s">
        <v>9048</v>
      </c>
      <c r="E2879" s="15" t="s">
        <v>11215</v>
      </c>
      <c r="F2879" s="16" t="str">
        <f>VLOOKUP(Table8[[#This Row],[Mã khách hàng]],code_khach_hang[],2,0)</f>
        <v>CHI NHÁNH HÀ NỘI - CÔNG TY CỔ PHẦN DỊCH VỤ THƯƠNG MẠI TỔNG HỢP WINCOMMERCE</v>
      </c>
      <c r="G2879" s="16"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c r="A2880" s="14" t="s">
        <v>3449</v>
      </c>
      <c r="B2880" s="15" t="s">
        <v>5</v>
      </c>
      <c r="C2880" s="10" t="s">
        <v>3450</v>
      </c>
      <c r="D2880" s="16" t="s">
        <v>9051</v>
      </c>
      <c r="E2880" s="15" t="s">
        <v>11198</v>
      </c>
      <c r="F2880" s="16" t="str">
        <f>VLOOKUP(Table8[[#This Row],[Mã khách hàng]],code_khach_hang[],2,0)</f>
        <v>CHI NHÁNH HẢI PHÒNG - CÔNG TY CỔ PHẦN DỊCH VỤ THƯƠNG MẠI TỔNG HỢP WINCOMMERCE</v>
      </c>
      <c r="G2880" s="16"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c r="A2881" s="14" t="s">
        <v>3630</v>
      </c>
      <c r="B2881" s="15" t="s">
        <v>5</v>
      </c>
      <c r="C2881" s="10" t="s">
        <v>3631</v>
      </c>
      <c r="D2881" s="16" t="s">
        <v>9054</v>
      </c>
      <c r="E2881" s="15" t="s">
        <v>11211</v>
      </c>
      <c r="F2881" s="16" t="str">
        <f>VLOOKUP(Table8[[#This Row],[Mã khách hàng]],code_khach_hang[],2,0)</f>
        <v>CHI NHÁNH NGHỆ AN - CÔNG TY CỔ PHẦN DỊCH VỤ THƯƠNG MẠI TỔNG HỢP WINCOMMERCE</v>
      </c>
      <c r="G2881" s="16"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c r="A2882" s="14" t="s">
        <v>3566</v>
      </c>
      <c r="B2882" s="15" t="s">
        <v>5</v>
      </c>
      <c r="C2882" s="10" t="s">
        <v>13184</v>
      </c>
      <c r="D2882" s="16" t="s">
        <v>9057</v>
      </c>
      <c r="E2882" s="15" t="s">
        <v>11198</v>
      </c>
      <c r="F2882" s="16" t="str">
        <f>VLOOKUP(Table8[[#This Row],[Mã khách hàng]],code_khach_hang[],2,0)</f>
        <v>CHI NHÁNH HẢI PHÒNG - CÔNG TY CỔ PHẦN DỊCH VỤ THƯƠNG MẠI TỔNG HỢP WINCOMMERCE</v>
      </c>
      <c r="G2882" s="16"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c r="A2883" s="14" t="s">
        <v>3649</v>
      </c>
      <c r="B2883" s="15" t="s">
        <v>5</v>
      </c>
      <c r="C2883" s="10" t="s">
        <v>3650</v>
      </c>
      <c r="D2883" s="16" t="s">
        <v>9060</v>
      </c>
      <c r="E2883" s="15" t="s">
        <v>11198</v>
      </c>
      <c r="F2883" s="16" t="str">
        <f>VLOOKUP(Table8[[#This Row],[Mã khách hàng]],code_khach_hang[],2,0)</f>
        <v>CHI NHÁNH HẢI PHÒNG - CÔNG TY CỔ PHẦN DỊCH VỤ THƯƠNG MẠI TỔNG HỢP WINCOMMERCE</v>
      </c>
      <c r="G2883" s="16"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c r="A2884" s="14" t="s">
        <v>3895</v>
      </c>
      <c r="B2884" s="15" t="s">
        <v>5</v>
      </c>
      <c r="C2884" s="10" t="s">
        <v>3896</v>
      </c>
      <c r="D2884" s="16" t="s">
        <v>9063</v>
      </c>
      <c r="E2884" s="15" t="s">
        <v>11211</v>
      </c>
      <c r="F2884" s="16" t="str">
        <f>VLOOKUP(Table8[[#This Row],[Mã khách hàng]],code_khach_hang[],2,0)</f>
        <v>CHI NHÁNH NGHỆ AN - CÔNG TY CỔ PHẦN DỊCH VỤ THƯƠNG MẠI TỔNG HỢP WINCOMMERCE</v>
      </c>
      <c r="G2884" s="16"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c r="A2885" s="14" t="s">
        <v>3396</v>
      </c>
      <c r="B2885" s="15" t="s">
        <v>5</v>
      </c>
      <c r="C2885" s="10" t="s">
        <v>3397</v>
      </c>
      <c r="D2885" s="16" t="s">
        <v>9066</v>
      </c>
      <c r="E2885" s="15" t="s">
        <v>11211</v>
      </c>
      <c r="F2885" s="16" t="str">
        <f>VLOOKUP(Table8[[#This Row],[Mã khách hàng]],code_khach_hang[],2,0)</f>
        <v>CHI NHÁNH NGHỆ AN - CÔNG TY CỔ PHẦN DỊCH VỤ THƯƠNG MẠI TỔNG HỢP WINCOMMERCE</v>
      </c>
      <c r="G2885" s="16"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c r="A2886" s="14" t="s">
        <v>3641</v>
      </c>
      <c r="B2886" s="15" t="s">
        <v>5</v>
      </c>
      <c r="C2886" s="10" t="s">
        <v>3642</v>
      </c>
      <c r="D2886" s="16" t="s">
        <v>9069</v>
      </c>
      <c r="E2886" s="15" t="s">
        <v>11193</v>
      </c>
      <c r="F2886" s="16" t="str">
        <f>VLOOKUP(Table8[[#This Row],[Mã khách hàng]],code_khach_hang[],2,0)</f>
        <v>CHI NHÁNH BẮC NINH - CÔNG TY CỔ PHẦN DỊCH VỤ THƯƠNG MẠI TỔNG HỢP WINCOMMERCE</v>
      </c>
      <c r="G2886" s="16"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c r="A2887" s="14" t="s">
        <v>3199</v>
      </c>
      <c r="B2887" s="15" t="s">
        <v>5</v>
      </c>
      <c r="C2887" s="10" t="s">
        <v>3200</v>
      </c>
      <c r="D2887" s="16" t="s">
        <v>9072</v>
      </c>
      <c r="E2887" s="15" t="s">
        <v>11203</v>
      </c>
      <c r="F2887" s="16" t="str">
        <f>VLOOKUP(Table8[[#This Row],[Mã khách hàng]],code_khach_hang[],2,0)</f>
        <v>CHI NHÁNH THANH HÓA - CÔNG TY CỔ PHẦN DỊCH VỤ THƯƠNG MẠI TỔNG HỢP WINCOMMERCE</v>
      </c>
      <c r="G2887" s="16"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c r="A2888" s="14" t="s">
        <v>3244</v>
      </c>
      <c r="B2888" s="15" t="s">
        <v>5</v>
      </c>
      <c r="C2888" s="10" t="s">
        <v>13185</v>
      </c>
      <c r="D2888" s="16" t="s">
        <v>9075</v>
      </c>
      <c r="E2888" s="15" t="s">
        <v>11198</v>
      </c>
      <c r="F2888" s="16" t="str">
        <f>VLOOKUP(Table8[[#This Row],[Mã khách hàng]],code_khach_hang[],2,0)</f>
        <v>CHI NHÁNH HẢI PHÒNG - CÔNG TY CỔ PHẦN DỊCH VỤ THƯƠNG MẠI TỔNG HỢP WINCOMMERCE</v>
      </c>
      <c r="G2888" s="16"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c r="A2889" s="14" t="s">
        <v>3531</v>
      </c>
      <c r="B2889" s="15" t="s">
        <v>5</v>
      </c>
      <c r="C2889" s="10" t="s">
        <v>3532</v>
      </c>
      <c r="D2889" s="16" t="s">
        <v>9078</v>
      </c>
      <c r="E2889" s="15" t="s">
        <v>11215</v>
      </c>
      <c r="F2889" s="16" t="str">
        <f>VLOOKUP(Table8[[#This Row],[Mã khách hàng]],code_khach_hang[],2,0)</f>
        <v>CHI NHÁNH HÀ NỘI - CÔNG TY CỔ PHẦN DỊCH VỤ THƯƠNG MẠI TỔNG HỢP WINCOMMERCE</v>
      </c>
      <c r="G2889" s="16"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c r="A2890" s="14" t="s">
        <v>3483</v>
      </c>
      <c r="B2890" s="15" t="s">
        <v>5</v>
      </c>
      <c r="C2890" s="10" t="s">
        <v>13186</v>
      </c>
      <c r="D2890" s="16" t="s">
        <v>9081</v>
      </c>
      <c r="E2890" s="15" t="s">
        <v>11215</v>
      </c>
      <c r="F2890" s="16" t="str">
        <f>VLOOKUP(Table8[[#This Row],[Mã khách hàng]],code_khach_hang[],2,0)</f>
        <v>CHI NHÁNH HÀ NỘI - CÔNG TY CỔ PHẦN DỊCH VỤ THƯƠNG MẠI TỔNG HỢP WINCOMMERCE</v>
      </c>
      <c r="G2890" s="16"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c r="A2891" s="14" t="s">
        <v>3580</v>
      </c>
      <c r="B2891" s="15" t="s">
        <v>5</v>
      </c>
      <c r="C2891" s="10" t="s">
        <v>3581</v>
      </c>
      <c r="D2891" s="16" t="s">
        <v>9084</v>
      </c>
      <c r="E2891" s="15" t="s">
        <v>11215</v>
      </c>
      <c r="F2891" s="16" t="str">
        <f>VLOOKUP(Table8[[#This Row],[Mã khách hàng]],code_khach_hang[],2,0)</f>
        <v>CHI NHÁNH HÀ NỘI - CÔNG TY CỔ PHẦN DỊCH VỤ THƯƠNG MẠI TỔNG HỢP WINCOMMERCE</v>
      </c>
      <c r="G2891" s="16"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c r="A2892" s="14" t="s">
        <v>3378</v>
      </c>
      <c r="B2892" s="15" t="s">
        <v>5</v>
      </c>
      <c r="C2892" s="10" t="s">
        <v>3379</v>
      </c>
      <c r="D2892" s="16" t="s">
        <v>9087</v>
      </c>
      <c r="E2892" s="15" t="s">
        <v>11205</v>
      </c>
      <c r="F2892" s="16" t="str">
        <f>VLOOKUP(Table8[[#This Row],[Mã khách hàng]],code_khach_hang[],2,0)</f>
        <v>CHI NHÁNH HÀ TĨNH - CÔNG TY CỔ PHẦN DỊCH VỤ THƯƠNG MẠI TỔNG HỢP WINCOMMERCE</v>
      </c>
      <c r="G2892" s="16"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c r="A2893" s="14" t="s">
        <v>3404</v>
      </c>
      <c r="B2893" s="15" t="s">
        <v>5</v>
      </c>
      <c r="C2893" s="10" t="s">
        <v>3405</v>
      </c>
      <c r="D2893" s="16" t="s">
        <v>9090</v>
      </c>
      <c r="E2893" s="15" t="s">
        <v>11198</v>
      </c>
      <c r="F2893" s="16" t="str">
        <f>VLOOKUP(Table8[[#This Row],[Mã khách hàng]],code_khach_hang[],2,0)</f>
        <v>CHI NHÁNH HẢI PHÒNG - CÔNG TY CỔ PHẦN DỊCH VỤ THƯƠNG MẠI TỔNG HỢP WINCOMMERCE</v>
      </c>
      <c r="G2893" s="16"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c r="A2894" s="14" t="s">
        <v>3369</v>
      </c>
      <c r="B2894" s="15" t="s">
        <v>5</v>
      </c>
      <c r="C2894" s="10" t="s">
        <v>3370</v>
      </c>
      <c r="D2894" s="16" t="s">
        <v>9093</v>
      </c>
      <c r="E2894" s="15" t="s">
        <v>11215</v>
      </c>
      <c r="F2894" s="16" t="str">
        <f>VLOOKUP(Table8[[#This Row],[Mã khách hàng]],code_khach_hang[],2,0)</f>
        <v>CHI NHÁNH HÀ NỘI - CÔNG TY CỔ PHẦN DỊCH VỤ THƯƠNG MẠI TỔNG HỢP WINCOMMERCE</v>
      </c>
      <c r="G2894" s="16"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c r="A2895" s="14" t="s">
        <v>3303</v>
      </c>
      <c r="B2895" s="15" t="s">
        <v>5</v>
      </c>
      <c r="C2895" s="10" t="s">
        <v>3304</v>
      </c>
      <c r="D2895" s="16" t="s">
        <v>9095</v>
      </c>
      <c r="E2895" s="15" t="s">
        <v>11203</v>
      </c>
      <c r="F2895" s="16" t="str">
        <f>VLOOKUP(Table8[[#This Row],[Mã khách hàng]],code_khach_hang[],2,0)</f>
        <v>CHI NHÁNH THANH HÓA - CÔNG TY CỔ PHẦN DỊCH VỤ THƯƠNG MẠI TỔNG HỢP WINCOMMERCE</v>
      </c>
      <c r="G2895" s="16"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c r="A2896" s="14" t="s">
        <v>3309</v>
      </c>
      <c r="B2896" s="15" t="s">
        <v>5</v>
      </c>
      <c r="C2896" s="10" t="s">
        <v>3310</v>
      </c>
      <c r="D2896" s="16" t="s">
        <v>9098</v>
      </c>
      <c r="E2896" s="15" t="s">
        <v>11199</v>
      </c>
      <c r="F2896" s="16" t="str">
        <f>VLOOKUP(Table8[[#This Row],[Mã khách hàng]],code_khach_hang[],2,0)</f>
        <v>CHI NHÁNH PHÚ THỌ - CÔNG TY CỔ PHẦN DỊCH VỤ THƯƠNG MẠI TỔNG HỢP WINCOMMERCE</v>
      </c>
      <c r="G2896" s="16"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c r="A2897" s="14" t="s">
        <v>3477</v>
      </c>
      <c r="B2897" s="15" t="s">
        <v>5</v>
      </c>
      <c r="C2897" s="10" t="s">
        <v>3478</v>
      </c>
      <c r="D2897" s="16" t="s">
        <v>9101</v>
      </c>
      <c r="E2897" s="15" t="s">
        <v>11198</v>
      </c>
      <c r="F2897" s="16" t="str">
        <f>VLOOKUP(Table8[[#This Row],[Mã khách hàng]],code_khach_hang[],2,0)</f>
        <v>CHI NHÁNH HẢI PHÒNG - CÔNG TY CỔ PHẦN DỊCH VỤ THƯƠNG MẠI TỔNG HỢP WINCOMMERCE</v>
      </c>
      <c r="G2897" s="16"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c r="A2898" s="14" t="s">
        <v>3467</v>
      </c>
      <c r="B2898" s="15" t="s">
        <v>5</v>
      </c>
      <c r="C2898" s="10" t="s">
        <v>3468</v>
      </c>
      <c r="D2898" s="16" t="s">
        <v>9104</v>
      </c>
      <c r="E2898" s="15" t="s">
        <v>11211</v>
      </c>
      <c r="F2898" s="16" t="str">
        <f>VLOOKUP(Table8[[#This Row],[Mã khách hàng]],code_khach_hang[],2,0)</f>
        <v>CHI NHÁNH NGHỆ AN - CÔNG TY CỔ PHẦN DỊCH VỤ THƯƠNG MẠI TỔNG HỢP WINCOMMERCE</v>
      </c>
      <c r="G2898" s="16"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c r="A2899" s="14" t="s">
        <v>3518</v>
      </c>
      <c r="B2899" s="15" t="s">
        <v>5</v>
      </c>
      <c r="C2899" s="10" t="s">
        <v>13187</v>
      </c>
      <c r="D2899" s="16" t="s">
        <v>9107</v>
      </c>
      <c r="E2899" s="15" t="s">
        <v>11215</v>
      </c>
      <c r="F2899" s="16" t="str">
        <f>VLOOKUP(Table8[[#This Row],[Mã khách hàng]],code_khach_hang[],2,0)</f>
        <v>CHI NHÁNH HÀ NỘI - CÔNG TY CỔ PHẦN DỊCH VỤ THƯƠNG MẠI TỔNG HỢP WINCOMMERCE</v>
      </c>
      <c r="G2899" s="16"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c r="A2900" s="14" t="s">
        <v>3175</v>
      </c>
      <c r="B2900" s="15" t="s">
        <v>5</v>
      </c>
      <c r="C2900" s="10" t="s">
        <v>3176</v>
      </c>
      <c r="D2900" s="16" t="s">
        <v>9110</v>
      </c>
      <c r="E2900" s="15" t="s">
        <v>11199</v>
      </c>
      <c r="F2900" s="16" t="str">
        <f>VLOOKUP(Table8[[#This Row],[Mã khách hàng]],code_khach_hang[],2,0)</f>
        <v>CHI NHÁNH PHÚ THỌ - CÔNG TY CỔ PHẦN DỊCH VỤ THƯƠNG MẠI TỔNG HỢP WINCOMMERCE</v>
      </c>
      <c r="G2900" s="16"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c r="A2901" s="14" t="s">
        <v>3515</v>
      </c>
      <c r="B2901" s="15" t="s">
        <v>5</v>
      </c>
      <c r="C2901" s="10" t="s">
        <v>3516</v>
      </c>
      <c r="D2901" s="16" t="s">
        <v>9113</v>
      </c>
      <c r="E2901" s="15" t="s">
        <v>11203</v>
      </c>
      <c r="F2901" s="16" t="str">
        <f>VLOOKUP(Table8[[#This Row],[Mã khách hàng]],code_khach_hang[],2,0)</f>
        <v>CHI NHÁNH THANH HÓA - CÔNG TY CỔ PHẦN DỊCH VỤ THƯƠNG MẠI TỔNG HỢP WINCOMMERCE</v>
      </c>
      <c r="G2901" s="16"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c r="A2902" s="14" t="s">
        <v>3528</v>
      </c>
      <c r="B2902" s="15" t="s">
        <v>5</v>
      </c>
      <c r="C2902" s="10" t="s">
        <v>3529</v>
      </c>
      <c r="D2902" s="16" t="s">
        <v>9116</v>
      </c>
      <c r="E2902" s="15" t="s">
        <v>11198</v>
      </c>
      <c r="F2902" s="16" t="str">
        <f>VLOOKUP(Table8[[#This Row],[Mã khách hàng]],code_khach_hang[],2,0)</f>
        <v>CHI NHÁNH HẢI PHÒNG - CÔNG TY CỔ PHẦN DỊCH VỤ THƯƠNG MẠI TỔNG HỢP WINCOMMERCE</v>
      </c>
      <c r="G2902" s="16"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c r="A2903" s="14" t="s">
        <v>3464</v>
      </c>
      <c r="B2903" s="15" t="s">
        <v>5</v>
      </c>
      <c r="C2903" s="10" t="s">
        <v>3465</v>
      </c>
      <c r="D2903" s="16" t="s">
        <v>9118</v>
      </c>
      <c r="E2903" s="15" t="s">
        <v>11211</v>
      </c>
      <c r="F2903" s="16" t="str">
        <f>VLOOKUP(Table8[[#This Row],[Mã khách hàng]],code_khach_hang[],2,0)</f>
        <v>CHI NHÁNH NGHỆ AN - CÔNG TY CỔ PHẦN DỊCH VỤ THƯƠNG MẠI TỔNG HỢP WINCOMMERCE</v>
      </c>
      <c r="G2903" s="16"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c r="A2904" s="14" t="s">
        <v>3485</v>
      </c>
      <c r="B2904" s="15" t="s">
        <v>5</v>
      </c>
      <c r="C2904" s="10" t="s">
        <v>3486</v>
      </c>
      <c r="D2904" s="16" t="s">
        <v>9120</v>
      </c>
      <c r="E2904" s="15" t="s">
        <v>11216</v>
      </c>
      <c r="F2904" s="16" t="str">
        <f>VLOOKUP(Table8[[#This Row],[Mã khách hàng]],code_khach_hang[],2,0)</f>
        <v>CHI NHÁNH HƯNG YÊN - CÔNG TY CỔ PHẦN DỊCH VỤ THƯƠNG MẠI TỔNG HỢP WINCOMMERCE</v>
      </c>
      <c r="G2904" s="16"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c r="A2905" s="14" t="s">
        <v>3586</v>
      </c>
      <c r="B2905" s="15" t="s">
        <v>5</v>
      </c>
      <c r="C2905" s="10" t="s">
        <v>13188</v>
      </c>
      <c r="D2905" s="16" t="s">
        <v>9122</v>
      </c>
      <c r="E2905" s="15" t="s">
        <v>11207</v>
      </c>
      <c r="F2905" s="16" t="str">
        <f>VLOOKUP(Table8[[#This Row],[Mã khách hàng]],code_khach_hang[],2,0)</f>
        <v>CHI NHÁNH THÁI NGUYÊN - CÔNG TY CỔ PHẦN DỊCH VỤ THƯƠNG MẠI TỔNG HỢP WINCOMMERCE</v>
      </c>
      <c r="G2905" s="16"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c r="A2906" s="14" t="s">
        <v>3609</v>
      </c>
      <c r="B2906" s="15" t="s">
        <v>5</v>
      </c>
      <c r="C2906" s="10" t="s">
        <v>3610</v>
      </c>
      <c r="D2906" s="16" t="s">
        <v>9124</v>
      </c>
      <c r="E2906" s="15" t="s">
        <v>11199</v>
      </c>
      <c r="F2906" s="16" t="str">
        <f>VLOOKUP(Table8[[#This Row],[Mã khách hàng]],code_khach_hang[],2,0)</f>
        <v>CHI NHÁNH PHÚ THỌ - CÔNG TY CỔ PHẦN DỊCH VỤ THƯƠNG MẠI TỔNG HỢP WINCOMMERCE</v>
      </c>
      <c r="G2906" s="16"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c r="A2907" s="14" t="s">
        <v>3480</v>
      </c>
      <c r="B2907" s="15" t="s">
        <v>5</v>
      </c>
      <c r="C2907" s="10" t="s">
        <v>3481</v>
      </c>
      <c r="D2907" s="16" t="s">
        <v>9127</v>
      </c>
      <c r="E2907" s="15" t="s">
        <v>11193</v>
      </c>
      <c r="F2907" s="16" t="str">
        <f>VLOOKUP(Table8[[#This Row],[Mã khách hàng]],code_khach_hang[],2,0)</f>
        <v>CHI NHÁNH BẮC NINH - CÔNG TY CỔ PHẦN DỊCH VỤ THƯƠNG MẠI TỔNG HỢP WINCOMMERCE</v>
      </c>
      <c r="G2907" s="16"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c r="A2908" s="14" t="s">
        <v>3506</v>
      </c>
      <c r="B2908" s="15" t="s">
        <v>5</v>
      </c>
      <c r="C2908" s="10" t="s">
        <v>3507</v>
      </c>
      <c r="D2908" s="16" t="s">
        <v>9129</v>
      </c>
      <c r="E2908" s="15" t="s">
        <v>11215</v>
      </c>
      <c r="F2908" s="16" t="str">
        <f>VLOOKUP(Table8[[#This Row],[Mã khách hàng]],code_khach_hang[],2,0)</f>
        <v>CHI NHÁNH HÀ NỘI - CÔNG TY CỔ PHẦN DỊCH VỤ THƯƠNG MẠI TỔNG HỢP WINCOMMERCE</v>
      </c>
      <c r="G2908" s="16"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c r="A2909" s="14" t="s">
        <v>3375</v>
      </c>
      <c r="B2909" s="15" t="s">
        <v>5</v>
      </c>
      <c r="C2909" s="10" t="s">
        <v>3376</v>
      </c>
      <c r="D2909" s="16" t="s">
        <v>9132</v>
      </c>
      <c r="E2909" s="15" t="s">
        <v>11205</v>
      </c>
      <c r="F2909" s="16" t="str">
        <f>VLOOKUP(Table8[[#This Row],[Mã khách hàng]],code_khach_hang[],2,0)</f>
        <v>CHI NHÁNH HÀ TĨNH - CÔNG TY CỔ PHẦN DỊCH VỤ THƯƠNG MẠI TỔNG HỢP WINCOMMERCE</v>
      </c>
      <c r="G2909" s="16"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c r="A2910" s="14" t="s">
        <v>3525</v>
      </c>
      <c r="B2910" s="15" t="s">
        <v>5</v>
      </c>
      <c r="C2910" s="10" t="s">
        <v>3526</v>
      </c>
      <c r="D2910" s="16" t="s">
        <v>9135</v>
      </c>
      <c r="E2910" s="15" t="s">
        <v>11215</v>
      </c>
      <c r="F2910" s="16" t="str">
        <f>VLOOKUP(Table8[[#This Row],[Mã khách hàng]],code_khach_hang[],2,0)</f>
        <v>CHI NHÁNH HÀ NỘI - CÔNG TY CỔ PHẦN DỊCH VỤ THƯƠNG MẠI TỔNG HỢP WINCOMMERCE</v>
      </c>
      <c r="G2910" s="16"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c r="A2911" s="14" t="s">
        <v>3548</v>
      </c>
      <c r="B2911" s="15" t="s">
        <v>5</v>
      </c>
      <c r="C2911" s="10" t="s">
        <v>3549</v>
      </c>
      <c r="D2911" s="16" t="s">
        <v>9138</v>
      </c>
      <c r="E2911" s="15" t="s">
        <v>11211</v>
      </c>
      <c r="F2911" s="16" t="str">
        <f>VLOOKUP(Table8[[#This Row],[Mã khách hàng]],code_khach_hang[],2,0)</f>
        <v>CHI NHÁNH NGHỆ AN - CÔNG TY CỔ PHẦN DỊCH VỤ THƯƠNG MẠI TỔNG HỢP WINCOMMERCE</v>
      </c>
      <c r="G2911" s="16"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c r="A2912" s="14" t="s">
        <v>3606</v>
      </c>
      <c r="B2912" s="15" t="s">
        <v>5</v>
      </c>
      <c r="C2912" s="10" t="s">
        <v>3607</v>
      </c>
      <c r="D2912" s="16" t="s">
        <v>9141</v>
      </c>
      <c r="E2912" s="15" t="s">
        <v>11199</v>
      </c>
      <c r="F2912" s="16" t="str">
        <f>VLOOKUP(Table8[[#This Row],[Mã khách hàng]],code_khach_hang[],2,0)</f>
        <v>CHI NHÁNH PHÚ THỌ - CÔNG TY CỔ PHẦN DỊCH VỤ THƯƠNG MẠI TỔNG HỢP WINCOMMERCE</v>
      </c>
      <c r="G2912" s="16"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c r="A2913" s="14" t="s">
        <v>3707</v>
      </c>
      <c r="B2913" s="15" t="s">
        <v>5</v>
      </c>
      <c r="C2913" s="10" t="s">
        <v>3708</v>
      </c>
      <c r="D2913" s="16" t="s">
        <v>9143</v>
      </c>
      <c r="E2913" s="15" t="s">
        <v>11196</v>
      </c>
      <c r="F2913" s="16" t="str">
        <f>VLOOKUP(Table8[[#This Row],[Mã khách hàng]],code_khach_hang[],2,0)</f>
        <v>CHI NHÁNH NINH BÌNH - CÔNG TY CỔ PHẦN DỊCH VỤ THƯƠNG MẠI TỔNG HỢP WINCOMMERCE</v>
      </c>
      <c r="G2913" s="16"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c r="A2914" s="14" t="s">
        <v>3512</v>
      </c>
      <c r="B2914" s="15" t="s">
        <v>5</v>
      </c>
      <c r="C2914" s="10" t="s">
        <v>3513</v>
      </c>
      <c r="D2914" s="16" t="s">
        <v>9146</v>
      </c>
      <c r="E2914" s="15" t="s">
        <v>11203</v>
      </c>
      <c r="F2914" s="16" t="str">
        <f>VLOOKUP(Table8[[#This Row],[Mã khách hàng]],code_khach_hang[],2,0)</f>
        <v>CHI NHÁNH THANH HÓA - CÔNG TY CỔ PHẦN DỊCH VỤ THƯƠNG MẠI TỔNG HỢP WINCOMMERCE</v>
      </c>
      <c r="G2914" s="16"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c r="A2915" s="14" t="s">
        <v>3443</v>
      </c>
      <c r="B2915" s="15" t="s">
        <v>5</v>
      </c>
      <c r="C2915" s="10" t="s">
        <v>3444</v>
      </c>
      <c r="D2915" s="16" t="s">
        <v>9149</v>
      </c>
      <c r="E2915" s="15" t="s">
        <v>11203</v>
      </c>
      <c r="F2915" s="16" t="str">
        <f>VLOOKUP(Table8[[#This Row],[Mã khách hàng]],code_khach_hang[],2,0)</f>
        <v>CHI NHÁNH THANH HÓA - CÔNG TY CỔ PHẦN DỊCH VỤ THƯƠNG MẠI TỔNG HỢP WINCOMMERCE</v>
      </c>
      <c r="G2915" s="16"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c r="A2916" s="14" t="s">
        <v>3554</v>
      </c>
      <c r="B2916" s="15" t="s">
        <v>5</v>
      </c>
      <c r="C2916" s="10" t="s">
        <v>3555</v>
      </c>
      <c r="D2916" s="16" t="s">
        <v>9152</v>
      </c>
      <c r="E2916" s="15" t="s">
        <v>11206</v>
      </c>
      <c r="F2916" s="16" t="str">
        <f>VLOOKUP(Table8[[#This Row],[Mã khách hàng]],code_khach_hang[],2,0)</f>
        <v>CHI NHÁNH SƠN LA - CÔNG TY CỔ PHẦN DỊCH VỤ THƯƠNG MẠI TỔNG HỢP WINCOMMERCE</v>
      </c>
      <c r="G2916" s="16"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c r="A2917" s="14" t="s">
        <v>3652</v>
      </c>
      <c r="B2917" s="15" t="s">
        <v>5</v>
      </c>
      <c r="C2917" s="10" t="s">
        <v>3653</v>
      </c>
      <c r="D2917" s="16" t="s">
        <v>9155</v>
      </c>
      <c r="E2917" s="15" t="s">
        <v>11193</v>
      </c>
      <c r="F2917" s="16" t="str">
        <f>VLOOKUP(Table8[[#This Row],[Mã khách hàng]],code_khach_hang[],2,0)</f>
        <v>CHI NHÁNH BẮC NINH - CÔNG TY CỔ PHẦN DỊCH VỤ THƯƠNG MẠI TỔNG HỢP WINCOMMERCE</v>
      </c>
      <c r="G2917" s="16"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c r="A2918" s="14" t="s">
        <v>3574</v>
      </c>
      <c r="B2918" s="15" t="s">
        <v>5</v>
      </c>
      <c r="C2918" s="10" t="s">
        <v>3575</v>
      </c>
      <c r="D2918" s="16" t="s">
        <v>9158</v>
      </c>
      <c r="E2918" s="15" t="s">
        <v>11198</v>
      </c>
      <c r="F2918" s="16" t="str">
        <f>VLOOKUP(Table8[[#This Row],[Mã khách hàng]],code_khach_hang[],2,0)</f>
        <v>CHI NHÁNH HẢI PHÒNG - CÔNG TY CỔ PHẦN DỊCH VỤ THƯƠNG MẠI TỔNG HỢP WINCOMMERCE</v>
      </c>
      <c r="G2918" s="16"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c r="A2919" s="14" t="s">
        <v>3568</v>
      </c>
      <c r="B2919" s="15" t="s">
        <v>5</v>
      </c>
      <c r="C2919" s="10" t="s">
        <v>3569</v>
      </c>
      <c r="D2919" s="16" t="s">
        <v>9161</v>
      </c>
      <c r="E2919" s="15" t="s">
        <v>11198</v>
      </c>
      <c r="F2919" s="16" t="str">
        <f>VLOOKUP(Table8[[#This Row],[Mã khách hàng]],code_khach_hang[],2,0)</f>
        <v>CHI NHÁNH HẢI PHÒNG - CÔNG TY CỔ PHẦN DỊCH VỤ THƯƠNG MẠI TỔNG HỢP WINCOMMERCE</v>
      </c>
      <c r="G2919" s="16"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c r="A2920" s="14" t="s">
        <v>3452</v>
      </c>
      <c r="B2920" s="15" t="s">
        <v>5</v>
      </c>
      <c r="C2920" s="10" t="s">
        <v>3453</v>
      </c>
      <c r="D2920" s="16" t="s">
        <v>9164</v>
      </c>
      <c r="E2920" s="15" t="s">
        <v>11193</v>
      </c>
      <c r="F2920" s="16" t="str">
        <f>VLOOKUP(Table8[[#This Row],[Mã khách hàng]],code_khach_hang[],2,0)</f>
        <v>CHI NHÁNH BẮC NINH - CÔNG TY CỔ PHẦN DỊCH VỤ THƯƠNG MẠI TỔNG HỢP WINCOMMERCE</v>
      </c>
      <c r="G2920" s="16"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c r="A2921" s="14" t="s">
        <v>3701</v>
      </c>
      <c r="B2921" s="15" t="s">
        <v>5</v>
      </c>
      <c r="C2921" s="10" t="s">
        <v>3702</v>
      </c>
      <c r="D2921" s="16" t="s">
        <v>9167</v>
      </c>
      <c r="E2921" s="15" t="s">
        <v>11193</v>
      </c>
      <c r="F2921" s="16" t="str">
        <f>VLOOKUP(Table8[[#This Row],[Mã khách hàng]],code_khach_hang[],2,0)</f>
        <v>CHI NHÁNH BẮC NINH - CÔNG TY CỔ PHẦN DỊCH VỤ THƯƠNG MẠI TỔNG HỢP WINCOMMERCE</v>
      </c>
      <c r="G2921" s="16"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c r="A2922" s="14" t="s">
        <v>3413</v>
      </c>
      <c r="B2922" s="15" t="s">
        <v>5</v>
      </c>
      <c r="C2922" s="10" t="s">
        <v>3414</v>
      </c>
      <c r="D2922" s="16" t="s">
        <v>9170</v>
      </c>
      <c r="E2922" s="15" t="s">
        <v>11211</v>
      </c>
      <c r="F2922" s="16" t="str">
        <f>VLOOKUP(Table8[[#This Row],[Mã khách hàng]],code_khach_hang[],2,0)</f>
        <v>CHI NHÁNH NGHỆ AN - CÔNG TY CỔ PHẦN DỊCH VỤ THƯƠNG MẠI TỔNG HỢP WINCOMMERCE</v>
      </c>
      <c r="G2922" s="16"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c r="A2923" s="14" t="s">
        <v>3916</v>
      </c>
      <c r="B2923" s="15" t="s">
        <v>5</v>
      </c>
      <c r="C2923" s="10" t="s">
        <v>3917</v>
      </c>
      <c r="D2923" s="16" t="s">
        <v>9173</v>
      </c>
      <c r="E2923" s="15" t="s">
        <v>11215</v>
      </c>
      <c r="F2923" s="16" t="str">
        <f>VLOOKUP(Table8[[#This Row],[Mã khách hàng]],code_khach_hang[],2,0)</f>
        <v>CHI NHÁNH HÀ NỘI - CÔNG TY CỔ PHẦN DỊCH VỤ THƯƠNG MẠI TỔNG HỢP WINCOMMERCE</v>
      </c>
      <c r="G2923" s="16"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c r="A2924" s="14" t="s">
        <v>3543</v>
      </c>
      <c r="B2924" s="15" t="s">
        <v>5</v>
      </c>
      <c r="C2924" s="10" t="s">
        <v>3544</v>
      </c>
      <c r="D2924" s="16" t="s">
        <v>9176</v>
      </c>
      <c r="E2924" s="15" t="s">
        <v>11203</v>
      </c>
      <c r="F2924" s="16" t="str">
        <f>VLOOKUP(Table8[[#This Row],[Mã khách hàng]],code_khach_hang[],2,0)</f>
        <v>CHI NHÁNH THANH HÓA - CÔNG TY CỔ PHẦN DỊCH VỤ THƯƠNG MẠI TỔNG HỢP WINCOMMERCE</v>
      </c>
      <c r="G2924" s="16"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c r="A2925" s="14" t="s">
        <v>3588</v>
      </c>
      <c r="B2925" s="15" t="s">
        <v>5</v>
      </c>
      <c r="C2925" s="10" t="s">
        <v>3589</v>
      </c>
      <c r="D2925" s="16" t="s">
        <v>9179</v>
      </c>
      <c r="E2925" s="15" t="s">
        <v>11203</v>
      </c>
      <c r="F2925" s="16" t="str">
        <f>VLOOKUP(Table8[[#This Row],[Mã khách hàng]],code_khach_hang[],2,0)</f>
        <v>CHI NHÁNH THANH HÓA - CÔNG TY CỔ PHẦN DỊCH VỤ THƯƠNG MẠI TỔNG HỢP WINCOMMERCE</v>
      </c>
      <c r="G2925" s="16"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c r="A2926" s="14" t="s">
        <v>3719</v>
      </c>
      <c r="B2926" s="15" t="s">
        <v>5</v>
      </c>
      <c r="C2926" s="10" t="s">
        <v>13189</v>
      </c>
      <c r="D2926" s="16" t="s">
        <v>9182</v>
      </c>
      <c r="E2926" s="15" t="s">
        <v>11203</v>
      </c>
      <c r="F2926" s="16" t="str">
        <f>VLOOKUP(Table8[[#This Row],[Mã khách hàng]],code_khach_hang[],2,0)</f>
        <v>CHI NHÁNH THANH HÓA - CÔNG TY CỔ PHẦN DỊCH VỤ THƯƠNG MẠI TỔNG HỢP WINCOMMERCE</v>
      </c>
      <c r="G2926" s="16"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c r="A2927" s="14" t="s">
        <v>3591</v>
      </c>
      <c r="B2927" s="15" t="s">
        <v>5</v>
      </c>
      <c r="C2927" s="10" t="s">
        <v>3592</v>
      </c>
      <c r="D2927" s="16" t="s">
        <v>9185</v>
      </c>
      <c r="E2927" s="15" t="s">
        <v>11203</v>
      </c>
      <c r="F2927" s="16" t="str">
        <f>VLOOKUP(Table8[[#This Row],[Mã khách hàng]],code_khach_hang[],2,0)</f>
        <v>CHI NHÁNH THANH HÓA - CÔNG TY CỔ PHẦN DỊCH VỤ THƯƠNG MẠI TỔNG HỢP WINCOMMERCE</v>
      </c>
      <c r="G2927" s="16"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c r="A2928" s="14" t="s">
        <v>3455</v>
      </c>
      <c r="B2928" s="15" t="s">
        <v>5</v>
      </c>
      <c r="C2928" s="10" t="s">
        <v>3456</v>
      </c>
      <c r="D2928" s="16" t="s">
        <v>9188</v>
      </c>
      <c r="E2928" s="15" t="s">
        <v>11215</v>
      </c>
      <c r="F2928" s="16" t="str">
        <f>VLOOKUP(Table8[[#This Row],[Mã khách hàng]],code_khach_hang[],2,0)</f>
        <v>CHI NHÁNH HÀ NỘI - CÔNG TY CỔ PHẦN DỊCH VỤ THƯƠNG MẠI TỔNG HỢP WINCOMMERCE</v>
      </c>
      <c r="G2928" s="16"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c r="A2929" s="14" t="s">
        <v>3440</v>
      </c>
      <c r="B2929" s="15" t="s">
        <v>5</v>
      </c>
      <c r="C2929" s="10" t="s">
        <v>3441</v>
      </c>
      <c r="D2929" s="16" t="s">
        <v>9190</v>
      </c>
      <c r="E2929" s="15" t="s">
        <v>11205</v>
      </c>
      <c r="F2929" s="16" t="str">
        <f>VLOOKUP(Table8[[#This Row],[Mã khách hàng]],code_khach_hang[],2,0)</f>
        <v>CHI NHÁNH HÀ TĨNH - CÔNG TY CỔ PHẦN DỊCH VỤ THƯƠNG MẠI TỔNG HỢP WINCOMMERCE</v>
      </c>
      <c r="G2929" s="16"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c r="A2930" s="14" t="s">
        <v>3551</v>
      </c>
      <c r="B2930" s="15" t="s">
        <v>5</v>
      </c>
      <c r="C2930" s="10" t="s">
        <v>3552</v>
      </c>
      <c r="D2930" s="16" t="s">
        <v>9192</v>
      </c>
      <c r="E2930" s="15" t="s">
        <v>11205</v>
      </c>
      <c r="F2930" s="16" t="str">
        <f>VLOOKUP(Table8[[#This Row],[Mã khách hàng]],code_khach_hang[],2,0)</f>
        <v>CHI NHÁNH HÀ TĨNH - CÔNG TY CỔ PHẦN DỊCH VỤ THƯƠNG MẠI TỔNG HỢP WINCOMMERCE</v>
      </c>
      <c r="G2930" s="16"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c r="A2931" s="14" t="s">
        <v>3390</v>
      </c>
      <c r="B2931" s="15" t="s">
        <v>5</v>
      </c>
      <c r="C2931" s="10" t="s">
        <v>3391</v>
      </c>
      <c r="D2931" s="16" t="s">
        <v>9194</v>
      </c>
      <c r="E2931" s="15" t="s">
        <v>11215</v>
      </c>
      <c r="F2931" s="16" t="str">
        <f>VLOOKUP(Table8[[#This Row],[Mã khách hàng]],code_khach_hang[],2,0)</f>
        <v>CHI NHÁNH HÀ NỘI - CÔNG TY CỔ PHẦN DỊCH VỤ THƯƠNG MẠI TỔNG HỢP WINCOMMERCE</v>
      </c>
      <c r="G2931" s="16"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c r="A2932" s="14" t="s">
        <v>3627</v>
      </c>
      <c r="B2932" s="15" t="s">
        <v>5</v>
      </c>
      <c r="C2932" s="10" t="s">
        <v>3628</v>
      </c>
      <c r="D2932" s="16" t="s">
        <v>9196</v>
      </c>
      <c r="E2932" s="15" t="s">
        <v>11215</v>
      </c>
      <c r="F2932" s="16" t="str">
        <f>VLOOKUP(Table8[[#This Row],[Mã khách hàng]],code_khach_hang[],2,0)</f>
        <v>CHI NHÁNH HÀ NỘI - CÔNG TY CỔ PHẦN DỊCH VỤ THƯƠNG MẠI TỔNG HỢP WINCOMMERCE</v>
      </c>
      <c r="G2932" s="16"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c r="A2933" s="14" t="s">
        <v>3658</v>
      </c>
      <c r="B2933" s="15" t="s">
        <v>5</v>
      </c>
      <c r="C2933" s="10" t="s">
        <v>3659</v>
      </c>
      <c r="D2933" s="16" t="s">
        <v>9198</v>
      </c>
      <c r="E2933" s="15" t="s">
        <v>11199</v>
      </c>
      <c r="F2933" s="16" t="str">
        <f>VLOOKUP(Table8[[#This Row],[Mã khách hàng]],code_khach_hang[],2,0)</f>
        <v>CHI NHÁNH PHÚ THỌ - CÔNG TY CỔ PHẦN DỊCH VỤ THƯƠNG MẠI TỔNG HỢP WINCOMMERCE</v>
      </c>
      <c r="G2933" s="16"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c r="A2934" s="14" t="s">
        <v>3384</v>
      </c>
      <c r="B2934" s="15" t="s">
        <v>5</v>
      </c>
      <c r="C2934" s="10" t="s">
        <v>3385</v>
      </c>
      <c r="D2934" s="16" t="s">
        <v>9200</v>
      </c>
      <c r="E2934" s="15" t="s">
        <v>11204</v>
      </c>
      <c r="F2934" s="16" t="str">
        <f>VLOOKUP(Table8[[#This Row],[Mã khách hàng]],code_khach_hang[],2,0)</f>
        <v>CHI NHÁNH TUYÊN QUANG - CÔNG TY CỔ PHẦN DỊCH VỤ THƯƠNG MẠI TỔNG HỢP WINCOMMERCE</v>
      </c>
      <c r="G2934" s="16"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c r="A2935" s="14" t="s">
        <v>3172</v>
      </c>
      <c r="B2935" s="15" t="s">
        <v>5</v>
      </c>
      <c r="C2935" s="10" t="s">
        <v>3173</v>
      </c>
      <c r="D2935" s="16" t="s">
        <v>9202</v>
      </c>
      <c r="E2935" s="15" t="s">
        <v>11193</v>
      </c>
      <c r="F2935" s="16" t="str">
        <f>VLOOKUP(Table8[[#This Row],[Mã khách hàng]],code_khach_hang[],2,0)</f>
        <v>CHI NHÁNH BẮC NINH - CÔNG TY CỔ PHẦN DỊCH VỤ THƯƠNG MẠI TỔNG HỢP WINCOMMERCE</v>
      </c>
      <c r="G2935" s="16"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c r="A2936" s="14" t="s">
        <v>3633</v>
      </c>
      <c r="B2936" s="15" t="s">
        <v>5</v>
      </c>
      <c r="C2936" s="10" t="s">
        <v>3634</v>
      </c>
      <c r="D2936" s="16" t="s">
        <v>9204</v>
      </c>
      <c r="E2936" s="15" t="s">
        <v>11215</v>
      </c>
      <c r="F2936" s="16" t="str">
        <f>VLOOKUP(Table8[[#This Row],[Mã khách hàng]],code_khach_hang[],2,0)</f>
        <v>CHI NHÁNH HÀ NỘI - CÔNG TY CỔ PHẦN DỊCH VỤ THƯƠNG MẠI TỔNG HỢP WINCOMMERCE</v>
      </c>
      <c r="G2936" s="16"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c r="A2937" s="14" t="s">
        <v>3655</v>
      </c>
      <c r="B2937" s="15" t="s">
        <v>5</v>
      </c>
      <c r="C2937" s="10" t="s">
        <v>3656</v>
      </c>
      <c r="D2937" s="16" t="s">
        <v>9205</v>
      </c>
      <c r="E2937" s="14" t="s">
        <v>11193</v>
      </c>
      <c r="F2937" s="16" t="str">
        <f>VLOOKUP(Table8[[#This Row],[Mã khách hàng]],code_khach_hang[],2,0)</f>
        <v>CHI NHÁNH BẮC NINH - CÔNG TY CỔ PHẦN DỊCH VỤ THƯƠNG MẠI TỔNG HỢP WINCOMMERCE</v>
      </c>
      <c r="G2937" s="16"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c r="A2938" s="14" t="s">
        <v>3624</v>
      </c>
      <c r="B2938" s="15" t="s">
        <v>5</v>
      </c>
      <c r="C2938" s="10" t="s">
        <v>3625</v>
      </c>
      <c r="D2938" s="16" t="s">
        <v>9207</v>
      </c>
      <c r="E2938" s="15" t="s">
        <v>11193</v>
      </c>
      <c r="F2938" s="16" t="str">
        <f>VLOOKUP(Table8[[#This Row],[Mã khách hàng]],code_khach_hang[],2,0)</f>
        <v>CHI NHÁNH BẮC NINH - CÔNG TY CỔ PHẦN DỊCH VỤ THƯƠNG MẠI TỔNG HỢP WINCOMMERCE</v>
      </c>
      <c r="G2938" s="16"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c r="A2939" s="14" t="s">
        <v>3597</v>
      </c>
      <c r="B2939" s="15" t="s">
        <v>5</v>
      </c>
      <c r="C2939" s="10" t="s">
        <v>3598</v>
      </c>
      <c r="D2939" s="16" t="s">
        <v>9209</v>
      </c>
      <c r="E2939" s="15" t="s">
        <v>11193</v>
      </c>
      <c r="F2939" s="16" t="str">
        <f>VLOOKUP(Table8[[#This Row],[Mã khách hàng]],code_khach_hang[],2,0)</f>
        <v>CHI NHÁNH BẮC NINH - CÔNG TY CỔ PHẦN DỊCH VỤ THƯƠNG MẠI TỔNG HỢP WINCOMMERCE</v>
      </c>
      <c r="G2939" s="16"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c r="A2940" s="14" t="s">
        <v>3762</v>
      </c>
      <c r="B2940" s="15" t="s">
        <v>5</v>
      </c>
      <c r="C2940" s="10" t="s">
        <v>13190</v>
      </c>
      <c r="D2940" s="16" t="s">
        <v>9211</v>
      </c>
      <c r="E2940" s="15" t="s">
        <v>11215</v>
      </c>
      <c r="F2940" s="16" t="str">
        <f>VLOOKUP(Table8[[#This Row],[Mã khách hàng]],code_khach_hang[],2,0)</f>
        <v>CHI NHÁNH HÀ NỘI - CÔNG TY CỔ PHẦN DỊCH VỤ THƯƠNG MẠI TỔNG HỢP WINCOMMERCE</v>
      </c>
      <c r="G2940" s="16"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c r="A2941" s="14" t="s">
        <v>3787</v>
      </c>
      <c r="B2941" s="15" t="s">
        <v>5</v>
      </c>
      <c r="C2941" s="10" t="s">
        <v>3788</v>
      </c>
      <c r="D2941" s="16" t="s">
        <v>9213</v>
      </c>
      <c r="E2941" s="15" t="s">
        <v>11197</v>
      </c>
      <c r="F2941" s="16" t="str">
        <f>VLOOKUP(Table8[[#This Row],[Mã khách hàng]],code_khach_hang[],2,0)</f>
        <v>CHI NHÁNH QUẢNG NINH - CÔNG TY CỔ PHẦN DỊCH VỤ THƯƠNG MẠI TỔNG HỢP WINCOMMERCE</v>
      </c>
      <c r="G2941" s="16"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c r="A2942" s="14" t="s">
        <v>3781</v>
      </c>
      <c r="B2942" s="15" t="s">
        <v>5</v>
      </c>
      <c r="C2942" s="10" t="s">
        <v>3782</v>
      </c>
      <c r="D2942" s="16" t="s">
        <v>9215</v>
      </c>
      <c r="E2942" s="15" t="s">
        <v>11197</v>
      </c>
      <c r="F2942" s="16" t="str">
        <f>VLOOKUP(Table8[[#This Row],[Mã khách hàng]],code_khach_hang[],2,0)</f>
        <v>CHI NHÁNH QUẢNG NINH - CÔNG TY CỔ PHẦN DỊCH VỤ THƯƠNG MẠI TỔNG HỢP WINCOMMERCE</v>
      </c>
      <c r="G2942" s="16"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c r="A2943" s="14" t="s">
        <v>3696</v>
      </c>
      <c r="B2943" s="15" t="s">
        <v>5</v>
      </c>
      <c r="C2943" s="10" t="s">
        <v>13191</v>
      </c>
      <c r="D2943" s="16" t="s">
        <v>9217</v>
      </c>
      <c r="E2943" s="15" t="s">
        <v>11215</v>
      </c>
      <c r="F2943" s="16" t="str">
        <f>VLOOKUP(Table8[[#This Row],[Mã khách hàng]],code_khach_hang[],2,0)</f>
        <v>CHI NHÁNH HÀ NỘI - CÔNG TY CỔ PHẦN DỊCH VỤ THƯƠNG MẠI TỔNG HỢP WINCOMMERCE</v>
      </c>
      <c r="G2943" s="16"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c r="A2944" s="14" t="s">
        <v>3636</v>
      </c>
      <c r="B2944" s="15" t="s">
        <v>5</v>
      </c>
      <c r="C2944" s="10" t="s">
        <v>3637</v>
      </c>
      <c r="D2944" s="16" t="s">
        <v>9219</v>
      </c>
      <c r="E2944" s="15" t="s">
        <v>11216</v>
      </c>
      <c r="F2944" s="16" t="str">
        <f>VLOOKUP(Table8[[#This Row],[Mã khách hàng]],code_khach_hang[],2,0)</f>
        <v>CHI NHÁNH HƯNG YÊN - CÔNG TY CỔ PHẦN DỊCH VỤ THƯƠNG MẠI TỔNG HỢP WINCOMMERCE</v>
      </c>
      <c r="G2944" s="16"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c r="A2945" s="14" t="s">
        <v>3704</v>
      </c>
      <c r="B2945" s="15" t="s">
        <v>5</v>
      </c>
      <c r="C2945" s="10" t="s">
        <v>3705</v>
      </c>
      <c r="D2945" s="16" t="s">
        <v>9221</v>
      </c>
      <c r="E2945" s="15" t="s">
        <v>11198</v>
      </c>
      <c r="F2945" s="16" t="str">
        <f>VLOOKUP(Table8[[#This Row],[Mã khách hàng]],code_khach_hang[],2,0)</f>
        <v>CHI NHÁNH HẢI PHÒNG - CÔNG TY CỔ PHẦN DỊCH VỤ THƯƠNG MẠI TỔNG HỢP WINCOMMERCE</v>
      </c>
      <c r="G2945" s="16"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c r="A2946" s="14" t="s">
        <v>3726</v>
      </c>
      <c r="B2946" s="15" t="s">
        <v>5</v>
      </c>
      <c r="C2946" s="10" t="s">
        <v>3727</v>
      </c>
      <c r="D2946" s="16" t="s">
        <v>9223</v>
      </c>
      <c r="E2946" s="15" t="s">
        <v>11198</v>
      </c>
      <c r="F2946" s="16" t="str">
        <f>VLOOKUP(Table8[[#This Row],[Mã khách hàng]],code_khach_hang[],2,0)</f>
        <v>CHI NHÁNH HẢI PHÒNG - CÔNG TY CỔ PHẦN DỊCH VỤ THƯƠNG MẠI TỔNG HỢP WINCOMMERCE</v>
      </c>
      <c r="G2946" s="16"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c r="A2947" s="14" t="s">
        <v>3759</v>
      </c>
      <c r="B2947" s="15" t="s">
        <v>5</v>
      </c>
      <c r="C2947" s="10" t="s">
        <v>3760</v>
      </c>
      <c r="D2947" s="16" t="s">
        <v>9225</v>
      </c>
      <c r="E2947" s="15" t="s">
        <v>11216</v>
      </c>
      <c r="F2947" s="16" t="str">
        <f>VLOOKUP(Table8[[#This Row],[Mã khách hàng]],code_khach_hang[],2,0)</f>
        <v>CHI NHÁNH HƯNG YÊN - CÔNG TY CỔ PHẦN DỊCH VỤ THƯƠNG MẠI TỔNG HỢP WINCOMMERCE</v>
      </c>
      <c r="G2947" s="16"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c r="A2948" s="14" t="s">
        <v>3735</v>
      </c>
      <c r="B2948" s="15" t="s">
        <v>5</v>
      </c>
      <c r="C2948" s="10" t="s">
        <v>3736</v>
      </c>
      <c r="D2948" s="16" t="s">
        <v>9227</v>
      </c>
      <c r="E2948" s="15" t="s">
        <v>11198</v>
      </c>
      <c r="F2948" s="16" t="str">
        <f>VLOOKUP(Table8[[#This Row],[Mã khách hàng]],code_khach_hang[],2,0)</f>
        <v>CHI NHÁNH HẢI PHÒNG - CÔNG TY CỔ PHẦN DỊCH VỤ THƯƠNG MẠI TỔNG HỢP WINCOMMERCE</v>
      </c>
      <c r="G2948" s="16"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c r="A2949" s="14" t="s">
        <v>3470</v>
      </c>
      <c r="B2949" s="15" t="s">
        <v>5</v>
      </c>
      <c r="C2949" s="10" t="s">
        <v>3471</v>
      </c>
      <c r="D2949" s="16" t="s">
        <v>9229</v>
      </c>
      <c r="E2949" s="15" t="s">
        <v>11211</v>
      </c>
      <c r="F2949" s="16" t="str">
        <f>VLOOKUP(Table8[[#This Row],[Mã khách hàng]],code_khach_hang[],2,0)</f>
        <v>CHI NHÁNH NGHỆ AN - CÔNG TY CỔ PHẦN DỊCH VỤ THƯƠNG MẠI TỔNG HỢP WINCOMMERCE</v>
      </c>
      <c r="G2949" s="16"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c r="A2950" s="14" t="s">
        <v>3416</v>
      </c>
      <c r="B2950" s="15" t="s">
        <v>5</v>
      </c>
      <c r="C2950" s="10" t="s">
        <v>3417</v>
      </c>
      <c r="D2950" s="16" t="s">
        <v>9231</v>
      </c>
      <c r="E2950" s="15" t="s">
        <v>11211</v>
      </c>
      <c r="F2950" s="16" t="str">
        <f>VLOOKUP(Table8[[#This Row],[Mã khách hàng]],code_khach_hang[],2,0)</f>
        <v>CHI NHÁNH NGHỆ AN - CÔNG TY CỔ PHẦN DỊCH VỤ THƯƠNG MẠI TỔNG HỢP WINCOMMERCE</v>
      </c>
      <c r="G2950" s="16"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c r="A2951" s="14" t="s">
        <v>3647</v>
      </c>
      <c r="B2951" s="15" t="s">
        <v>5</v>
      </c>
      <c r="C2951" s="10" t="s">
        <v>13192</v>
      </c>
      <c r="D2951" s="16" t="s">
        <v>9232</v>
      </c>
      <c r="E2951" s="14" t="s">
        <v>11211</v>
      </c>
      <c r="F2951" s="16" t="str">
        <f>VLOOKUP(Table8[[#This Row],[Mã khách hàng]],code_khach_hang[],2,0)</f>
        <v>CHI NHÁNH NGHỆ AN - CÔNG TY CỔ PHẦN DỊCH VỤ THƯƠNG MẠI TỔNG HỢP WINCOMMERCE</v>
      </c>
      <c r="G2951" s="16"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c r="A2952" s="14" t="s">
        <v>3724</v>
      </c>
      <c r="B2952" s="15" t="s">
        <v>5</v>
      </c>
      <c r="C2952" s="10" t="s">
        <v>13193</v>
      </c>
      <c r="D2952" s="16" t="s">
        <v>9235</v>
      </c>
      <c r="E2952" s="15" t="s">
        <v>11211</v>
      </c>
      <c r="F2952" s="16" t="str">
        <f>VLOOKUP(Table8[[#This Row],[Mã khách hàng]],code_khach_hang[],2,0)</f>
        <v>CHI NHÁNH NGHỆ AN - CÔNG TY CỔ PHẦN DỊCH VỤ THƯƠNG MẠI TỔNG HỢP WINCOMMERCE</v>
      </c>
      <c r="G2952" s="16"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c r="A2953" s="14" t="s">
        <v>3710</v>
      </c>
      <c r="B2953" s="15" t="s">
        <v>5</v>
      </c>
      <c r="C2953" s="10" t="s">
        <v>3711</v>
      </c>
      <c r="D2953" s="16" t="s">
        <v>9237</v>
      </c>
      <c r="E2953" s="15" t="s">
        <v>11211</v>
      </c>
      <c r="F2953" s="16" t="str">
        <f>VLOOKUP(Table8[[#This Row],[Mã khách hàng]],code_khach_hang[],2,0)</f>
        <v>CHI NHÁNH NGHỆ AN - CÔNG TY CỔ PHẦN DỊCH VỤ THƯƠNG MẠI TỔNG HỢP WINCOMMERCE</v>
      </c>
      <c r="G2953" s="16"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c r="A2954" s="14" t="s">
        <v>3603</v>
      </c>
      <c r="B2954" s="15" t="s">
        <v>5</v>
      </c>
      <c r="C2954" s="10" t="s">
        <v>3604</v>
      </c>
      <c r="D2954" s="16" t="s">
        <v>9239</v>
      </c>
      <c r="E2954" s="15" t="s">
        <v>11199</v>
      </c>
      <c r="F2954" s="16" t="str">
        <f>VLOOKUP(Table8[[#This Row],[Mã khách hàng]],code_khach_hang[],2,0)</f>
        <v>CHI NHÁNH PHÚ THỌ - CÔNG TY CỔ PHẦN DỊCH VỤ THƯƠNG MẠI TỔNG HỢP WINCOMMERCE</v>
      </c>
      <c r="G2954" s="16"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c r="A2955" s="14" t="s">
        <v>3520</v>
      </c>
      <c r="B2955" s="15" t="s">
        <v>5</v>
      </c>
      <c r="C2955" s="10" t="s">
        <v>3521</v>
      </c>
      <c r="D2955" s="16" t="s">
        <v>9241</v>
      </c>
      <c r="E2955" s="15" t="s">
        <v>11199</v>
      </c>
      <c r="F2955" s="16" t="str">
        <f>VLOOKUP(Table8[[#This Row],[Mã khách hàng]],code_khach_hang[],2,0)</f>
        <v>CHI NHÁNH PHÚ THỌ - CÔNG TY CỔ PHẦN DỊCH VỤ THƯƠNG MẠI TỔNG HỢP WINCOMMERCE</v>
      </c>
      <c r="G2955" s="16"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c r="A2956" s="14" t="s">
        <v>3407</v>
      </c>
      <c r="B2956" s="15" t="s">
        <v>5</v>
      </c>
      <c r="C2956" s="10" t="s">
        <v>3408</v>
      </c>
      <c r="D2956" s="16" t="s">
        <v>9243</v>
      </c>
      <c r="E2956" s="15" t="s">
        <v>11199</v>
      </c>
      <c r="F2956" s="16" t="str">
        <f>VLOOKUP(Table8[[#This Row],[Mã khách hàng]],code_khach_hang[],2,0)</f>
        <v>CHI NHÁNH PHÚ THỌ - CÔNG TY CỔ PHẦN DỊCH VỤ THƯƠNG MẠI TỔNG HỢP WINCOMMERCE</v>
      </c>
      <c r="G2956" s="16"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c r="A2957" s="14" t="s">
        <v>3764</v>
      </c>
      <c r="B2957" s="15" t="s">
        <v>5</v>
      </c>
      <c r="C2957" s="10" t="s">
        <v>3765</v>
      </c>
      <c r="D2957" s="16" t="s">
        <v>9245</v>
      </c>
      <c r="E2957" s="15" t="s">
        <v>11197</v>
      </c>
      <c r="F2957" s="16" t="str">
        <f>VLOOKUP(Table8[[#This Row],[Mã khách hàng]],code_khach_hang[],2,0)</f>
        <v>CHI NHÁNH QUẢNG NINH - CÔNG TY CỔ PHẦN DỊCH VỤ THƯƠNG MẠI TỔNG HỢP WINCOMMERCE</v>
      </c>
      <c r="G2957" s="16"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c r="A2958" s="14" t="s">
        <v>3698</v>
      </c>
      <c r="B2958" s="15" t="s">
        <v>5</v>
      </c>
      <c r="C2958" s="10" t="s">
        <v>3699</v>
      </c>
      <c r="D2958" s="16" t="s">
        <v>9247</v>
      </c>
      <c r="E2958" s="15" t="s">
        <v>11197</v>
      </c>
      <c r="F2958" s="16" t="str">
        <f>VLOOKUP(Table8[[#This Row],[Mã khách hàng]],code_khach_hang[],2,0)</f>
        <v>CHI NHÁNH QUẢNG NINH - CÔNG TY CỔ PHẦN DỊCH VỤ THƯƠNG MẠI TỔNG HỢP WINCOMMERCE</v>
      </c>
      <c r="G2958" s="16"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c r="A2959" s="14" t="s">
        <v>3509</v>
      </c>
      <c r="B2959" s="15" t="s">
        <v>5</v>
      </c>
      <c r="C2959" s="10" t="s">
        <v>3510</v>
      </c>
      <c r="D2959" s="16" t="s">
        <v>9249</v>
      </c>
      <c r="E2959" s="15" t="s">
        <v>11199</v>
      </c>
      <c r="F2959" s="16" t="str">
        <f>VLOOKUP(Table8[[#This Row],[Mã khách hàng]],code_khach_hang[],2,0)</f>
        <v>CHI NHÁNH PHÚ THỌ - CÔNG TY CỔ PHẦN DỊCH VỤ THƯƠNG MẠI TỔNG HỢP WINCOMMERCE</v>
      </c>
      <c r="G2959" s="16"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c r="A2960" s="14" t="s">
        <v>3214</v>
      </c>
      <c r="B2960" s="15" t="s">
        <v>5</v>
      </c>
      <c r="C2960" s="10" t="s">
        <v>3215</v>
      </c>
      <c r="D2960" s="16" t="s">
        <v>9251</v>
      </c>
      <c r="E2960" s="15" t="s">
        <v>11215</v>
      </c>
      <c r="F2960" s="16" t="str">
        <f>VLOOKUP(Table8[[#This Row],[Mã khách hàng]],code_khach_hang[],2,0)</f>
        <v>CHI NHÁNH HÀ NỘI - CÔNG TY CỔ PHẦN DỊCH VỤ THƯƠNG MẠI TỔNG HỢP WINCOMMERCE</v>
      </c>
      <c r="G2960" s="16"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c r="A2961" s="14" t="s">
        <v>3773</v>
      </c>
      <c r="B2961" s="15" t="s">
        <v>5</v>
      </c>
      <c r="C2961" s="10" t="s">
        <v>3774</v>
      </c>
      <c r="D2961" s="16" t="s">
        <v>9254</v>
      </c>
      <c r="E2961" s="15" t="s">
        <v>11197</v>
      </c>
      <c r="F2961" s="16" t="str">
        <f>VLOOKUP(Table8[[#This Row],[Mã khách hàng]],code_khach_hang[],2,0)</f>
        <v>CHI NHÁNH QUẢNG NINH - CÔNG TY CỔ PHẦN DỊCH VỤ THƯƠNG MẠI TỔNG HỢP WINCOMMERCE</v>
      </c>
      <c r="G2961" s="16"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c r="A2962" s="14" t="s">
        <v>3784</v>
      </c>
      <c r="B2962" s="15" t="s">
        <v>5</v>
      </c>
      <c r="C2962" s="10" t="s">
        <v>3785</v>
      </c>
      <c r="D2962" s="16" t="s">
        <v>9257</v>
      </c>
      <c r="E2962" s="15" t="s">
        <v>11197</v>
      </c>
      <c r="F2962" s="16" t="str">
        <f>VLOOKUP(Table8[[#This Row],[Mã khách hàng]],code_khach_hang[],2,0)</f>
        <v>CHI NHÁNH QUẢNG NINH - CÔNG TY CỔ PHẦN DỊCH VỤ THƯƠNG MẠI TỔNG HỢP WINCOMMERCE</v>
      </c>
      <c r="G2962" s="16"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c r="A2963" s="14" t="s">
        <v>3729</v>
      </c>
      <c r="B2963" s="15" t="s">
        <v>5</v>
      </c>
      <c r="C2963" s="10" t="s">
        <v>3730</v>
      </c>
      <c r="D2963" s="16" t="s">
        <v>9260</v>
      </c>
      <c r="E2963" s="15" t="s">
        <v>11215</v>
      </c>
      <c r="F2963" s="16" t="str">
        <f>VLOOKUP(Table8[[#This Row],[Mã khách hàng]],code_khach_hang[],2,0)</f>
        <v>CHI NHÁNH HÀ NỘI - CÔNG TY CỔ PHẦN DỊCH VỤ THƯƠNG MẠI TỔNG HỢP WINCOMMERCE</v>
      </c>
      <c r="G2963" s="16"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c r="A2964" s="14" t="s">
        <v>3339</v>
      </c>
      <c r="B2964" s="15" t="s">
        <v>5</v>
      </c>
      <c r="C2964" s="10" t="s">
        <v>3340</v>
      </c>
      <c r="D2964" s="16" t="s">
        <v>9262</v>
      </c>
      <c r="E2964" s="15" t="s">
        <v>11196</v>
      </c>
      <c r="F2964" s="16" t="str">
        <f>VLOOKUP(Table8[[#This Row],[Mã khách hàng]],code_khach_hang[],2,0)</f>
        <v>CHI NHÁNH NINH BÌNH - CÔNG TY CỔ PHẦN DỊCH VỤ THƯƠNG MẠI TỔNG HỢP WINCOMMERCE</v>
      </c>
      <c r="G2964" s="16"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c r="A2965" s="14" t="s">
        <v>3306</v>
      </c>
      <c r="B2965" s="15" t="s">
        <v>5</v>
      </c>
      <c r="C2965" s="10" t="s">
        <v>3307</v>
      </c>
      <c r="D2965" s="16" t="s">
        <v>9265</v>
      </c>
      <c r="E2965" s="15" t="s">
        <v>11196</v>
      </c>
      <c r="F2965" s="16" t="str">
        <f>VLOOKUP(Table8[[#This Row],[Mã khách hàng]],code_khach_hang[],2,0)</f>
        <v>CHI NHÁNH NINH BÌNH - CÔNG TY CỔ PHẦN DỊCH VỤ THƯƠNG MẠI TỔNG HỢP WINCOMMERCE</v>
      </c>
      <c r="G2965" s="16"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c r="A2966" s="14" t="s">
        <v>3583</v>
      </c>
      <c r="B2966" s="15" t="s">
        <v>5</v>
      </c>
      <c r="C2966" s="10" t="s">
        <v>3584</v>
      </c>
      <c r="D2966" s="16" t="s">
        <v>9267</v>
      </c>
      <c r="E2966" s="15" t="s">
        <v>11222</v>
      </c>
      <c r="F2966" s="16" t="str">
        <f>VLOOKUP(Table8[[#This Row],[Mã khách hàng]],code_khach_hang[],2,0)</f>
        <v>CHI NHÁNH CAO BẰNG - CÔNG TY CỔ PHẦN DỊCH VỤ THƯƠNG MẠI TỔNG HỢP WINCOMMERCE</v>
      </c>
      <c r="G2966" s="16"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c r="A2967" s="14" t="s">
        <v>3534</v>
      </c>
      <c r="B2967" s="15" t="s">
        <v>5</v>
      </c>
      <c r="C2967" s="10" t="s">
        <v>3535</v>
      </c>
      <c r="D2967" s="16" t="s">
        <v>9269</v>
      </c>
      <c r="E2967" s="15" t="s">
        <v>11196</v>
      </c>
      <c r="F2967" s="16" t="str">
        <f>VLOOKUP(Table8[[#This Row],[Mã khách hàng]],code_khach_hang[],2,0)</f>
        <v>CHI NHÁNH NINH BÌNH - CÔNG TY CỔ PHẦN DỊCH VỤ THƯƠNG MẠI TỔNG HỢP WINCOMMERCE</v>
      </c>
      <c r="G2967" s="16"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c r="A2968" s="14" t="s">
        <v>3690</v>
      </c>
      <c r="B2968" s="15" t="s">
        <v>5</v>
      </c>
      <c r="C2968" s="10" t="s">
        <v>3691</v>
      </c>
      <c r="D2968" s="16" t="s">
        <v>9271</v>
      </c>
      <c r="E2968" s="15" t="s">
        <v>11196</v>
      </c>
      <c r="F2968" s="16" t="str">
        <f>VLOOKUP(Table8[[#This Row],[Mã khách hàng]],code_khach_hang[],2,0)</f>
        <v>CHI NHÁNH NINH BÌNH - CÔNG TY CỔ PHẦN DỊCH VỤ THƯƠNG MẠI TỔNG HỢP WINCOMMERCE</v>
      </c>
      <c r="G2968" s="16"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c r="A2969" s="14" t="s">
        <v>3094</v>
      </c>
      <c r="B2969" s="15" t="s">
        <v>5</v>
      </c>
      <c r="C2969" s="10" t="s">
        <v>3095</v>
      </c>
      <c r="D2969" s="16" t="s">
        <v>9273</v>
      </c>
      <c r="E2969" s="15" t="s">
        <v>11216</v>
      </c>
      <c r="F2969" s="16" t="str">
        <f>VLOOKUP(Table8[[#This Row],[Mã khách hàng]],code_khach_hang[],2,0)</f>
        <v>CHI NHÁNH HƯNG YÊN - CÔNG TY CỔ PHẦN DỊCH VỤ THƯƠNG MẠI TỔNG HỢP WINCOMMERCE</v>
      </c>
      <c r="G2969" s="16"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c r="A2970" s="14" t="s">
        <v>3871</v>
      </c>
      <c r="B2970" s="15" t="s">
        <v>5</v>
      </c>
      <c r="C2970" s="10" t="s">
        <v>3872</v>
      </c>
      <c r="D2970" s="16" t="s">
        <v>9276</v>
      </c>
      <c r="E2970" s="15" t="s">
        <v>11211</v>
      </c>
      <c r="F2970" s="16" t="str">
        <f>VLOOKUP(Table8[[#This Row],[Mã khách hàng]],code_khach_hang[],2,0)</f>
        <v>CHI NHÁNH NGHỆ AN - CÔNG TY CỔ PHẦN DỊCH VỤ THƯƠNG MẠI TỔNG HỢP WINCOMMERCE</v>
      </c>
      <c r="G2970" s="16"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c r="A2971" s="14" t="s">
        <v>3721</v>
      </c>
      <c r="B2971" s="15" t="s">
        <v>5</v>
      </c>
      <c r="C2971" s="10" t="s">
        <v>3722</v>
      </c>
      <c r="D2971" s="16" t="s">
        <v>9278</v>
      </c>
      <c r="E2971" s="15" t="s">
        <v>11196</v>
      </c>
      <c r="F2971" s="16" t="str">
        <f>VLOOKUP(Table8[[#This Row],[Mã khách hàng]],code_khach_hang[],2,0)</f>
        <v>CHI NHÁNH NINH BÌNH - CÔNG TY CỔ PHẦN DỊCH VỤ THƯƠNG MẠI TỔNG HỢP WINCOMMERCE</v>
      </c>
      <c r="G2971" s="16"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c r="A2972" s="14" t="s">
        <v>3832</v>
      </c>
      <c r="B2972" s="15" t="s">
        <v>5</v>
      </c>
      <c r="C2972" s="10" t="s">
        <v>3833</v>
      </c>
      <c r="D2972" s="16" t="s">
        <v>9280</v>
      </c>
      <c r="E2972" s="15" t="s">
        <v>11216</v>
      </c>
      <c r="F2972" s="16" t="str">
        <f>VLOOKUP(Table8[[#This Row],[Mã khách hàng]],code_khach_hang[],2,0)</f>
        <v>CHI NHÁNH HƯNG YÊN - CÔNG TY CỔ PHẦN DỊCH VỤ THƯƠNG MẠI TỔNG HỢP WINCOMMERCE</v>
      </c>
      <c r="G2972" s="16"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c r="A2973" s="14" t="s">
        <v>3810</v>
      </c>
      <c r="B2973" s="15" t="s">
        <v>5</v>
      </c>
      <c r="C2973" s="10" t="s">
        <v>3811</v>
      </c>
      <c r="D2973" s="16" t="s">
        <v>9282</v>
      </c>
      <c r="E2973" s="15" t="s">
        <v>11198</v>
      </c>
      <c r="F2973" s="16" t="str">
        <f>VLOOKUP(Table8[[#This Row],[Mã khách hàng]],code_khach_hang[],2,0)</f>
        <v>CHI NHÁNH HẢI PHÒNG - CÔNG TY CỔ PHẦN DỊCH VỤ THƯƠNG MẠI TỔNG HỢP WINCOMMERCE</v>
      </c>
      <c r="G2973" s="16"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c r="A2974" s="14" t="s">
        <v>3693</v>
      </c>
      <c r="B2974" s="15" t="s">
        <v>5</v>
      </c>
      <c r="C2974" s="10" t="s">
        <v>3694</v>
      </c>
      <c r="D2974" s="16" t="s">
        <v>9284</v>
      </c>
      <c r="E2974" s="15" t="s">
        <v>11196</v>
      </c>
      <c r="F2974" s="16" t="str">
        <f>VLOOKUP(Table8[[#This Row],[Mã khách hàng]],code_khach_hang[],2,0)</f>
        <v>CHI NHÁNH NINH BÌNH - CÔNG TY CỔ PHẦN DỊCH VỤ THƯƠNG MẠI TỔNG HỢP WINCOMMERCE</v>
      </c>
      <c r="G2974" s="16"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c r="A2975" s="14" t="s">
        <v>3473</v>
      </c>
      <c r="B2975" s="15" t="s">
        <v>5</v>
      </c>
      <c r="C2975" s="10" t="s">
        <v>3474</v>
      </c>
      <c r="D2975" s="16" t="s">
        <v>9286</v>
      </c>
      <c r="E2975" s="15" t="s">
        <v>11222</v>
      </c>
      <c r="F2975" s="16" t="str">
        <f>VLOOKUP(Table8[[#This Row],[Mã khách hàng]],code_khach_hang[],2,0)</f>
        <v>CHI NHÁNH CAO BẰNG - CÔNG TY CỔ PHẦN DỊCH VỤ THƯƠNG MẠI TỔNG HỢP WINCOMMERCE</v>
      </c>
      <c r="G2975" s="16"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c r="A2976" s="14" t="s">
        <v>3644</v>
      </c>
      <c r="B2976" s="15" t="s">
        <v>5</v>
      </c>
      <c r="C2976" s="10" t="s">
        <v>3645</v>
      </c>
      <c r="D2976" s="16" t="s">
        <v>9288</v>
      </c>
      <c r="E2976" s="15" t="s">
        <v>11193</v>
      </c>
      <c r="F2976" s="16" t="str">
        <f>VLOOKUP(Table8[[#This Row],[Mã khách hàng]],code_khach_hang[],2,0)</f>
        <v>CHI NHÁNH BẮC NINH - CÔNG TY CỔ PHẦN DỊCH VỤ THƯƠNG MẠI TỔNG HỢP WINCOMMERCE</v>
      </c>
      <c r="G2976" s="16"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c r="A2977" s="14" t="s">
        <v>3756</v>
      </c>
      <c r="B2977" s="15" t="s">
        <v>5</v>
      </c>
      <c r="C2977" s="10" t="s">
        <v>3757</v>
      </c>
      <c r="D2977" s="16" t="s">
        <v>9290</v>
      </c>
      <c r="E2977" s="15" t="s">
        <v>11193</v>
      </c>
      <c r="F2977" s="16" t="str">
        <f>VLOOKUP(Table8[[#This Row],[Mã khách hàng]],code_khach_hang[],2,0)</f>
        <v>CHI NHÁNH BẮC NINH - CÔNG TY CỔ PHẦN DỊCH VỤ THƯƠNG MẠI TỔNG HỢP WINCOMMERCE</v>
      </c>
      <c r="G2977" s="16"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c r="A2978" s="14" t="s">
        <v>3790</v>
      </c>
      <c r="B2978" s="15" t="s">
        <v>5</v>
      </c>
      <c r="C2978" s="10" t="s">
        <v>3791</v>
      </c>
      <c r="D2978" s="16" t="s">
        <v>9292</v>
      </c>
      <c r="E2978" s="15" t="s">
        <v>11196</v>
      </c>
      <c r="F2978" s="16" t="str">
        <f>VLOOKUP(Table8[[#This Row],[Mã khách hàng]],code_khach_hang[],2,0)</f>
        <v>CHI NHÁNH NINH BÌNH - CÔNG TY CỔ PHẦN DỊCH VỤ THƯƠNG MẠI TỔNG HỢP WINCOMMERCE</v>
      </c>
      <c r="G2978" s="16"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c r="A2979" s="14" t="s">
        <v>3661</v>
      </c>
      <c r="B2979" s="15" t="s">
        <v>5</v>
      </c>
      <c r="C2979" s="10" t="s">
        <v>13194</v>
      </c>
      <c r="D2979" s="16" t="s">
        <v>9294</v>
      </c>
      <c r="E2979" s="15" t="s">
        <v>11199</v>
      </c>
      <c r="F2979" s="16" t="str">
        <f>VLOOKUP(Table8[[#This Row],[Mã khách hàng]],code_khach_hang[],2,0)</f>
        <v>CHI NHÁNH PHÚ THỌ - CÔNG TY CỔ PHẦN DỊCH VỤ THƯƠNG MẠI TỔNG HỢP WINCOMMERCE</v>
      </c>
      <c r="G2979" s="16"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c r="A2980" s="14" t="s">
        <v>3770</v>
      </c>
      <c r="B2980" s="15" t="s">
        <v>5</v>
      </c>
      <c r="C2980" s="10" t="s">
        <v>3771</v>
      </c>
      <c r="D2980" s="16" t="s">
        <v>9296</v>
      </c>
      <c r="E2980" s="15" t="s">
        <v>11204</v>
      </c>
      <c r="F2980" s="16" t="str">
        <f>VLOOKUP(Table8[[#This Row],[Mã khách hàng]],code_khach_hang[],2,0)</f>
        <v>CHI NHÁNH TUYÊN QUANG - CÔNG TY CỔ PHẦN DỊCH VỤ THƯƠNG MẠI TỔNG HỢP WINCOMMERCE</v>
      </c>
      <c r="G2980" s="16"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c r="A2981" s="14" t="s">
        <v>3813</v>
      </c>
      <c r="B2981" s="15" t="s">
        <v>5</v>
      </c>
      <c r="C2981" s="10" t="s">
        <v>3814</v>
      </c>
      <c r="D2981" s="16" t="s">
        <v>9298</v>
      </c>
      <c r="E2981" s="14" t="s">
        <v>11211</v>
      </c>
      <c r="F2981" s="16" t="str">
        <f>VLOOKUP(Table8[[#This Row],[Mã khách hàng]],code_khach_hang[],2,0)</f>
        <v>CHI NHÁNH NGHỆ AN - CÔNG TY CỔ PHẦN DỊCH VỤ THƯƠNG MẠI TỔNG HỢP WINCOMMERCE</v>
      </c>
      <c r="G2981" s="16"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c r="A2982" s="14" t="s">
        <v>3732</v>
      </c>
      <c r="B2982" s="15" t="s">
        <v>5</v>
      </c>
      <c r="C2982" s="10" t="s">
        <v>3733</v>
      </c>
      <c r="D2982" s="16" t="s">
        <v>9299</v>
      </c>
      <c r="E2982" s="14" t="s">
        <v>11197</v>
      </c>
      <c r="F2982" s="16" t="str">
        <f>VLOOKUP(Table8[[#This Row],[Mã khách hàng]],code_khach_hang[],2,0)</f>
        <v>CHI NHÁNH QUẢNG NINH - CÔNG TY CỔ PHẦN DỊCH VỤ THƯƠNG MẠI TỔNG HỢP WINCOMMERCE</v>
      </c>
      <c r="G2982" s="16"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c r="A2983" s="14" t="s">
        <v>3615</v>
      </c>
      <c r="B2983" s="15" t="s">
        <v>5</v>
      </c>
      <c r="C2983" s="10" t="s">
        <v>3616</v>
      </c>
      <c r="D2983" s="16" t="s">
        <v>9302</v>
      </c>
      <c r="E2983" s="15" t="s">
        <v>11215</v>
      </c>
      <c r="F2983" s="16" t="str">
        <f>VLOOKUP(Table8[[#This Row],[Mã khách hàng]],code_khach_hang[],2,0)</f>
        <v>CHI NHÁNH HÀ NỘI - CÔNG TY CỔ PHẦN DỊCH VỤ THƯƠNG MẠI TỔNG HỢP WINCOMMERCE</v>
      </c>
      <c r="G2983" s="16"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c r="A2984" s="14" t="s">
        <v>3663</v>
      </c>
      <c r="B2984" s="15" t="s">
        <v>5</v>
      </c>
      <c r="C2984" s="10" t="s">
        <v>3664</v>
      </c>
      <c r="D2984" s="16" t="s">
        <v>9305</v>
      </c>
      <c r="E2984" s="15" t="s">
        <v>11196</v>
      </c>
      <c r="F2984" s="16" t="str">
        <f>VLOOKUP(Table8[[#This Row],[Mã khách hàng]],code_khach_hang[],2,0)</f>
        <v>CHI NHÁNH NINH BÌNH - CÔNG TY CỔ PHẦN DỊCH VỤ THƯƠNG MẠI TỔNG HỢP WINCOMMERCE</v>
      </c>
      <c r="G2984" s="16"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c r="A2985" s="14" t="s">
        <v>3716</v>
      </c>
      <c r="B2985" s="15" t="s">
        <v>5</v>
      </c>
      <c r="C2985" s="10" t="s">
        <v>3717</v>
      </c>
      <c r="D2985" s="16" t="s">
        <v>9308</v>
      </c>
      <c r="E2985" s="15" t="s">
        <v>11196</v>
      </c>
      <c r="F2985" s="16" t="str">
        <f>VLOOKUP(Table8[[#This Row],[Mã khách hàng]],code_khach_hang[],2,0)</f>
        <v>CHI NHÁNH NINH BÌNH - CÔNG TY CỔ PHẦN DỊCH VỤ THƯƠNG MẠI TỔNG HỢP WINCOMMERCE</v>
      </c>
      <c r="G2985" s="16"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c r="A2986" s="14" t="s">
        <v>3577</v>
      </c>
      <c r="B2986" s="15" t="s">
        <v>5</v>
      </c>
      <c r="C2986" s="10" t="s">
        <v>3578</v>
      </c>
      <c r="D2986" s="16" t="s">
        <v>9311</v>
      </c>
      <c r="E2986" s="15" t="s">
        <v>11198</v>
      </c>
      <c r="F2986" s="16" t="str">
        <f>VLOOKUP(Table8[[#This Row],[Mã khách hàng]],code_khach_hang[],2,0)</f>
        <v>CHI NHÁNH HẢI PHÒNG - CÔNG TY CỔ PHẦN DỊCH VỤ THƯƠNG MẠI TỔNG HỢP WINCOMMERCE</v>
      </c>
      <c r="G2986" s="16"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c r="A2987" s="14" t="s">
        <v>3776</v>
      </c>
      <c r="B2987" s="15" t="s">
        <v>5</v>
      </c>
      <c r="C2987" s="10" t="s">
        <v>3777</v>
      </c>
      <c r="D2987" s="16" t="s">
        <v>9313</v>
      </c>
      <c r="E2987" s="15" t="s">
        <v>11198</v>
      </c>
      <c r="F2987" s="16" t="str">
        <f>VLOOKUP(Table8[[#This Row],[Mã khách hàng]],code_khach_hang[],2,0)</f>
        <v>CHI NHÁNH HẢI PHÒNG - CÔNG TY CỔ PHẦN DỊCH VỤ THƯƠNG MẠI TỔNG HỢP WINCOMMERCE</v>
      </c>
      <c r="G2987" s="16"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c r="A2988" s="14" t="s">
        <v>3807</v>
      </c>
      <c r="B2988" s="15" t="s">
        <v>5</v>
      </c>
      <c r="C2988" s="10" t="s">
        <v>3808</v>
      </c>
      <c r="D2988" s="16" t="s">
        <v>9315</v>
      </c>
      <c r="E2988" s="15" t="s">
        <v>11199</v>
      </c>
      <c r="F2988" s="16" t="str">
        <f>VLOOKUP(Table8[[#This Row],[Mã khách hàng]],code_khach_hang[],2,0)</f>
        <v>CHI NHÁNH PHÚ THỌ - CÔNG TY CỔ PHẦN DỊCH VỤ THƯƠNG MẠI TỔNG HỢP WINCOMMERCE</v>
      </c>
      <c r="G2988" s="16"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c r="A2989" s="14" t="s">
        <v>3713</v>
      </c>
      <c r="B2989" s="15" t="s">
        <v>5</v>
      </c>
      <c r="C2989" s="10" t="s">
        <v>3714</v>
      </c>
      <c r="D2989" s="16" t="s">
        <v>9317</v>
      </c>
      <c r="E2989" s="15" t="s">
        <v>11196</v>
      </c>
      <c r="F2989" s="16" t="str">
        <f>VLOOKUP(Table8[[#This Row],[Mã khách hàng]],code_khach_hang[],2,0)</f>
        <v>CHI NHÁNH NINH BÌNH - CÔNG TY CỔ PHẦN DỊCH VỤ THƯƠNG MẠI TỔNG HỢP WINCOMMERCE</v>
      </c>
      <c r="G2989" s="16"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c r="A2990" s="14" t="s">
        <v>3829</v>
      </c>
      <c r="B2990" s="15" t="s">
        <v>5</v>
      </c>
      <c r="C2990" s="10" t="s">
        <v>3830</v>
      </c>
      <c r="D2990" s="16" t="s">
        <v>9319</v>
      </c>
      <c r="E2990" s="15" t="s">
        <v>11193</v>
      </c>
      <c r="F2990" s="16" t="str">
        <f>VLOOKUP(Table8[[#This Row],[Mã khách hàng]],code_khach_hang[],2,0)</f>
        <v>CHI NHÁNH BẮC NINH - CÔNG TY CỔ PHẦN DỊCH VỤ THƯƠNG MẠI TỔNG HỢP WINCOMMERCE</v>
      </c>
      <c r="G2990" s="16"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c r="A2991" s="14" t="s">
        <v>3546</v>
      </c>
      <c r="B2991" s="15" t="s">
        <v>5</v>
      </c>
      <c r="C2991" s="10" t="s">
        <v>13195</v>
      </c>
      <c r="D2991" s="16" t="s">
        <v>9321</v>
      </c>
      <c r="E2991" s="15" t="s">
        <v>11211</v>
      </c>
      <c r="F2991" s="16" t="str">
        <f>VLOOKUP(Table8[[#This Row],[Mã khách hàng]],code_khach_hang[],2,0)</f>
        <v>CHI NHÁNH NGHỆ AN - CÔNG TY CỔ PHẦN DỊCH VỤ THƯƠNG MẠI TỔNG HỢP WINCOMMERCE</v>
      </c>
      <c r="G2991" s="16"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c r="A2992" s="14" t="s">
        <v>3687</v>
      </c>
      <c r="B2992" s="15" t="s">
        <v>5</v>
      </c>
      <c r="C2992" s="10" t="s">
        <v>3688</v>
      </c>
      <c r="D2992" s="16" t="s">
        <v>9324</v>
      </c>
      <c r="E2992" s="15" t="s">
        <v>11215</v>
      </c>
      <c r="F2992" s="16" t="str">
        <f>VLOOKUP(Table8[[#This Row],[Mã khách hàng]],code_khach_hang[],2,0)</f>
        <v>CHI NHÁNH HÀ NỘI - CÔNG TY CỔ PHẦN DỊCH VỤ THƯƠNG MẠI TỔNG HỢP WINCOMMERCE</v>
      </c>
      <c r="G2992" s="16"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c r="A2993" s="14" t="s">
        <v>3594</v>
      </c>
      <c r="B2993" s="15" t="s">
        <v>5</v>
      </c>
      <c r="C2993" s="10" t="s">
        <v>3595</v>
      </c>
      <c r="D2993" s="16" t="s">
        <v>9327</v>
      </c>
      <c r="E2993" s="15" t="s">
        <v>11211</v>
      </c>
      <c r="F2993" s="16" t="str">
        <f>VLOOKUP(Table8[[#This Row],[Mã khách hàng]],code_khach_hang[],2,0)</f>
        <v>CHI NHÁNH NGHỆ AN - CÔNG TY CỔ PHẦN DỊCH VỤ THƯƠNG MẠI TỔNG HỢP WINCOMMERCE</v>
      </c>
      <c r="G2993" s="16"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c r="A2994" s="14" t="s">
        <v>3767</v>
      </c>
      <c r="B2994" s="15" t="s">
        <v>5</v>
      </c>
      <c r="C2994" s="10" t="s">
        <v>3768</v>
      </c>
      <c r="D2994" s="16" t="s">
        <v>9330</v>
      </c>
      <c r="E2994" s="15" t="s">
        <v>11193</v>
      </c>
      <c r="F2994" s="16" t="str">
        <f>VLOOKUP(Table8[[#This Row],[Mã khách hàng]],code_khach_hang[],2,0)</f>
        <v>CHI NHÁNH BẮC NINH - CÔNG TY CỔ PHẦN DỊCH VỤ THƯƠNG MẠI TỔNG HỢP WINCOMMERCE</v>
      </c>
      <c r="G2994" s="16"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c r="A2995" s="14" t="s">
        <v>3600</v>
      </c>
      <c r="B2995" s="15" t="s">
        <v>5</v>
      </c>
      <c r="C2995" s="10" t="s">
        <v>3601</v>
      </c>
      <c r="D2995" s="16" t="s">
        <v>9332</v>
      </c>
      <c r="E2995" s="15" t="s">
        <v>11215</v>
      </c>
      <c r="F2995" s="16" t="str">
        <f>VLOOKUP(Table8[[#This Row],[Mã khách hàng]],code_khach_hang[],2,0)</f>
        <v>CHI NHÁNH HÀ NỘI - CÔNG TY CỔ PHẦN DỊCH VỤ THƯƠNG MẠI TỔNG HỢP WINCOMMERCE</v>
      </c>
      <c r="G2995" s="16"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c r="A2996" s="14" t="s">
        <v>3826</v>
      </c>
      <c r="B2996" s="15" t="s">
        <v>5</v>
      </c>
      <c r="C2996" s="10" t="s">
        <v>3827</v>
      </c>
      <c r="D2996" s="16" t="s">
        <v>9335</v>
      </c>
      <c r="E2996" s="15" t="s">
        <v>11196</v>
      </c>
      <c r="F2996" s="16" t="str">
        <f>VLOOKUP(Table8[[#This Row],[Mã khách hàng]],code_khach_hang[],2,0)</f>
        <v>CHI NHÁNH NINH BÌNH - CÔNG TY CỔ PHẦN DỊCH VỤ THƯƠNG MẠI TỔNG HỢP WINCOMMERCE</v>
      </c>
      <c r="G2996" s="16"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c r="A2997" s="14" t="s">
        <v>3571</v>
      </c>
      <c r="B2997" s="15" t="s">
        <v>5</v>
      </c>
      <c r="C2997" s="10" t="s">
        <v>3572</v>
      </c>
      <c r="D2997" s="16" t="s">
        <v>9338</v>
      </c>
      <c r="E2997" s="15" t="s">
        <v>11198</v>
      </c>
      <c r="F2997" s="16" t="str">
        <f>VLOOKUP(Table8[[#This Row],[Mã khách hàng]],code_khach_hang[],2,0)</f>
        <v>CHI NHÁNH HẢI PHÒNG - CÔNG TY CỔ PHẦN DỊCH VỤ THƯƠNG MẠI TỔNG HỢP WINCOMMERCE</v>
      </c>
      <c r="G2997" s="16"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c r="A2998" s="14" t="s">
        <v>3856</v>
      </c>
      <c r="B2998" s="15" t="s">
        <v>5</v>
      </c>
      <c r="C2998" s="10" t="s">
        <v>3857</v>
      </c>
      <c r="D2998" s="16" t="s">
        <v>9340</v>
      </c>
      <c r="E2998" s="15" t="s">
        <v>11199</v>
      </c>
      <c r="F2998" s="16" t="str">
        <f>VLOOKUP(Table8[[#This Row],[Mã khách hàng]],code_khach_hang[],2,0)</f>
        <v>CHI NHÁNH PHÚ THỌ - CÔNG TY CỔ PHẦN DỊCH VỤ THƯƠNG MẠI TỔNG HỢP WINCOMMERCE</v>
      </c>
      <c r="G2998" s="16"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c r="A2999" s="14" t="s">
        <v>3738</v>
      </c>
      <c r="B2999" s="15" t="s">
        <v>5</v>
      </c>
      <c r="C2999" s="10" t="s">
        <v>3739</v>
      </c>
      <c r="D2999" s="16" t="s">
        <v>9342</v>
      </c>
      <c r="E2999" s="15" t="s">
        <v>11193</v>
      </c>
      <c r="F2999" s="16" t="str">
        <f>VLOOKUP(Table8[[#This Row],[Mã khách hàng]],code_khach_hang[],2,0)</f>
        <v>CHI NHÁNH BẮC NINH - CÔNG TY CỔ PHẦN DỊCH VỤ THƯƠNG MẠI TỔNG HỢP WINCOMMERCE</v>
      </c>
      <c r="G2999" s="16"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c r="A3000" s="14" t="s">
        <v>3816</v>
      </c>
      <c r="B3000" s="15" t="s">
        <v>5</v>
      </c>
      <c r="C3000" s="10" t="s">
        <v>3817</v>
      </c>
      <c r="D3000" s="16" t="s">
        <v>9344</v>
      </c>
      <c r="E3000" s="15" t="s">
        <v>11199</v>
      </c>
      <c r="F3000" s="16" t="str">
        <f>VLOOKUP(Table8[[#This Row],[Mã khách hàng]],code_khach_hang[],2,0)</f>
        <v>CHI NHÁNH PHÚ THỌ - CÔNG TY CỔ PHẦN DỊCH VỤ THƯƠNG MẠI TỔNG HỢP WINCOMMERCE</v>
      </c>
      <c r="G3000" s="16"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c r="A3001" s="14" t="s">
        <v>3823</v>
      </c>
      <c r="B3001" s="15" t="s">
        <v>5</v>
      </c>
      <c r="C3001" s="10" t="s">
        <v>3824</v>
      </c>
      <c r="D3001" s="16" t="s">
        <v>9347</v>
      </c>
      <c r="E3001" s="15" t="s">
        <v>11193</v>
      </c>
      <c r="F3001" s="16" t="str">
        <f>VLOOKUP(Table8[[#This Row],[Mã khách hàng]],code_khach_hang[],2,0)</f>
        <v>CHI NHÁNH BẮC NINH - CÔNG TY CỔ PHẦN DỊCH VỤ THƯƠNG MẠI TỔNG HỢP WINCOMMERCE</v>
      </c>
      <c r="G3001" s="16"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c r="A3002" s="11" t="s">
        <v>3821</v>
      </c>
      <c r="B3002" s="9" t="s">
        <v>5</v>
      </c>
      <c r="C3002" s="10"/>
      <c r="D3002" s="21"/>
      <c r="E3002" s="9" t="s">
        <v>11198</v>
      </c>
      <c r="F3002" s="22" t="str">
        <f>VLOOKUP(Table8[[#This Row],[Mã khách hàng]],code_khach_hang[],2,0)</f>
        <v>CHI NHÁNH HẢI PHÒNG - CÔNG TY CỔ PHẦN DỊCH VỤ THƯƠNG MẠI TỔNG HỢP WINCOMMERCE</v>
      </c>
      <c r="G3002" s="10"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c r="A3003" s="14" t="s">
        <v>3523</v>
      </c>
      <c r="B3003" s="15" t="s">
        <v>5</v>
      </c>
      <c r="C3003" s="16"/>
      <c r="D3003" s="21"/>
      <c r="E3003" s="15" t="s">
        <v>11193</v>
      </c>
      <c r="F3003" s="22" t="str">
        <f>VLOOKUP(Table8[[#This Row],[Mã khách hàng]],code_khach_hang[],2,0)</f>
        <v>CHI NHÁNH BẮC NINH - CÔNG TY CỔ PHẦN DỊCH VỤ THƯƠNG MẠI TỔNG HỢP WINCOMMERCE</v>
      </c>
      <c r="G3003" s="16"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c r="A3004" s="14" t="s">
        <v>3639</v>
      </c>
      <c r="B3004" s="15" t="s">
        <v>5</v>
      </c>
      <c r="C3004" s="16"/>
      <c r="D3004" s="21"/>
      <c r="E3004" s="15" t="s">
        <v>11216</v>
      </c>
      <c r="F3004" s="22" t="str">
        <f>VLOOKUP(Table8[[#This Row],[Mã khách hàng]],code_khach_hang[],2,0)</f>
        <v>CHI NHÁNH HƯNG YÊN - CÔNG TY CỔ PHẦN DỊCH VỤ THƯƠNG MẠI TỔNG HỢP WINCOMMERCE</v>
      </c>
      <c r="G3004" s="16"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c r="A3005" s="14" t="s">
        <v>3819</v>
      </c>
      <c r="B3005" s="15" t="s">
        <v>5</v>
      </c>
      <c r="C3005" s="16"/>
      <c r="D3005" s="21"/>
      <c r="E3005" s="15" t="s">
        <v>11199</v>
      </c>
      <c r="F3005" s="22" t="str">
        <f>VLOOKUP(Table8[[#This Row],[Mã khách hàng]],code_khach_hang[],2,0)</f>
        <v>CHI NHÁNH PHÚ THỌ - CÔNG TY CỔ PHẦN DỊCH VỤ THƯƠNG MẠI TỔNG HỢP WINCOMMERCE</v>
      </c>
      <c r="G3005" s="16"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c r="A3006" s="14" t="s">
        <v>3793</v>
      </c>
      <c r="B3006" s="15" t="s">
        <v>5</v>
      </c>
      <c r="C3006" s="16"/>
      <c r="D3006" s="21"/>
      <c r="E3006" s="15" t="s">
        <v>11196</v>
      </c>
      <c r="F3006" s="22" t="str">
        <f>VLOOKUP(Table8[[#This Row],[Mã khách hàng]],code_khach_hang[],2,0)</f>
        <v>CHI NHÁNH NINH BÌNH - CÔNG TY CỔ PHẦN DỊCH VỤ THƯƠNG MẠI TỔNG HỢP WINCOMMERCE</v>
      </c>
      <c r="G3006" s="16"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c r="A3007" s="14" t="s">
        <v>11147</v>
      </c>
      <c r="B3007" s="15" t="s">
        <v>5</v>
      </c>
      <c r="C3007" s="16"/>
      <c r="D3007" s="21"/>
      <c r="E3007" s="15" t="s">
        <v>11215</v>
      </c>
      <c r="F3007" s="22" t="str">
        <f>VLOOKUP(Table8[[#This Row],[Mã khách hàng]],code_khach_hang[],2,0)</f>
        <v>CHI NHÁNH HÀ NỘI - CÔNG TY CỔ PHẦN DỊCH VỤ THƯƠNG MẠI TỔNG HỢP WINCOMMERCE</v>
      </c>
      <c r="G3007" s="16"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c r="A3008" s="14" t="s">
        <v>3779</v>
      </c>
      <c r="B3008" s="15" t="s">
        <v>5</v>
      </c>
      <c r="C3008" s="16"/>
      <c r="D3008" s="21"/>
      <c r="E3008" s="15" t="s">
        <v>11197</v>
      </c>
      <c r="F3008" s="22" t="str">
        <f>VLOOKUP(Table8[[#This Row],[Mã khách hàng]],code_khach_hang[],2,0)</f>
        <v>CHI NHÁNH QUẢNG NINH - CÔNG TY CỔ PHẦN DỊCH VỤ THƯƠNG MẠI TỔNG HỢP WINCOMMERCE</v>
      </c>
      <c r="G3008" s="16"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c r="A3009" s="14" t="s">
        <v>9339</v>
      </c>
      <c r="B3009" s="15" t="s">
        <v>5</v>
      </c>
      <c r="C3009" s="16"/>
      <c r="D3009" s="21"/>
      <c r="E3009" s="15" t="s">
        <v>11198</v>
      </c>
      <c r="F3009" s="22" t="str">
        <f>VLOOKUP(Table8[[#This Row],[Mã khách hàng]],code_khach_hang[],2,0)</f>
        <v>CHI NHÁNH HẢI PHÒNG - CÔNG TY CỔ PHẦN DỊCH VỤ THƯƠNG MẠI TỔNG HỢP WINCOMMERCE</v>
      </c>
      <c r="G3009" s="16"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c r="A3010" s="14" t="s">
        <v>9277</v>
      </c>
      <c r="B3010" s="15" t="s">
        <v>5</v>
      </c>
      <c r="C3010" s="16"/>
      <c r="D3010" s="21"/>
      <c r="E3010" s="15" t="s">
        <v>11215</v>
      </c>
      <c r="F3010" s="22" t="str">
        <f>VLOOKUP(Table8[[#This Row],[Mã khách hàng]],code_khach_hang[],2,0)</f>
        <v>CHI NHÁNH HÀ NỘI - CÔNG TY CỔ PHẦN DỊCH VỤ THƯƠNG MẠI TỔNG HỢP WINCOMMERCE</v>
      </c>
      <c r="G3010" s="16"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c r="A3011" s="14" t="s">
        <v>9208</v>
      </c>
      <c r="B3011" s="15" t="s">
        <v>5</v>
      </c>
      <c r="C3011" s="16"/>
      <c r="D3011" s="21"/>
      <c r="E3011" s="15" t="s">
        <v>11211</v>
      </c>
      <c r="F3011" s="22" t="str">
        <f>VLOOKUP(Table8[[#This Row],[Mã khách hàng]],code_khach_hang[],2,0)</f>
        <v>CHI NHÁNH NGHỆ AN - CÔNG TY CỔ PHẦN DỊCH VỤ THƯƠNG MẠI TỔNG HỢP WINCOMMERCE</v>
      </c>
      <c r="G3011" s="16"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c r="A3012" s="14" t="s">
        <v>9279</v>
      </c>
      <c r="B3012" s="15" t="s">
        <v>5</v>
      </c>
      <c r="C3012" s="16"/>
      <c r="D3012" s="21"/>
      <c r="E3012" s="15" t="s">
        <v>11215</v>
      </c>
      <c r="F3012" s="22" t="str">
        <f>VLOOKUP(Table8[[#This Row],[Mã khách hàng]],code_khach_hang[],2,0)</f>
        <v>CHI NHÁNH HÀ NỘI - CÔNG TY CỔ PHẦN DỊCH VỤ THƯƠNG MẠI TỔNG HỢP WINCOMMERCE</v>
      </c>
      <c r="G3012" s="16"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c r="A3013" s="14" t="s">
        <v>9117</v>
      </c>
      <c r="B3013" s="15" t="s">
        <v>5</v>
      </c>
      <c r="C3013" s="16"/>
      <c r="D3013" s="21"/>
      <c r="E3013" s="15" t="s">
        <v>11193</v>
      </c>
      <c r="F3013" s="22" t="str">
        <f>VLOOKUP(Table8[[#This Row],[Mã khách hàng]],code_khach_hang[],2,0)</f>
        <v>CHI NHÁNH BẮC NINH - CÔNG TY CỔ PHẦN DỊCH VỤ THƯƠNG MẠI TỔNG HỢP WINCOMMERCE</v>
      </c>
      <c r="G3013" s="16"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c r="A3014" s="14" t="s">
        <v>9261</v>
      </c>
      <c r="B3014" s="15" t="s">
        <v>5</v>
      </c>
      <c r="C3014" s="16"/>
      <c r="D3014" s="21"/>
      <c r="E3014" s="15" t="s">
        <v>11203</v>
      </c>
      <c r="F3014" s="22" t="str">
        <f>VLOOKUP(Table8[[#This Row],[Mã khách hàng]],code_khach_hang[],2,0)</f>
        <v>CHI NHÁNH THANH HÓA - CÔNG TY CỔ PHẦN DỊCH VỤ THƯƠNG MẠI TỔNG HỢP WINCOMMERCE</v>
      </c>
      <c r="G3014" s="16"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c r="A3015" s="14" t="s">
        <v>9283</v>
      </c>
      <c r="B3015" s="15" t="s">
        <v>5</v>
      </c>
      <c r="C3015" s="16"/>
      <c r="D3015" s="21"/>
      <c r="E3015" s="15" t="s">
        <v>11215</v>
      </c>
      <c r="F3015" s="22" t="str">
        <f>VLOOKUP(Table8[[#This Row],[Mã khách hàng]],code_khach_hang[],2,0)</f>
        <v>CHI NHÁNH HÀ NỘI - CÔNG TY CỔ PHẦN DỊCH VỤ THƯƠNG MẠI TỔNG HỢP WINCOMMERCE</v>
      </c>
      <c r="G3015" s="16"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c r="A3016" s="14" t="s">
        <v>9289</v>
      </c>
      <c r="B3016" s="15" t="s">
        <v>5</v>
      </c>
      <c r="C3016" s="16"/>
      <c r="D3016" s="21"/>
      <c r="E3016" s="15" t="s">
        <v>11215</v>
      </c>
      <c r="F3016" s="22" t="str">
        <f>VLOOKUP(Table8[[#This Row],[Mã khách hàng]],code_khach_hang[],2,0)</f>
        <v>CHI NHÁNH HÀ NỘI - CÔNG TY CỔ PHẦN DỊCH VỤ THƯƠNG MẠI TỔNG HỢP WINCOMMERCE</v>
      </c>
      <c r="G3016" s="16"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c r="A3017" s="14" t="s">
        <v>9285</v>
      </c>
      <c r="B3017" s="15" t="s">
        <v>5</v>
      </c>
      <c r="C3017" s="16"/>
      <c r="D3017" s="21"/>
      <c r="E3017" s="15" t="s">
        <v>11215</v>
      </c>
      <c r="F3017" s="22" t="str">
        <f>VLOOKUP(Table8[[#This Row],[Mã khách hàng]],code_khach_hang[],2,0)</f>
        <v>CHI NHÁNH HÀ NỘI - CÔNG TY CỔ PHẦN DỊCH VỤ THƯƠNG MẠI TỔNG HỢP WINCOMMERCE</v>
      </c>
      <c r="G3017" s="16"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c r="A3018" s="14" t="s">
        <v>9268</v>
      </c>
      <c r="B3018" s="15" t="s">
        <v>5</v>
      </c>
      <c r="C3018" s="16"/>
      <c r="D3018" s="21"/>
      <c r="E3018" s="15" t="s">
        <v>11203</v>
      </c>
      <c r="F3018" s="22" t="str">
        <f>VLOOKUP(Table8[[#This Row],[Mã khách hàng]],code_khach_hang[],2,0)</f>
        <v>CHI NHÁNH THANH HÓA - CÔNG TY CỔ PHẦN DỊCH VỤ THƯƠNG MẠI TỔNG HỢP WINCOMMERCE</v>
      </c>
      <c r="G3018" s="16"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c r="A3019" s="14" t="s">
        <v>9270</v>
      </c>
      <c r="B3019" s="15" t="s">
        <v>5</v>
      </c>
      <c r="C3019" s="16"/>
      <c r="D3019" s="21"/>
      <c r="E3019" s="15" t="s">
        <v>11203</v>
      </c>
      <c r="F3019" s="22" t="str">
        <f>VLOOKUP(Table8[[#This Row],[Mã khách hàng]],code_khach_hang[],2,0)</f>
        <v>CHI NHÁNH THANH HÓA - CÔNG TY CỔ PHẦN DỊCH VỤ THƯƠNG MẠI TỔNG HỢP WINCOMMERCE</v>
      </c>
      <c r="G3019" s="16"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c r="A3020" s="14" t="s">
        <v>9316</v>
      </c>
      <c r="B3020" s="15" t="s">
        <v>5</v>
      </c>
      <c r="C3020" s="16"/>
      <c r="D3020" s="21"/>
      <c r="E3020" s="15" t="s">
        <v>11198</v>
      </c>
      <c r="F3020" s="22" t="str">
        <f>VLOOKUP(Table8[[#This Row],[Mã khách hàng]],code_khach_hang[],2,0)</f>
        <v>CHI NHÁNH HẢI PHÒNG - CÔNG TY CỔ PHẦN DỊCH VỤ THƯƠNG MẠI TỔNG HỢP WINCOMMERCE</v>
      </c>
      <c r="G3020" s="16"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c r="A3021" s="14" t="s">
        <v>9287</v>
      </c>
      <c r="B3021" s="15" t="s">
        <v>5</v>
      </c>
      <c r="C3021" s="16"/>
      <c r="D3021" s="21"/>
      <c r="E3021" s="15" t="s">
        <v>11215</v>
      </c>
      <c r="F3021" s="22" t="str">
        <f>VLOOKUP(Table8[[#This Row],[Mã khách hàng]],code_khach_hang[],2,0)</f>
        <v>CHI NHÁNH HÀ NỘI - CÔNG TY CỔ PHẦN DỊCH VỤ THƯƠNG MẠI TỔNG HỢP WINCOMMERCE</v>
      </c>
      <c r="G3021" s="16"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c r="A3022" s="14" t="s">
        <v>9320</v>
      </c>
      <c r="B3022" s="15" t="s">
        <v>5</v>
      </c>
      <c r="C3022" s="16"/>
      <c r="D3022" s="21"/>
      <c r="E3022" s="15" t="s">
        <v>11198</v>
      </c>
      <c r="F3022" s="22" t="str">
        <f>VLOOKUP(Table8[[#This Row],[Mã khách hàng]],code_khach_hang[],2,0)</f>
        <v>CHI NHÁNH HẢI PHÒNG - CÔNG TY CỔ PHẦN DỊCH VỤ THƯƠNG MẠI TỔNG HỢP WINCOMMERCE</v>
      </c>
      <c r="G3022" s="16"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c r="A3023" s="14" t="s">
        <v>9246</v>
      </c>
      <c r="B3023" s="15" t="s">
        <v>5</v>
      </c>
      <c r="C3023" s="16"/>
      <c r="D3023" s="21"/>
      <c r="E3023" s="15" t="s">
        <v>11197</v>
      </c>
      <c r="F3023" s="22" t="str">
        <f>VLOOKUP(Table8[[#This Row],[Mã khách hàng]],code_khach_hang[],2,0)</f>
        <v>CHI NHÁNH QUẢNG NINH - CÔNG TY CỔ PHẦN DỊCH VỤ THƯƠNG MẠI TỔNG HỢP WINCOMMERCE</v>
      </c>
      <c r="G3023" s="16"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c r="A3024" s="14" t="s">
        <v>9222</v>
      </c>
      <c r="B3024" s="15" t="s">
        <v>5</v>
      </c>
      <c r="C3024" s="16"/>
      <c r="D3024" s="21"/>
      <c r="E3024" s="15" t="s">
        <v>11196</v>
      </c>
      <c r="F3024" s="22" t="str">
        <f>VLOOKUP(Table8[[#This Row],[Mã khách hàng]],code_khach_hang[],2,0)</f>
        <v>CHI NHÁNH NINH BÌNH - CÔNG TY CỔ PHẦN DỊCH VỤ THƯƠNG MẠI TỔNG HỢP WINCOMMERCE</v>
      </c>
      <c r="G3024" s="16"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c r="A3025" s="14" t="s">
        <v>11148</v>
      </c>
      <c r="B3025" s="15" t="s">
        <v>5</v>
      </c>
      <c r="C3025" s="16"/>
      <c r="D3025" s="21"/>
      <c r="E3025" s="15" t="s">
        <v>11211</v>
      </c>
      <c r="F3025" s="22" t="str">
        <f>VLOOKUP(Table8[[#This Row],[Mã khách hàng]],code_khach_hang[],2,0)</f>
        <v>CHI NHÁNH NGHỆ AN - CÔNG TY CỔ PHẦN DỊCH VỤ THƯƠNG MẠI TỔNG HỢP WINCOMMERCE</v>
      </c>
      <c r="G3025" s="16"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c r="A3026" s="14" t="s">
        <v>9244</v>
      </c>
      <c r="B3026" s="15" t="s">
        <v>5</v>
      </c>
      <c r="C3026" s="16"/>
      <c r="D3026" s="21"/>
      <c r="E3026" s="15" t="s">
        <v>11199</v>
      </c>
      <c r="F3026" s="22" t="str">
        <f>VLOOKUP(Table8[[#This Row],[Mã khách hàng]],code_khach_hang[],2,0)</f>
        <v>CHI NHÁNH PHÚ THỌ - CÔNG TY CỔ PHẦN DỊCH VỤ THƯƠNG MẠI TỔNG HỢP WINCOMMERCE</v>
      </c>
      <c r="G3026" s="16"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c r="A3027" s="14" t="s">
        <v>9341</v>
      </c>
      <c r="B3027" s="15" t="s">
        <v>5</v>
      </c>
      <c r="C3027" s="16"/>
      <c r="D3027" s="21"/>
      <c r="E3027" s="15" t="s">
        <v>11215</v>
      </c>
      <c r="F3027" s="22" t="str">
        <f>VLOOKUP(Table8[[#This Row],[Mã khách hàng]],code_khach_hang[],2,0)</f>
        <v>CHI NHÁNH HÀ NỘI - CÔNG TY CỔ PHẦN DỊCH VỤ THƯƠNG MẠI TỔNG HỢP WINCOMMERCE</v>
      </c>
      <c r="G3027" s="16"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c r="A3028" s="14" t="s">
        <v>9226</v>
      </c>
      <c r="B3028" s="15" t="s">
        <v>5</v>
      </c>
      <c r="C3028" s="16"/>
      <c r="D3028" s="21"/>
      <c r="E3028" s="15" t="s">
        <v>11196</v>
      </c>
      <c r="F3028" s="22" t="str">
        <f>VLOOKUP(Table8[[#This Row],[Mã khách hàng]],code_khach_hang[],2,0)</f>
        <v>CHI NHÁNH NINH BÌNH - CÔNG TY CỔ PHẦN DỊCH VỤ THƯƠNG MẠI TỔNG HỢP WINCOMMERCE</v>
      </c>
      <c r="G3028" s="16"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c r="A3029" s="14" t="s">
        <v>9281</v>
      </c>
      <c r="B3029" s="15" t="s">
        <v>5</v>
      </c>
      <c r="C3029" s="16"/>
      <c r="D3029" s="21"/>
      <c r="E3029" s="15" t="s">
        <v>11215</v>
      </c>
      <c r="F3029" s="22" t="str">
        <f>VLOOKUP(Table8[[#This Row],[Mã khách hàng]],code_khach_hang[],2,0)</f>
        <v>CHI NHÁNH HÀ NỘI - CÔNG TY CỔ PHẦN DỊCH VỤ THƯƠNG MẠI TỔNG HỢP WINCOMMERCE</v>
      </c>
      <c r="G3029" s="16"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c r="A3030" s="14" t="s">
        <v>9195</v>
      </c>
      <c r="B3030" s="15" t="s">
        <v>5</v>
      </c>
      <c r="C3030" s="16"/>
      <c r="D3030" s="21"/>
      <c r="E3030" s="15" t="s">
        <v>11216</v>
      </c>
      <c r="F3030" s="22" t="str">
        <f>VLOOKUP(Table8[[#This Row],[Mã khách hàng]],code_khach_hang[],2,0)</f>
        <v>CHI NHÁNH HƯNG YÊN - CÔNG TY CỔ PHẦN DỊCH VỤ THƯƠNG MẠI TỔNG HỢP WINCOMMERCE</v>
      </c>
      <c r="G3030" s="16"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c r="A3031" s="14" t="s">
        <v>9210</v>
      </c>
      <c r="B3031" s="15" t="s">
        <v>5</v>
      </c>
      <c r="C3031" s="16"/>
      <c r="D3031" s="21"/>
      <c r="E3031" s="15" t="s">
        <v>11211</v>
      </c>
      <c r="F3031" s="22" t="str">
        <f>VLOOKUP(Table8[[#This Row],[Mã khách hàng]],code_khach_hang[],2,0)</f>
        <v>CHI NHÁNH NGHỆ AN - CÔNG TY CỔ PHẦN DỊCH VỤ THƯƠNG MẠI TỔNG HỢP WINCOMMERCE</v>
      </c>
      <c r="G3031" s="16"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c r="A3032" s="14" t="s">
        <v>9236</v>
      </c>
      <c r="B3032" s="15" t="s">
        <v>5</v>
      </c>
      <c r="C3032" s="16"/>
      <c r="D3032" s="21"/>
      <c r="E3032" s="15" t="s">
        <v>11199</v>
      </c>
      <c r="F3032" s="22" t="str">
        <f>VLOOKUP(Table8[[#This Row],[Mã khách hàng]],code_khach_hang[],2,0)</f>
        <v>CHI NHÁNH PHÚ THỌ - CÔNG TY CỔ PHẦN DỊCH VỤ THƯƠNG MẠI TỔNG HỢP WINCOMMERCE</v>
      </c>
      <c r="G3032" s="16"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c r="A3033" s="14" t="s">
        <v>9238</v>
      </c>
      <c r="B3033" s="15" t="s">
        <v>5</v>
      </c>
      <c r="C3033" s="16"/>
      <c r="D3033" s="21"/>
      <c r="E3033" s="15" t="s">
        <v>11199</v>
      </c>
      <c r="F3033" s="22" t="str">
        <f>VLOOKUP(Table8[[#This Row],[Mã khách hàng]],code_khach_hang[],2,0)</f>
        <v>CHI NHÁNH PHÚ THỌ - CÔNG TY CỔ PHẦN DỊCH VỤ THƯƠNG MẠI TỔNG HỢP WINCOMMERCE</v>
      </c>
      <c r="G3033" s="16"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c r="A3034" s="14" t="s">
        <v>9331</v>
      </c>
      <c r="B3034" s="15" t="s">
        <v>5</v>
      </c>
      <c r="C3034" s="16"/>
      <c r="D3034" s="21"/>
      <c r="E3034" s="15" t="s">
        <v>11215</v>
      </c>
      <c r="F3034" s="22" t="str">
        <f>VLOOKUP(Table8[[#This Row],[Mã khách hàng]],code_khach_hang[],2,0)</f>
        <v>CHI NHÁNH HÀ NỘI - CÔNG TY CỔ PHẦN DỊCH VỤ THƯƠNG MẠI TỔNG HỢP WINCOMMERCE</v>
      </c>
      <c r="G3034" s="16"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c r="A3035" s="14" t="s">
        <v>9142</v>
      </c>
      <c r="B3035" s="15" t="s">
        <v>5</v>
      </c>
      <c r="C3035" s="16"/>
      <c r="D3035" s="21"/>
      <c r="E3035" s="15" t="s">
        <v>11205</v>
      </c>
      <c r="F3035" s="22" t="str">
        <f>VLOOKUP(Table8[[#This Row],[Mã khách hàng]],code_khach_hang[],2,0)</f>
        <v>CHI NHÁNH HÀ TĨNH - CÔNG TY CỔ PHẦN DỊCH VỤ THƯƠNG MẠI TỔNG HỢP WINCOMMERCE</v>
      </c>
      <c r="G3035" s="16"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c r="A3036" s="14" t="s">
        <v>11149</v>
      </c>
      <c r="B3036" s="15" t="s">
        <v>5</v>
      </c>
      <c r="C3036" s="16"/>
      <c r="D3036" s="21"/>
      <c r="E3036" s="15" t="s">
        <v>11211</v>
      </c>
      <c r="F3036" s="22" t="str">
        <f>VLOOKUP(Table8[[#This Row],[Mã khách hàng]],code_khach_hang[],2,0)</f>
        <v>CHI NHÁNH NGHỆ AN - CÔNG TY CỔ PHẦN DỊCH VỤ THƯƠNG MẠI TỔNG HỢP WINCOMMERCE</v>
      </c>
      <c r="G3036" s="16"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c r="A3037" s="14" t="s">
        <v>9189</v>
      </c>
      <c r="B3037" s="15" t="s">
        <v>5</v>
      </c>
      <c r="C3037" s="16"/>
      <c r="D3037" s="21"/>
      <c r="E3037" s="15" t="s">
        <v>11216</v>
      </c>
      <c r="F3037" s="22" t="str">
        <f>VLOOKUP(Table8[[#This Row],[Mã khách hàng]],code_khach_hang[],2,0)</f>
        <v>CHI NHÁNH HƯNG YÊN - CÔNG TY CỔ PHẦN DỊCH VỤ THƯƠNG MẠI TỔNG HỢP WINCOMMERCE</v>
      </c>
      <c r="G3037" s="16"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c r="A3038" s="14" t="s">
        <v>9228</v>
      </c>
      <c r="B3038" s="15" t="s">
        <v>5</v>
      </c>
      <c r="C3038" s="16"/>
      <c r="D3038" s="21"/>
      <c r="E3038" s="15" t="s">
        <v>11196</v>
      </c>
      <c r="F3038" s="22" t="str">
        <f>VLOOKUP(Table8[[#This Row],[Mã khách hàng]],code_khach_hang[],2,0)</f>
        <v>CHI NHÁNH NINH BÌNH - CÔNG TY CỔ PHẦN DỊCH VỤ THƯƠNG MẠI TỔNG HỢP WINCOMMERCE</v>
      </c>
      <c r="G3038" s="16"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c r="A3039" s="14" t="s">
        <v>11150</v>
      </c>
      <c r="B3039" s="15" t="s">
        <v>5</v>
      </c>
      <c r="C3039" s="16"/>
      <c r="D3039" s="21"/>
      <c r="E3039" s="15" t="s">
        <v>11216</v>
      </c>
      <c r="F3039" s="22" t="str">
        <f>VLOOKUP(Table8[[#This Row],[Mã khách hàng]],code_khach_hang[],2,0)</f>
        <v>CHI NHÁNH HƯNG YÊN - CÔNG TY CỔ PHẦN DỊCH VỤ THƯƠNG MẠI TỔNG HỢP WINCOMMERCE</v>
      </c>
      <c r="G3039" s="16"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c r="A3040" s="14" t="s">
        <v>9291</v>
      </c>
      <c r="B3040" s="15" t="s">
        <v>5</v>
      </c>
      <c r="C3040" s="16"/>
      <c r="D3040" s="21"/>
      <c r="E3040" s="15" t="s">
        <v>11215</v>
      </c>
      <c r="F3040" s="22" t="str">
        <f>VLOOKUP(Table8[[#This Row],[Mã khách hàng]],code_khach_hang[],2,0)</f>
        <v>CHI NHÁNH HÀ NỘI - CÔNG TY CỔ PHẦN DỊCH VỤ THƯƠNG MẠI TỔNG HỢP WINCOMMERCE</v>
      </c>
      <c r="G3040" s="16"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c r="A3041" s="14" t="s">
        <v>9206</v>
      </c>
      <c r="B3041" s="15" t="s">
        <v>5</v>
      </c>
      <c r="C3041" s="16"/>
      <c r="D3041" s="21"/>
      <c r="E3041" s="15" t="s">
        <v>11211</v>
      </c>
      <c r="F3041" s="22" t="str">
        <f>VLOOKUP(Table8[[#This Row],[Mã khách hàng]],code_khach_hang[],2,0)</f>
        <v>CHI NHÁNH NGHỆ AN - CÔNG TY CỔ PHẦN DỊCH VỤ THƯƠNG MẠI TỔNG HỢP WINCOMMERCE</v>
      </c>
      <c r="G3041" s="16"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c r="A3042" s="14" t="s">
        <v>9220</v>
      </c>
      <c r="B3042" s="15" t="s">
        <v>5</v>
      </c>
      <c r="C3042" s="16"/>
      <c r="D3042" s="21"/>
      <c r="E3042" s="15" t="s">
        <v>11196</v>
      </c>
      <c r="F3042" s="22" t="str">
        <f>VLOOKUP(Table8[[#This Row],[Mã khách hàng]],code_khach_hang[],2,0)</f>
        <v>CHI NHÁNH NINH BÌNH - CÔNG TY CỔ PHẦN DỊCH VỤ THƯƠNG MẠI TỔNG HỢP WINCOMMERCE</v>
      </c>
      <c r="G3042" s="16"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c r="A3043" s="14" t="s">
        <v>9199</v>
      </c>
      <c r="B3043" s="15" t="s">
        <v>5</v>
      </c>
      <c r="C3043" s="16"/>
      <c r="D3043" s="21"/>
      <c r="E3043" s="15" t="s">
        <v>11216</v>
      </c>
      <c r="F3043" s="22" t="str">
        <f>VLOOKUP(Table8[[#This Row],[Mã khách hàng]],code_khach_hang[],2,0)</f>
        <v>CHI NHÁNH HƯNG YÊN - CÔNG TY CỔ PHẦN DỊCH VỤ THƯƠNG MẠI TỔNG HỢP WINCOMMERCE</v>
      </c>
      <c r="G3043" s="16"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c r="A3044" s="14" t="s">
        <v>9203</v>
      </c>
      <c r="B3044" s="15" t="s">
        <v>5</v>
      </c>
      <c r="C3044" s="16"/>
      <c r="D3044" s="21"/>
      <c r="E3044" s="15" t="s">
        <v>11218</v>
      </c>
      <c r="F3044" s="22" t="str">
        <f>VLOOKUP(Table8[[#This Row],[Mã khách hàng]],code_khach_hang[],2,0)</f>
        <v>CHI NHÁNH LÀO CAI - CÔNG TY CỔ PHẦN DỊCH VỤ THƯƠNG MẠI TỔNG HỢP WINCOMMERCE</v>
      </c>
      <c r="G3044" s="16"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c r="A3045" s="14" t="s">
        <v>11151</v>
      </c>
      <c r="B3045" s="15" t="s">
        <v>5</v>
      </c>
      <c r="C3045" s="16"/>
      <c r="D3045" s="21"/>
      <c r="E3045" s="15" t="s">
        <v>11215</v>
      </c>
      <c r="F3045" s="22" t="str">
        <f>VLOOKUP(Table8[[#This Row],[Mã khách hàng]],code_khach_hang[],2,0)</f>
        <v>CHI NHÁNH HÀ NỘI - CÔNG TY CỔ PHẦN DỊCH VỤ THƯƠNG MẠI TỔNG HỢP WINCOMMERCE</v>
      </c>
      <c r="G3045" s="16"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c r="A3046" s="14" t="s">
        <v>9314</v>
      </c>
      <c r="B3046" s="15" t="s">
        <v>5</v>
      </c>
      <c r="C3046" s="16"/>
      <c r="D3046" s="21"/>
      <c r="E3046" s="15" t="s">
        <v>11198</v>
      </c>
      <c r="F3046" s="22" t="str">
        <f>VLOOKUP(Table8[[#This Row],[Mã khách hàng]],code_khach_hang[],2,0)</f>
        <v>CHI NHÁNH HẢI PHÒNG - CÔNG TY CỔ PHẦN DỊCH VỤ THƯƠNG MẠI TỔNG HỢP WINCOMMERCE</v>
      </c>
      <c r="G3046" s="16"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c r="A3047" s="14" t="s">
        <v>9218</v>
      </c>
      <c r="B3047" s="15" t="s">
        <v>5</v>
      </c>
      <c r="C3047" s="16"/>
      <c r="D3047" s="21"/>
      <c r="E3047" s="15" t="s">
        <v>11196</v>
      </c>
      <c r="F3047" s="22" t="str">
        <f>VLOOKUP(Table8[[#This Row],[Mã khách hàng]],code_khach_hang[],2,0)</f>
        <v>CHI NHÁNH NINH BÌNH - CÔNG TY CỔ PHẦN DỊCH VỤ THƯƠNG MẠI TỔNG HỢP WINCOMMERCE</v>
      </c>
      <c r="G3047" s="16"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c r="A3048" s="14" t="s">
        <v>9312</v>
      </c>
      <c r="B3048" s="15" t="s">
        <v>5</v>
      </c>
      <c r="C3048" s="16"/>
      <c r="D3048" s="21"/>
      <c r="E3048" s="15" t="s">
        <v>11198</v>
      </c>
      <c r="F3048" s="22" t="str">
        <f>VLOOKUP(Table8[[#This Row],[Mã khách hàng]],code_khach_hang[],2,0)</f>
        <v>CHI NHÁNH HẢI PHÒNG - CÔNG TY CỔ PHẦN DỊCH VỤ THƯƠNG MẠI TỔNG HỢP WINCOMMERCE</v>
      </c>
      <c r="G3048" s="16"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c r="A3049" s="14" t="s">
        <v>9297</v>
      </c>
      <c r="B3049" s="15" t="s">
        <v>5</v>
      </c>
      <c r="C3049" s="16"/>
      <c r="D3049" s="21"/>
      <c r="E3049" s="15" t="s">
        <v>11215</v>
      </c>
      <c r="F3049" s="22" t="str">
        <f>VLOOKUP(Table8[[#This Row],[Mã khách hàng]],code_khach_hang[],2,0)</f>
        <v>CHI NHÁNH HÀ NỘI - CÔNG TY CỔ PHẦN DỊCH VỤ THƯƠNG MẠI TỔNG HỢP WINCOMMERCE</v>
      </c>
      <c r="G3049" s="16"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c r="A3050" s="14" t="s">
        <v>11152</v>
      </c>
      <c r="B3050" s="15" t="s">
        <v>5</v>
      </c>
      <c r="C3050" s="16"/>
      <c r="D3050" s="21"/>
      <c r="E3050" s="15" t="s">
        <v>11215</v>
      </c>
      <c r="F3050" s="22" t="str">
        <f>VLOOKUP(Table8[[#This Row],[Mã khách hàng]],code_khach_hang[],2,0)</f>
        <v>CHI NHÁNH HÀ NỘI - CÔNG TY CỔ PHẦN DỊCH VỤ THƯƠNG MẠI TỔNG HỢP WINCOMMERCE</v>
      </c>
      <c r="G3050" s="16"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c r="A3051" s="14" t="s">
        <v>11153</v>
      </c>
      <c r="B3051" s="15" t="s">
        <v>5</v>
      </c>
      <c r="C3051" s="16"/>
      <c r="D3051" s="21"/>
      <c r="E3051" s="15" t="s">
        <v>11196</v>
      </c>
      <c r="F3051" s="22" t="str">
        <f>VLOOKUP(Table8[[#This Row],[Mã khách hàng]],code_khach_hang[],2,0)</f>
        <v>CHI NHÁNH NINH BÌNH - CÔNG TY CỔ PHẦN DỊCH VỤ THƯƠNG MẠI TỔNG HỢP WINCOMMERCE</v>
      </c>
      <c r="G3051" s="16"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c r="A3052" s="14" t="s">
        <v>9224</v>
      </c>
      <c r="B3052" s="15" t="s">
        <v>5</v>
      </c>
      <c r="C3052" s="16"/>
      <c r="D3052" s="21"/>
      <c r="E3052" s="15" t="s">
        <v>11196</v>
      </c>
      <c r="F3052" s="22" t="str">
        <f>VLOOKUP(Table8[[#This Row],[Mã khách hàng]],code_khach_hang[],2,0)</f>
        <v>CHI NHÁNH NINH BÌNH - CÔNG TY CỔ PHẦN DỊCH VỤ THƯƠNG MẠI TỔNG HỢP WINCOMMERCE</v>
      </c>
      <c r="G3052" s="16"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c r="A3053" s="14" t="s">
        <v>9191</v>
      </c>
      <c r="B3053" s="15" t="s">
        <v>5</v>
      </c>
      <c r="C3053" s="16"/>
      <c r="D3053" s="21"/>
      <c r="E3053" s="15" t="s">
        <v>11216</v>
      </c>
      <c r="F3053" s="22" t="str">
        <f>VLOOKUP(Table8[[#This Row],[Mã khách hàng]],code_khach_hang[],2,0)</f>
        <v>CHI NHÁNH HƯNG YÊN - CÔNG TY CỔ PHẦN DỊCH VỤ THƯƠNG MẠI TỔNG HỢP WINCOMMERCE</v>
      </c>
      <c r="G3053" s="16"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c r="A3054" s="14" t="s">
        <v>9230</v>
      </c>
      <c r="B3054" s="15" t="s">
        <v>5</v>
      </c>
      <c r="C3054" s="16"/>
      <c r="D3054" s="21"/>
      <c r="E3054" s="15" t="s">
        <v>11196</v>
      </c>
      <c r="F3054" s="22" t="str">
        <f>VLOOKUP(Table8[[#This Row],[Mã khách hàng]],code_khach_hang[],2,0)</f>
        <v>CHI NHÁNH NINH BÌNH - CÔNG TY CỔ PHẦN DỊCH VỤ THƯƠNG MẠI TỔNG HỢP WINCOMMERCE</v>
      </c>
      <c r="G3054" s="16"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c r="A3055" s="14" t="s">
        <v>9266</v>
      </c>
      <c r="B3055" s="15" t="s">
        <v>5</v>
      </c>
      <c r="C3055" s="16"/>
      <c r="D3055" s="21"/>
      <c r="E3055" s="15" t="s">
        <v>11203</v>
      </c>
      <c r="F3055" s="22" t="str">
        <f>VLOOKUP(Table8[[#This Row],[Mã khách hàng]],code_khach_hang[],2,0)</f>
        <v>CHI NHÁNH THANH HÓA - CÔNG TY CỔ PHẦN DỊCH VỤ THƯƠNG MẠI TỔNG HỢP WINCOMMERCE</v>
      </c>
      <c r="G3055" s="16"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c r="A3056" s="14" t="s">
        <v>9318</v>
      </c>
      <c r="B3056" s="15" t="s">
        <v>5</v>
      </c>
      <c r="C3056" s="16"/>
      <c r="D3056" s="21"/>
      <c r="E3056" s="15" t="s">
        <v>11198</v>
      </c>
      <c r="F3056" s="22" t="str">
        <f>VLOOKUP(Table8[[#This Row],[Mã khách hàng]],code_khach_hang[],2,0)</f>
        <v>CHI NHÁNH HẢI PHÒNG - CÔNG TY CỔ PHẦN DỊCH VỤ THƯƠNG MẠI TỔNG HỢP WINCOMMERCE</v>
      </c>
      <c r="G3056" s="16"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c r="A3057" s="14" t="s">
        <v>9293</v>
      </c>
      <c r="B3057" s="15" t="s">
        <v>5</v>
      </c>
      <c r="C3057" s="16"/>
      <c r="D3057" s="21"/>
      <c r="E3057" s="15" t="s">
        <v>11215</v>
      </c>
      <c r="F3057" s="22" t="str">
        <f>VLOOKUP(Table8[[#This Row],[Mã khách hàng]],code_khach_hang[],2,0)</f>
        <v>CHI NHÁNH HÀ NỘI - CÔNG TY CỔ PHẦN DỊCH VỤ THƯƠNG MẠI TỔNG HỢP WINCOMMERCE</v>
      </c>
      <c r="G3057" s="16"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c r="A3058" s="14" t="s">
        <v>9197</v>
      </c>
      <c r="B3058" s="15" t="s">
        <v>5</v>
      </c>
      <c r="C3058" s="16"/>
      <c r="D3058" s="21"/>
      <c r="E3058" s="15" t="s">
        <v>11216</v>
      </c>
      <c r="F3058" s="22" t="str">
        <f>VLOOKUP(Table8[[#This Row],[Mã khách hàng]],code_khach_hang[],2,0)</f>
        <v>CHI NHÁNH HƯNG YÊN - CÔNG TY CỔ PHẦN DỊCH VỤ THƯƠNG MẠI TỔNG HỢP WINCOMMERCE</v>
      </c>
      <c r="G3058" s="16"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c r="A3059" s="14" t="s">
        <v>9212</v>
      </c>
      <c r="B3059" s="15" t="s">
        <v>5</v>
      </c>
      <c r="C3059" s="16"/>
      <c r="D3059" s="21"/>
      <c r="E3059" s="15" t="s">
        <v>11211</v>
      </c>
      <c r="F3059" s="22" t="str">
        <f>VLOOKUP(Table8[[#This Row],[Mã khách hàng]],code_khach_hang[],2,0)</f>
        <v>CHI NHÁNH NGHỆ AN - CÔNG TY CỔ PHẦN DỊCH VỤ THƯƠNG MẠI TỔNG HỢP WINCOMMERCE</v>
      </c>
      <c r="G3059" s="16"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c r="A3060" s="14" t="s">
        <v>11154</v>
      </c>
      <c r="B3060" s="15" t="s">
        <v>5</v>
      </c>
      <c r="C3060" s="16"/>
      <c r="D3060" s="21"/>
      <c r="E3060" s="15" t="s">
        <v>11198</v>
      </c>
      <c r="F3060" s="22" t="str">
        <f>VLOOKUP(Table8[[#This Row],[Mã khách hàng]],code_khach_hang[],2,0)</f>
        <v>CHI NHÁNH HẢI PHÒNG - CÔNG TY CỔ PHẦN DỊCH VỤ THƯƠNG MẠI TỔNG HỢP WINCOMMERCE</v>
      </c>
      <c r="G3060" s="16"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c r="A3061" s="14" t="s">
        <v>11155</v>
      </c>
      <c r="B3061" s="15" t="s">
        <v>5</v>
      </c>
      <c r="C3061" s="16"/>
      <c r="D3061" s="21"/>
      <c r="E3061" s="15" t="s">
        <v>11215</v>
      </c>
      <c r="F3061" s="22" t="str">
        <f>VLOOKUP(Table8[[#This Row],[Mã khách hàng]],code_khach_hang[],2,0)</f>
        <v>CHI NHÁNH HÀ NỘI - CÔNG TY CỔ PHẦN DỊCH VỤ THƯƠNG MẠI TỔNG HỢP WINCOMMERCE</v>
      </c>
      <c r="G3061" s="16"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c r="A3062" s="14" t="s">
        <v>9240</v>
      </c>
      <c r="B3062" s="15" t="s">
        <v>5</v>
      </c>
      <c r="C3062" s="16"/>
      <c r="D3062" s="21"/>
      <c r="E3062" s="15" t="s">
        <v>11199</v>
      </c>
      <c r="F3062" s="22" t="str">
        <f>VLOOKUP(Table8[[#This Row],[Mã khách hàng]],code_khach_hang[],2,0)</f>
        <v>CHI NHÁNH PHÚ THỌ - CÔNG TY CỔ PHẦN DỊCH VỤ THƯƠNG MẠI TỔNG HỢP WINCOMMERCE</v>
      </c>
      <c r="G3062" s="16"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c r="A3063" s="14" t="s">
        <v>9119</v>
      </c>
      <c r="B3063" s="15" t="s">
        <v>5</v>
      </c>
      <c r="C3063" s="16"/>
      <c r="D3063" s="21"/>
      <c r="E3063" s="15" t="s">
        <v>11193</v>
      </c>
      <c r="F3063" s="22" t="str">
        <f>VLOOKUP(Table8[[#This Row],[Mã khách hàng]],code_khach_hang[],2,0)</f>
        <v>CHI NHÁNH BẮC NINH - CÔNG TY CỔ PHẦN DỊCH VỤ THƯƠNG MẠI TỔNG HỢP WINCOMMERCE</v>
      </c>
      <c r="G3063" s="16"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c r="A3064" s="14" t="s">
        <v>9201</v>
      </c>
      <c r="B3064" s="15" t="s">
        <v>5</v>
      </c>
      <c r="C3064" s="16"/>
      <c r="D3064" s="21"/>
      <c r="E3064" s="15" t="s">
        <v>11216</v>
      </c>
      <c r="F3064" s="22" t="str">
        <f>VLOOKUP(Table8[[#This Row],[Mã khách hàng]],code_khach_hang[],2,0)</f>
        <v>CHI NHÁNH HƯNG YÊN - CÔNG TY CỔ PHẦN DỊCH VỤ THƯƠNG MẠI TỔNG HỢP WINCOMMERCE</v>
      </c>
      <c r="G3064" s="16"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c r="A3065" s="14" t="s">
        <v>9214</v>
      </c>
      <c r="B3065" s="15" t="s">
        <v>5</v>
      </c>
      <c r="C3065" s="16"/>
      <c r="D3065" s="21"/>
      <c r="E3065" s="15" t="s">
        <v>11211</v>
      </c>
      <c r="F3065" s="22" t="str">
        <f>VLOOKUP(Table8[[#This Row],[Mã khách hàng]],code_khach_hang[],2,0)</f>
        <v>CHI NHÁNH NGHỆ AN - CÔNG TY CỔ PHẦN DỊCH VỤ THƯƠNG MẠI TỔNG HỢP WINCOMMERCE</v>
      </c>
      <c r="G3065" s="16"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c r="A3066" s="14" t="s">
        <v>9272</v>
      </c>
      <c r="B3066" s="15" t="s">
        <v>5</v>
      </c>
      <c r="C3066" s="16"/>
      <c r="D3066" s="21"/>
      <c r="E3066" s="15" t="s">
        <v>11203</v>
      </c>
      <c r="F3066" s="22" t="str">
        <f>VLOOKUP(Table8[[#This Row],[Mã khách hàng]],code_khach_hang[],2,0)</f>
        <v>CHI NHÁNH THANH HÓA - CÔNG TY CỔ PHẦN DỊCH VỤ THƯƠNG MẠI TỔNG HỢP WINCOMMERCE</v>
      </c>
      <c r="G3066" s="16"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c r="A3067" s="14" t="s">
        <v>9193</v>
      </c>
      <c r="B3067" s="15" t="s">
        <v>5</v>
      </c>
      <c r="C3067" s="16"/>
      <c r="D3067" s="21"/>
      <c r="E3067" s="15" t="s">
        <v>11216</v>
      </c>
      <c r="F3067" s="22" t="str">
        <f>VLOOKUP(Table8[[#This Row],[Mã khách hàng]],code_khach_hang[],2,0)</f>
        <v>CHI NHÁNH HƯNG YÊN - CÔNG TY CỔ PHẦN DỊCH VỤ THƯƠNG MẠI TỔNG HỢP WINCOMMERCE</v>
      </c>
      <c r="G3067" s="16"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c r="A3068" s="14" t="s">
        <v>9123</v>
      </c>
      <c r="B3068" s="15" t="s">
        <v>5</v>
      </c>
      <c r="C3068" s="16"/>
      <c r="D3068" s="21"/>
      <c r="E3068" s="15" t="s">
        <v>11221</v>
      </c>
      <c r="F3068" s="22" t="str">
        <f>VLOOKUP(Table8[[#This Row],[Mã khách hàng]],code_khach_hang[],2,0)</f>
        <v>CHI NHÁNH ĐIỆN BIÊN - CÔNG TY CỔ PHẦN DỊCH VỤ THƯƠNG MẠI TỔNG HỢP WINCOMMERCE</v>
      </c>
      <c r="G3068" s="16"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c r="A3069" s="14" t="s">
        <v>9121</v>
      </c>
      <c r="B3069" s="15" t="s">
        <v>5</v>
      </c>
      <c r="C3069" s="16"/>
      <c r="D3069" s="21"/>
      <c r="E3069" s="15" t="s">
        <v>11193</v>
      </c>
      <c r="F3069" s="22" t="str">
        <f>VLOOKUP(Table8[[#This Row],[Mã khách hàng]],code_khach_hang[],2,0)</f>
        <v>CHI NHÁNH BẮC NINH - CÔNG TY CỔ PHẦN DỊCH VỤ THƯƠNG MẠI TỔNG HỢP WINCOMMERCE</v>
      </c>
      <c r="G3069" s="16"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c r="A3070" s="14" t="s">
        <v>11156</v>
      </c>
      <c r="B3070" s="15" t="s">
        <v>5</v>
      </c>
      <c r="C3070" s="16"/>
      <c r="D3070" s="21"/>
      <c r="E3070" s="15" t="s">
        <v>11198</v>
      </c>
      <c r="F3070" s="22" t="str">
        <f>VLOOKUP(Table8[[#This Row],[Mã khách hàng]],code_khach_hang[],2,0)</f>
        <v>CHI NHÁNH HẢI PHÒNG - CÔNG TY CỔ PHẦN DỊCH VỤ THƯƠNG MẠI TỔNG HỢP WINCOMMERCE</v>
      </c>
      <c r="G3070" s="16"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c r="A3071" s="14" t="s">
        <v>9343</v>
      </c>
      <c r="B3071" s="15" t="s">
        <v>5</v>
      </c>
      <c r="C3071" s="16"/>
      <c r="D3071" s="21"/>
      <c r="E3071" s="15" t="s">
        <v>11215</v>
      </c>
      <c r="F3071" s="22" t="str">
        <f>VLOOKUP(Table8[[#This Row],[Mã khách hàng]],code_khach_hang[],2,0)</f>
        <v>CHI NHÁNH HÀ NỘI - CÔNG TY CỔ PHẦN DỊCH VỤ THƯƠNG MẠI TỔNG HỢP WINCOMMERCE</v>
      </c>
      <c r="G3071" s="16"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c r="A3072" s="14" t="s">
        <v>9248</v>
      </c>
      <c r="B3072" s="15" t="s">
        <v>5</v>
      </c>
      <c r="C3072" s="16"/>
      <c r="D3072" s="21"/>
      <c r="E3072" s="15" t="s">
        <v>11197</v>
      </c>
      <c r="F3072" s="22" t="str">
        <f>VLOOKUP(Table8[[#This Row],[Mã khách hàng]],code_khach_hang[],2,0)</f>
        <v>CHI NHÁNH QUẢNG NINH - CÔNG TY CỔ PHẦN DỊCH VỤ THƯƠNG MẠI TỔNG HỢP WINCOMMERCE</v>
      </c>
      <c r="G3072" s="16"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c r="A3073" s="14" t="s">
        <v>11157</v>
      </c>
      <c r="B3073" s="15" t="s">
        <v>5</v>
      </c>
      <c r="C3073" s="16"/>
      <c r="D3073" s="21"/>
      <c r="E3073" s="15" t="s">
        <v>11198</v>
      </c>
      <c r="F3073" s="22" t="str">
        <f>VLOOKUP(Table8[[#This Row],[Mã khách hàng]],code_khach_hang[],2,0)</f>
        <v>CHI NHÁNH HẢI PHÒNG - CÔNG TY CỔ PHẦN DỊCH VỤ THƯƠNG MẠI TỔNG HỢP WINCOMMERCE</v>
      </c>
      <c r="G3073" s="16"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c r="A3074" s="14" t="s">
        <v>9250</v>
      </c>
      <c r="B3074" s="15" t="s">
        <v>5</v>
      </c>
      <c r="C3074" s="16"/>
      <c r="D3074" s="21"/>
      <c r="E3074" s="15" t="s">
        <v>11207</v>
      </c>
      <c r="F3074" s="22" t="str">
        <f>VLOOKUP(Table8[[#This Row],[Mã khách hàng]],code_khach_hang[],2,0)</f>
        <v>CHI NHÁNH THÁI NGUYÊN - CÔNG TY CỔ PHẦN DỊCH VỤ THƯƠNG MẠI TỔNG HỢP WINCOMMERCE</v>
      </c>
      <c r="G3074" s="16"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c r="A3075" s="14" t="s">
        <v>9242</v>
      </c>
      <c r="B3075" s="15" t="s">
        <v>5</v>
      </c>
      <c r="C3075" s="16"/>
      <c r="D3075" s="21"/>
      <c r="E3075" s="15" t="s">
        <v>11199</v>
      </c>
      <c r="F3075" s="22" t="str">
        <f>VLOOKUP(Table8[[#This Row],[Mã khách hàng]],code_khach_hang[],2,0)</f>
        <v>CHI NHÁNH PHÚ THỌ - CÔNG TY CỔ PHẦN DỊCH VỤ THƯƠNG MẠI TỔNG HỢP WINCOMMERCE</v>
      </c>
      <c r="G3075" s="16"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c r="A3076" s="14" t="s">
        <v>11158</v>
      </c>
      <c r="B3076" s="15" t="s">
        <v>5</v>
      </c>
      <c r="C3076" s="16"/>
      <c r="D3076" s="21"/>
      <c r="E3076" s="15" t="s">
        <v>11199</v>
      </c>
      <c r="F3076" s="22" t="str">
        <f>VLOOKUP(Table8[[#This Row],[Mã khách hàng]],code_khach_hang[],2,0)</f>
        <v>CHI NHÁNH PHÚ THỌ - CÔNG TY CỔ PHẦN DỊCH VỤ THƯƠNG MẠI TỔNG HỢP WINCOMMERCE</v>
      </c>
      <c r="G3076" s="16"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c r="A3077" s="14" t="s">
        <v>11159</v>
      </c>
      <c r="B3077" s="15" t="s">
        <v>5</v>
      </c>
      <c r="C3077" s="16"/>
      <c r="D3077" s="21"/>
      <c r="E3077" s="15" t="s">
        <v>11216</v>
      </c>
      <c r="F3077" s="22" t="str">
        <f>VLOOKUP(Table8[[#This Row],[Mã khách hàng]],code_khach_hang[],2,0)</f>
        <v>CHI NHÁNH HƯNG YÊN - CÔNG TY CỔ PHẦN DỊCH VỤ THƯƠNG MẠI TỔNG HỢP WINCOMMERCE</v>
      </c>
      <c r="G3077" s="16"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c r="A3078" s="14" t="s">
        <v>11160</v>
      </c>
      <c r="B3078" s="15" t="s">
        <v>5</v>
      </c>
      <c r="C3078" s="16"/>
      <c r="D3078" s="21"/>
      <c r="E3078" s="15" t="s">
        <v>11199</v>
      </c>
      <c r="F3078" s="22" t="str">
        <f>VLOOKUP(Table8[[#This Row],[Mã khách hàng]],code_khach_hang[],2,0)</f>
        <v>CHI NHÁNH PHÚ THỌ - CÔNG TY CỔ PHẦN DỊCH VỤ THƯƠNG MẠI TỔNG HỢP WINCOMMERCE</v>
      </c>
      <c r="G3078" s="16"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c r="A3079" s="14" t="s">
        <v>11161</v>
      </c>
      <c r="B3079" s="15" t="s">
        <v>5</v>
      </c>
      <c r="C3079" s="16"/>
      <c r="D3079" s="21"/>
      <c r="E3079" s="15" t="s">
        <v>11193</v>
      </c>
      <c r="F3079" s="22" t="str">
        <f>VLOOKUP(Table8[[#This Row],[Mã khách hàng]],code_khach_hang[],2,0)</f>
        <v>CHI NHÁNH BẮC NINH - CÔNG TY CỔ PHẦN DỊCH VỤ THƯƠNG MẠI TỔNG HỢP WINCOMMERCE</v>
      </c>
      <c r="G3079" s="16"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c r="A3080" s="14" t="s">
        <v>11162</v>
      </c>
      <c r="B3080" s="15" t="s">
        <v>5</v>
      </c>
      <c r="C3080" s="16"/>
      <c r="D3080" s="21"/>
      <c r="E3080" s="15" t="s">
        <v>11215</v>
      </c>
      <c r="F3080" s="22" t="str">
        <f>VLOOKUP(Table8[[#This Row],[Mã khách hàng]],code_khach_hang[],2,0)</f>
        <v>CHI NHÁNH HÀ NỘI - CÔNG TY CỔ PHẦN DỊCH VỤ THƯƠNG MẠI TỔNG HỢP WINCOMMERCE</v>
      </c>
      <c r="G3080" s="16"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c r="A3081" s="14" t="s">
        <v>11163</v>
      </c>
      <c r="B3081" s="15" t="s">
        <v>5</v>
      </c>
      <c r="C3081" s="16"/>
      <c r="D3081" s="21"/>
      <c r="E3081" s="15" t="s">
        <v>11211</v>
      </c>
      <c r="F3081" s="22" t="str">
        <f>VLOOKUP(Table8[[#This Row],[Mã khách hàng]],code_khach_hang[],2,0)</f>
        <v>CHI NHÁNH NGHỆ AN - CÔNG TY CỔ PHẦN DỊCH VỤ THƯƠNG MẠI TỔNG HỢP WINCOMMERCE</v>
      </c>
      <c r="G3081" s="16"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c r="A3082" s="14" t="s">
        <v>11164</v>
      </c>
      <c r="B3082" s="15" t="s">
        <v>5</v>
      </c>
      <c r="C3082" s="16"/>
      <c r="D3082" s="21"/>
      <c r="E3082" s="15" t="s">
        <v>11216</v>
      </c>
      <c r="F3082" s="22" t="str">
        <f>VLOOKUP(Table8[[#This Row],[Mã khách hàng]],code_khach_hang[],2,0)</f>
        <v>CHI NHÁNH HƯNG YÊN - CÔNG TY CỔ PHẦN DỊCH VỤ THƯƠNG MẠI TỔNG HỢP WINCOMMERCE</v>
      </c>
      <c r="G3082" s="16"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c r="A3083" s="14" t="s">
        <v>11165</v>
      </c>
      <c r="B3083" s="15" t="s">
        <v>5</v>
      </c>
      <c r="C3083" s="16"/>
      <c r="D3083" s="21"/>
      <c r="E3083" s="15" t="s">
        <v>11196</v>
      </c>
      <c r="F3083" s="22" t="str">
        <f>VLOOKUP(Table8[[#This Row],[Mã khách hàng]],code_khach_hang[],2,0)</f>
        <v>CHI NHÁNH NINH BÌNH - CÔNG TY CỔ PHẦN DỊCH VỤ THƯƠNG MẠI TỔNG HỢP WINCOMMERCE</v>
      </c>
      <c r="G3083" s="16"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c r="A3084" s="14" t="s">
        <v>11166</v>
      </c>
      <c r="B3084" s="15" t="s">
        <v>5</v>
      </c>
      <c r="C3084" s="16"/>
      <c r="D3084" s="21"/>
      <c r="E3084" s="15" t="s">
        <v>11199</v>
      </c>
      <c r="F3084" s="22" t="str">
        <f>VLOOKUP(Table8[[#This Row],[Mã khách hàng]],code_khach_hang[],2,0)</f>
        <v>CHI NHÁNH PHÚ THỌ - CÔNG TY CỔ PHẦN DỊCH VỤ THƯƠNG MẠI TỔNG HỢP WINCOMMERCE</v>
      </c>
      <c r="G3084" s="16"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c r="A3085" s="14" t="s">
        <v>11167</v>
      </c>
      <c r="B3085" s="15" t="s">
        <v>5</v>
      </c>
      <c r="C3085" s="16"/>
      <c r="D3085" s="21"/>
      <c r="E3085" s="15" t="s">
        <v>11222</v>
      </c>
      <c r="F3085" s="22" t="str">
        <f>VLOOKUP(Table8[[#This Row],[Mã khách hàng]],code_khach_hang[],2,0)</f>
        <v>CHI NHÁNH CAO BẰNG - CÔNG TY CỔ PHẦN DỊCH VỤ THƯƠNG MẠI TỔNG HỢP WINCOMMERCE</v>
      </c>
      <c r="G3085" s="16"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c r="A3086" s="14" t="s">
        <v>11168</v>
      </c>
      <c r="B3086" s="15" t="s">
        <v>5</v>
      </c>
      <c r="C3086" s="16"/>
      <c r="D3086" s="21"/>
      <c r="E3086" s="15" t="s">
        <v>11207</v>
      </c>
      <c r="F3086" s="22" t="str">
        <f>VLOOKUP(Table8[[#This Row],[Mã khách hàng]],code_khach_hang[],2,0)</f>
        <v>CHI NHÁNH THÁI NGUYÊN - CÔNG TY CỔ PHẦN DỊCH VỤ THƯƠNG MẠI TỔNG HỢP WINCOMMERCE</v>
      </c>
      <c r="G3086" s="16"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c r="A3087" s="14" t="s">
        <v>11169</v>
      </c>
      <c r="B3087" s="15" t="s">
        <v>5</v>
      </c>
      <c r="C3087" s="16"/>
      <c r="D3087" s="21"/>
      <c r="E3087" s="15" t="s">
        <v>11196</v>
      </c>
      <c r="F3087" s="22" t="str">
        <f>VLOOKUP(Table8[[#This Row],[Mã khách hàng]],code_khach_hang[],2,0)</f>
        <v>CHI NHÁNH NINH BÌNH - CÔNG TY CỔ PHẦN DỊCH VỤ THƯƠNG MẠI TỔNG HỢP WINCOMMERCE</v>
      </c>
      <c r="G3087" s="16"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c r="A3088" s="14" t="s">
        <v>11170</v>
      </c>
      <c r="B3088" s="15" t="s">
        <v>5</v>
      </c>
      <c r="C3088" s="16"/>
      <c r="D3088" s="21"/>
      <c r="E3088" s="15" t="s">
        <v>11199</v>
      </c>
      <c r="F3088" s="22" t="str">
        <f>VLOOKUP(Table8[[#This Row],[Mã khách hàng]],code_khach_hang[],2,0)</f>
        <v>CHI NHÁNH PHÚ THỌ - CÔNG TY CỔ PHẦN DỊCH VỤ THƯƠNG MẠI TỔNG HỢP WINCOMMERCE</v>
      </c>
      <c r="G3088" s="16"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c r="A3089" s="14" t="s">
        <v>11171</v>
      </c>
      <c r="B3089" s="15" t="s">
        <v>5</v>
      </c>
      <c r="C3089" s="16"/>
      <c r="D3089" s="21"/>
      <c r="E3089" s="15" t="s">
        <v>11211</v>
      </c>
      <c r="F3089" s="22" t="str">
        <f>VLOOKUP(Table8[[#This Row],[Mã khách hàng]],code_khach_hang[],2,0)</f>
        <v>CHI NHÁNH NGHỆ AN - CÔNG TY CỔ PHẦN DỊCH VỤ THƯƠNG MẠI TỔNG HỢP WINCOMMERCE</v>
      </c>
      <c r="G3089" s="16"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c r="A3090" s="14" t="s">
        <v>11172</v>
      </c>
      <c r="B3090" s="15" t="s">
        <v>5</v>
      </c>
      <c r="C3090" s="16"/>
      <c r="D3090" s="21"/>
      <c r="E3090" s="15" t="s">
        <v>11215</v>
      </c>
      <c r="F3090" s="22" t="str">
        <f>VLOOKUP(Table8[[#This Row],[Mã khách hàng]],code_khach_hang[],2,0)</f>
        <v>CHI NHÁNH HÀ NỘI - CÔNG TY CỔ PHẦN DỊCH VỤ THƯƠNG MẠI TỔNG HỢP WINCOMMERCE</v>
      </c>
      <c r="G3090" s="16"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c r="A3091" s="14" t="s">
        <v>11173</v>
      </c>
      <c r="B3091" s="15" t="s">
        <v>5</v>
      </c>
      <c r="C3091" s="16"/>
      <c r="D3091" s="21"/>
      <c r="E3091" s="15" t="s">
        <v>11198</v>
      </c>
      <c r="F3091" s="22" t="str">
        <f>VLOOKUP(Table8[[#This Row],[Mã khách hàng]],code_khach_hang[],2,0)</f>
        <v>CHI NHÁNH HẢI PHÒNG - CÔNG TY CỔ PHẦN DỊCH VỤ THƯƠNG MẠI TỔNG HỢP WINCOMMERCE</v>
      </c>
      <c r="G3091" s="16"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c r="A3092" s="14" t="s">
        <v>11174</v>
      </c>
      <c r="B3092" s="15" t="s">
        <v>5</v>
      </c>
      <c r="C3092" s="16"/>
      <c r="D3092" s="21"/>
      <c r="E3092" s="15" t="s">
        <v>11197</v>
      </c>
      <c r="F3092" s="22" t="str">
        <f>VLOOKUP(Table8[[#This Row],[Mã khách hàng]],code_khach_hang[],2,0)</f>
        <v>CHI NHÁNH QUẢNG NINH - CÔNG TY CỔ PHẦN DỊCH VỤ THƯƠNG MẠI TỔNG HỢP WINCOMMERCE</v>
      </c>
      <c r="G3092" s="16"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c r="A3093" s="14" t="s">
        <v>11175</v>
      </c>
      <c r="B3093" s="15" t="s">
        <v>5</v>
      </c>
      <c r="C3093" s="16"/>
      <c r="D3093" s="21"/>
      <c r="E3093" s="15" t="s">
        <v>11199</v>
      </c>
      <c r="F3093" s="22" t="str">
        <f>VLOOKUP(Table8[[#This Row],[Mã khách hàng]],code_khach_hang[],2,0)</f>
        <v>CHI NHÁNH PHÚ THỌ - CÔNG TY CỔ PHẦN DỊCH VỤ THƯƠNG MẠI TỔNG HỢP WINCOMMERCE</v>
      </c>
      <c r="G3093" s="16"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c r="A3094" s="14" t="s">
        <v>11176</v>
      </c>
      <c r="B3094" s="15" t="s">
        <v>5</v>
      </c>
      <c r="C3094" s="16"/>
      <c r="D3094" s="21"/>
      <c r="E3094" s="15" t="s">
        <v>11193</v>
      </c>
      <c r="F3094" s="22" t="str">
        <f>VLOOKUP(Table8[[#This Row],[Mã khách hàng]],code_khach_hang[],2,0)</f>
        <v>CHI NHÁNH BẮC NINH - CÔNG TY CỔ PHẦN DỊCH VỤ THƯƠNG MẠI TỔNG HỢP WINCOMMERCE</v>
      </c>
      <c r="G3094" s="16"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c r="A3095" s="14" t="s">
        <v>11177</v>
      </c>
      <c r="B3095" s="15" t="s">
        <v>5</v>
      </c>
      <c r="C3095" s="16"/>
      <c r="D3095" s="21"/>
      <c r="E3095" s="15" t="s">
        <v>11196</v>
      </c>
      <c r="F3095" s="22" t="str">
        <f>VLOOKUP(Table8[[#This Row],[Mã khách hàng]],code_khach_hang[],2,0)</f>
        <v>CHI NHÁNH NINH BÌNH - CÔNG TY CỔ PHẦN DỊCH VỤ THƯƠNG MẠI TỔNG HỢP WINCOMMERCE</v>
      </c>
      <c r="G3095" s="16"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c r="A3096" s="14" t="s">
        <v>11178</v>
      </c>
      <c r="B3096" s="15" t="s">
        <v>5</v>
      </c>
      <c r="C3096" s="16"/>
      <c r="D3096" s="21"/>
      <c r="E3096" s="15" t="s">
        <v>11199</v>
      </c>
      <c r="F3096" s="22" t="str">
        <f>VLOOKUP(Table8[[#This Row],[Mã khách hàng]],code_khach_hang[],2,0)</f>
        <v>CHI NHÁNH PHÚ THỌ - CÔNG TY CỔ PHẦN DỊCH VỤ THƯƠNG MẠI TỔNG HỢP WINCOMMERCE</v>
      </c>
      <c r="G3096" s="16"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c r="A3097" s="14" t="s">
        <v>11179</v>
      </c>
      <c r="B3097" s="15" t="s">
        <v>5</v>
      </c>
      <c r="C3097" s="16"/>
      <c r="D3097" s="21"/>
      <c r="E3097" s="15" t="s">
        <v>11193</v>
      </c>
      <c r="F3097" s="22" t="str">
        <f>VLOOKUP(Table8[[#This Row],[Mã khách hàng]],code_khach_hang[],2,0)</f>
        <v>CHI NHÁNH BẮC NINH - CÔNG TY CỔ PHẦN DỊCH VỤ THƯƠNG MẠI TỔNG HỢP WINCOMMERCE</v>
      </c>
      <c r="G3097" s="16"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c r="A3098" s="14" t="s">
        <v>11180</v>
      </c>
      <c r="B3098" s="15" t="s">
        <v>5</v>
      </c>
      <c r="C3098" s="16"/>
      <c r="D3098" s="21"/>
      <c r="E3098" s="15" t="s">
        <v>11215</v>
      </c>
      <c r="F3098" s="22" t="str">
        <f>VLOOKUP(Table8[[#This Row],[Mã khách hàng]],code_khach_hang[],2,0)</f>
        <v>CHI NHÁNH HÀ NỘI - CÔNG TY CỔ PHẦN DỊCH VỤ THƯƠNG MẠI TỔNG HỢP WINCOMMERCE</v>
      </c>
      <c r="G3098" s="16"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c r="A3099" s="14" t="s">
        <v>11181</v>
      </c>
      <c r="B3099" s="15" t="s">
        <v>5</v>
      </c>
      <c r="C3099" s="16"/>
      <c r="D3099" s="21"/>
      <c r="E3099" s="15" t="s">
        <v>11193</v>
      </c>
      <c r="F3099" s="22" t="str">
        <f>VLOOKUP(Table8[[#This Row],[Mã khách hàng]],code_khach_hang[],2,0)</f>
        <v>CHI NHÁNH BẮC NINH - CÔNG TY CỔ PHẦN DỊCH VỤ THƯƠNG MẠI TỔNG HỢP WINCOMMERCE</v>
      </c>
      <c r="G3099" s="16"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c r="A3100" s="14" t="s">
        <v>11182</v>
      </c>
      <c r="B3100" s="15" t="s">
        <v>5</v>
      </c>
      <c r="C3100" s="16"/>
      <c r="D3100" s="21"/>
      <c r="E3100" s="15" t="s">
        <v>11198</v>
      </c>
      <c r="F3100" s="22" t="str">
        <f>VLOOKUP(Table8[[#This Row],[Mã khách hàng]],code_khach_hang[],2,0)</f>
        <v>CHI NHÁNH HẢI PHÒNG - CÔNG TY CỔ PHẦN DỊCH VỤ THƯƠNG MẠI TỔNG HỢP WINCOMMERCE</v>
      </c>
      <c r="G3100" s="16"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c r="A3101" s="14" t="s">
        <v>11183</v>
      </c>
      <c r="B3101" s="15" t="s">
        <v>5</v>
      </c>
      <c r="C3101" s="16"/>
      <c r="D3101" s="21"/>
      <c r="E3101" s="15" t="s">
        <v>11196</v>
      </c>
      <c r="F3101" s="22" t="str">
        <f>VLOOKUP(Table8[[#This Row],[Mã khách hàng]],code_khach_hang[],2,0)</f>
        <v>CHI NHÁNH NINH BÌNH - CÔNG TY CỔ PHẦN DỊCH VỤ THƯƠNG MẠI TỔNG HỢP WINCOMMERCE</v>
      </c>
      <c r="G3101" s="16"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c r="A3102" s="14" t="s">
        <v>11184</v>
      </c>
      <c r="B3102" s="15" t="s">
        <v>5</v>
      </c>
      <c r="C3102" s="16"/>
      <c r="D3102" s="21"/>
      <c r="E3102" s="15" t="s">
        <v>11196</v>
      </c>
      <c r="F3102" s="22" t="str">
        <f>VLOOKUP(Table8[[#This Row],[Mã khách hàng]],code_khach_hang[],2,0)</f>
        <v>CHI NHÁNH NINH BÌNH - CÔNG TY CỔ PHẦN DỊCH VỤ THƯƠNG MẠI TỔNG HỢP WINCOMMERCE</v>
      </c>
      <c r="G3102" s="16"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c r="A3103" s="14" t="s">
        <v>11185</v>
      </c>
      <c r="B3103" s="15" t="s">
        <v>5</v>
      </c>
      <c r="C3103" s="16"/>
      <c r="D3103" s="21"/>
      <c r="E3103" s="15" t="s">
        <v>11216</v>
      </c>
      <c r="F3103" s="22" t="str">
        <f>VLOOKUP(Table8[[#This Row],[Mã khách hàng]],code_khach_hang[],2,0)</f>
        <v>CHI NHÁNH HƯNG YÊN - CÔNG TY CỔ PHẦN DỊCH VỤ THƯƠNG MẠI TỔNG HỢP WINCOMMERCE</v>
      </c>
      <c r="G3103" s="16"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c r="A3104" s="14" t="s">
        <v>9216</v>
      </c>
      <c r="B3104" s="15" t="s">
        <v>5</v>
      </c>
      <c r="C3104" s="16"/>
      <c r="D3104" s="21"/>
      <c r="E3104" s="15" t="s">
        <v>11196</v>
      </c>
      <c r="F3104" s="22" t="str">
        <f>VLOOKUP(Table8[[#This Row],[Mã khách hàng]],code_khach_hang[],2,0)</f>
        <v>CHI NHÁNH NINH BÌNH - CÔNG TY CỔ PHẦN DỊCH VỤ THƯƠNG MẠI TỔNG HỢP WINCOMMERCE</v>
      </c>
      <c r="G3104" s="16"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c r="A3105" s="14" t="s">
        <v>11186</v>
      </c>
      <c r="B3105" s="15" t="s">
        <v>5</v>
      </c>
      <c r="C3105" s="16"/>
      <c r="D3105" s="21"/>
      <c r="E3105" s="15" t="s">
        <v>11215</v>
      </c>
      <c r="F3105" s="22" t="str">
        <f>VLOOKUP(Table8[[#This Row],[Mã khách hàng]],code_khach_hang[],2,0)</f>
        <v>CHI NHÁNH HÀ NỘI - CÔNG TY CỔ PHẦN DỊCH VỤ THƯƠNG MẠI TỔNG HỢP WINCOMMERCE</v>
      </c>
      <c r="G3105" s="16"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c r="A3106" s="14" t="s">
        <v>11187</v>
      </c>
      <c r="B3106" s="15" t="s">
        <v>5</v>
      </c>
      <c r="C3106" s="16"/>
      <c r="D3106" s="21"/>
      <c r="E3106" s="15" t="s">
        <v>11216</v>
      </c>
      <c r="F3106" s="22" t="str">
        <f>VLOOKUP(Table8[[#This Row],[Mã khách hàng]],code_khach_hang[],2,0)</f>
        <v>CHI NHÁNH HƯNG YÊN - CÔNG TY CỔ PHẦN DỊCH VỤ THƯƠNG MẠI TỔNG HỢP WINCOMMERCE</v>
      </c>
      <c r="G3106" s="16"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c r="A3107" s="14" t="s">
        <v>11188</v>
      </c>
      <c r="B3107" s="15" t="s">
        <v>5</v>
      </c>
      <c r="C3107" s="16"/>
      <c r="D3107" s="21"/>
      <c r="E3107" s="15" t="s">
        <v>11199</v>
      </c>
      <c r="F3107" s="22" t="str">
        <f>VLOOKUP(Table8[[#This Row],[Mã khách hàng]],code_khach_hang[],2,0)</f>
        <v>CHI NHÁNH PHÚ THỌ - CÔNG TY CỔ PHẦN DỊCH VỤ THƯƠNG MẠI TỔNG HỢP WINCOMMERCE</v>
      </c>
      <c r="G3107" s="16"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c r="A3108" s="14" t="s">
        <v>9295</v>
      </c>
      <c r="B3108" s="15" t="s">
        <v>5</v>
      </c>
      <c r="C3108" s="16"/>
      <c r="D3108" s="21"/>
      <c r="E3108" s="15" t="s">
        <v>11215</v>
      </c>
      <c r="F3108" s="22" t="str">
        <f>VLOOKUP(Table8[[#This Row],[Mã khách hàng]],code_khach_hang[],2,0)</f>
        <v>CHI NHÁNH HÀ NỘI - CÔNG TY CỔ PHẦN DỊCH VỤ THƯƠNG MẠI TỔNG HỢP WINCOMMERCE</v>
      </c>
      <c r="G3108" s="16"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c r="A3109" s="14" t="s">
        <v>11189</v>
      </c>
      <c r="B3109" s="15" t="s">
        <v>5</v>
      </c>
      <c r="C3109" s="16"/>
      <c r="D3109" s="21"/>
      <c r="E3109" s="15" t="s">
        <v>11203</v>
      </c>
      <c r="F3109" s="22" t="str">
        <f>VLOOKUP(Table8[[#This Row],[Mã khách hàng]],code_khach_hang[],2,0)</f>
        <v>CHI NHÁNH THANH HÓA - CÔNG TY CỔ PHẦN DỊCH VỤ THƯƠNG MẠI TỔNG HỢP WINCOMMERCE</v>
      </c>
      <c r="G3109" s="16"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c r="A3110" s="14" t="s">
        <v>11190</v>
      </c>
      <c r="B3110" s="15" t="s">
        <v>5</v>
      </c>
      <c r="C3110" s="16"/>
      <c r="D3110" s="21"/>
      <c r="E3110" s="15" t="s">
        <v>11211</v>
      </c>
      <c r="F3110" s="22" t="str">
        <f>VLOOKUP(Table8[[#This Row],[Mã khách hàng]],code_khach_hang[],2,0)</f>
        <v>CHI NHÁNH NGHỆ AN - CÔNG TY CỔ PHẦN DỊCH VỤ THƯƠNG MẠI TỔNG HỢP WINCOMMERCE</v>
      </c>
      <c r="G3110" s="16"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c r="A3111" s="14" t="s">
        <v>11191</v>
      </c>
      <c r="B3111" s="15" t="s">
        <v>5</v>
      </c>
      <c r="C3111" s="16"/>
      <c r="D3111" s="21"/>
      <c r="E3111" s="15" t="s">
        <v>11203</v>
      </c>
      <c r="F3111" s="22" t="str">
        <f>VLOOKUP(Table8[[#This Row],[Mã khách hàng]],code_khach_hang[],2,0)</f>
        <v>CHI NHÁNH THANH HÓA - CÔNG TY CỔ PHẦN DỊCH VỤ THƯƠNG MẠI TỔNG HỢP WINCOMMERCE</v>
      </c>
      <c r="G3111" s="16"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c r="A3112" s="14" t="s">
        <v>11192</v>
      </c>
      <c r="B3112" s="15" t="s">
        <v>5</v>
      </c>
      <c r="C3112" s="16"/>
      <c r="D3112" s="21"/>
      <c r="E3112" s="15" t="s">
        <v>11199</v>
      </c>
      <c r="F3112" s="22" t="str">
        <f>VLOOKUP(Table8[[#This Row],[Mã khách hàng]],code_khach_hang[],2,0)</f>
        <v>CHI NHÁNH PHÚ THỌ - CÔNG TY CỔ PHẦN DỊCH VỤ THƯƠNG MẠI TỔNG HỢP WINCOMMERCE</v>
      </c>
      <c r="G3112" s="16"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c r="A3113" s="11" t="s">
        <v>11234</v>
      </c>
      <c r="B3113" s="9" t="s">
        <v>183</v>
      </c>
      <c r="C3113" s="9" t="s">
        <v>11235</v>
      </c>
      <c r="D3113" s="10" t="s">
        <v>11236</v>
      </c>
      <c r="E3113" s="9" t="s">
        <v>11240</v>
      </c>
      <c r="F3113" s="22" t="str">
        <f>VLOOKUP(Table8[[#This Row],[Mã khách hàng]],code_khach_hang[],2,0)</f>
        <v>CHI NHÁNH ĐÀ NẴNG - CÔNG TY CỔ PHẦN DỊCH VỤ THƯƠNG MẠI TỔNG HỢP WINCOMMERCE</v>
      </c>
      <c r="G3113" s="10"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c r="A3114" s="11" t="s">
        <v>11237</v>
      </c>
      <c r="B3114" s="9" t="s">
        <v>183</v>
      </c>
      <c r="C3114" s="9" t="s">
        <v>11238</v>
      </c>
      <c r="D3114" s="10" t="s">
        <v>11239</v>
      </c>
      <c r="E3114" s="9" t="s">
        <v>11241</v>
      </c>
      <c r="F3114" s="22" t="str">
        <f>VLOOKUP(Table8[[#This Row],[Mã khách hàng]],code_khach_hang[],2,0)</f>
        <v>CHI NHÁNH BÌNH ĐỊNH - CÔNG TY CỔ PHẦN DỊCH VỤ THƯƠNG MẠI TỔNG HỢP WINCOMMERCE</v>
      </c>
      <c r="G3114" s="10"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c r="A3115" s="11">
        <v>2039</v>
      </c>
      <c r="B3115" s="9" t="s">
        <v>5</v>
      </c>
      <c r="C3115" s="10" t="s">
        <v>11452</v>
      </c>
      <c r="D3115" s="21" t="s">
        <v>11453</v>
      </c>
      <c r="E3115" s="9" t="s">
        <v>11442</v>
      </c>
      <c r="F3115" s="22" t="str">
        <f>VLOOKUP(Table8[[#This Row],[Mã khách hàng]],code_khach_hang[],2,0)</f>
        <v>CHI NHÁNH ĐÀ NẴNG - CÔNG TY CỔ PHẦN DỊCH VỤ THƯƠNG MẠI TỔNG HỢP WINCOMMERCE</v>
      </c>
      <c r="G3115" s="10"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c r="A3116" s="14">
        <v>2040</v>
      </c>
      <c r="B3116" s="15" t="s">
        <v>5</v>
      </c>
      <c r="C3116" s="16" t="s">
        <v>11454</v>
      </c>
      <c r="D3116" s="21" t="s">
        <v>11455</v>
      </c>
      <c r="E3116" s="15" t="s">
        <v>11442</v>
      </c>
      <c r="F3116" s="22" t="str">
        <f>VLOOKUP(Table8[[#This Row],[Mã khách hàng]],code_khach_hang[],2,0)</f>
        <v>CHI NHÁNH ĐÀ NẴNG - CÔNG TY CỔ PHẦN DỊCH VỤ THƯƠNG MẠI TỔNG HỢP WINCOMMERCE</v>
      </c>
      <c r="G3116" s="16"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c r="A3117" s="14">
        <v>2047</v>
      </c>
      <c r="B3117" s="15" t="s">
        <v>5</v>
      </c>
      <c r="C3117" s="16" t="s">
        <v>11456</v>
      </c>
      <c r="D3117" s="21" t="s">
        <v>11457</v>
      </c>
      <c r="E3117" s="15" t="s">
        <v>11442</v>
      </c>
      <c r="F3117" s="22" t="str">
        <f>VLOOKUP(Table8[[#This Row],[Mã khách hàng]],code_khach_hang[],2,0)</f>
        <v>CHI NHÁNH ĐÀ NẴNG - CÔNG TY CỔ PHẦN DỊCH VỤ THƯƠNG MẠI TỔNG HỢP WINCOMMERCE</v>
      </c>
      <c r="G3117" s="16"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c r="A3118" s="14">
        <v>2048</v>
      </c>
      <c r="B3118" s="15" t="s">
        <v>5</v>
      </c>
      <c r="C3118" s="16" t="s">
        <v>11458</v>
      </c>
      <c r="D3118" s="21" t="s">
        <v>11459</v>
      </c>
      <c r="E3118" s="15" t="s">
        <v>11442</v>
      </c>
      <c r="F3118" s="22" t="str">
        <f>VLOOKUP(Table8[[#This Row],[Mã khách hàng]],code_khach_hang[],2,0)</f>
        <v>CHI NHÁNH ĐÀ NẴNG - CÔNG TY CỔ PHẦN DỊCH VỤ THƯƠNG MẠI TỔNG HỢP WINCOMMERCE</v>
      </c>
      <c r="G3118" s="16"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c r="A3119" s="14">
        <v>2049</v>
      </c>
      <c r="B3119" s="15" t="s">
        <v>5</v>
      </c>
      <c r="C3119" s="16" t="s">
        <v>11460</v>
      </c>
      <c r="D3119" s="21" t="s">
        <v>11461</v>
      </c>
      <c r="E3119" s="15" t="s">
        <v>11442</v>
      </c>
      <c r="F3119" s="22" t="str">
        <f>VLOOKUP(Table8[[#This Row],[Mã khách hàng]],code_khach_hang[],2,0)</f>
        <v>CHI NHÁNH ĐÀ NẴNG - CÔNG TY CỔ PHẦN DỊCH VỤ THƯƠNG MẠI TỔNG HỢP WINCOMMERCE</v>
      </c>
      <c r="G3119" s="16"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c r="A3120" s="14">
        <v>2089</v>
      </c>
      <c r="B3120" s="15" t="s">
        <v>5</v>
      </c>
      <c r="C3120" s="16" t="s">
        <v>11462</v>
      </c>
      <c r="D3120" s="21" t="s">
        <v>11463</v>
      </c>
      <c r="E3120" s="15" t="s">
        <v>11442</v>
      </c>
      <c r="F3120" s="22" t="str">
        <f>VLOOKUP(Table8[[#This Row],[Mã khách hàng]],code_khach_hang[],2,0)</f>
        <v>CHI NHÁNH ĐÀ NẴNG - CÔNG TY CỔ PHẦN DỊCH VỤ THƯƠNG MẠI TỔNG HỢP WINCOMMERCE</v>
      </c>
      <c r="G3120" s="16"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c r="A3121" s="14">
        <v>2120</v>
      </c>
      <c r="B3121" s="15" t="s">
        <v>5</v>
      </c>
      <c r="C3121" s="16" t="s">
        <v>11464</v>
      </c>
      <c r="D3121" s="21" t="s">
        <v>11465</v>
      </c>
      <c r="E3121" s="15" t="s">
        <v>11442</v>
      </c>
      <c r="F3121" s="22" t="str">
        <f>VLOOKUP(Table8[[#This Row],[Mã khách hàng]],code_khach_hang[],2,0)</f>
        <v>CHI NHÁNH ĐÀ NẴNG - CÔNG TY CỔ PHẦN DỊCH VỤ THƯƠNG MẠI TỔNG HỢP WINCOMMERCE</v>
      </c>
      <c r="G3121" s="16"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c r="A3122" s="14">
        <v>2483</v>
      </c>
      <c r="B3122" s="15" t="s">
        <v>5</v>
      </c>
      <c r="C3122" s="16" t="s">
        <v>11466</v>
      </c>
      <c r="D3122" s="21" t="s">
        <v>11467</v>
      </c>
      <c r="E3122" s="15" t="s">
        <v>11442</v>
      </c>
      <c r="F3122" s="22" t="str">
        <f>VLOOKUP(Table8[[#This Row],[Mã khách hàng]],code_khach_hang[],2,0)</f>
        <v>CHI NHÁNH ĐÀ NẴNG - CÔNG TY CỔ PHẦN DỊCH VỤ THƯƠNG MẠI TỔNG HỢP WINCOMMERCE</v>
      </c>
      <c r="G3122" s="16"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c r="A3123" s="14">
        <v>2588</v>
      </c>
      <c r="B3123" s="15" t="s">
        <v>5</v>
      </c>
      <c r="C3123" s="16" t="s">
        <v>11468</v>
      </c>
      <c r="D3123" s="21" t="s">
        <v>11469</v>
      </c>
      <c r="E3123" s="15" t="s">
        <v>11442</v>
      </c>
      <c r="F3123" s="22" t="str">
        <f>VLOOKUP(Table8[[#This Row],[Mã khách hàng]],code_khach_hang[],2,0)</f>
        <v>CHI NHÁNH ĐÀ NẴNG - CÔNG TY CỔ PHẦN DỊCH VỤ THƯƠNG MẠI TỔNG HỢP WINCOMMERCE</v>
      </c>
      <c r="G3123" s="16"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c r="A3124" s="14">
        <v>2589</v>
      </c>
      <c r="B3124" s="15" t="s">
        <v>5</v>
      </c>
      <c r="C3124" s="16" t="s">
        <v>11470</v>
      </c>
      <c r="D3124" s="21" t="s">
        <v>11471</v>
      </c>
      <c r="E3124" s="15" t="s">
        <v>11442</v>
      </c>
      <c r="F3124" s="22" t="str">
        <f>VLOOKUP(Table8[[#This Row],[Mã khách hàng]],code_khach_hang[],2,0)</f>
        <v>CHI NHÁNH ĐÀ NẴNG - CÔNG TY CỔ PHẦN DỊCH VỤ THƯƠNG MẠI TỔNG HỢP WINCOMMERCE</v>
      </c>
      <c r="G3124" s="16"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c r="A3125" s="14">
        <v>2590</v>
      </c>
      <c r="B3125" s="15" t="s">
        <v>5</v>
      </c>
      <c r="C3125" s="16" t="s">
        <v>11472</v>
      </c>
      <c r="D3125" s="21" t="s">
        <v>11473</v>
      </c>
      <c r="E3125" s="15" t="s">
        <v>11442</v>
      </c>
      <c r="F3125" s="22" t="str">
        <f>VLOOKUP(Table8[[#This Row],[Mã khách hàng]],code_khach_hang[],2,0)</f>
        <v>CHI NHÁNH ĐÀ NẴNG - CÔNG TY CỔ PHẦN DỊCH VỤ THƯƠNG MẠI TỔNG HỢP WINCOMMERCE</v>
      </c>
      <c r="G3125" s="16"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c r="A3126" s="14">
        <v>2592</v>
      </c>
      <c r="B3126" s="15" t="s">
        <v>5</v>
      </c>
      <c r="C3126" s="16" t="s">
        <v>11474</v>
      </c>
      <c r="D3126" s="21" t="s">
        <v>11475</v>
      </c>
      <c r="E3126" s="15" t="s">
        <v>11442</v>
      </c>
      <c r="F3126" s="22" t="str">
        <f>VLOOKUP(Table8[[#This Row],[Mã khách hàng]],code_khach_hang[],2,0)</f>
        <v>CHI NHÁNH ĐÀ NẴNG - CÔNG TY CỔ PHẦN DỊCH VỤ THƯƠNG MẠI TỔNG HỢP WINCOMMERCE</v>
      </c>
      <c r="G3126" s="16"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c r="A3127" s="14">
        <v>2594</v>
      </c>
      <c r="B3127" s="15" t="s">
        <v>5</v>
      </c>
      <c r="C3127" s="16" t="s">
        <v>11476</v>
      </c>
      <c r="D3127" s="21" t="s">
        <v>11477</v>
      </c>
      <c r="E3127" s="15" t="s">
        <v>11442</v>
      </c>
      <c r="F3127" s="22" t="str">
        <f>VLOOKUP(Table8[[#This Row],[Mã khách hàng]],code_khach_hang[],2,0)</f>
        <v>CHI NHÁNH ĐÀ NẴNG - CÔNG TY CỔ PHẦN DỊCH VỤ THƯƠNG MẠI TỔNG HỢP WINCOMMERCE</v>
      </c>
      <c r="G3127" s="16"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c r="A3128" s="14">
        <v>2933</v>
      </c>
      <c r="B3128" s="15" t="s">
        <v>5</v>
      </c>
      <c r="C3128" s="16" t="s">
        <v>11478</v>
      </c>
      <c r="D3128" s="21" t="s">
        <v>11479</v>
      </c>
      <c r="E3128" s="15" t="s">
        <v>11442</v>
      </c>
      <c r="F3128" s="22" t="str">
        <f>VLOOKUP(Table8[[#This Row],[Mã khách hàng]],code_khach_hang[],2,0)</f>
        <v>CHI NHÁNH ĐÀ NẴNG - CÔNG TY CỔ PHẦN DỊCH VỤ THƯƠNG MẠI TỔNG HỢP WINCOMMERCE</v>
      </c>
      <c r="G3128" s="16"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c r="A3129" s="14">
        <v>2952</v>
      </c>
      <c r="B3129" s="15" t="s">
        <v>5</v>
      </c>
      <c r="C3129" s="16" t="s">
        <v>11480</v>
      </c>
      <c r="D3129" s="21" t="s">
        <v>11481</v>
      </c>
      <c r="E3129" s="15" t="s">
        <v>11443</v>
      </c>
      <c r="F3129" s="22" t="str">
        <f>VLOOKUP(Table8[[#This Row],[Mã khách hàng]],code_khach_hang[],2,0)</f>
        <v>CHI NHÁNH KHÁNH HÒA - CÔNG TY CỔ PHẦN DỊCH VỤ THƯƠNG MẠI TỔNG HỢP WINCOMMERCE</v>
      </c>
      <c r="G3129" s="16"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c r="A3130" s="14">
        <v>2959</v>
      </c>
      <c r="B3130" s="15" t="s">
        <v>5</v>
      </c>
      <c r="C3130" s="16" t="s">
        <v>11482</v>
      </c>
      <c r="D3130" s="21" t="s">
        <v>11483</v>
      </c>
      <c r="E3130" s="15" t="s">
        <v>11442</v>
      </c>
      <c r="F3130" s="22" t="str">
        <f>VLOOKUP(Table8[[#This Row],[Mã khách hàng]],code_khach_hang[],2,0)</f>
        <v>CHI NHÁNH ĐÀ NẴNG - CÔNG TY CỔ PHẦN DỊCH VỤ THƯƠNG MẠI TỔNG HỢP WINCOMMERCE</v>
      </c>
      <c r="G3130" s="16"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c r="A3131" s="14" t="s">
        <v>11252</v>
      </c>
      <c r="B3131" s="15" t="s">
        <v>5</v>
      </c>
      <c r="C3131" s="16" t="s">
        <v>11484</v>
      </c>
      <c r="D3131" s="21" t="s">
        <v>11485</v>
      </c>
      <c r="E3131" s="15" t="s">
        <v>11444</v>
      </c>
      <c r="F3131" s="22" t="str">
        <f>VLOOKUP(Table8[[#This Row],[Mã khách hàng]],code_khach_hang[],2,0)</f>
        <v>CHI NHÁNH QUẢNG NAM - CÔNG TY CỔ PHẦN DỊCH VỤ THƯƠNG MẠI TỔNG HỢP WINCOMMERCE</v>
      </c>
      <c r="G3131" s="16"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c r="A3132" s="14" t="s">
        <v>11253</v>
      </c>
      <c r="B3132" s="15" t="s">
        <v>5</v>
      </c>
      <c r="C3132" s="16" t="s">
        <v>11486</v>
      </c>
      <c r="D3132" s="21" t="s">
        <v>11487</v>
      </c>
      <c r="E3132" s="15" t="s">
        <v>11445</v>
      </c>
      <c r="F3132" s="22" t="str">
        <f>VLOOKUP(Table8[[#This Row],[Mã khách hàng]],code_khach_hang[],2,0)</f>
        <v>CHI NHÁNH THỪA THIÊN HUẾ - CÔNG TY CỔ PHẦN DỊCH VỤ THƯƠNG MẠI TỔNG HỢP WINCOMMERCE</v>
      </c>
      <c r="G3132" s="16"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c r="A3133" s="14" t="s">
        <v>11254</v>
      </c>
      <c r="B3133" s="15" t="s">
        <v>5</v>
      </c>
      <c r="C3133" s="16" t="s">
        <v>11488</v>
      </c>
      <c r="D3133" s="21" t="s">
        <v>11489</v>
      </c>
      <c r="E3133" s="15" t="s">
        <v>11443</v>
      </c>
      <c r="F3133" s="22" t="str">
        <f>VLOOKUP(Table8[[#This Row],[Mã khách hàng]],code_khach_hang[],2,0)</f>
        <v>CHI NHÁNH KHÁNH HÒA - CÔNG TY CỔ PHẦN DỊCH VỤ THƯƠNG MẠI TỔNG HỢP WINCOMMERCE</v>
      </c>
      <c r="G3133" s="16"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c r="A3134" s="14" t="s">
        <v>11255</v>
      </c>
      <c r="B3134" s="15" t="s">
        <v>5</v>
      </c>
      <c r="C3134" s="16" t="s">
        <v>11490</v>
      </c>
      <c r="D3134" s="21" t="s">
        <v>11491</v>
      </c>
      <c r="E3134" s="15" t="s">
        <v>11444</v>
      </c>
      <c r="F3134" s="22" t="str">
        <f>VLOOKUP(Table8[[#This Row],[Mã khách hàng]],code_khach_hang[],2,0)</f>
        <v>CHI NHÁNH QUẢNG NAM - CÔNG TY CỔ PHẦN DỊCH VỤ THƯƠNG MẠI TỔNG HỢP WINCOMMERCE</v>
      </c>
      <c r="G3134" s="16"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c r="A3135" s="14" t="s">
        <v>11256</v>
      </c>
      <c r="B3135" s="15" t="s">
        <v>5</v>
      </c>
      <c r="C3135" s="16" t="s">
        <v>11492</v>
      </c>
      <c r="D3135" s="21" t="s">
        <v>11493</v>
      </c>
      <c r="E3135" s="15" t="s">
        <v>11443</v>
      </c>
      <c r="F3135" s="22" t="str">
        <f>VLOOKUP(Table8[[#This Row],[Mã khách hàng]],code_khach_hang[],2,0)</f>
        <v>CHI NHÁNH KHÁNH HÒA - CÔNG TY CỔ PHẦN DỊCH VỤ THƯƠNG MẠI TỔNG HỢP WINCOMMERCE</v>
      </c>
      <c r="G3135" s="16"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c r="A3136" s="14" t="s">
        <v>11257</v>
      </c>
      <c r="B3136" s="15" t="s">
        <v>5</v>
      </c>
      <c r="C3136" s="16" t="s">
        <v>11494</v>
      </c>
      <c r="D3136" s="21" t="s">
        <v>11495</v>
      </c>
      <c r="E3136" s="15" t="s">
        <v>11446</v>
      </c>
      <c r="F3136" s="22" t="str">
        <f>VLOOKUP(Table8[[#This Row],[Mã khách hàng]],code_khach_hang[],2,0)</f>
        <v>CHI NHÁNH GIA LAI - CÔNG TY CỔ PHẦN DỊCH VỤ THƯƠNG MẠI TỔNG HỢP WINCOMMERCE</v>
      </c>
      <c r="G3136" s="16"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c r="A3137" s="14" t="s">
        <v>11258</v>
      </c>
      <c r="B3137" s="15" t="s">
        <v>5</v>
      </c>
      <c r="C3137" s="16" t="s">
        <v>11496</v>
      </c>
      <c r="D3137" s="21" t="s">
        <v>11497</v>
      </c>
      <c r="E3137" s="15" t="s">
        <v>11446</v>
      </c>
      <c r="F3137" s="22" t="str">
        <f>VLOOKUP(Table8[[#This Row],[Mã khách hàng]],code_khach_hang[],2,0)</f>
        <v>CHI NHÁNH GIA LAI - CÔNG TY CỔ PHẦN DỊCH VỤ THƯƠNG MẠI TỔNG HỢP WINCOMMERCE</v>
      </c>
      <c r="G3137" s="16"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c r="A3138" s="14" t="s">
        <v>11259</v>
      </c>
      <c r="B3138" s="15" t="s">
        <v>5</v>
      </c>
      <c r="C3138" s="16" t="s">
        <v>11498</v>
      </c>
      <c r="D3138" s="21" t="s">
        <v>11499</v>
      </c>
      <c r="E3138" s="15" t="s">
        <v>11447</v>
      </c>
      <c r="F3138" s="22" t="str">
        <f>VLOOKUP(Table8[[#This Row],[Mã khách hàng]],code_khach_hang[],2,0)</f>
        <v>CHI NHÁNH QUẢNG TRỊ - CÔNG TY CỔ PHẦN DỊCH VỤ THƯƠNG MẠI TỔNG HỢP WINCOMMERCE</v>
      </c>
      <c r="G3138" s="16"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c r="A3139" s="14" t="s">
        <v>11260</v>
      </c>
      <c r="B3139" s="15" t="s">
        <v>5</v>
      </c>
      <c r="C3139" s="16" t="s">
        <v>11500</v>
      </c>
      <c r="D3139" s="21" t="s">
        <v>11501</v>
      </c>
      <c r="E3139" s="15" t="s">
        <v>11446</v>
      </c>
      <c r="F3139" s="22" t="str">
        <f>VLOOKUP(Table8[[#This Row],[Mã khách hàng]],code_khach_hang[],2,0)</f>
        <v>CHI NHÁNH GIA LAI - CÔNG TY CỔ PHẦN DỊCH VỤ THƯƠNG MẠI TỔNG HỢP WINCOMMERCE</v>
      </c>
      <c r="G3139" s="16"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c r="A3140" s="14" t="s">
        <v>11261</v>
      </c>
      <c r="B3140" s="15" t="s">
        <v>5</v>
      </c>
      <c r="C3140" s="16" t="s">
        <v>11502</v>
      </c>
      <c r="D3140" s="21" t="s">
        <v>11503</v>
      </c>
      <c r="E3140" s="15" t="s">
        <v>11447</v>
      </c>
      <c r="F3140" s="22" t="str">
        <f>VLOOKUP(Table8[[#This Row],[Mã khách hàng]],code_khach_hang[],2,0)</f>
        <v>CHI NHÁNH QUẢNG TRỊ - CÔNG TY CỔ PHẦN DỊCH VỤ THƯƠNG MẠI TỔNG HỢP WINCOMMERCE</v>
      </c>
      <c r="G3140" s="16"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c r="A3141" s="14" t="s">
        <v>11262</v>
      </c>
      <c r="B3141" s="15" t="s">
        <v>5</v>
      </c>
      <c r="C3141" s="16" t="s">
        <v>11504</v>
      </c>
      <c r="D3141" s="21" t="s">
        <v>11505</v>
      </c>
      <c r="E3141" s="15" t="s">
        <v>11444</v>
      </c>
      <c r="F3141" s="22" t="str">
        <f>VLOOKUP(Table8[[#This Row],[Mã khách hàng]],code_khach_hang[],2,0)</f>
        <v>CHI NHÁNH QUẢNG NAM - CÔNG TY CỔ PHẦN DỊCH VỤ THƯƠNG MẠI TỔNG HỢP WINCOMMERCE</v>
      </c>
      <c r="G3141" s="16"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c r="A3142" s="14" t="s">
        <v>11263</v>
      </c>
      <c r="B3142" s="15" t="s">
        <v>5</v>
      </c>
      <c r="C3142" s="16" t="s">
        <v>11506</v>
      </c>
      <c r="D3142" s="21" t="s">
        <v>11507</v>
      </c>
      <c r="E3142" s="15" t="s">
        <v>11447</v>
      </c>
      <c r="F3142" s="22" t="str">
        <f>VLOOKUP(Table8[[#This Row],[Mã khách hàng]],code_khach_hang[],2,0)</f>
        <v>CHI NHÁNH QUẢNG TRỊ - CÔNG TY CỔ PHẦN DỊCH VỤ THƯƠNG MẠI TỔNG HỢP WINCOMMERCE</v>
      </c>
      <c r="G3142" s="16"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c r="A3143" s="14" t="s">
        <v>11264</v>
      </c>
      <c r="B3143" s="15" t="s">
        <v>5</v>
      </c>
      <c r="C3143" s="16" t="s">
        <v>11508</v>
      </c>
      <c r="D3143" s="21" t="s">
        <v>11509</v>
      </c>
      <c r="E3143" s="15" t="s">
        <v>11444</v>
      </c>
      <c r="F3143" s="22" t="str">
        <f>VLOOKUP(Table8[[#This Row],[Mã khách hàng]],code_khach_hang[],2,0)</f>
        <v>CHI NHÁNH QUẢNG NAM - CÔNG TY CỔ PHẦN DỊCH VỤ THƯƠNG MẠI TỔNG HỢP WINCOMMERCE</v>
      </c>
      <c r="G3143" s="16"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c r="A3144" s="14" t="s">
        <v>11265</v>
      </c>
      <c r="B3144" s="15" t="s">
        <v>5</v>
      </c>
      <c r="C3144" s="16" t="s">
        <v>11510</v>
      </c>
      <c r="D3144" s="21" t="s">
        <v>11511</v>
      </c>
      <c r="E3144" s="15" t="s">
        <v>11448</v>
      </c>
      <c r="F3144" s="22" t="str">
        <f>VLOOKUP(Table8[[#This Row],[Mã khách hàng]],code_khach_hang[],2,0)</f>
        <v>CHI NHÁNH KON TUM - CÔNG TY CỔ PHẦN DỊCH VỤ THƯƠNG MẠI TỔNG HỢP WINCOMMERCE</v>
      </c>
      <c r="G3144" s="16"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c r="A3145" s="14" t="s">
        <v>11266</v>
      </c>
      <c r="B3145" s="15" t="s">
        <v>5</v>
      </c>
      <c r="C3145" s="16" t="s">
        <v>11512</v>
      </c>
      <c r="D3145" s="21" t="s">
        <v>11513</v>
      </c>
      <c r="E3145" s="15" t="s">
        <v>11449</v>
      </c>
      <c r="F3145" s="22" t="str">
        <f>VLOOKUP(Table8[[#This Row],[Mã khách hàng]],code_khach_hang[],2,0)</f>
        <v>CHI NHÁNH QUẢNG NGÃI - CÔNG TY CỔ PHẦN DỊCH VỤ THƯƠNG MẠI TỔNG HỢP WINCOMMERCE</v>
      </c>
      <c r="G3145" s="16"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c r="A3146" s="14" t="s">
        <v>11267</v>
      </c>
      <c r="B3146" s="15" t="s">
        <v>5</v>
      </c>
      <c r="C3146" s="16" t="s">
        <v>11514</v>
      </c>
      <c r="D3146" s="21" t="s">
        <v>11515</v>
      </c>
      <c r="E3146" s="15" t="s">
        <v>11449</v>
      </c>
      <c r="F3146" s="22" t="str">
        <f>VLOOKUP(Table8[[#This Row],[Mã khách hàng]],code_khach_hang[],2,0)</f>
        <v>CHI NHÁNH QUẢNG NGÃI - CÔNG TY CỔ PHẦN DỊCH VỤ THƯƠNG MẠI TỔNG HỢP WINCOMMERCE</v>
      </c>
      <c r="G3146" s="16"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c r="A3147" s="14" t="s">
        <v>11268</v>
      </c>
      <c r="B3147" s="15" t="s">
        <v>5</v>
      </c>
      <c r="C3147" s="16" t="s">
        <v>11516</v>
      </c>
      <c r="D3147" s="21" t="s">
        <v>11517</v>
      </c>
      <c r="E3147" s="15" t="s">
        <v>11448</v>
      </c>
      <c r="F3147" s="22" t="str">
        <f>VLOOKUP(Table8[[#This Row],[Mã khách hàng]],code_khach_hang[],2,0)</f>
        <v>CHI NHÁNH KON TUM - CÔNG TY CỔ PHẦN DỊCH VỤ THƯƠNG MẠI TỔNG HỢP WINCOMMERCE</v>
      </c>
      <c r="G3147" s="16"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c r="A3148" s="14" t="s">
        <v>11269</v>
      </c>
      <c r="B3148" s="15" t="s">
        <v>5</v>
      </c>
      <c r="C3148" s="16" t="s">
        <v>11518</v>
      </c>
      <c r="D3148" s="21" t="s">
        <v>11519</v>
      </c>
      <c r="E3148" s="15" t="s">
        <v>11446</v>
      </c>
      <c r="F3148" s="22" t="str">
        <f>VLOOKUP(Table8[[#This Row],[Mã khách hàng]],code_khach_hang[],2,0)</f>
        <v>CHI NHÁNH GIA LAI - CÔNG TY CỔ PHẦN DỊCH VỤ THƯƠNG MẠI TỔNG HỢP WINCOMMERCE</v>
      </c>
      <c r="G3148" s="16"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c r="A3149" s="14" t="s">
        <v>11270</v>
      </c>
      <c r="B3149" s="15" t="s">
        <v>5</v>
      </c>
      <c r="C3149" s="16" t="s">
        <v>11520</v>
      </c>
      <c r="D3149" s="21" t="s">
        <v>11521</v>
      </c>
      <c r="E3149" s="15" t="s">
        <v>11241</v>
      </c>
      <c r="F3149" s="22" t="str">
        <f>VLOOKUP(Table8[[#This Row],[Mã khách hàng]],code_khach_hang[],2,0)</f>
        <v>CHI NHÁNH BÌNH ĐỊNH - CÔNG TY CỔ PHẦN DỊCH VỤ THƯƠNG MẠI TỔNG HỢP WINCOMMERCE</v>
      </c>
      <c r="G3149" s="16"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c r="A3150" s="14" t="s">
        <v>11271</v>
      </c>
      <c r="B3150" s="15" t="s">
        <v>5</v>
      </c>
      <c r="C3150" s="16" t="s">
        <v>11522</v>
      </c>
      <c r="D3150" s="21" t="s">
        <v>11523</v>
      </c>
      <c r="E3150" s="15" t="s">
        <v>11443</v>
      </c>
      <c r="F3150" s="22" t="str">
        <f>VLOOKUP(Table8[[#This Row],[Mã khách hàng]],code_khach_hang[],2,0)</f>
        <v>CHI NHÁNH KHÁNH HÒA - CÔNG TY CỔ PHẦN DỊCH VỤ THƯƠNG MẠI TỔNG HỢP WINCOMMERCE</v>
      </c>
      <c r="G3150" s="16"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c r="A3151" s="14" t="s">
        <v>11272</v>
      </c>
      <c r="B3151" s="15" t="s">
        <v>5</v>
      </c>
      <c r="C3151" s="16" t="s">
        <v>11524</v>
      </c>
      <c r="D3151" s="21" t="s">
        <v>11525</v>
      </c>
      <c r="E3151" s="15" t="s">
        <v>11445</v>
      </c>
      <c r="F3151" s="22" t="str">
        <f>VLOOKUP(Table8[[#This Row],[Mã khách hàng]],code_khach_hang[],2,0)</f>
        <v>CHI NHÁNH THỪA THIÊN HUẾ - CÔNG TY CỔ PHẦN DỊCH VỤ THƯƠNG MẠI TỔNG HỢP WINCOMMERCE</v>
      </c>
      <c r="G3151" s="16"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c r="A3152" s="14" t="s">
        <v>11273</v>
      </c>
      <c r="B3152" s="15" t="s">
        <v>5</v>
      </c>
      <c r="C3152" s="16" t="s">
        <v>11526</v>
      </c>
      <c r="D3152" s="21" t="s">
        <v>11527</v>
      </c>
      <c r="E3152" s="15" t="s">
        <v>11446</v>
      </c>
      <c r="F3152" s="22" t="str">
        <f>VLOOKUP(Table8[[#This Row],[Mã khách hàng]],code_khach_hang[],2,0)</f>
        <v>CHI NHÁNH GIA LAI - CÔNG TY CỔ PHẦN DỊCH VỤ THƯƠNG MẠI TỔNG HỢP WINCOMMERCE</v>
      </c>
      <c r="G3152" s="16"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c r="A3153" s="14" t="s">
        <v>11274</v>
      </c>
      <c r="B3153" s="15" t="s">
        <v>5</v>
      </c>
      <c r="C3153" s="16" t="s">
        <v>11528</v>
      </c>
      <c r="D3153" s="21" t="s">
        <v>11529</v>
      </c>
      <c r="E3153" s="15" t="s">
        <v>11447</v>
      </c>
      <c r="F3153" s="22" t="str">
        <f>VLOOKUP(Table8[[#This Row],[Mã khách hàng]],code_khach_hang[],2,0)</f>
        <v>CHI NHÁNH QUẢNG TRỊ - CÔNG TY CỔ PHẦN DỊCH VỤ THƯƠNG MẠI TỔNG HỢP WINCOMMERCE</v>
      </c>
      <c r="G3153" s="16"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c r="A3154" s="14" t="s">
        <v>11275</v>
      </c>
      <c r="B3154" s="15" t="s">
        <v>5</v>
      </c>
      <c r="C3154" s="16" t="s">
        <v>11530</v>
      </c>
      <c r="D3154" s="21" t="s">
        <v>11531</v>
      </c>
      <c r="E3154" s="15" t="s">
        <v>11442</v>
      </c>
      <c r="F3154" s="22" t="str">
        <f>VLOOKUP(Table8[[#This Row],[Mã khách hàng]],code_khach_hang[],2,0)</f>
        <v>CHI NHÁNH ĐÀ NẴNG - CÔNG TY CỔ PHẦN DỊCH VỤ THƯƠNG MẠI TỔNG HỢP WINCOMMERCE</v>
      </c>
      <c r="G3154" s="16"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c r="A3155" s="14" t="s">
        <v>11276</v>
      </c>
      <c r="B3155" s="15" t="s">
        <v>5</v>
      </c>
      <c r="C3155" s="16" t="s">
        <v>11532</v>
      </c>
      <c r="D3155" s="21" t="s">
        <v>11533</v>
      </c>
      <c r="E3155" s="15" t="s">
        <v>11442</v>
      </c>
      <c r="F3155" s="22" t="str">
        <f>VLOOKUP(Table8[[#This Row],[Mã khách hàng]],code_khach_hang[],2,0)</f>
        <v>CHI NHÁNH ĐÀ NẴNG - CÔNG TY CỔ PHẦN DỊCH VỤ THƯƠNG MẠI TỔNG HỢP WINCOMMERCE</v>
      </c>
      <c r="G3155" s="16"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c r="A3156" s="14" t="s">
        <v>11277</v>
      </c>
      <c r="B3156" s="15" t="s">
        <v>5</v>
      </c>
      <c r="C3156" s="16" t="s">
        <v>11534</v>
      </c>
      <c r="D3156" s="21" t="s">
        <v>11535</v>
      </c>
      <c r="E3156" s="15" t="s">
        <v>11445</v>
      </c>
      <c r="F3156" s="22" t="str">
        <f>VLOOKUP(Table8[[#This Row],[Mã khách hàng]],code_khach_hang[],2,0)</f>
        <v>CHI NHÁNH THỪA THIÊN HUẾ - CÔNG TY CỔ PHẦN DỊCH VỤ THƯƠNG MẠI TỔNG HỢP WINCOMMERCE</v>
      </c>
      <c r="G3156" s="16"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c r="A3157" s="14" t="s">
        <v>11278</v>
      </c>
      <c r="B3157" s="15" t="s">
        <v>5</v>
      </c>
      <c r="C3157" s="16" t="s">
        <v>11536</v>
      </c>
      <c r="D3157" s="21" t="s">
        <v>11537</v>
      </c>
      <c r="E3157" s="15" t="s">
        <v>11444</v>
      </c>
      <c r="F3157" s="22" t="str">
        <f>VLOOKUP(Table8[[#This Row],[Mã khách hàng]],code_khach_hang[],2,0)</f>
        <v>CHI NHÁNH QUẢNG NAM - CÔNG TY CỔ PHẦN DỊCH VỤ THƯƠNG MẠI TỔNG HỢP WINCOMMERCE</v>
      </c>
      <c r="G3157" s="16"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c r="A3158" s="14" t="s">
        <v>11279</v>
      </c>
      <c r="B3158" s="15" t="s">
        <v>5</v>
      </c>
      <c r="C3158" s="16" t="s">
        <v>11538</v>
      </c>
      <c r="D3158" s="21" t="s">
        <v>11539</v>
      </c>
      <c r="E3158" s="15" t="s">
        <v>11241</v>
      </c>
      <c r="F3158" s="22" t="str">
        <f>VLOOKUP(Table8[[#This Row],[Mã khách hàng]],code_khach_hang[],2,0)</f>
        <v>CHI NHÁNH BÌNH ĐỊNH - CÔNG TY CỔ PHẦN DỊCH VỤ THƯƠNG MẠI TỔNG HỢP WINCOMMERCE</v>
      </c>
      <c r="G3158" s="16"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c r="A3159" s="14" t="s">
        <v>11280</v>
      </c>
      <c r="B3159" s="15" t="s">
        <v>5</v>
      </c>
      <c r="C3159" s="16" t="s">
        <v>11540</v>
      </c>
      <c r="D3159" s="21" t="s">
        <v>11541</v>
      </c>
      <c r="E3159" s="15" t="s">
        <v>11448</v>
      </c>
      <c r="F3159" s="22" t="str">
        <f>VLOOKUP(Table8[[#This Row],[Mã khách hàng]],code_khach_hang[],2,0)</f>
        <v>CHI NHÁNH KON TUM - CÔNG TY CỔ PHẦN DỊCH VỤ THƯƠNG MẠI TỔNG HỢP WINCOMMERCE</v>
      </c>
      <c r="G3159" s="16"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c r="A3160" s="14" t="s">
        <v>11281</v>
      </c>
      <c r="B3160" s="15" t="s">
        <v>5</v>
      </c>
      <c r="C3160" s="16" t="s">
        <v>11542</v>
      </c>
      <c r="D3160" s="21" t="s">
        <v>11543</v>
      </c>
      <c r="E3160" s="15" t="s">
        <v>11447</v>
      </c>
      <c r="F3160" s="22" t="str">
        <f>VLOOKUP(Table8[[#This Row],[Mã khách hàng]],code_khach_hang[],2,0)</f>
        <v>CHI NHÁNH QUẢNG TRỊ - CÔNG TY CỔ PHẦN DỊCH VỤ THƯƠNG MẠI TỔNG HỢP WINCOMMERCE</v>
      </c>
      <c r="G3160" s="16"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c r="A3161" s="14" t="s">
        <v>11282</v>
      </c>
      <c r="B3161" s="15" t="s">
        <v>5</v>
      </c>
      <c r="C3161" s="16" t="s">
        <v>11544</v>
      </c>
      <c r="D3161" s="21" t="s">
        <v>11545</v>
      </c>
      <c r="E3161" s="15" t="s">
        <v>11449</v>
      </c>
      <c r="F3161" s="22" t="str">
        <f>VLOOKUP(Table8[[#This Row],[Mã khách hàng]],code_khach_hang[],2,0)</f>
        <v>CHI NHÁNH QUẢNG NGÃI - CÔNG TY CỔ PHẦN DỊCH VỤ THƯƠNG MẠI TỔNG HỢP WINCOMMERCE</v>
      </c>
      <c r="G3161" s="16"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c r="A3162" s="14" t="s">
        <v>11283</v>
      </c>
      <c r="B3162" s="15" t="s">
        <v>5</v>
      </c>
      <c r="C3162" s="16" t="s">
        <v>11546</v>
      </c>
      <c r="D3162" s="21" t="s">
        <v>11547</v>
      </c>
      <c r="E3162" s="15" t="s">
        <v>11446</v>
      </c>
      <c r="F3162" s="22" t="str">
        <f>VLOOKUP(Table8[[#This Row],[Mã khách hàng]],code_khach_hang[],2,0)</f>
        <v>CHI NHÁNH GIA LAI - CÔNG TY CỔ PHẦN DỊCH VỤ THƯƠNG MẠI TỔNG HỢP WINCOMMERCE</v>
      </c>
      <c r="G3162" s="16"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c r="A3163" s="14" t="s">
        <v>11284</v>
      </c>
      <c r="B3163" s="15" t="s">
        <v>5</v>
      </c>
      <c r="C3163" s="16" t="s">
        <v>11548</v>
      </c>
      <c r="D3163" s="21" t="s">
        <v>11549</v>
      </c>
      <c r="E3163" s="15" t="s">
        <v>11446</v>
      </c>
      <c r="F3163" s="22" t="str">
        <f>VLOOKUP(Table8[[#This Row],[Mã khách hàng]],code_khach_hang[],2,0)</f>
        <v>CHI NHÁNH GIA LAI - CÔNG TY CỔ PHẦN DỊCH VỤ THƯƠNG MẠI TỔNG HỢP WINCOMMERCE</v>
      </c>
      <c r="G3163" s="16"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c r="A3164" s="14" t="s">
        <v>11285</v>
      </c>
      <c r="B3164" s="15" t="s">
        <v>5</v>
      </c>
      <c r="C3164" s="16" t="s">
        <v>11550</v>
      </c>
      <c r="D3164" s="21" t="s">
        <v>11551</v>
      </c>
      <c r="E3164" s="15" t="s">
        <v>11241</v>
      </c>
      <c r="F3164" s="22" t="str">
        <f>VLOOKUP(Table8[[#This Row],[Mã khách hàng]],code_khach_hang[],2,0)</f>
        <v>CHI NHÁNH BÌNH ĐỊNH - CÔNG TY CỔ PHẦN DỊCH VỤ THƯƠNG MẠI TỔNG HỢP WINCOMMERCE</v>
      </c>
      <c r="G3164" s="16"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c r="A3165" s="14" t="s">
        <v>11286</v>
      </c>
      <c r="B3165" s="15" t="s">
        <v>5</v>
      </c>
      <c r="C3165" s="16" t="s">
        <v>11552</v>
      </c>
      <c r="D3165" s="21" t="s">
        <v>11553</v>
      </c>
      <c r="E3165" s="15" t="s">
        <v>11445</v>
      </c>
      <c r="F3165" s="22" t="str">
        <f>VLOOKUP(Table8[[#This Row],[Mã khách hàng]],code_khach_hang[],2,0)</f>
        <v>CHI NHÁNH THỪA THIÊN HUẾ - CÔNG TY CỔ PHẦN DỊCH VỤ THƯƠNG MẠI TỔNG HỢP WINCOMMERCE</v>
      </c>
      <c r="G3165" s="16"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c r="A3166" s="14" t="s">
        <v>11287</v>
      </c>
      <c r="B3166" s="15" t="s">
        <v>5</v>
      </c>
      <c r="C3166" s="16" t="s">
        <v>11554</v>
      </c>
      <c r="D3166" s="21" t="s">
        <v>11555</v>
      </c>
      <c r="E3166" s="15" t="s">
        <v>11443</v>
      </c>
      <c r="F3166" s="22" t="str">
        <f>VLOOKUP(Table8[[#This Row],[Mã khách hàng]],code_khach_hang[],2,0)</f>
        <v>CHI NHÁNH KHÁNH HÒA - CÔNG TY CỔ PHẦN DỊCH VỤ THƯƠNG MẠI TỔNG HỢP WINCOMMERCE</v>
      </c>
      <c r="G3166" s="16"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c r="A3167" s="14" t="s">
        <v>11288</v>
      </c>
      <c r="B3167" s="15" t="s">
        <v>5</v>
      </c>
      <c r="C3167" s="16" t="s">
        <v>11556</v>
      </c>
      <c r="D3167" s="21" t="s">
        <v>11557</v>
      </c>
      <c r="E3167" s="15" t="s">
        <v>11445</v>
      </c>
      <c r="F3167" s="22" t="str">
        <f>VLOOKUP(Table8[[#This Row],[Mã khách hàng]],code_khach_hang[],2,0)</f>
        <v>CHI NHÁNH THỪA THIÊN HUẾ - CÔNG TY CỔ PHẦN DỊCH VỤ THƯƠNG MẠI TỔNG HỢP WINCOMMERCE</v>
      </c>
      <c r="G3167" s="16"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c r="A3168" s="14" t="s">
        <v>11289</v>
      </c>
      <c r="B3168" s="15" t="s">
        <v>5</v>
      </c>
      <c r="C3168" s="16" t="s">
        <v>11558</v>
      </c>
      <c r="D3168" s="21" t="s">
        <v>11559</v>
      </c>
      <c r="E3168" s="15" t="s">
        <v>11449</v>
      </c>
      <c r="F3168" s="22" t="str">
        <f>VLOOKUP(Table8[[#This Row],[Mã khách hàng]],code_khach_hang[],2,0)</f>
        <v>CHI NHÁNH QUẢNG NGÃI - CÔNG TY CỔ PHẦN DỊCH VỤ THƯƠNG MẠI TỔNG HỢP WINCOMMERCE</v>
      </c>
      <c r="G3168" s="16"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c r="A3169" s="14" t="s">
        <v>11290</v>
      </c>
      <c r="B3169" s="15" t="s">
        <v>5</v>
      </c>
      <c r="C3169" s="16" t="s">
        <v>11560</v>
      </c>
      <c r="D3169" s="21" t="s">
        <v>11561</v>
      </c>
      <c r="E3169" s="15" t="s">
        <v>11442</v>
      </c>
      <c r="F3169" s="22" t="str">
        <f>VLOOKUP(Table8[[#This Row],[Mã khách hàng]],code_khach_hang[],2,0)</f>
        <v>CHI NHÁNH ĐÀ NẴNG - CÔNG TY CỔ PHẦN DỊCH VỤ THƯƠNG MẠI TỔNG HỢP WINCOMMERCE</v>
      </c>
      <c r="G3169" s="16"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c r="A3170" s="14" t="s">
        <v>11291</v>
      </c>
      <c r="B3170" s="15" t="s">
        <v>5</v>
      </c>
      <c r="C3170" s="16" t="s">
        <v>11562</v>
      </c>
      <c r="D3170" s="21" t="s">
        <v>11563</v>
      </c>
      <c r="E3170" s="15" t="s">
        <v>11447</v>
      </c>
      <c r="F3170" s="22" t="str">
        <f>VLOOKUP(Table8[[#This Row],[Mã khách hàng]],code_khach_hang[],2,0)</f>
        <v>CHI NHÁNH QUẢNG TRỊ - CÔNG TY CỔ PHẦN DỊCH VỤ THƯƠNG MẠI TỔNG HỢP WINCOMMERCE</v>
      </c>
      <c r="G3170" s="16"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c r="A3171" s="14" t="s">
        <v>11292</v>
      </c>
      <c r="B3171" s="15" t="s">
        <v>5</v>
      </c>
      <c r="C3171" s="16" t="s">
        <v>11564</v>
      </c>
      <c r="D3171" s="21" t="s">
        <v>11565</v>
      </c>
      <c r="E3171" s="15" t="s">
        <v>11444</v>
      </c>
      <c r="F3171" s="22" t="str">
        <f>VLOOKUP(Table8[[#This Row],[Mã khách hàng]],code_khach_hang[],2,0)</f>
        <v>CHI NHÁNH QUẢNG NAM - CÔNG TY CỔ PHẦN DỊCH VỤ THƯƠNG MẠI TỔNG HỢP WINCOMMERCE</v>
      </c>
      <c r="G3171" s="16"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c r="A3172" s="14" t="s">
        <v>11293</v>
      </c>
      <c r="B3172" s="15" t="s">
        <v>5</v>
      </c>
      <c r="C3172" s="16" t="s">
        <v>11566</v>
      </c>
      <c r="D3172" s="21" t="s">
        <v>11567</v>
      </c>
      <c r="E3172" s="15" t="s">
        <v>11442</v>
      </c>
      <c r="F3172" s="22" t="str">
        <f>VLOOKUP(Table8[[#This Row],[Mã khách hàng]],code_khach_hang[],2,0)</f>
        <v>CHI NHÁNH ĐÀ NẴNG - CÔNG TY CỔ PHẦN DỊCH VỤ THƯƠNG MẠI TỔNG HỢP WINCOMMERCE</v>
      </c>
      <c r="G3172" s="16"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c r="A3173" s="14" t="s">
        <v>11294</v>
      </c>
      <c r="B3173" s="15" t="s">
        <v>5</v>
      </c>
      <c r="C3173" s="16" t="s">
        <v>11568</v>
      </c>
      <c r="D3173" s="21" t="s">
        <v>11569</v>
      </c>
      <c r="E3173" s="15" t="s">
        <v>11442</v>
      </c>
      <c r="F3173" s="22" t="str">
        <f>VLOOKUP(Table8[[#This Row],[Mã khách hàng]],code_khach_hang[],2,0)</f>
        <v>CHI NHÁNH ĐÀ NẴNG - CÔNG TY CỔ PHẦN DỊCH VỤ THƯƠNG MẠI TỔNG HỢP WINCOMMERCE</v>
      </c>
      <c r="G3173" s="16"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c r="A3174" s="14" t="s">
        <v>11295</v>
      </c>
      <c r="B3174" s="15" t="s">
        <v>5</v>
      </c>
      <c r="C3174" s="16" t="s">
        <v>11570</v>
      </c>
      <c r="D3174" s="21" t="s">
        <v>11571</v>
      </c>
      <c r="E3174" s="15" t="s">
        <v>11442</v>
      </c>
      <c r="F3174" s="22" t="str">
        <f>VLOOKUP(Table8[[#This Row],[Mã khách hàng]],code_khach_hang[],2,0)</f>
        <v>CHI NHÁNH ĐÀ NẴNG - CÔNG TY CỔ PHẦN DỊCH VỤ THƯƠNG MẠI TỔNG HỢP WINCOMMERCE</v>
      </c>
      <c r="G3174" s="16"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c r="A3175" s="14" t="s">
        <v>11296</v>
      </c>
      <c r="B3175" s="15" t="s">
        <v>5</v>
      </c>
      <c r="C3175" s="16" t="s">
        <v>11572</v>
      </c>
      <c r="D3175" s="21" t="s">
        <v>11573</v>
      </c>
      <c r="E3175" s="15" t="s">
        <v>11447</v>
      </c>
      <c r="F3175" s="22" t="str">
        <f>VLOOKUP(Table8[[#This Row],[Mã khách hàng]],code_khach_hang[],2,0)</f>
        <v>CHI NHÁNH QUẢNG TRỊ - CÔNG TY CỔ PHẦN DỊCH VỤ THƯƠNG MẠI TỔNG HỢP WINCOMMERCE</v>
      </c>
      <c r="G3175" s="16"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c r="A3176" s="14" t="s">
        <v>11297</v>
      </c>
      <c r="B3176" s="15" t="s">
        <v>5</v>
      </c>
      <c r="C3176" s="16" t="s">
        <v>11574</v>
      </c>
      <c r="D3176" s="21" t="s">
        <v>11575</v>
      </c>
      <c r="E3176" s="15" t="s">
        <v>11447</v>
      </c>
      <c r="F3176" s="22" t="str">
        <f>VLOOKUP(Table8[[#This Row],[Mã khách hàng]],code_khach_hang[],2,0)</f>
        <v>CHI NHÁNH QUẢNG TRỊ - CÔNG TY CỔ PHẦN DỊCH VỤ THƯƠNG MẠI TỔNG HỢP WINCOMMERCE</v>
      </c>
      <c r="G3176" s="16"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c r="A3177" s="14" t="s">
        <v>11298</v>
      </c>
      <c r="B3177" s="15" t="s">
        <v>5</v>
      </c>
      <c r="C3177" s="16" t="s">
        <v>11576</v>
      </c>
      <c r="D3177" s="21" t="s">
        <v>11577</v>
      </c>
      <c r="E3177" s="15" t="s">
        <v>11447</v>
      </c>
      <c r="F3177" s="22" t="str">
        <f>VLOOKUP(Table8[[#This Row],[Mã khách hàng]],code_khach_hang[],2,0)</f>
        <v>CHI NHÁNH QUẢNG TRỊ - CÔNG TY CỔ PHẦN DỊCH VỤ THƯƠNG MẠI TỔNG HỢP WINCOMMERCE</v>
      </c>
      <c r="G3177" s="16"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c r="A3178" s="14" t="s">
        <v>11299</v>
      </c>
      <c r="B3178" s="15" t="s">
        <v>5</v>
      </c>
      <c r="C3178" s="16" t="s">
        <v>11578</v>
      </c>
      <c r="D3178" s="21" t="s">
        <v>11579</v>
      </c>
      <c r="E3178" s="15" t="s">
        <v>11442</v>
      </c>
      <c r="F3178" s="22" t="str">
        <f>VLOOKUP(Table8[[#This Row],[Mã khách hàng]],code_khach_hang[],2,0)</f>
        <v>CHI NHÁNH ĐÀ NẴNG - CÔNG TY CỔ PHẦN DỊCH VỤ THƯƠNG MẠI TỔNG HỢP WINCOMMERCE</v>
      </c>
      <c r="G3178" s="16"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c r="A3179" s="14" t="s">
        <v>11300</v>
      </c>
      <c r="B3179" s="15" t="s">
        <v>5</v>
      </c>
      <c r="C3179" s="16" t="s">
        <v>11580</v>
      </c>
      <c r="D3179" s="21" t="s">
        <v>11581</v>
      </c>
      <c r="E3179" s="15" t="s">
        <v>11444</v>
      </c>
      <c r="F3179" s="22" t="str">
        <f>VLOOKUP(Table8[[#This Row],[Mã khách hàng]],code_khach_hang[],2,0)</f>
        <v>CHI NHÁNH QUẢNG NAM - CÔNG TY CỔ PHẦN DỊCH VỤ THƯƠNG MẠI TỔNG HỢP WINCOMMERCE</v>
      </c>
      <c r="G3179" s="16"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c r="A3180" s="14" t="s">
        <v>11301</v>
      </c>
      <c r="B3180" s="15" t="s">
        <v>5</v>
      </c>
      <c r="C3180" s="16" t="s">
        <v>11582</v>
      </c>
      <c r="D3180" s="21" t="s">
        <v>11583</v>
      </c>
      <c r="E3180" s="15" t="s">
        <v>11442</v>
      </c>
      <c r="F3180" s="22" t="str">
        <f>VLOOKUP(Table8[[#This Row],[Mã khách hàng]],code_khach_hang[],2,0)</f>
        <v>CHI NHÁNH ĐÀ NẴNG - CÔNG TY CỔ PHẦN DỊCH VỤ THƯƠNG MẠI TỔNG HỢP WINCOMMERCE</v>
      </c>
      <c r="G3180" s="16"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c r="A3181" s="14" t="s">
        <v>11302</v>
      </c>
      <c r="B3181" s="15" t="s">
        <v>5</v>
      </c>
      <c r="C3181" s="16" t="s">
        <v>11584</v>
      </c>
      <c r="D3181" s="21" t="s">
        <v>11585</v>
      </c>
      <c r="E3181" s="15" t="s">
        <v>11442</v>
      </c>
      <c r="F3181" s="22" t="str">
        <f>VLOOKUP(Table8[[#This Row],[Mã khách hàng]],code_khach_hang[],2,0)</f>
        <v>CHI NHÁNH ĐÀ NẴNG - CÔNG TY CỔ PHẦN DỊCH VỤ THƯƠNG MẠI TỔNG HỢP WINCOMMERCE</v>
      </c>
      <c r="G3181" s="16"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c r="A3182" s="14" t="s">
        <v>11303</v>
      </c>
      <c r="B3182" s="15" t="s">
        <v>5</v>
      </c>
      <c r="C3182" s="16" t="s">
        <v>11586</v>
      </c>
      <c r="D3182" s="21" t="s">
        <v>11587</v>
      </c>
      <c r="E3182" s="15" t="s">
        <v>11442</v>
      </c>
      <c r="F3182" s="22" t="str">
        <f>VLOOKUP(Table8[[#This Row],[Mã khách hàng]],code_khach_hang[],2,0)</f>
        <v>CHI NHÁNH ĐÀ NẴNG - CÔNG TY CỔ PHẦN DỊCH VỤ THƯƠNG MẠI TỔNG HỢP WINCOMMERCE</v>
      </c>
      <c r="G3182" s="16"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c r="A3183" s="14" t="s">
        <v>11304</v>
      </c>
      <c r="B3183" s="15" t="s">
        <v>5</v>
      </c>
      <c r="C3183" s="16" t="s">
        <v>11588</v>
      </c>
      <c r="D3183" s="21" t="s">
        <v>11589</v>
      </c>
      <c r="E3183" s="15" t="s">
        <v>11442</v>
      </c>
      <c r="F3183" s="22" t="str">
        <f>VLOOKUP(Table8[[#This Row],[Mã khách hàng]],code_khach_hang[],2,0)</f>
        <v>CHI NHÁNH ĐÀ NẴNG - CÔNG TY CỔ PHẦN DỊCH VỤ THƯƠNG MẠI TỔNG HỢP WINCOMMERCE</v>
      </c>
      <c r="G3183" s="16"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c r="A3184" s="14" t="s">
        <v>11305</v>
      </c>
      <c r="B3184" s="15" t="s">
        <v>5</v>
      </c>
      <c r="C3184" s="16" t="s">
        <v>11590</v>
      </c>
      <c r="D3184" s="21" t="s">
        <v>11591</v>
      </c>
      <c r="E3184" s="15" t="s">
        <v>11442</v>
      </c>
      <c r="F3184" s="22" t="str">
        <f>VLOOKUP(Table8[[#This Row],[Mã khách hàng]],code_khach_hang[],2,0)</f>
        <v>CHI NHÁNH ĐÀ NẴNG - CÔNG TY CỔ PHẦN DỊCH VỤ THƯƠNG MẠI TỔNG HỢP WINCOMMERCE</v>
      </c>
      <c r="G3184" s="16"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c r="A3185" s="14" t="s">
        <v>11306</v>
      </c>
      <c r="B3185" s="15" t="s">
        <v>5</v>
      </c>
      <c r="C3185" s="16" t="s">
        <v>11592</v>
      </c>
      <c r="D3185" s="21" t="s">
        <v>11593</v>
      </c>
      <c r="E3185" s="15" t="s">
        <v>11446</v>
      </c>
      <c r="F3185" s="22" t="str">
        <f>VLOOKUP(Table8[[#This Row],[Mã khách hàng]],code_khach_hang[],2,0)</f>
        <v>CHI NHÁNH GIA LAI - CÔNG TY CỔ PHẦN DỊCH VỤ THƯƠNG MẠI TỔNG HỢP WINCOMMERCE</v>
      </c>
      <c r="G3185" s="16"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c r="A3186" s="14" t="s">
        <v>11307</v>
      </c>
      <c r="B3186" s="15" t="s">
        <v>5</v>
      </c>
      <c r="C3186" s="16" t="s">
        <v>11594</v>
      </c>
      <c r="D3186" s="21" t="s">
        <v>11595</v>
      </c>
      <c r="E3186" s="15" t="s">
        <v>11446</v>
      </c>
      <c r="F3186" s="22" t="str">
        <f>VLOOKUP(Table8[[#This Row],[Mã khách hàng]],code_khach_hang[],2,0)</f>
        <v>CHI NHÁNH GIA LAI - CÔNG TY CỔ PHẦN DỊCH VỤ THƯƠNG MẠI TỔNG HỢP WINCOMMERCE</v>
      </c>
      <c r="G3186" s="16"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c r="A3187" s="14" t="s">
        <v>11308</v>
      </c>
      <c r="B3187" s="15" t="s">
        <v>5</v>
      </c>
      <c r="C3187" s="16" t="s">
        <v>11596</v>
      </c>
      <c r="D3187" s="21" t="s">
        <v>11597</v>
      </c>
      <c r="E3187" s="15" t="s">
        <v>11442</v>
      </c>
      <c r="F3187" s="22" t="str">
        <f>VLOOKUP(Table8[[#This Row],[Mã khách hàng]],code_khach_hang[],2,0)</f>
        <v>CHI NHÁNH ĐÀ NẴNG - CÔNG TY CỔ PHẦN DỊCH VỤ THƯƠNG MẠI TỔNG HỢP WINCOMMERCE</v>
      </c>
      <c r="G3187" s="16"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c r="A3188" s="14" t="s">
        <v>11309</v>
      </c>
      <c r="B3188" s="15" t="s">
        <v>5</v>
      </c>
      <c r="C3188" s="16" t="s">
        <v>11598</v>
      </c>
      <c r="D3188" s="21" t="s">
        <v>11599</v>
      </c>
      <c r="E3188" s="15" t="s">
        <v>11442</v>
      </c>
      <c r="F3188" s="22" t="str">
        <f>VLOOKUP(Table8[[#This Row],[Mã khách hàng]],code_khach_hang[],2,0)</f>
        <v>CHI NHÁNH ĐÀ NẴNG - CÔNG TY CỔ PHẦN DỊCH VỤ THƯƠNG MẠI TỔNG HỢP WINCOMMERCE</v>
      </c>
      <c r="G3188" s="16"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c r="A3189" s="14" t="s">
        <v>11310</v>
      </c>
      <c r="B3189" s="15" t="s">
        <v>5</v>
      </c>
      <c r="C3189" s="16" t="s">
        <v>11600</v>
      </c>
      <c r="D3189" s="21" t="s">
        <v>11601</v>
      </c>
      <c r="E3189" s="15" t="s">
        <v>11442</v>
      </c>
      <c r="F3189" s="22" t="str">
        <f>VLOOKUP(Table8[[#This Row],[Mã khách hàng]],code_khach_hang[],2,0)</f>
        <v>CHI NHÁNH ĐÀ NẴNG - CÔNG TY CỔ PHẦN DỊCH VỤ THƯƠNG MẠI TỔNG HỢP WINCOMMERCE</v>
      </c>
      <c r="G3189" s="16"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c r="A3190" s="14" t="s">
        <v>11311</v>
      </c>
      <c r="B3190" s="15" t="s">
        <v>5</v>
      </c>
      <c r="C3190" s="16" t="s">
        <v>11602</v>
      </c>
      <c r="D3190" s="21" t="s">
        <v>11603</v>
      </c>
      <c r="E3190" s="15" t="s">
        <v>11450</v>
      </c>
      <c r="F3190" s="22" t="str">
        <f>VLOOKUP(Table8[[#This Row],[Mã khách hàng]],code_khach_hang[],2,0)</f>
        <v>CHI NHÁNH ĐẮK LẮK - CÔNG TY CỔ PHẦN DỊCH VỤ THƯƠNG MẠI TỔNG HỢP WINCOMMERCE</v>
      </c>
      <c r="G3190" s="16"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c r="A3191" s="14" t="s">
        <v>11312</v>
      </c>
      <c r="B3191" s="15" t="s">
        <v>5</v>
      </c>
      <c r="C3191" s="16" t="s">
        <v>11604</v>
      </c>
      <c r="D3191" s="21" t="s">
        <v>11605</v>
      </c>
      <c r="E3191" s="15" t="s">
        <v>11444</v>
      </c>
      <c r="F3191" s="22" t="str">
        <f>VLOOKUP(Table8[[#This Row],[Mã khách hàng]],code_khach_hang[],2,0)</f>
        <v>CHI NHÁNH QUẢNG NAM - CÔNG TY CỔ PHẦN DỊCH VỤ THƯƠNG MẠI TỔNG HỢP WINCOMMERCE</v>
      </c>
      <c r="G3191" s="16"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c r="A3192" s="14" t="s">
        <v>11313</v>
      </c>
      <c r="B3192" s="15" t="s">
        <v>5</v>
      </c>
      <c r="C3192" s="16" t="s">
        <v>11606</v>
      </c>
      <c r="D3192" s="21" t="s">
        <v>11607</v>
      </c>
      <c r="E3192" s="15" t="s">
        <v>11449</v>
      </c>
      <c r="F3192" s="22" t="str">
        <f>VLOOKUP(Table8[[#This Row],[Mã khách hàng]],code_khach_hang[],2,0)</f>
        <v>CHI NHÁNH QUẢNG NGÃI - CÔNG TY CỔ PHẦN DỊCH VỤ THƯƠNG MẠI TỔNG HỢP WINCOMMERCE</v>
      </c>
      <c r="G3192" s="16"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c r="A3193" s="14" t="s">
        <v>11314</v>
      </c>
      <c r="B3193" s="15" t="s">
        <v>5</v>
      </c>
      <c r="C3193" s="16" t="s">
        <v>11608</v>
      </c>
      <c r="D3193" s="21" t="s">
        <v>11609</v>
      </c>
      <c r="E3193" s="15" t="s">
        <v>11241</v>
      </c>
      <c r="F3193" s="22" t="str">
        <f>VLOOKUP(Table8[[#This Row],[Mã khách hàng]],code_khach_hang[],2,0)</f>
        <v>CHI NHÁNH BÌNH ĐỊNH - CÔNG TY CỔ PHẦN DỊCH VỤ THƯƠNG MẠI TỔNG HỢP WINCOMMERCE</v>
      </c>
      <c r="G3193" s="16"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c r="A3194" s="14" t="s">
        <v>11315</v>
      </c>
      <c r="B3194" s="15" t="s">
        <v>5</v>
      </c>
      <c r="C3194" s="16" t="s">
        <v>11610</v>
      </c>
      <c r="D3194" s="21" t="s">
        <v>11611</v>
      </c>
      <c r="E3194" s="15" t="s">
        <v>11451</v>
      </c>
      <c r="F3194" s="22" t="str">
        <f>VLOOKUP(Table8[[#This Row],[Mã khách hàng]],code_khach_hang[],2,0)</f>
        <v>CHI NHÁNH PHÚ YÊN - CÔNG TY CỔ PHẦN DỊCH VỤ THƯƠNG MẠI TỔNG HỢP WINCOMMERCE</v>
      </c>
      <c r="G3194" s="16"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c r="A3195" s="14" t="s">
        <v>11316</v>
      </c>
      <c r="B3195" s="15" t="s">
        <v>5</v>
      </c>
      <c r="C3195" s="16" t="s">
        <v>11612</v>
      </c>
      <c r="D3195" s="21" t="s">
        <v>11613</v>
      </c>
      <c r="E3195" s="15" t="s">
        <v>11449</v>
      </c>
      <c r="F3195" s="22" t="str">
        <f>VLOOKUP(Table8[[#This Row],[Mã khách hàng]],code_khach_hang[],2,0)</f>
        <v>CHI NHÁNH QUẢNG NGÃI - CÔNG TY CỔ PHẦN DỊCH VỤ THƯƠNG MẠI TỔNG HỢP WINCOMMERCE</v>
      </c>
      <c r="G3195" s="16"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c r="A3196" s="14" t="s">
        <v>11317</v>
      </c>
      <c r="B3196" s="15" t="s">
        <v>5</v>
      </c>
      <c r="C3196" s="16" t="s">
        <v>11614</v>
      </c>
      <c r="D3196" s="21" t="s">
        <v>11615</v>
      </c>
      <c r="E3196" s="15" t="s">
        <v>11449</v>
      </c>
      <c r="F3196" s="22" t="str">
        <f>VLOOKUP(Table8[[#This Row],[Mã khách hàng]],code_khach_hang[],2,0)</f>
        <v>CHI NHÁNH QUẢNG NGÃI - CÔNG TY CỔ PHẦN DỊCH VỤ THƯƠNG MẠI TỔNG HỢP WINCOMMERCE</v>
      </c>
      <c r="G3196" s="16"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c r="A3197" s="14" t="s">
        <v>11318</v>
      </c>
      <c r="B3197" s="15" t="s">
        <v>5</v>
      </c>
      <c r="C3197" s="16" t="s">
        <v>11616</v>
      </c>
      <c r="D3197" s="21" t="s">
        <v>11617</v>
      </c>
      <c r="E3197" s="15" t="s">
        <v>11444</v>
      </c>
      <c r="F3197" s="22" t="str">
        <f>VLOOKUP(Table8[[#This Row],[Mã khách hàng]],code_khach_hang[],2,0)</f>
        <v>CHI NHÁNH QUẢNG NAM - CÔNG TY CỔ PHẦN DỊCH VỤ THƯƠNG MẠI TỔNG HỢP WINCOMMERCE</v>
      </c>
      <c r="G3197" s="16"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c r="A3198" s="14" t="s">
        <v>11319</v>
      </c>
      <c r="B3198" s="15" t="s">
        <v>5</v>
      </c>
      <c r="C3198" s="16" t="s">
        <v>11618</v>
      </c>
      <c r="D3198" s="21" t="s">
        <v>11619</v>
      </c>
      <c r="E3198" s="15" t="s">
        <v>11451</v>
      </c>
      <c r="F3198" s="22" t="str">
        <f>VLOOKUP(Table8[[#This Row],[Mã khách hàng]],code_khach_hang[],2,0)</f>
        <v>CHI NHÁNH PHÚ YÊN - CÔNG TY CỔ PHẦN DỊCH VỤ THƯƠNG MẠI TỔNG HỢP WINCOMMERCE</v>
      </c>
      <c r="G3198" s="16"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c r="A3199" s="14" t="s">
        <v>11320</v>
      </c>
      <c r="B3199" s="15" t="s">
        <v>5</v>
      </c>
      <c r="C3199" s="16" t="s">
        <v>11620</v>
      </c>
      <c r="D3199" s="21" t="s">
        <v>11621</v>
      </c>
      <c r="E3199" s="15" t="s">
        <v>11445</v>
      </c>
      <c r="F3199" s="22" t="str">
        <f>VLOOKUP(Table8[[#This Row],[Mã khách hàng]],code_khach_hang[],2,0)</f>
        <v>CHI NHÁNH THỪA THIÊN HUẾ - CÔNG TY CỔ PHẦN DỊCH VỤ THƯƠNG MẠI TỔNG HỢP WINCOMMERCE</v>
      </c>
      <c r="G3199" s="16"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c r="A3200" s="14" t="s">
        <v>11321</v>
      </c>
      <c r="B3200" s="15" t="s">
        <v>5</v>
      </c>
      <c r="C3200" s="16" t="s">
        <v>11622</v>
      </c>
      <c r="D3200" s="21" t="s">
        <v>11623</v>
      </c>
      <c r="E3200" s="15" t="s">
        <v>11241</v>
      </c>
      <c r="F3200" s="22" t="str">
        <f>VLOOKUP(Table8[[#This Row],[Mã khách hàng]],code_khach_hang[],2,0)</f>
        <v>CHI NHÁNH BÌNH ĐỊNH - CÔNG TY CỔ PHẦN DỊCH VỤ THƯƠNG MẠI TỔNG HỢP WINCOMMERCE</v>
      </c>
      <c r="G3200" s="16"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c r="A3201" s="14" t="s">
        <v>11322</v>
      </c>
      <c r="B3201" s="15" t="s">
        <v>5</v>
      </c>
      <c r="C3201" s="16" t="s">
        <v>11624</v>
      </c>
      <c r="D3201" s="21" t="s">
        <v>11625</v>
      </c>
      <c r="E3201" s="15" t="s">
        <v>11444</v>
      </c>
      <c r="F3201" s="22" t="str">
        <f>VLOOKUP(Table8[[#This Row],[Mã khách hàng]],code_khach_hang[],2,0)</f>
        <v>CHI NHÁNH QUẢNG NAM - CÔNG TY CỔ PHẦN DỊCH VỤ THƯƠNG MẠI TỔNG HỢP WINCOMMERCE</v>
      </c>
      <c r="G3201" s="16"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c r="A3202" s="14" t="s">
        <v>11323</v>
      </c>
      <c r="B3202" s="15" t="s">
        <v>5</v>
      </c>
      <c r="C3202" s="16" t="s">
        <v>11626</v>
      </c>
      <c r="D3202" s="21" t="s">
        <v>11627</v>
      </c>
      <c r="E3202" s="15" t="s">
        <v>11444</v>
      </c>
      <c r="F3202" s="22" t="str">
        <f>VLOOKUP(Table8[[#This Row],[Mã khách hàng]],code_khach_hang[],2,0)</f>
        <v>CHI NHÁNH QUẢNG NAM - CÔNG TY CỔ PHẦN DỊCH VỤ THƯƠNG MẠI TỔNG HỢP WINCOMMERCE</v>
      </c>
      <c r="G3202" s="16"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c r="A3203" s="14" t="s">
        <v>11324</v>
      </c>
      <c r="B3203" s="15" t="s">
        <v>5</v>
      </c>
      <c r="C3203" s="16" t="s">
        <v>11628</v>
      </c>
      <c r="D3203" s="21" t="s">
        <v>11629</v>
      </c>
      <c r="E3203" s="15" t="s">
        <v>11444</v>
      </c>
      <c r="F3203" s="22" t="str">
        <f>VLOOKUP(Table8[[#This Row],[Mã khách hàng]],code_khach_hang[],2,0)</f>
        <v>CHI NHÁNH QUẢNG NAM - CÔNG TY CỔ PHẦN DỊCH VỤ THƯƠNG MẠI TỔNG HỢP WINCOMMERCE</v>
      </c>
      <c r="G3203" s="16"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c r="A3204" s="14" t="s">
        <v>11325</v>
      </c>
      <c r="B3204" s="15" t="s">
        <v>5</v>
      </c>
      <c r="C3204" s="16" t="s">
        <v>11630</v>
      </c>
      <c r="D3204" s="21" t="s">
        <v>11631</v>
      </c>
      <c r="E3204" s="15" t="s">
        <v>11444</v>
      </c>
      <c r="F3204" s="22" t="str">
        <f>VLOOKUP(Table8[[#This Row],[Mã khách hàng]],code_khach_hang[],2,0)</f>
        <v>CHI NHÁNH QUẢNG NAM - CÔNG TY CỔ PHẦN DỊCH VỤ THƯƠNG MẠI TỔNG HỢP WINCOMMERCE</v>
      </c>
      <c r="G3204" s="16"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c r="A3205" s="14" t="s">
        <v>11326</v>
      </c>
      <c r="B3205" s="15" t="s">
        <v>5</v>
      </c>
      <c r="C3205" s="16" t="s">
        <v>11632</v>
      </c>
      <c r="D3205" s="21" t="s">
        <v>11633</v>
      </c>
      <c r="E3205" s="15" t="s">
        <v>11241</v>
      </c>
      <c r="F3205" s="22" t="str">
        <f>VLOOKUP(Table8[[#This Row],[Mã khách hàng]],code_khach_hang[],2,0)</f>
        <v>CHI NHÁNH BÌNH ĐỊNH - CÔNG TY CỔ PHẦN DỊCH VỤ THƯƠNG MẠI TỔNG HỢP WINCOMMERCE</v>
      </c>
      <c r="G3205" s="16"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c r="A3206" s="14" t="s">
        <v>11327</v>
      </c>
      <c r="B3206" s="15" t="s">
        <v>5</v>
      </c>
      <c r="C3206" s="16" t="s">
        <v>11634</v>
      </c>
      <c r="D3206" s="21" t="s">
        <v>11635</v>
      </c>
      <c r="E3206" s="15" t="s">
        <v>11444</v>
      </c>
      <c r="F3206" s="22" t="str">
        <f>VLOOKUP(Table8[[#This Row],[Mã khách hàng]],code_khach_hang[],2,0)</f>
        <v>CHI NHÁNH QUẢNG NAM - CÔNG TY CỔ PHẦN DỊCH VỤ THƯƠNG MẠI TỔNG HỢP WINCOMMERCE</v>
      </c>
      <c r="G3206" s="16"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c r="A3207" s="14" t="s">
        <v>11328</v>
      </c>
      <c r="B3207" s="15" t="s">
        <v>5</v>
      </c>
      <c r="C3207" s="16" t="s">
        <v>11636</v>
      </c>
      <c r="D3207" s="21" t="s">
        <v>11637</v>
      </c>
      <c r="E3207" s="15" t="s">
        <v>11444</v>
      </c>
      <c r="F3207" s="22" t="str">
        <f>VLOOKUP(Table8[[#This Row],[Mã khách hàng]],code_khach_hang[],2,0)</f>
        <v>CHI NHÁNH QUẢNG NAM - CÔNG TY CỔ PHẦN DỊCH VỤ THƯƠNG MẠI TỔNG HỢP WINCOMMERCE</v>
      </c>
      <c r="G3207" s="16"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c r="A3208" s="14" t="s">
        <v>11329</v>
      </c>
      <c r="B3208" s="15" t="s">
        <v>5</v>
      </c>
      <c r="C3208" s="16" t="s">
        <v>11638</v>
      </c>
      <c r="D3208" s="21" t="s">
        <v>11639</v>
      </c>
      <c r="E3208" s="15" t="s">
        <v>11241</v>
      </c>
      <c r="F3208" s="22" t="str">
        <f>VLOOKUP(Table8[[#This Row],[Mã khách hàng]],code_khach_hang[],2,0)</f>
        <v>CHI NHÁNH BÌNH ĐỊNH - CÔNG TY CỔ PHẦN DỊCH VỤ THƯƠNG MẠI TỔNG HỢP WINCOMMERCE</v>
      </c>
      <c r="G3208" s="16"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c r="A3209" s="14" t="s">
        <v>11330</v>
      </c>
      <c r="B3209" s="15" t="s">
        <v>5</v>
      </c>
      <c r="C3209" s="16" t="s">
        <v>11640</v>
      </c>
      <c r="D3209" s="21" t="s">
        <v>11641</v>
      </c>
      <c r="E3209" s="15" t="s">
        <v>11444</v>
      </c>
      <c r="F3209" s="22" t="str">
        <f>VLOOKUP(Table8[[#This Row],[Mã khách hàng]],code_khach_hang[],2,0)</f>
        <v>CHI NHÁNH QUẢNG NAM - CÔNG TY CỔ PHẦN DỊCH VỤ THƯƠNG MẠI TỔNG HỢP WINCOMMERCE</v>
      </c>
      <c r="G3209" s="16"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c r="A3210" s="14" t="s">
        <v>11331</v>
      </c>
      <c r="B3210" s="15" t="s">
        <v>5</v>
      </c>
      <c r="C3210" s="16" t="s">
        <v>11642</v>
      </c>
      <c r="D3210" s="21" t="s">
        <v>11643</v>
      </c>
      <c r="E3210" s="15" t="s">
        <v>11444</v>
      </c>
      <c r="F3210" s="22" t="str">
        <f>VLOOKUP(Table8[[#This Row],[Mã khách hàng]],code_khach_hang[],2,0)</f>
        <v>CHI NHÁNH QUẢNG NAM - CÔNG TY CỔ PHẦN DỊCH VỤ THƯƠNG MẠI TỔNG HỢP WINCOMMERCE</v>
      </c>
      <c r="G3210" s="16"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c r="A3211" s="14" t="s">
        <v>11332</v>
      </c>
      <c r="B3211" s="15" t="s">
        <v>5</v>
      </c>
      <c r="C3211" s="16" t="s">
        <v>11644</v>
      </c>
      <c r="D3211" s="21" t="s">
        <v>11645</v>
      </c>
      <c r="E3211" s="15" t="s">
        <v>11447</v>
      </c>
      <c r="F3211" s="22" t="str">
        <f>VLOOKUP(Table8[[#This Row],[Mã khách hàng]],code_khach_hang[],2,0)</f>
        <v>CHI NHÁNH QUẢNG TRỊ - CÔNG TY CỔ PHẦN DỊCH VỤ THƯƠNG MẠI TỔNG HỢP WINCOMMERCE</v>
      </c>
      <c r="G3211" s="16"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c r="A3212" s="14" t="s">
        <v>11333</v>
      </c>
      <c r="B3212" s="15" t="s">
        <v>5</v>
      </c>
      <c r="C3212" s="16" t="s">
        <v>11646</v>
      </c>
      <c r="D3212" s="21" t="s">
        <v>11647</v>
      </c>
      <c r="E3212" s="15" t="s">
        <v>11442</v>
      </c>
      <c r="F3212" s="22" t="str">
        <f>VLOOKUP(Table8[[#This Row],[Mã khách hàng]],code_khach_hang[],2,0)</f>
        <v>CHI NHÁNH ĐÀ NẴNG - CÔNG TY CỔ PHẦN DỊCH VỤ THƯƠNG MẠI TỔNG HỢP WINCOMMERCE</v>
      </c>
      <c r="G3212" s="16"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c r="A3213" s="14" t="s">
        <v>11334</v>
      </c>
      <c r="B3213" s="15" t="s">
        <v>5</v>
      </c>
      <c r="C3213" s="16" t="s">
        <v>11648</v>
      </c>
      <c r="D3213" s="21" t="s">
        <v>11649</v>
      </c>
      <c r="E3213" s="15" t="s">
        <v>11241</v>
      </c>
      <c r="F3213" s="22" t="str">
        <f>VLOOKUP(Table8[[#This Row],[Mã khách hàng]],code_khach_hang[],2,0)</f>
        <v>CHI NHÁNH BÌNH ĐỊNH - CÔNG TY CỔ PHẦN DỊCH VỤ THƯƠNG MẠI TỔNG HỢP WINCOMMERCE</v>
      </c>
      <c r="G3213" s="16"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c r="A3214" s="14" t="s">
        <v>11335</v>
      </c>
      <c r="B3214" s="15" t="s">
        <v>5</v>
      </c>
      <c r="C3214" s="16" t="s">
        <v>11650</v>
      </c>
      <c r="D3214" s="21" t="s">
        <v>11651</v>
      </c>
      <c r="E3214" s="15" t="s">
        <v>11444</v>
      </c>
      <c r="F3214" s="22" t="str">
        <f>VLOOKUP(Table8[[#This Row],[Mã khách hàng]],code_khach_hang[],2,0)</f>
        <v>CHI NHÁNH QUẢNG NAM - CÔNG TY CỔ PHẦN DỊCH VỤ THƯƠNG MẠI TỔNG HỢP WINCOMMERCE</v>
      </c>
      <c r="G3214" s="16"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c r="A3215" s="14" t="s">
        <v>11336</v>
      </c>
      <c r="B3215" s="15" t="s">
        <v>5</v>
      </c>
      <c r="C3215" s="16" t="s">
        <v>11652</v>
      </c>
      <c r="D3215" s="21" t="s">
        <v>11653</v>
      </c>
      <c r="E3215" s="15" t="s">
        <v>11444</v>
      </c>
      <c r="F3215" s="22" t="str">
        <f>VLOOKUP(Table8[[#This Row],[Mã khách hàng]],code_khach_hang[],2,0)</f>
        <v>CHI NHÁNH QUẢNG NAM - CÔNG TY CỔ PHẦN DỊCH VỤ THƯƠNG MẠI TỔNG HỢP WINCOMMERCE</v>
      </c>
      <c r="G3215" s="16"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c r="A3216" s="14" t="s">
        <v>11337</v>
      </c>
      <c r="B3216" s="15" t="s">
        <v>5</v>
      </c>
      <c r="C3216" s="16" t="s">
        <v>11654</v>
      </c>
      <c r="D3216" s="21" t="s">
        <v>11655</v>
      </c>
      <c r="E3216" s="15" t="s">
        <v>11241</v>
      </c>
      <c r="F3216" s="22" t="str">
        <f>VLOOKUP(Table8[[#This Row],[Mã khách hàng]],code_khach_hang[],2,0)</f>
        <v>CHI NHÁNH BÌNH ĐỊNH - CÔNG TY CỔ PHẦN DỊCH VỤ THƯƠNG MẠI TỔNG HỢP WINCOMMERCE</v>
      </c>
      <c r="G3216" s="16"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c r="A3217" s="14" t="s">
        <v>11338</v>
      </c>
      <c r="B3217" s="15" t="s">
        <v>5</v>
      </c>
      <c r="C3217" s="16" t="s">
        <v>11656</v>
      </c>
      <c r="D3217" s="21" t="s">
        <v>11657</v>
      </c>
      <c r="E3217" s="15" t="s">
        <v>11444</v>
      </c>
      <c r="F3217" s="22" t="str">
        <f>VLOOKUP(Table8[[#This Row],[Mã khách hàng]],code_khach_hang[],2,0)</f>
        <v>CHI NHÁNH QUẢNG NAM - CÔNG TY CỔ PHẦN DỊCH VỤ THƯƠNG MẠI TỔNG HỢP WINCOMMERCE</v>
      </c>
      <c r="G3217" s="16"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c r="A3218" s="14" t="s">
        <v>11339</v>
      </c>
      <c r="B3218" s="15" t="s">
        <v>5</v>
      </c>
      <c r="C3218" s="16" t="s">
        <v>11658</v>
      </c>
      <c r="D3218" s="21" t="s">
        <v>11659</v>
      </c>
      <c r="E3218" s="15" t="s">
        <v>11444</v>
      </c>
      <c r="F3218" s="22" t="str">
        <f>VLOOKUP(Table8[[#This Row],[Mã khách hàng]],code_khach_hang[],2,0)</f>
        <v>CHI NHÁNH QUẢNG NAM - CÔNG TY CỔ PHẦN DỊCH VỤ THƯƠNG MẠI TỔNG HỢP WINCOMMERCE</v>
      </c>
      <c r="G3218" s="16"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c r="A3219" s="14" t="s">
        <v>11340</v>
      </c>
      <c r="B3219" s="15" t="s">
        <v>5</v>
      </c>
      <c r="C3219" s="16" t="s">
        <v>11660</v>
      </c>
      <c r="D3219" s="21" t="s">
        <v>11661</v>
      </c>
      <c r="E3219" s="15" t="s">
        <v>11444</v>
      </c>
      <c r="F3219" s="22" t="str">
        <f>VLOOKUP(Table8[[#This Row],[Mã khách hàng]],code_khach_hang[],2,0)</f>
        <v>CHI NHÁNH QUẢNG NAM - CÔNG TY CỔ PHẦN DỊCH VỤ THƯƠNG MẠI TỔNG HỢP WINCOMMERCE</v>
      </c>
      <c r="G3219" s="16"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c r="A3220" s="14" t="s">
        <v>11341</v>
      </c>
      <c r="B3220" s="15" t="s">
        <v>5</v>
      </c>
      <c r="C3220" s="16" t="s">
        <v>11662</v>
      </c>
      <c r="D3220" s="21" t="s">
        <v>11663</v>
      </c>
      <c r="E3220" s="15" t="s">
        <v>11446</v>
      </c>
      <c r="F3220" s="22" t="str">
        <f>VLOOKUP(Table8[[#This Row],[Mã khách hàng]],code_khach_hang[],2,0)</f>
        <v>CHI NHÁNH GIA LAI - CÔNG TY CỔ PHẦN DỊCH VỤ THƯƠNG MẠI TỔNG HỢP WINCOMMERCE</v>
      </c>
      <c r="G3220" s="16"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c r="A3221" s="14" t="s">
        <v>11342</v>
      </c>
      <c r="B3221" s="15" t="s">
        <v>5</v>
      </c>
      <c r="C3221" s="16" t="s">
        <v>11664</v>
      </c>
      <c r="D3221" s="21" t="s">
        <v>11665</v>
      </c>
      <c r="E3221" s="15" t="s">
        <v>11444</v>
      </c>
      <c r="F3221" s="22" t="str">
        <f>VLOOKUP(Table8[[#This Row],[Mã khách hàng]],code_khach_hang[],2,0)</f>
        <v>CHI NHÁNH QUẢNG NAM - CÔNG TY CỔ PHẦN DỊCH VỤ THƯƠNG MẠI TỔNG HỢP WINCOMMERCE</v>
      </c>
      <c r="G3221" s="16"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c r="A3222" s="14" t="s">
        <v>11343</v>
      </c>
      <c r="B3222" s="15" t="s">
        <v>5</v>
      </c>
      <c r="C3222" s="16" t="s">
        <v>11666</v>
      </c>
      <c r="D3222" s="21" t="s">
        <v>11667</v>
      </c>
      <c r="E3222" s="15" t="s">
        <v>11444</v>
      </c>
      <c r="F3222" s="22" t="str">
        <f>VLOOKUP(Table8[[#This Row],[Mã khách hàng]],code_khach_hang[],2,0)</f>
        <v>CHI NHÁNH QUẢNG NAM - CÔNG TY CỔ PHẦN DỊCH VỤ THƯƠNG MẠI TỔNG HỢP WINCOMMERCE</v>
      </c>
      <c r="G3222" s="16"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c r="A3223" s="14" t="s">
        <v>11344</v>
      </c>
      <c r="B3223" s="15" t="s">
        <v>5</v>
      </c>
      <c r="C3223" s="16" t="s">
        <v>11668</v>
      </c>
      <c r="D3223" s="21" t="s">
        <v>11669</v>
      </c>
      <c r="E3223" s="15" t="s">
        <v>11449</v>
      </c>
      <c r="F3223" s="22" t="str">
        <f>VLOOKUP(Table8[[#This Row],[Mã khách hàng]],code_khach_hang[],2,0)</f>
        <v>CHI NHÁNH QUẢNG NGÃI - CÔNG TY CỔ PHẦN DỊCH VỤ THƯƠNG MẠI TỔNG HỢP WINCOMMERCE</v>
      </c>
      <c r="G3223" s="16"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c r="A3224" s="14" t="s">
        <v>11345</v>
      </c>
      <c r="B3224" s="15" t="s">
        <v>5</v>
      </c>
      <c r="C3224" s="16" t="s">
        <v>11670</v>
      </c>
      <c r="D3224" s="21" t="s">
        <v>11671</v>
      </c>
      <c r="E3224" s="15" t="s">
        <v>11442</v>
      </c>
      <c r="F3224" s="22" t="str">
        <f>VLOOKUP(Table8[[#This Row],[Mã khách hàng]],code_khach_hang[],2,0)</f>
        <v>CHI NHÁNH ĐÀ NẴNG - CÔNG TY CỔ PHẦN DỊCH VỤ THƯƠNG MẠI TỔNG HỢP WINCOMMERCE</v>
      </c>
      <c r="G3224" s="16"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c r="A3225" s="14" t="s">
        <v>11346</v>
      </c>
      <c r="B3225" s="15" t="s">
        <v>5</v>
      </c>
      <c r="C3225" s="16" t="s">
        <v>11672</v>
      </c>
      <c r="D3225" s="21" t="s">
        <v>11673</v>
      </c>
      <c r="E3225" s="15" t="s">
        <v>11445</v>
      </c>
      <c r="F3225" s="22" t="str">
        <f>VLOOKUP(Table8[[#This Row],[Mã khách hàng]],code_khach_hang[],2,0)</f>
        <v>CHI NHÁNH THỪA THIÊN HUẾ - CÔNG TY CỔ PHẦN DỊCH VỤ THƯƠNG MẠI TỔNG HỢP WINCOMMERCE</v>
      </c>
      <c r="G3225" s="16"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c r="A3226" s="14" t="s">
        <v>11347</v>
      </c>
      <c r="B3226" s="15" t="s">
        <v>5</v>
      </c>
      <c r="C3226" s="16" t="s">
        <v>11674</v>
      </c>
      <c r="D3226" s="21" t="s">
        <v>11675</v>
      </c>
      <c r="E3226" s="15" t="s">
        <v>11445</v>
      </c>
      <c r="F3226" s="22" t="str">
        <f>VLOOKUP(Table8[[#This Row],[Mã khách hàng]],code_khach_hang[],2,0)</f>
        <v>CHI NHÁNH THỪA THIÊN HUẾ - CÔNG TY CỔ PHẦN DỊCH VỤ THƯƠNG MẠI TỔNG HỢP WINCOMMERCE</v>
      </c>
      <c r="G3226" s="16"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c r="A3227" s="14" t="s">
        <v>11348</v>
      </c>
      <c r="B3227" s="15" t="s">
        <v>5</v>
      </c>
      <c r="C3227" s="16" t="s">
        <v>11676</v>
      </c>
      <c r="D3227" s="21" t="s">
        <v>11677</v>
      </c>
      <c r="E3227" s="15" t="s">
        <v>11444</v>
      </c>
      <c r="F3227" s="22" t="str">
        <f>VLOOKUP(Table8[[#This Row],[Mã khách hàng]],code_khach_hang[],2,0)</f>
        <v>CHI NHÁNH QUẢNG NAM - CÔNG TY CỔ PHẦN DỊCH VỤ THƯƠNG MẠI TỔNG HỢP WINCOMMERCE</v>
      </c>
      <c r="G3227" s="16"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c r="A3228" s="14" t="s">
        <v>11349</v>
      </c>
      <c r="B3228" s="15" t="s">
        <v>5</v>
      </c>
      <c r="C3228" s="16" t="s">
        <v>11678</v>
      </c>
      <c r="D3228" s="21" t="s">
        <v>11679</v>
      </c>
      <c r="E3228" s="15" t="s">
        <v>11444</v>
      </c>
      <c r="F3228" s="22" t="str">
        <f>VLOOKUP(Table8[[#This Row],[Mã khách hàng]],code_khach_hang[],2,0)</f>
        <v>CHI NHÁNH QUẢNG NAM - CÔNG TY CỔ PHẦN DỊCH VỤ THƯƠNG MẠI TỔNG HỢP WINCOMMERCE</v>
      </c>
      <c r="G3228" s="16"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c r="A3229" s="14" t="s">
        <v>11350</v>
      </c>
      <c r="B3229" s="15" t="s">
        <v>5</v>
      </c>
      <c r="C3229" s="16" t="s">
        <v>11680</v>
      </c>
      <c r="D3229" s="21" t="s">
        <v>11681</v>
      </c>
      <c r="E3229" s="15" t="s">
        <v>11444</v>
      </c>
      <c r="F3229" s="22" t="str">
        <f>VLOOKUP(Table8[[#This Row],[Mã khách hàng]],code_khach_hang[],2,0)</f>
        <v>CHI NHÁNH QUẢNG NAM - CÔNG TY CỔ PHẦN DỊCH VỤ THƯƠNG MẠI TỔNG HỢP WINCOMMERCE</v>
      </c>
      <c r="G3229" s="16"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c r="A3230" s="14" t="s">
        <v>11351</v>
      </c>
      <c r="B3230" s="15" t="s">
        <v>5</v>
      </c>
      <c r="C3230" s="16" t="s">
        <v>11682</v>
      </c>
      <c r="D3230" s="21" t="s">
        <v>11683</v>
      </c>
      <c r="E3230" s="15" t="s">
        <v>11442</v>
      </c>
      <c r="F3230" s="22" t="str">
        <f>VLOOKUP(Table8[[#This Row],[Mã khách hàng]],code_khach_hang[],2,0)</f>
        <v>CHI NHÁNH ĐÀ NẴNG - CÔNG TY CỔ PHẦN DỊCH VỤ THƯƠNG MẠI TỔNG HỢP WINCOMMERCE</v>
      </c>
      <c r="G3230" s="16"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c r="A3231" s="14" t="s">
        <v>11352</v>
      </c>
      <c r="B3231" s="15" t="s">
        <v>5</v>
      </c>
      <c r="C3231" s="16" t="s">
        <v>11684</v>
      </c>
      <c r="D3231" s="21" t="s">
        <v>11685</v>
      </c>
      <c r="E3231" s="15" t="s">
        <v>11444</v>
      </c>
      <c r="F3231" s="22" t="str">
        <f>VLOOKUP(Table8[[#This Row],[Mã khách hàng]],code_khach_hang[],2,0)</f>
        <v>CHI NHÁNH QUẢNG NAM - CÔNG TY CỔ PHẦN DỊCH VỤ THƯƠNG MẠI TỔNG HỢP WINCOMMERCE</v>
      </c>
      <c r="G3231" s="16"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c r="A3232" s="14" t="s">
        <v>11353</v>
      </c>
      <c r="B3232" s="15" t="s">
        <v>5</v>
      </c>
      <c r="C3232" s="16" t="s">
        <v>11686</v>
      </c>
      <c r="D3232" s="21" t="s">
        <v>11687</v>
      </c>
      <c r="E3232" s="15" t="s">
        <v>11444</v>
      </c>
      <c r="F3232" s="22" t="str">
        <f>VLOOKUP(Table8[[#This Row],[Mã khách hàng]],code_khach_hang[],2,0)</f>
        <v>CHI NHÁNH QUẢNG NAM - CÔNG TY CỔ PHẦN DỊCH VỤ THƯƠNG MẠI TỔNG HỢP WINCOMMERCE</v>
      </c>
      <c r="G3232" s="16"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c r="A3233" s="14" t="s">
        <v>11354</v>
      </c>
      <c r="B3233" s="15" t="s">
        <v>5</v>
      </c>
      <c r="C3233" s="16" t="s">
        <v>11688</v>
      </c>
      <c r="D3233" s="21" t="s">
        <v>11689</v>
      </c>
      <c r="E3233" s="15" t="s">
        <v>11446</v>
      </c>
      <c r="F3233" s="22" t="str">
        <f>VLOOKUP(Table8[[#This Row],[Mã khách hàng]],code_khach_hang[],2,0)</f>
        <v>CHI NHÁNH GIA LAI - CÔNG TY CỔ PHẦN DỊCH VỤ THƯƠNG MẠI TỔNG HỢP WINCOMMERCE</v>
      </c>
      <c r="G3233" s="16"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c r="A3234" s="14" t="s">
        <v>11355</v>
      </c>
      <c r="B3234" s="15" t="s">
        <v>5</v>
      </c>
      <c r="C3234" s="16" t="s">
        <v>11690</v>
      </c>
      <c r="D3234" s="21" t="s">
        <v>11691</v>
      </c>
      <c r="E3234" s="15" t="s">
        <v>11445</v>
      </c>
      <c r="F3234" s="22" t="str">
        <f>VLOOKUP(Table8[[#This Row],[Mã khách hàng]],code_khach_hang[],2,0)</f>
        <v>CHI NHÁNH THỪA THIÊN HUẾ - CÔNG TY CỔ PHẦN DỊCH VỤ THƯƠNG MẠI TỔNG HỢP WINCOMMERCE</v>
      </c>
      <c r="G3234" s="16"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c r="A3235" s="14" t="s">
        <v>11356</v>
      </c>
      <c r="B3235" s="15" t="s">
        <v>5</v>
      </c>
      <c r="C3235" s="16" t="s">
        <v>11692</v>
      </c>
      <c r="D3235" s="21" t="s">
        <v>11693</v>
      </c>
      <c r="E3235" s="15" t="s">
        <v>11444</v>
      </c>
      <c r="F3235" s="22" t="str">
        <f>VLOOKUP(Table8[[#This Row],[Mã khách hàng]],code_khach_hang[],2,0)</f>
        <v>CHI NHÁNH QUẢNG NAM - CÔNG TY CỔ PHẦN DỊCH VỤ THƯƠNG MẠI TỔNG HỢP WINCOMMERCE</v>
      </c>
      <c r="G3235" s="16"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c r="A3236" s="14" t="s">
        <v>11357</v>
      </c>
      <c r="B3236" s="15" t="s">
        <v>5</v>
      </c>
      <c r="C3236" s="16" t="s">
        <v>11694</v>
      </c>
      <c r="D3236" s="21" t="s">
        <v>11695</v>
      </c>
      <c r="E3236" s="15" t="s">
        <v>11241</v>
      </c>
      <c r="F3236" s="22" t="str">
        <f>VLOOKUP(Table8[[#This Row],[Mã khách hàng]],code_khach_hang[],2,0)</f>
        <v>CHI NHÁNH BÌNH ĐỊNH - CÔNG TY CỔ PHẦN DỊCH VỤ THƯƠNG MẠI TỔNG HỢP WINCOMMERCE</v>
      </c>
      <c r="G3236" s="16"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c r="A3237" s="14" t="s">
        <v>11358</v>
      </c>
      <c r="B3237" s="15" t="s">
        <v>5</v>
      </c>
      <c r="C3237" s="16" t="s">
        <v>11696</v>
      </c>
      <c r="D3237" s="21" t="s">
        <v>11697</v>
      </c>
      <c r="E3237" s="15" t="s">
        <v>11444</v>
      </c>
      <c r="F3237" s="22" t="str">
        <f>VLOOKUP(Table8[[#This Row],[Mã khách hàng]],code_khach_hang[],2,0)</f>
        <v>CHI NHÁNH QUẢNG NAM - CÔNG TY CỔ PHẦN DỊCH VỤ THƯƠNG MẠI TỔNG HỢP WINCOMMERCE</v>
      </c>
      <c r="G3237" s="16"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c r="A3238" s="14" t="s">
        <v>11359</v>
      </c>
      <c r="B3238" s="15" t="s">
        <v>5</v>
      </c>
      <c r="C3238" s="16" t="s">
        <v>11698</v>
      </c>
      <c r="D3238" s="21" t="s">
        <v>11699</v>
      </c>
      <c r="E3238" s="15" t="s">
        <v>11444</v>
      </c>
      <c r="F3238" s="22" t="str">
        <f>VLOOKUP(Table8[[#This Row],[Mã khách hàng]],code_khach_hang[],2,0)</f>
        <v>CHI NHÁNH QUẢNG NAM - CÔNG TY CỔ PHẦN DỊCH VỤ THƯƠNG MẠI TỔNG HỢP WINCOMMERCE</v>
      </c>
      <c r="G3238" s="16"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c r="A3239" s="14" t="s">
        <v>11360</v>
      </c>
      <c r="B3239" s="15" t="s">
        <v>5</v>
      </c>
      <c r="C3239" s="16" t="s">
        <v>11700</v>
      </c>
      <c r="D3239" s="21" t="s">
        <v>11701</v>
      </c>
      <c r="E3239" s="15" t="s">
        <v>11241</v>
      </c>
      <c r="F3239" s="22" t="str">
        <f>VLOOKUP(Table8[[#This Row],[Mã khách hàng]],code_khach_hang[],2,0)</f>
        <v>CHI NHÁNH BÌNH ĐỊNH - CÔNG TY CỔ PHẦN DỊCH VỤ THƯƠNG MẠI TỔNG HỢP WINCOMMERCE</v>
      </c>
      <c r="G3239" s="16"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c r="A3240" s="14" t="s">
        <v>11361</v>
      </c>
      <c r="B3240" s="15" t="s">
        <v>5</v>
      </c>
      <c r="C3240" s="16" t="s">
        <v>11702</v>
      </c>
      <c r="D3240" s="21" t="s">
        <v>11703</v>
      </c>
      <c r="E3240" s="15" t="s">
        <v>11449</v>
      </c>
      <c r="F3240" s="22" t="str">
        <f>VLOOKUP(Table8[[#This Row],[Mã khách hàng]],code_khach_hang[],2,0)</f>
        <v>CHI NHÁNH QUẢNG NGÃI - CÔNG TY CỔ PHẦN DỊCH VỤ THƯƠNG MẠI TỔNG HỢP WINCOMMERCE</v>
      </c>
      <c r="G3240" s="16"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c r="A3241" s="14" t="s">
        <v>11362</v>
      </c>
      <c r="B3241" s="15" t="s">
        <v>5</v>
      </c>
      <c r="C3241" s="16" t="s">
        <v>11704</v>
      </c>
      <c r="D3241" s="21" t="s">
        <v>11705</v>
      </c>
      <c r="E3241" s="15" t="s">
        <v>11449</v>
      </c>
      <c r="F3241" s="22" t="str">
        <f>VLOOKUP(Table8[[#This Row],[Mã khách hàng]],code_khach_hang[],2,0)</f>
        <v>CHI NHÁNH QUẢNG NGÃI - CÔNG TY CỔ PHẦN DỊCH VỤ THƯƠNG MẠI TỔNG HỢP WINCOMMERCE</v>
      </c>
      <c r="G3241" s="16"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c r="A3242" s="14" t="s">
        <v>11363</v>
      </c>
      <c r="B3242" s="15" t="s">
        <v>5</v>
      </c>
      <c r="C3242" s="16" t="s">
        <v>11706</v>
      </c>
      <c r="D3242" s="21" t="s">
        <v>11707</v>
      </c>
      <c r="E3242" s="15" t="s">
        <v>11241</v>
      </c>
      <c r="F3242" s="22" t="str">
        <f>VLOOKUP(Table8[[#This Row],[Mã khách hàng]],code_khach_hang[],2,0)</f>
        <v>CHI NHÁNH BÌNH ĐỊNH - CÔNG TY CỔ PHẦN DỊCH VỤ THƯƠNG MẠI TỔNG HỢP WINCOMMERCE</v>
      </c>
      <c r="G3242" s="16"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c r="A3243" s="14" t="s">
        <v>11364</v>
      </c>
      <c r="B3243" s="15" t="s">
        <v>5</v>
      </c>
      <c r="C3243" s="16" t="s">
        <v>11708</v>
      </c>
      <c r="D3243" s="21" t="s">
        <v>11709</v>
      </c>
      <c r="E3243" s="15" t="s">
        <v>11446</v>
      </c>
      <c r="F3243" s="22" t="str">
        <f>VLOOKUP(Table8[[#This Row],[Mã khách hàng]],code_khach_hang[],2,0)</f>
        <v>CHI NHÁNH GIA LAI - CÔNG TY CỔ PHẦN DỊCH VỤ THƯƠNG MẠI TỔNG HỢP WINCOMMERCE</v>
      </c>
      <c r="G3243" s="16"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c r="A3244" s="14" t="s">
        <v>11365</v>
      </c>
      <c r="B3244" s="15" t="s">
        <v>5</v>
      </c>
      <c r="C3244" s="16" t="s">
        <v>11710</v>
      </c>
      <c r="D3244" s="21" t="s">
        <v>11711</v>
      </c>
      <c r="E3244" s="15" t="s">
        <v>11444</v>
      </c>
      <c r="F3244" s="22" t="str">
        <f>VLOOKUP(Table8[[#This Row],[Mã khách hàng]],code_khach_hang[],2,0)</f>
        <v>CHI NHÁNH QUẢNG NAM - CÔNG TY CỔ PHẦN DỊCH VỤ THƯƠNG MẠI TỔNG HỢP WINCOMMERCE</v>
      </c>
      <c r="G3244" s="16"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c r="A3245" s="14" t="s">
        <v>11366</v>
      </c>
      <c r="B3245" s="15" t="s">
        <v>5</v>
      </c>
      <c r="C3245" s="16" t="s">
        <v>11712</v>
      </c>
      <c r="D3245" s="21" t="s">
        <v>11713</v>
      </c>
      <c r="E3245" s="15" t="s">
        <v>11444</v>
      </c>
      <c r="F3245" s="22" t="str">
        <f>VLOOKUP(Table8[[#This Row],[Mã khách hàng]],code_khach_hang[],2,0)</f>
        <v>CHI NHÁNH QUẢNG NAM - CÔNG TY CỔ PHẦN DỊCH VỤ THƯƠNG MẠI TỔNG HỢP WINCOMMERCE</v>
      </c>
      <c r="G3245" s="16"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c r="A3246" s="14" t="s">
        <v>11367</v>
      </c>
      <c r="B3246" s="15" t="s">
        <v>5</v>
      </c>
      <c r="C3246" s="16" t="s">
        <v>11714</v>
      </c>
      <c r="D3246" s="21" t="s">
        <v>11715</v>
      </c>
      <c r="E3246" s="15" t="s">
        <v>11447</v>
      </c>
      <c r="F3246" s="22" t="str">
        <f>VLOOKUP(Table8[[#This Row],[Mã khách hàng]],code_khach_hang[],2,0)</f>
        <v>CHI NHÁNH QUẢNG TRỊ - CÔNG TY CỔ PHẦN DỊCH VỤ THƯƠNG MẠI TỔNG HỢP WINCOMMERCE</v>
      </c>
      <c r="G3246" s="16"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c r="A3247" s="14" t="s">
        <v>11368</v>
      </c>
      <c r="B3247" s="15" t="s">
        <v>5</v>
      </c>
      <c r="C3247" s="16" t="s">
        <v>11716</v>
      </c>
      <c r="D3247" s="21" t="s">
        <v>11717</v>
      </c>
      <c r="E3247" s="15" t="s">
        <v>11445</v>
      </c>
      <c r="F3247" s="22" t="str">
        <f>VLOOKUP(Table8[[#This Row],[Mã khách hàng]],code_khach_hang[],2,0)</f>
        <v>CHI NHÁNH THỪA THIÊN HUẾ - CÔNG TY CỔ PHẦN DỊCH VỤ THƯƠNG MẠI TỔNG HỢP WINCOMMERCE</v>
      </c>
      <c r="G3247" s="16"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c r="A3248" s="14" t="s">
        <v>11369</v>
      </c>
      <c r="B3248" s="15" t="s">
        <v>5</v>
      </c>
      <c r="C3248" s="16" t="s">
        <v>11718</v>
      </c>
      <c r="D3248" s="21" t="s">
        <v>11719</v>
      </c>
      <c r="E3248" s="15" t="s">
        <v>11444</v>
      </c>
      <c r="F3248" s="22" t="str">
        <f>VLOOKUP(Table8[[#This Row],[Mã khách hàng]],code_khach_hang[],2,0)</f>
        <v>CHI NHÁNH QUẢNG NAM - CÔNG TY CỔ PHẦN DỊCH VỤ THƯƠNG MẠI TỔNG HỢP WINCOMMERCE</v>
      </c>
      <c r="G3248" s="16"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c r="A3249" s="14" t="s">
        <v>11370</v>
      </c>
      <c r="B3249" s="15" t="s">
        <v>5</v>
      </c>
      <c r="C3249" s="16" t="s">
        <v>11720</v>
      </c>
      <c r="D3249" s="21" t="s">
        <v>11721</v>
      </c>
      <c r="E3249" s="15" t="s">
        <v>11444</v>
      </c>
      <c r="F3249" s="22" t="str">
        <f>VLOOKUP(Table8[[#This Row],[Mã khách hàng]],code_khach_hang[],2,0)</f>
        <v>CHI NHÁNH QUẢNG NAM - CÔNG TY CỔ PHẦN DỊCH VỤ THƯƠNG MẠI TỔNG HỢP WINCOMMERCE</v>
      </c>
      <c r="G3249" s="16"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c r="A3250" s="14" t="s">
        <v>11371</v>
      </c>
      <c r="B3250" s="15" t="s">
        <v>5</v>
      </c>
      <c r="C3250" s="16" t="s">
        <v>11722</v>
      </c>
      <c r="D3250" s="21" t="s">
        <v>11723</v>
      </c>
      <c r="E3250" s="15" t="s">
        <v>11241</v>
      </c>
      <c r="F3250" s="22" t="str">
        <f>VLOOKUP(Table8[[#This Row],[Mã khách hàng]],code_khach_hang[],2,0)</f>
        <v>CHI NHÁNH BÌNH ĐỊNH - CÔNG TY CỔ PHẦN DỊCH VỤ THƯƠNG MẠI TỔNG HỢP WINCOMMERCE</v>
      </c>
      <c r="G3250" s="16"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c r="A3251" s="14" t="s">
        <v>11372</v>
      </c>
      <c r="B3251" s="15" t="s">
        <v>5</v>
      </c>
      <c r="C3251" s="16" t="s">
        <v>11724</v>
      </c>
      <c r="D3251" s="21" t="s">
        <v>11725</v>
      </c>
      <c r="E3251" s="15" t="s">
        <v>11445</v>
      </c>
      <c r="F3251" s="22" t="str">
        <f>VLOOKUP(Table8[[#This Row],[Mã khách hàng]],code_khach_hang[],2,0)</f>
        <v>CHI NHÁNH THỪA THIÊN HUẾ - CÔNG TY CỔ PHẦN DỊCH VỤ THƯƠNG MẠI TỔNG HỢP WINCOMMERCE</v>
      </c>
      <c r="G3251" s="16"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c r="A3252" s="14" t="s">
        <v>11373</v>
      </c>
      <c r="B3252" s="15" t="s">
        <v>5</v>
      </c>
      <c r="C3252" s="16" t="s">
        <v>11726</v>
      </c>
      <c r="D3252" s="21" t="s">
        <v>11727</v>
      </c>
      <c r="E3252" s="15" t="s">
        <v>11449</v>
      </c>
      <c r="F3252" s="22" t="str">
        <f>VLOOKUP(Table8[[#This Row],[Mã khách hàng]],code_khach_hang[],2,0)</f>
        <v>CHI NHÁNH QUẢNG NGÃI - CÔNG TY CỔ PHẦN DỊCH VỤ THƯƠNG MẠI TỔNG HỢP WINCOMMERCE</v>
      </c>
      <c r="G3252" s="16"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c r="A3253" s="14" t="s">
        <v>11374</v>
      </c>
      <c r="B3253" s="15" t="s">
        <v>5</v>
      </c>
      <c r="C3253" s="16" t="s">
        <v>11728</v>
      </c>
      <c r="D3253" s="21" t="s">
        <v>11729</v>
      </c>
      <c r="E3253" s="15" t="s">
        <v>11444</v>
      </c>
      <c r="F3253" s="22" t="str">
        <f>VLOOKUP(Table8[[#This Row],[Mã khách hàng]],code_khach_hang[],2,0)</f>
        <v>CHI NHÁNH QUẢNG NAM - CÔNG TY CỔ PHẦN DỊCH VỤ THƯƠNG MẠI TỔNG HỢP WINCOMMERCE</v>
      </c>
      <c r="G3253" s="16"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c r="A3254" s="14" t="s">
        <v>11375</v>
      </c>
      <c r="B3254" s="15" t="s">
        <v>5</v>
      </c>
      <c r="C3254" s="16" t="s">
        <v>11730</v>
      </c>
      <c r="D3254" s="21" t="s">
        <v>11731</v>
      </c>
      <c r="E3254" s="15" t="s">
        <v>11449</v>
      </c>
      <c r="F3254" s="22" t="str">
        <f>VLOOKUP(Table8[[#This Row],[Mã khách hàng]],code_khach_hang[],2,0)</f>
        <v>CHI NHÁNH QUẢNG NGÃI - CÔNG TY CỔ PHẦN DỊCH VỤ THƯƠNG MẠI TỔNG HỢP WINCOMMERCE</v>
      </c>
      <c r="G3254" s="16"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c r="A3255" s="14" t="s">
        <v>11376</v>
      </c>
      <c r="B3255" s="15" t="s">
        <v>5</v>
      </c>
      <c r="C3255" s="16" t="s">
        <v>11732</v>
      </c>
      <c r="D3255" s="21" t="s">
        <v>11733</v>
      </c>
      <c r="E3255" s="15" t="s">
        <v>11445</v>
      </c>
      <c r="F3255" s="22" t="str">
        <f>VLOOKUP(Table8[[#This Row],[Mã khách hàng]],code_khach_hang[],2,0)</f>
        <v>CHI NHÁNH THỪA THIÊN HUẾ - CÔNG TY CỔ PHẦN DỊCH VỤ THƯƠNG MẠI TỔNG HỢP WINCOMMERCE</v>
      </c>
      <c r="G3255" s="16"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c r="A3256" s="14" t="s">
        <v>11377</v>
      </c>
      <c r="B3256" s="15" t="s">
        <v>5</v>
      </c>
      <c r="C3256" s="16" t="s">
        <v>11734</v>
      </c>
      <c r="D3256" s="21" t="s">
        <v>11735</v>
      </c>
      <c r="E3256" s="15" t="s">
        <v>11445</v>
      </c>
      <c r="F3256" s="22" t="str">
        <f>VLOOKUP(Table8[[#This Row],[Mã khách hàng]],code_khach_hang[],2,0)</f>
        <v>CHI NHÁNH THỪA THIÊN HUẾ - CÔNG TY CỔ PHẦN DỊCH VỤ THƯƠNG MẠI TỔNG HỢP WINCOMMERCE</v>
      </c>
      <c r="G3256" s="16"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c r="A3257" s="14" t="s">
        <v>11378</v>
      </c>
      <c r="B3257" s="15" t="s">
        <v>5</v>
      </c>
      <c r="C3257" s="16" t="s">
        <v>11736</v>
      </c>
      <c r="D3257" s="21" t="s">
        <v>11737</v>
      </c>
      <c r="E3257" s="15" t="s">
        <v>11241</v>
      </c>
      <c r="F3257" s="22" t="str">
        <f>VLOOKUP(Table8[[#This Row],[Mã khách hàng]],code_khach_hang[],2,0)</f>
        <v>CHI NHÁNH BÌNH ĐỊNH - CÔNG TY CỔ PHẦN DỊCH VỤ THƯƠNG MẠI TỔNG HỢP WINCOMMERCE</v>
      </c>
      <c r="G3257" s="16"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c r="A3258" s="14" t="s">
        <v>11379</v>
      </c>
      <c r="B3258" s="15" t="s">
        <v>5</v>
      </c>
      <c r="C3258" s="16" t="s">
        <v>11738</v>
      </c>
      <c r="D3258" s="21" t="s">
        <v>11739</v>
      </c>
      <c r="E3258" s="15" t="s">
        <v>11449</v>
      </c>
      <c r="F3258" s="22" t="str">
        <f>VLOOKUP(Table8[[#This Row],[Mã khách hàng]],code_khach_hang[],2,0)</f>
        <v>CHI NHÁNH QUẢNG NGÃI - CÔNG TY CỔ PHẦN DỊCH VỤ THƯƠNG MẠI TỔNG HỢP WINCOMMERCE</v>
      </c>
      <c r="G3258" s="16"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c r="A3259" s="14" t="s">
        <v>11380</v>
      </c>
      <c r="B3259" s="15" t="s">
        <v>5</v>
      </c>
      <c r="C3259" s="16" t="s">
        <v>11740</v>
      </c>
      <c r="D3259" s="21" t="s">
        <v>11741</v>
      </c>
      <c r="E3259" s="15" t="s">
        <v>11444</v>
      </c>
      <c r="F3259" s="22" t="str">
        <f>VLOOKUP(Table8[[#This Row],[Mã khách hàng]],code_khach_hang[],2,0)</f>
        <v>CHI NHÁNH QUẢNG NAM - CÔNG TY CỔ PHẦN DỊCH VỤ THƯƠNG MẠI TỔNG HỢP WINCOMMERCE</v>
      </c>
      <c r="G3259" s="16"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c r="A3260" s="14" t="s">
        <v>11381</v>
      </c>
      <c r="B3260" s="15" t="s">
        <v>5</v>
      </c>
      <c r="C3260" s="16" t="s">
        <v>11742</v>
      </c>
      <c r="D3260" s="21" t="s">
        <v>11743</v>
      </c>
      <c r="E3260" s="15" t="s">
        <v>11442</v>
      </c>
      <c r="F3260" s="22" t="str">
        <f>VLOOKUP(Table8[[#This Row],[Mã khách hàng]],code_khach_hang[],2,0)</f>
        <v>CHI NHÁNH ĐÀ NẴNG - CÔNG TY CỔ PHẦN DỊCH VỤ THƯƠNG MẠI TỔNG HỢP WINCOMMERCE</v>
      </c>
      <c r="G3260" s="16"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c r="A3261" s="14" t="s">
        <v>11382</v>
      </c>
      <c r="B3261" s="15" t="s">
        <v>5</v>
      </c>
      <c r="C3261" s="16" t="s">
        <v>11744</v>
      </c>
      <c r="D3261" s="21" t="s">
        <v>11745</v>
      </c>
      <c r="E3261" s="15" t="s">
        <v>11241</v>
      </c>
      <c r="F3261" s="22" t="str">
        <f>VLOOKUP(Table8[[#This Row],[Mã khách hàng]],code_khach_hang[],2,0)</f>
        <v>CHI NHÁNH BÌNH ĐỊNH - CÔNG TY CỔ PHẦN DỊCH VỤ THƯƠNG MẠI TỔNG HỢP WINCOMMERCE</v>
      </c>
      <c r="G3261" s="16"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c r="A3262" s="14" t="s">
        <v>11383</v>
      </c>
      <c r="B3262" s="15" t="s">
        <v>5</v>
      </c>
      <c r="C3262" s="16" t="s">
        <v>11746</v>
      </c>
      <c r="D3262" s="21" t="s">
        <v>11747</v>
      </c>
      <c r="E3262" s="15" t="s">
        <v>11444</v>
      </c>
      <c r="F3262" s="22" t="str">
        <f>VLOOKUP(Table8[[#This Row],[Mã khách hàng]],code_khach_hang[],2,0)</f>
        <v>CHI NHÁNH QUẢNG NAM - CÔNG TY CỔ PHẦN DỊCH VỤ THƯƠNG MẠI TỔNG HỢP WINCOMMERCE</v>
      </c>
      <c r="G3262" s="16"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c r="A3263" s="14" t="s">
        <v>11384</v>
      </c>
      <c r="B3263" s="15" t="s">
        <v>5</v>
      </c>
      <c r="C3263" s="16" t="s">
        <v>11748</v>
      </c>
      <c r="D3263" s="21" t="s">
        <v>11749</v>
      </c>
      <c r="E3263" s="15" t="s">
        <v>11442</v>
      </c>
      <c r="F3263" s="22" t="str">
        <f>VLOOKUP(Table8[[#This Row],[Mã khách hàng]],code_khach_hang[],2,0)</f>
        <v>CHI NHÁNH ĐÀ NẴNG - CÔNG TY CỔ PHẦN DỊCH VỤ THƯƠNG MẠI TỔNG HỢP WINCOMMERCE</v>
      </c>
      <c r="G3263" s="16"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c r="A3264" s="14" t="s">
        <v>11385</v>
      </c>
      <c r="B3264" s="15" t="s">
        <v>5</v>
      </c>
      <c r="C3264" s="16" t="s">
        <v>11750</v>
      </c>
      <c r="D3264" s="21" t="s">
        <v>11751</v>
      </c>
      <c r="E3264" s="15" t="s">
        <v>11445</v>
      </c>
      <c r="F3264" s="22" t="str">
        <f>VLOOKUP(Table8[[#This Row],[Mã khách hàng]],code_khach_hang[],2,0)</f>
        <v>CHI NHÁNH THỪA THIÊN HUẾ - CÔNG TY CỔ PHẦN DỊCH VỤ THƯƠNG MẠI TỔNG HỢP WINCOMMERCE</v>
      </c>
      <c r="G3264" s="16"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c r="A3265" s="14" t="s">
        <v>11386</v>
      </c>
      <c r="B3265" s="15" t="s">
        <v>5</v>
      </c>
      <c r="C3265" s="16" t="s">
        <v>11752</v>
      </c>
      <c r="D3265" s="21" t="s">
        <v>11753</v>
      </c>
      <c r="E3265" s="15" t="s">
        <v>11445</v>
      </c>
      <c r="F3265" s="22" t="str">
        <f>VLOOKUP(Table8[[#This Row],[Mã khách hàng]],code_khach_hang[],2,0)</f>
        <v>CHI NHÁNH THỪA THIÊN HUẾ - CÔNG TY CỔ PHẦN DỊCH VỤ THƯƠNG MẠI TỔNG HỢP WINCOMMERCE</v>
      </c>
      <c r="G3265" s="16"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c r="A3266" s="14" t="s">
        <v>11387</v>
      </c>
      <c r="B3266" s="15" t="s">
        <v>5</v>
      </c>
      <c r="C3266" s="16" t="s">
        <v>11754</v>
      </c>
      <c r="D3266" s="21" t="s">
        <v>11755</v>
      </c>
      <c r="E3266" s="15" t="s">
        <v>11444</v>
      </c>
      <c r="F3266" s="22" t="str">
        <f>VLOOKUP(Table8[[#This Row],[Mã khách hàng]],code_khach_hang[],2,0)</f>
        <v>CHI NHÁNH QUẢNG NAM - CÔNG TY CỔ PHẦN DỊCH VỤ THƯƠNG MẠI TỔNG HỢP WINCOMMERCE</v>
      </c>
      <c r="G3266" s="16"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c r="A3267" s="14" t="s">
        <v>11388</v>
      </c>
      <c r="B3267" s="15" t="s">
        <v>5</v>
      </c>
      <c r="C3267" s="16" t="s">
        <v>11756</v>
      </c>
      <c r="D3267" s="21" t="s">
        <v>11757</v>
      </c>
      <c r="E3267" s="15" t="s">
        <v>11241</v>
      </c>
      <c r="F3267" s="22" t="str">
        <f>VLOOKUP(Table8[[#This Row],[Mã khách hàng]],code_khach_hang[],2,0)</f>
        <v>CHI NHÁNH BÌNH ĐỊNH - CÔNG TY CỔ PHẦN DỊCH VỤ THƯƠNG MẠI TỔNG HỢP WINCOMMERCE</v>
      </c>
      <c r="G3267" s="16"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c r="A3268" s="14" t="s">
        <v>11389</v>
      </c>
      <c r="B3268" s="15" t="s">
        <v>5</v>
      </c>
      <c r="C3268" s="16" t="s">
        <v>11758</v>
      </c>
      <c r="D3268" s="21" t="s">
        <v>11759</v>
      </c>
      <c r="E3268" s="15" t="s">
        <v>11445</v>
      </c>
      <c r="F3268" s="22" t="str">
        <f>VLOOKUP(Table8[[#This Row],[Mã khách hàng]],code_khach_hang[],2,0)</f>
        <v>CHI NHÁNH THỪA THIÊN HUẾ - CÔNG TY CỔ PHẦN DỊCH VỤ THƯƠNG MẠI TỔNG HỢP WINCOMMERCE</v>
      </c>
      <c r="G3268" s="16"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c r="A3269" s="14" t="s">
        <v>11390</v>
      </c>
      <c r="B3269" s="15" t="s">
        <v>5</v>
      </c>
      <c r="C3269" s="16" t="s">
        <v>11760</v>
      </c>
      <c r="D3269" s="21" t="s">
        <v>11761</v>
      </c>
      <c r="E3269" s="15" t="s">
        <v>11442</v>
      </c>
      <c r="F3269" s="22" t="str">
        <f>VLOOKUP(Table8[[#This Row],[Mã khách hàng]],code_khach_hang[],2,0)</f>
        <v>CHI NHÁNH ĐÀ NẴNG - CÔNG TY CỔ PHẦN DỊCH VỤ THƯƠNG MẠI TỔNG HỢP WINCOMMERCE</v>
      </c>
      <c r="G3269" s="16"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c r="A3270" s="14" t="s">
        <v>11391</v>
      </c>
      <c r="B3270" s="15" t="s">
        <v>5</v>
      </c>
      <c r="C3270" s="16" t="s">
        <v>11762</v>
      </c>
      <c r="D3270" s="21" t="s">
        <v>11763</v>
      </c>
      <c r="E3270" s="15" t="s">
        <v>11442</v>
      </c>
      <c r="F3270" s="22" t="str">
        <f>VLOOKUP(Table8[[#This Row],[Mã khách hàng]],code_khach_hang[],2,0)</f>
        <v>CHI NHÁNH ĐÀ NẴNG - CÔNG TY CỔ PHẦN DỊCH VỤ THƯƠNG MẠI TỔNG HỢP WINCOMMERCE</v>
      </c>
      <c r="G3270" s="16"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c r="A3271" s="14" t="s">
        <v>11392</v>
      </c>
      <c r="B3271" s="15" t="s">
        <v>5</v>
      </c>
      <c r="C3271" s="16" t="s">
        <v>11764</v>
      </c>
      <c r="D3271" s="21" t="s">
        <v>11765</v>
      </c>
      <c r="E3271" s="15" t="s">
        <v>11241</v>
      </c>
      <c r="F3271" s="22" t="str">
        <f>VLOOKUP(Table8[[#This Row],[Mã khách hàng]],code_khach_hang[],2,0)</f>
        <v>CHI NHÁNH BÌNH ĐỊNH - CÔNG TY CỔ PHẦN DỊCH VỤ THƯƠNG MẠI TỔNG HỢP WINCOMMERCE</v>
      </c>
      <c r="G3271" s="16"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c r="A3272" s="14" t="s">
        <v>11393</v>
      </c>
      <c r="B3272" s="15" t="s">
        <v>5</v>
      </c>
      <c r="C3272" s="16" t="s">
        <v>11766</v>
      </c>
      <c r="D3272" s="21" t="s">
        <v>11767</v>
      </c>
      <c r="E3272" s="15" t="s">
        <v>11442</v>
      </c>
      <c r="F3272" s="22" t="str">
        <f>VLOOKUP(Table8[[#This Row],[Mã khách hàng]],code_khach_hang[],2,0)</f>
        <v>CHI NHÁNH ĐÀ NẴNG - CÔNG TY CỔ PHẦN DỊCH VỤ THƯƠNG MẠI TỔNG HỢP WINCOMMERCE</v>
      </c>
      <c r="G3272" s="16"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c r="A3273" s="14" t="s">
        <v>11394</v>
      </c>
      <c r="B3273" s="15" t="s">
        <v>5</v>
      </c>
      <c r="C3273" s="16" t="s">
        <v>11768</v>
      </c>
      <c r="D3273" s="21" t="s">
        <v>11769</v>
      </c>
      <c r="E3273" s="15" t="s">
        <v>11445</v>
      </c>
      <c r="F3273" s="22" t="str">
        <f>VLOOKUP(Table8[[#This Row],[Mã khách hàng]],code_khach_hang[],2,0)</f>
        <v>CHI NHÁNH THỪA THIÊN HUẾ - CÔNG TY CỔ PHẦN DỊCH VỤ THƯƠNG MẠI TỔNG HỢP WINCOMMERCE</v>
      </c>
      <c r="G3273" s="16"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c r="A3274" s="14" t="s">
        <v>11395</v>
      </c>
      <c r="B3274" s="15" t="s">
        <v>5</v>
      </c>
      <c r="C3274" s="16" t="s">
        <v>11770</v>
      </c>
      <c r="D3274" s="21" t="s">
        <v>11771</v>
      </c>
      <c r="E3274" s="15" t="s">
        <v>11446</v>
      </c>
      <c r="F3274" s="22" t="str">
        <f>VLOOKUP(Table8[[#This Row],[Mã khách hàng]],code_khach_hang[],2,0)</f>
        <v>CHI NHÁNH GIA LAI - CÔNG TY CỔ PHẦN DỊCH VỤ THƯƠNG MẠI TỔNG HỢP WINCOMMERCE</v>
      </c>
      <c r="G3274" s="16"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c r="A3275" s="14" t="s">
        <v>11396</v>
      </c>
      <c r="B3275" s="15" t="s">
        <v>5</v>
      </c>
      <c r="C3275" s="16" t="s">
        <v>11772</v>
      </c>
      <c r="D3275" s="21" t="s">
        <v>11773</v>
      </c>
      <c r="E3275" s="15" t="s">
        <v>11442</v>
      </c>
      <c r="F3275" s="22" t="str">
        <f>VLOOKUP(Table8[[#This Row],[Mã khách hàng]],code_khach_hang[],2,0)</f>
        <v>CHI NHÁNH ĐÀ NẴNG - CÔNG TY CỔ PHẦN DỊCH VỤ THƯƠNG MẠI TỔNG HỢP WINCOMMERCE</v>
      </c>
      <c r="G3275" s="16"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c r="A3276" s="14" t="s">
        <v>11397</v>
      </c>
      <c r="B3276" s="15" t="s">
        <v>5</v>
      </c>
      <c r="C3276" s="16" t="s">
        <v>11774</v>
      </c>
      <c r="D3276" s="21" t="s">
        <v>11775</v>
      </c>
      <c r="E3276" s="15" t="s">
        <v>11442</v>
      </c>
      <c r="F3276" s="22" t="str">
        <f>VLOOKUP(Table8[[#This Row],[Mã khách hàng]],code_khach_hang[],2,0)</f>
        <v>CHI NHÁNH ĐÀ NẴNG - CÔNG TY CỔ PHẦN DỊCH VỤ THƯƠNG MẠI TỔNG HỢP WINCOMMERCE</v>
      </c>
      <c r="G3276" s="16"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c r="A3277" s="14" t="s">
        <v>11398</v>
      </c>
      <c r="B3277" s="15" t="s">
        <v>5</v>
      </c>
      <c r="C3277" s="16" t="s">
        <v>11776</v>
      </c>
      <c r="D3277" s="21" t="s">
        <v>11777</v>
      </c>
      <c r="E3277" s="15" t="s">
        <v>11442</v>
      </c>
      <c r="F3277" s="22" t="str">
        <f>VLOOKUP(Table8[[#This Row],[Mã khách hàng]],code_khach_hang[],2,0)</f>
        <v>CHI NHÁNH ĐÀ NẴNG - CÔNG TY CỔ PHẦN DỊCH VỤ THƯƠNG MẠI TỔNG HỢP WINCOMMERCE</v>
      </c>
      <c r="G3277" s="16"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c r="A3278" s="14" t="s">
        <v>11399</v>
      </c>
      <c r="B3278" s="15" t="s">
        <v>5</v>
      </c>
      <c r="C3278" s="16" t="s">
        <v>11778</v>
      </c>
      <c r="D3278" s="21" t="s">
        <v>11779</v>
      </c>
      <c r="E3278" s="15" t="s">
        <v>11445</v>
      </c>
      <c r="F3278" s="22" t="str">
        <f>VLOOKUP(Table8[[#This Row],[Mã khách hàng]],code_khach_hang[],2,0)</f>
        <v>CHI NHÁNH THỪA THIÊN HUẾ - CÔNG TY CỔ PHẦN DỊCH VỤ THƯƠNG MẠI TỔNG HỢP WINCOMMERCE</v>
      </c>
      <c r="G3278" s="16"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c r="A3279" s="14" t="s">
        <v>11400</v>
      </c>
      <c r="B3279" s="15" t="s">
        <v>5</v>
      </c>
      <c r="C3279" s="16" t="s">
        <v>11780</v>
      </c>
      <c r="D3279" s="21" t="s">
        <v>11781</v>
      </c>
      <c r="E3279" s="15" t="s">
        <v>11448</v>
      </c>
      <c r="F3279" s="22" t="str">
        <f>VLOOKUP(Table8[[#This Row],[Mã khách hàng]],code_khach_hang[],2,0)</f>
        <v>CHI NHÁNH KON TUM - CÔNG TY CỔ PHẦN DỊCH VỤ THƯƠNG MẠI TỔNG HỢP WINCOMMERCE</v>
      </c>
      <c r="G3279" s="16"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c r="A3280" s="14" t="s">
        <v>11401</v>
      </c>
      <c r="B3280" s="15" t="s">
        <v>5</v>
      </c>
      <c r="C3280" s="16" t="s">
        <v>11782</v>
      </c>
      <c r="D3280" s="21" t="s">
        <v>11783</v>
      </c>
      <c r="E3280" s="15" t="s">
        <v>11445</v>
      </c>
      <c r="F3280" s="22" t="str">
        <f>VLOOKUP(Table8[[#This Row],[Mã khách hàng]],code_khach_hang[],2,0)</f>
        <v>CHI NHÁNH THỪA THIÊN HUẾ - CÔNG TY CỔ PHẦN DỊCH VỤ THƯƠNG MẠI TỔNG HỢP WINCOMMERCE</v>
      </c>
      <c r="G3280" s="16"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c r="A3281" s="14" t="s">
        <v>11402</v>
      </c>
      <c r="B3281" s="15" t="s">
        <v>5</v>
      </c>
      <c r="C3281" s="16" t="s">
        <v>11784</v>
      </c>
      <c r="D3281" s="21" t="s">
        <v>11785</v>
      </c>
      <c r="E3281" s="15" t="s">
        <v>11445</v>
      </c>
      <c r="F3281" s="22" t="str">
        <f>VLOOKUP(Table8[[#This Row],[Mã khách hàng]],code_khach_hang[],2,0)</f>
        <v>CHI NHÁNH THỪA THIÊN HUẾ - CÔNG TY CỔ PHẦN DỊCH VỤ THƯƠNG MẠI TỔNG HỢP WINCOMMERCE</v>
      </c>
      <c r="G3281" s="16"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c r="A3282" s="14" t="s">
        <v>11403</v>
      </c>
      <c r="B3282" s="15" t="s">
        <v>5</v>
      </c>
      <c r="C3282" s="16" t="s">
        <v>11786</v>
      </c>
      <c r="D3282" s="21" t="s">
        <v>11787</v>
      </c>
      <c r="E3282" s="15" t="s">
        <v>11442</v>
      </c>
      <c r="F3282" s="22" t="str">
        <f>VLOOKUP(Table8[[#This Row],[Mã khách hàng]],code_khach_hang[],2,0)</f>
        <v>CHI NHÁNH ĐÀ NẴNG - CÔNG TY CỔ PHẦN DỊCH VỤ THƯƠNG MẠI TỔNG HỢP WINCOMMERCE</v>
      </c>
      <c r="G3282" s="16"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c r="A3283" s="14" t="s">
        <v>11404</v>
      </c>
      <c r="B3283" s="15" t="s">
        <v>5</v>
      </c>
      <c r="C3283" s="16" t="s">
        <v>11788</v>
      </c>
      <c r="D3283" s="21" t="s">
        <v>11789</v>
      </c>
      <c r="E3283" s="15" t="s">
        <v>11449</v>
      </c>
      <c r="F3283" s="22" t="str">
        <f>VLOOKUP(Table8[[#This Row],[Mã khách hàng]],code_khach_hang[],2,0)</f>
        <v>CHI NHÁNH QUẢNG NGÃI - CÔNG TY CỔ PHẦN DỊCH VỤ THƯƠNG MẠI TỔNG HỢP WINCOMMERCE</v>
      </c>
      <c r="G3283" s="16"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c r="A3284" s="14" t="s">
        <v>11405</v>
      </c>
      <c r="B3284" s="15" t="s">
        <v>5</v>
      </c>
      <c r="C3284" s="16" t="s">
        <v>11790</v>
      </c>
      <c r="D3284" s="21" t="s">
        <v>11791</v>
      </c>
      <c r="E3284" s="15" t="s">
        <v>11446</v>
      </c>
      <c r="F3284" s="22" t="str">
        <f>VLOOKUP(Table8[[#This Row],[Mã khách hàng]],code_khach_hang[],2,0)</f>
        <v>CHI NHÁNH GIA LAI - CÔNG TY CỔ PHẦN DỊCH VỤ THƯƠNG MẠI TỔNG HỢP WINCOMMERCE</v>
      </c>
      <c r="G3284" s="16"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c r="A3285" s="14" t="s">
        <v>11406</v>
      </c>
      <c r="B3285" s="15" t="s">
        <v>5</v>
      </c>
      <c r="C3285" s="16" t="s">
        <v>11792</v>
      </c>
      <c r="D3285" s="21" t="s">
        <v>11793</v>
      </c>
      <c r="E3285" s="15" t="s">
        <v>11442</v>
      </c>
      <c r="F3285" s="22" t="str">
        <f>VLOOKUP(Table8[[#This Row],[Mã khách hàng]],code_khach_hang[],2,0)</f>
        <v>CHI NHÁNH ĐÀ NẴNG - CÔNG TY CỔ PHẦN DỊCH VỤ THƯƠNG MẠI TỔNG HỢP WINCOMMERCE</v>
      </c>
      <c r="G3285" s="16"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c r="A3286" s="14" t="s">
        <v>11407</v>
      </c>
      <c r="B3286" s="15" t="s">
        <v>5</v>
      </c>
      <c r="C3286" s="16" t="s">
        <v>11794</v>
      </c>
      <c r="D3286" s="21" t="s">
        <v>11795</v>
      </c>
      <c r="E3286" s="15" t="s">
        <v>11442</v>
      </c>
      <c r="F3286" s="22" t="str">
        <f>VLOOKUP(Table8[[#This Row],[Mã khách hàng]],code_khach_hang[],2,0)</f>
        <v>CHI NHÁNH ĐÀ NẴNG - CÔNG TY CỔ PHẦN DỊCH VỤ THƯƠNG MẠI TỔNG HỢP WINCOMMERCE</v>
      </c>
      <c r="G3286" s="16"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c r="A3287" s="14" t="s">
        <v>11408</v>
      </c>
      <c r="B3287" s="15" t="s">
        <v>5</v>
      </c>
      <c r="C3287" s="16" t="s">
        <v>11796</v>
      </c>
      <c r="D3287" s="21" t="s">
        <v>11797</v>
      </c>
      <c r="E3287" s="15" t="s">
        <v>11445</v>
      </c>
      <c r="F3287" s="22" t="str">
        <f>VLOOKUP(Table8[[#This Row],[Mã khách hàng]],code_khach_hang[],2,0)</f>
        <v>CHI NHÁNH THỪA THIÊN HUẾ - CÔNG TY CỔ PHẦN DỊCH VỤ THƯƠNG MẠI TỔNG HỢP WINCOMMERCE</v>
      </c>
      <c r="G3287" s="16"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c r="A3288" s="14" t="s">
        <v>11409</v>
      </c>
      <c r="B3288" s="15" t="s">
        <v>5</v>
      </c>
      <c r="C3288" s="16" t="s">
        <v>11798</v>
      </c>
      <c r="D3288" s="21" t="s">
        <v>11799</v>
      </c>
      <c r="E3288" s="15" t="s">
        <v>11442</v>
      </c>
      <c r="F3288" s="22" t="str">
        <f>VLOOKUP(Table8[[#This Row],[Mã khách hàng]],code_khach_hang[],2,0)</f>
        <v>CHI NHÁNH ĐÀ NẴNG - CÔNG TY CỔ PHẦN DỊCH VỤ THƯƠNG MẠI TỔNG HỢP WINCOMMERCE</v>
      </c>
      <c r="G3288" s="16"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c r="A3289" s="14" t="s">
        <v>11410</v>
      </c>
      <c r="B3289" s="15" t="s">
        <v>5</v>
      </c>
      <c r="C3289" s="16" t="s">
        <v>11800</v>
      </c>
      <c r="D3289" s="21" t="s">
        <v>11801</v>
      </c>
      <c r="E3289" s="15" t="s">
        <v>11445</v>
      </c>
      <c r="F3289" s="22" t="str">
        <f>VLOOKUP(Table8[[#This Row],[Mã khách hàng]],code_khach_hang[],2,0)</f>
        <v>CHI NHÁNH THỪA THIÊN HUẾ - CÔNG TY CỔ PHẦN DỊCH VỤ THƯƠNG MẠI TỔNG HỢP WINCOMMERCE</v>
      </c>
      <c r="G3289" s="16"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c r="A3290" s="14" t="s">
        <v>11411</v>
      </c>
      <c r="B3290" s="15" t="s">
        <v>5</v>
      </c>
      <c r="C3290" s="16" t="s">
        <v>11802</v>
      </c>
      <c r="D3290" s="21" t="s">
        <v>11803</v>
      </c>
      <c r="E3290" s="15" t="s">
        <v>11446</v>
      </c>
      <c r="F3290" s="22" t="str">
        <f>VLOOKUP(Table8[[#This Row],[Mã khách hàng]],code_khach_hang[],2,0)</f>
        <v>CHI NHÁNH GIA LAI - CÔNG TY CỔ PHẦN DỊCH VỤ THƯƠNG MẠI TỔNG HỢP WINCOMMERCE</v>
      </c>
      <c r="G3290" s="16"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c r="A3291" s="14" t="s">
        <v>11412</v>
      </c>
      <c r="B3291" s="15" t="s">
        <v>5</v>
      </c>
      <c r="C3291" s="16" t="s">
        <v>11804</v>
      </c>
      <c r="D3291" s="21" t="s">
        <v>11805</v>
      </c>
      <c r="E3291" s="15" t="s">
        <v>11241</v>
      </c>
      <c r="F3291" s="22" t="str">
        <f>VLOOKUP(Table8[[#This Row],[Mã khách hàng]],code_khach_hang[],2,0)</f>
        <v>CHI NHÁNH BÌNH ĐỊNH - CÔNG TY CỔ PHẦN DỊCH VỤ THƯƠNG MẠI TỔNG HỢP WINCOMMERCE</v>
      </c>
      <c r="G3291" s="16"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c r="A3292" s="14" t="s">
        <v>11413</v>
      </c>
      <c r="B3292" s="15" t="s">
        <v>5</v>
      </c>
      <c r="C3292" s="16" t="s">
        <v>11806</v>
      </c>
      <c r="D3292" s="21" t="s">
        <v>11807</v>
      </c>
      <c r="E3292" s="15" t="s">
        <v>11448</v>
      </c>
      <c r="F3292" s="22" t="str">
        <f>VLOOKUP(Table8[[#This Row],[Mã khách hàng]],code_khach_hang[],2,0)</f>
        <v>CHI NHÁNH KON TUM - CÔNG TY CỔ PHẦN DỊCH VỤ THƯƠNG MẠI TỔNG HỢP WINCOMMERCE</v>
      </c>
      <c r="G3292" s="16"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c r="A3293" s="14" t="s">
        <v>11414</v>
      </c>
      <c r="B3293" s="15" t="s">
        <v>5</v>
      </c>
      <c r="C3293" s="16" t="s">
        <v>11808</v>
      </c>
      <c r="D3293" s="21" t="s">
        <v>11809</v>
      </c>
      <c r="E3293" s="15" t="s">
        <v>11442</v>
      </c>
      <c r="F3293" s="22" t="str">
        <f>VLOOKUP(Table8[[#This Row],[Mã khách hàng]],code_khach_hang[],2,0)</f>
        <v>CHI NHÁNH ĐÀ NẴNG - CÔNG TY CỔ PHẦN DỊCH VỤ THƯƠNG MẠI TỔNG HỢP WINCOMMERCE</v>
      </c>
      <c r="G3293" s="16"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c r="A3294" s="14" t="s">
        <v>11415</v>
      </c>
      <c r="B3294" s="15" t="s">
        <v>5</v>
      </c>
      <c r="C3294" s="16" t="s">
        <v>11810</v>
      </c>
      <c r="D3294" s="21" t="s">
        <v>11811</v>
      </c>
      <c r="E3294" s="15" t="s">
        <v>11241</v>
      </c>
      <c r="F3294" s="22" t="str">
        <f>VLOOKUP(Table8[[#This Row],[Mã khách hàng]],code_khach_hang[],2,0)</f>
        <v>CHI NHÁNH BÌNH ĐỊNH - CÔNG TY CỔ PHẦN DỊCH VỤ THƯƠNG MẠI TỔNG HỢP WINCOMMERCE</v>
      </c>
      <c r="G3294" s="16"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c r="A3295" s="14" t="s">
        <v>11416</v>
      </c>
      <c r="B3295" s="15" t="s">
        <v>5</v>
      </c>
      <c r="C3295" s="16" t="s">
        <v>11812</v>
      </c>
      <c r="D3295" s="21" t="s">
        <v>11813</v>
      </c>
      <c r="E3295" s="15" t="s">
        <v>11445</v>
      </c>
      <c r="F3295" s="22" t="str">
        <f>VLOOKUP(Table8[[#This Row],[Mã khách hàng]],code_khach_hang[],2,0)</f>
        <v>CHI NHÁNH THỪA THIÊN HUẾ - CÔNG TY CỔ PHẦN DỊCH VỤ THƯƠNG MẠI TỔNG HỢP WINCOMMERCE</v>
      </c>
      <c r="G3295" s="16"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c r="A3296" s="14" t="s">
        <v>11417</v>
      </c>
      <c r="B3296" s="15" t="s">
        <v>5</v>
      </c>
      <c r="C3296" s="16" t="s">
        <v>11814</v>
      </c>
      <c r="D3296" s="21" t="s">
        <v>11815</v>
      </c>
      <c r="E3296" s="15" t="s">
        <v>11447</v>
      </c>
      <c r="F3296" s="22" t="str">
        <f>VLOOKUP(Table8[[#This Row],[Mã khách hàng]],code_khach_hang[],2,0)</f>
        <v>CHI NHÁNH QUẢNG TRỊ - CÔNG TY CỔ PHẦN DỊCH VỤ THƯƠNG MẠI TỔNG HỢP WINCOMMERCE</v>
      </c>
      <c r="G3296" s="16"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c r="A3297" s="14" t="s">
        <v>11418</v>
      </c>
      <c r="B3297" s="15" t="s">
        <v>5</v>
      </c>
      <c r="C3297" s="16" t="s">
        <v>11816</v>
      </c>
      <c r="D3297" s="21" t="s">
        <v>11817</v>
      </c>
      <c r="E3297" s="15" t="s">
        <v>11442</v>
      </c>
      <c r="F3297" s="22" t="str">
        <f>VLOOKUP(Table8[[#This Row],[Mã khách hàng]],code_khach_hang[],2,0)</f>
        <v>CHI NHÁNH ĐÀ NẴNG - CÔNG TY CỔ PHẦN DỊCH VỤ THƯƠNG MẠI TỔNG HỢP WINCOMMERCE</v>
      </c>
      <c r="G3297" s="16"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c r="A3298" s="14" t="s">
        <v>11419</v>
      </c>
      <c r="B3298" s="15" t="s">
        <v>5</v>
      </c>
      <c r="C3298" s="16" t="s">
        <v>11818</v>
      </c>
      <c r="D3298" s="21" t="s">
        <v>11819</v>
      </c>
      <c r="E3298" s="15" t="s">
        <v>11445</v>
      </c>
      <c r="F3298" s="22" t="str">
        <f>VLOOKUP(Table8[[#This Row],[Mã khách hàng]],code_khach_hang[],2,0)</f>
        <v>CHI NHÁNH THỪA THIÊN HUẾ - CÔNG TY CỔ PHẦN DỊCH VỤ THƯƠNG MẠI TỔNG HỢP WINCOMMERCE</v>
      </c>
      <c r="G3298" s="16"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c r="A3299" s="14" t="s">
        <v>11420</v>
      </c>
      <c r="B3299" s="15" t="s">
        <v>5</v>
      </c>
      <c r="C3299" s="16" t="s">
        <v>11820</v>
      </c>
      <c r="D3299" s="21" t="s">
        <v>11821</v>
      </c>
      <c r="E3299" s="15" t="s">
        <v>11446</v>
      </c>
      <c r="F3299" s="22" t="str">
        <f>VLOOKUP(Table8[[#This Row],[Mã khách hàng]],code_khach_hang[],2,0)</f>
        <v>CHI NHÁNH GIA LAI - CÔNG TY CỔ PHẦN DỊCH VỤ THƯƠNG MẠI TỔNG HỢP WINCOMMERCE</v>
      </c>
      <c r="G3299" s="16"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c r="A3300" s="14" t="s">
        <v>11421</v>
      </c>
      <c r="B3300" s="15" t="s">
        <v>5</v>
      </c>
      <c r="C3300" s="16" t="s">
        <v>11822</v>
      </c>
      <c r="D3300" s="21" t="s">
        <v>11823</v>
      </c>
      <c r="E3300" s="15" t="s">
        <v>11446</v>
      </c>
      <c r="F3300" s="22" t="str">
        <f>VLOOKUP(Table8[[#This Row],[Mã khách hàng]],code_khach_hang[],2,0)</f>
        <v>CHI NHÁNH GIA LAI - CÔNG TY CỔ PHẦN DỊCH VỤ THƯƠNG MẠI TỔNG HỢP WINCOMMERCE</v>
      </c>
      <c r="G3300" s="16"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c r="A3301" s="14" t="s">
        <v>11422</v>
      </c>
      <c r="B3301" s="15" t="s">
        <v>5</v>
      </c>
      <c r="C3301" s="16" t="s">
        <v>11824</v>
      </c>
      <c r="D3301" s="21" t="s">
        <v>11825</v>
      </c>
      <c r="E3301" s="15" t="s">
        <v>11241</v>
      </c>
      <c r="F3301" s="22" t="str">
        <f>VLOOKUP(Table8[[#This Row],[Mã khách hàng]],code_khach_hang[],2,0)</f>
        <v>CHI NHÁNH BÌNH ĐỊNH - CÔNG TY CỔ PHẦN DỊCH VỤ THƯƠNG MẠI TỔNG HỢP WINCOMMERCE</v>
      </c>
      <c r="G3301" s="16"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c r="A3302" s="14" t="s">
        <v>11423</v>
      </c>
      <c r="B3302" s="15" t="s">
        <v>5</v>
      </c>
      <c r="C3302" s="16" t="s">
        <v>11826</v>
      </c>
      <c r="D3302" s="21" t="s">
        <v>11827</v>
      </c>
      <c r="E3302" s="15" t="s">
        <v>11241</v>
      </c>
      <c r="F3302" s="22" t="str">
        <f>VLOOKUP(Table8[[#This Row],[Mã khách hàng]],code_khach_hang[],2,0)</f>
        <v>CHI NHÁNH BÌNH ĐỊNH - CÔNG TY CỔ PHẦN DỊCH VỤ THƯƠNG MẠI TỔNG HỢP WINCOMMERCE</v>
      </c>
      <c r="G3302" s="16"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c r="A3303" s="14" t="s">
        <v>11424</v>
      </c>
      <c r="B3303" s="15" t="s">
        <v>5</v>
      </c>
      <c r="C3303" s="16" t="s">
        <v>11828</v>
      </c>
      <c r="D3303" s="21" t="s">
        <v>11829</v>
      </c>
      <c r="E3303" s="15" t="s">
        <v>11446</v>
      </c>
      <c r="F3303" s="22" t="str">
        <f>VLOOKUP(Table8[[#This Row],[Mã khách hàng]],code_khach_hang[],2,0)</f>
        <v>CHI NHÁNH GIA LAI - CÔNG TY CỔ PHẦN DỊCH VỤ THƯƠNG MẠI TỔNG HỢP WINCOMMERCE</v>
      </c>
      <c r="G3303" s="16"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c r="A3304" s="14" t="s">
        <v>11425</v>
      </c>
      <c r="B3304" s="15" t="s">
        <v>5</v>
      </c>
      <c r="C3304" s="16" t="s">
        <v>11830</v>
      </c>
      <c r="D3304" s="21" t="s">
        <v>11831</v>
      </c>
      <c r="E3304" s="15" t="s">
        <v>11241</v>
      </c>
      <c r="F3304" s="22" t="str">
        <f>VLOOKUP(Table8[[#This Row],[Mã khách hàng]],code_khach_hang[],2,0)</f>
        <v>CHI NHÁNH BÌNH ĐỊNH - CÔNG TY CỔ PHẦN DỊCH VỤ THƯƠNG MẠI TỔNG HỢP WINCOMMERCE</v>
      </c>
      <c r="G3304" s="16"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c r="A3305" s="14" t="s">
        <v>11426</v>
      </c>
      <c r="B3305" s="15" t="s">
        <v>5</v>
      </c>
      <c r="C3305" s="16" t="s">
        <v>11832</v>
      </c>
      <c r="D3305" s="21" t="s">
        <v>11833</v>
      </c>
      <c r="E3305" s="15" t="s">
        <v>11442</v>
      </c>
      <c r="F3305" s="22" t="str">
        <f>VLOOKUP(Table8[[#This Row],[Mã khách hàng]],code_khach_hang[],2,0)</f>
        <v>CHI NHÁNH ĐÀ NẴNG - CÔNG TY CỔ PHẦN DỊCH VỤ THƯƠNG MẠI TỔNG HỢP WINCOMMERCE</v>
      </c>
      <c r="G3305" s="16"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c r="A3306" s="14" t="s">
        <v>11427</v>
      </c>
      <c r="B3306" s="15" t="s">
        <v>5</v>
      </c>
      <c r="C3306" s="16" t="s">
        <v>11834</v>
      </c>
      <c r="D3306" s="21" t="s">
        <v>11835</v>
      </c>
      <c r="E3306" s="15" t="s">
        <v>11446</v>
      </c>
      <c r="F3306" s="22" t="str">
        <f>VLOOKUP(Table8[[#This Row],[Mã khách hàng]],code_khach_hang[],2,0)</f>
        <v>CHI NHÁNH GIA LAI - CÔNG TY CỔ PHẦN DỊCH VỤ THƯƠNG MẠI TỔNG HỢP WINCOMMERCE</v>
      </c>
      <c r="G3306" s="16"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c r="A3307" s="14" t="s">
        <v>11428</v>
      </c>
      <c r="B3307" s="15" t="s">
        <v>5</v>
      </c>
      <c r="C3307" s="16" t="s">
        <v>11836</v>
      </c>
      <c r="D3307" s="21" t="s">
        <v>11837</v>
      </c>
      <c r="E3307" s="15" t="s">
        <v>11446</v>
      </c>
      <c r="F3307" s="22" t="str">
        <f>VLOOKUP(Table8[[#This Row],[Mã khách hàng]],code_khach_hang[],2,0)</f>
        <v>CHI NHÁNH GIA LAI - CÔNG TY CỔ PHẦN DỊCH VỤ THƯƠNG MẠI TỔNG HỢP WINCOMMERCE</v>
      </c>
      <c r="G3307" s="16"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c r="A3308" s="14" t="s">
        <v>11429</v>
      </c>
      <c r="B3308" s="15" t="s">
        <v>5</v>
      </c>
      <c r="C3308" s="16" t="s">
        <v>11838</v>
      </c>
      <c r="D3308" s="21" t="s">
        <v>11839</v>
      </c>
      <c r="E3308" s="15" t="s">
        <v>11445</v>
      </c>
      <c r="F3308" s="22" t="str">
        <f>VLOOKUP(Table8[[#This Row],[Mã khách hàng]],code_khach_hang[],2,0)</f>
        <v>CHI NHÁNH THỪA THIÊN HUẾ - CÔNG TY CỔ PHẦN DỊCH VỤ THƯƠNG MẠI TỔNG HỢP WINCOMMERCE</v>
      </c>
      <c r="G3308" s="16"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c r="A3309" s="14" t="s">
        <v>11430</v>
      </c>
      <c r="B3309" s="15" t="s">
        <v>5</v>
      </c>
      <c r="C3309" s="16" t="s">
        <v>11840</v>
      </c>
      <c r="D3309" s="21" t="s">
        <v>11841</v>
      </c>
      <c r="E3309" s="15" t="s">
        <v>11446</v>
      </c>
      <c r="F3309" s="22" t="str">
        <f>VLOOKUP(Table8[[#This Row],[Mã khách hàng]],code_khach_hang[],2,0)</f>
        <v>CHI NHÁNH GIA LAI - CÔNG TY CỔ PHẦN DỊCH VỤ THƯƠNG MẠI TỔNG HỢP WINCOMMERCE</v>
      </c>
      <c r="G3309" s="16"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c r="A3310" s="14" t="s">
        <v>11431</v>
      </c>
      <c r="B3310" s="15" t="s">
        <v>5</v>
      </c>
      <c r="C3310" s="16" t="s">
        <v>11842</v>
      </c>
      <c r="D3310" s="21" t="s">
        <v>11843</v>
      </c>
      <c r="E3310" s="15" t="s">
        <v>11446</v>
      </c>
      <c r="F3310" s="22" t="str">
        <f>VLOOKUP(Table8[[#This Row],[Mã khách hàng]],code_khach_hang[],2,0)</f>
        <v>CHI NHÁNH GIA LAI - CÔNG TY CỔ PHẦN DỊCH VỤ THƯƠNG MẠI TỔNG HỢP WINCOMMERCE</v>
      </c>
      <c r="G3310" s="16"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c r="A3311" s="14" t="s">
        <v>11432</v>
      </c>
      <c r="B3311" s="15" t="s">
        <v>5</v>
      </c>
      <c r="C3311" s="16" t="s">
        <v>11844</v>
      </c>
      <c r="D3311" s="21" t="s">
        <v>11845</v>
      </c>
      <c r="E3311" s="15" t="s">
        <v>11445</v>
      </c>
      <c r="F3311" s="22" t="str">
        <f>VLOOKUP(Table8[[#This Row],[Mã khách hàng]],code_khach_hang[],2,0)</f>
        <v>CHI NHÁNH THỪA THIÊN HUẾ - CÔNG TY CỔ PHẦN DỊCH VỤ THƯƠNG MẠI TỔNG HỢP WINCOMMERCE</v>
      </c>
      <c r="G3311" s="16"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c r="A3312" s="14" t="s">
        <v>11433</v>
      </c>
      <c r="B3312" s="15" t="s">
        <v>5</v>
      </c>
      <c r="C3312" s="16" t="s">
        <v>11846</v>
      </c>
      <c r="D3312" s="21" t="s">
        <v>11847</v>
      </c>
      <c r="E3312" s="15" t="s">
        <v>11443</v>
      </c>
      <c r="F3312" s="22" t="str">
        <f>VLOOKUP(Table8[[#This Row],[Mã khách hàng]],code_khach_hang[],2,0)</f>
        <v>CHI NHÁNH KHÁNH HÒA - CÔNG TY CỔ PHẦN DỊCH VỤ THƯƠNG MẠI TỔNG HỢP WINCOMMERCE</v>
      </c>
      <c r="G3312" s="16"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c r="A3313" s="14" t="s">
        <v>11434</v>
      </c>
      <c r="B3313" s="15" t="s">
        <v>5</v>
      </c>
      <c r="C3313" s="16" t="s">
        <v>11848</v>
      </c>
      <c r="D3313" s="21" t="s">
        <v>11849</v>
      </c>
      <c r="E3313" s="15" t="s">
        <v>11446</v>
      </c>
      <c r="F3313" s="22" t="str">
        <f>VLOOKUP(Table8[[#This Row],[Mã khách hàng]],code_khach_hang[],2,0)</f>
        <v>CHI NHÁNH GIA LAI - CÔNG TY CỔ PHẦN DỊCH VỤ THƯƠNG MẠI TỔNG HỢP WINCOMMERCE</v>
      </c>
      <c r="G3313" s="16"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c r="A3314" s="14" t="s">
        <v>11435</v>
      </c>
      <c r="B3314" s="15" t="s">
        <v>5</v>
      </c>
      <c r="C3314" s="16" t="s">
        <v>11850</v>
      </c>
      <c r="D3314" s="21" t="s">
        <v>11851</v>
      </c>
      <c r="E3314" s="15" t="s">
        <v>11446</v>
      </c>
      <c r="F3314" s="22" t="str">
        <f>VLOOKUP(Table8[[#This Row],[Mã khách hàng]],code_khach_hang[],2,0)</f>
        <v>CHI NHÁNH GIA LAI - CÔNG TY CỔ PHẦN DỊCH VỤ THƯƠNG MẠI TỔNG HỢP WINCOMMERCE</v>
      </c>
      <c r="G3314" s="16"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c r="A3315" s="14" t="s">
        <v>11436</v>
      </c>
      <c r="B3315" s="15" t="s">
        <v>5</v>
      </c>
      <c r="C3315" s="16" t="s">
        <v>11852</v>
      </c>
      <c r="D3315" s="21" t="s">
        <v>11853</v>
      </c>
      <c r="E3315" s="15" t="s">
        <v>11446</v>
      </c>
      <c r="F3315" s="22" t="str">
        <f>VLOOKUP(Table8[[#This Row],[Mã khách hàng]],code_khach_hang[],2,0)</f>
        <v>CHI NHÁNH GIA LAI - CÔNG TY CỔ PHẦN DỊCH VỤ THƯƠNG MẠI TỔNG HỢP WINCOMMERCE</v>
      </c>
      <c r="G3315" s="16"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c r="A3316" s="14" t="s">
        <v>11437</v>
      </c>
      <c r="B3316" s="15" t="s">
        <v>5</v>
      </c>
      <c r="C3316" s="16" t="s">
        <v>11854</v>
      </c>
      <c r="D3316" s="21" t="s">
        <v>11855</v>
      </c>
      <c r="E3316" s="15" t="s">
        <v>11446</v>
      </c>
      <c r="F3316" s="22" t="str">
        <f>VLOOKUP(Table8[[#This Row],[Mã khách hàng]],code_khach_hang[],2,0)</f>
        <v>CHI NHÁNH GIA LAI - CÔNG TY CỔ PHẦN DỊCH VỤ THƯƠNG MẠI TỔNG HỢP WINCOMMERCE</v>
      </c>
      <c r="G3316" s="16"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c r="A3317" s="14" t="s">
        <v>11438</v>
      </c>
      <c r="B3317" s="15" t="s">
        <v>5</v>
      </c>
      <c r="C3317" s="16" t="s">
        <v>11856</v>
      </c>
      <c r="D3317" s="21" t="s">
        <v>11857</v>
      </c>
      <c r="E3317" s="15" t="s">
        <v>11442</v>
      </c>
      <c r="F3317" s="22" t="str">
        <f>VLOOKUP(Table8[[#This Row],[Mã khách hàng]],code_khach_hang[],2,0)</f>
        <v>CHI NHÁNH ĐÀ NẴNG - CÔNG TY CỔ PHẦN DỊCH VỤ THƯƠNG MẠI TỔNG HỢP WINCOMMERCE</v>
      </c>
      <c r="G3317" s="16"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c r="A3318" s="14" t="s">
        <v>11439</v>
      </c>
      <c r="B3318" s="15" t="s">
        <v>5</v>
      </c>
      <c r="C3318" s="16" t="s">
        <v>11858</v>
      </c>
      <c r="D3318" s="21" t="s">
        <v>11859</v>
      </c>
      <c r="E3318" s="15" t="s">
        <v>11444</v>
      </c>
      <c r="F3318" s="22" t="str">
        <f>VLOOKUP(Table8[[#This Row],[Mã khách hàng]],code_khach_hang[],2,0)</f>
        <v>CHI NHÁNH QUẢNG NAM - CÔNG TY CỔ PHẦN DỊCH VỤ THƯƠNG MẠI TỔNG HỢP WINCOMMERCE</v>
      </c>
      <c r="G3318" s="16"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c r="A3319" s="14" t="s">
        <v>11440</v>
      </c>
      <c r="B3319" s="15" t="s">
        <v>5</v>
      </c>
      <c r="C3319" s="16" t="s">
        <v>11860</v>
      </c>
      <c r="D3319" s="21" t="s">
        <v>11861</v>
      </c>
      <c r="E3319" s="15" t="s">
        <v>11443</v>
      </c>
      <c r="F3319" s="22" t="str">
        <f>VLOOKUP(Table8[[#This Row],[Mã khách hàng]],code_khach_hang[],2,0)</f>
        <v>CHI NHÁNH KHÁNH HÒA - CÔNG TY CỔ PHẦN DỊCH VỤ THƯƠNG MẠI TỔNG HỢP WINCOMMERCE</v>
      </c>
      <c r="G3319" s="16"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c r="A3320" s="14" t="s">
        <v>11441</v>
      </c>
      <c r="B3320" s="15" t="s">
        <v>5</v>
      </c>
      <c r="C3320" s="16" t="s">
        <v>11862</v>
      </c>
      <c r="D3320" s="21" t="s">
        <v>11863</v>
      </c>
      <c r="E3320" s="15" t="s">
        <v>11241</v>
      </c>
      <c r="F3320" s="22" t="str">
        <f>VLOOKUP(Table8[[#This Row],[Mã khách hàng]],code_khach_hang[],2,0)</f>
        <v>CHI NHÁNH BÌNH ĐỊNH - CÔNG TY CỔ PHẦN DỊCH VỤ THƯƠNG MẠI TỔNG HỢP WINCOMMERCE</v>
      </c>
      <c r="G3320" s="16"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c r="A3321" s="14">
        <v>3001</v>
      </c>
      <c r="B3321" s="15" t="s">
        <v>5</v>
      </c>
      <c r="C3321" s="16" t="s">
        <v>11864</v>
      </c>
      <c r="D3321" s="21" t="s">
        <v>11865</v>
      </c>
      <c r="E3321" s="15" t="s">
        <v>11442</v>
      </c>
      <c r="F3321" s="22" t="str">
        <f>VLOOKUP(Table8[[#This Row],[Mã khách hàng]],code_khach_hang[],2,0)</f>
        <v>CHI NHÁNH ĐÀ NẴNG - CÔNG TY CỔ PHẦN DỊCH VỤ THƯƠNG MẠI TỔNG HỢP WINCOMMERCE</v>
      </c>
      <c r="G3321" s="16"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c r="A3322" s="14">
        <v>3003</v>
      </c>
      <c r="B3322" s="15" t="s">
        <v>5</v>
      </c>
      <c r="C3322" s="16" t="s">
        <v>11866</v>
      </c>
      <c r="D3322" s="21" t="s">
        <v>11867</v>
      </c>
      <c r="E3322" s="15" t="s">
        <v>11442</v>
      </c>
      <c r="F3322" s="22" t="str">
        <f>VLOOKUP(Table8[[#This Row],[Mã khách hàng]],code_khach_hang[],2,0)</f>
        <v>CHI NHÁNH ĐÀ NẴNG - CÔNG TY CỔ PHẦN DỊCH VỤ THƯƠNG MẠI TỔNG HỢP WINCOMMERCE</v>
      </c>
      <c r="G3322" s="16"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c r="A3323" s="14">
        <v>3006</v>
      </c>
      <c r="B3323" s="15" t="s">
        <v>5</v>
      </c>
      <c r="C3323" s="16" t="s">
        <v>11868</v>
      </c>
      <c r="D3323" s="21" t="s">
        <v>11869</v>
      </c>
      <c r="E3323" s="15" t="s">
        <v>11442</v>
      </c>
      <c r="F3323" s="22" t="str">
        <f>VLOOKUP(Table8[[#This Row],[Mã khách hàng]],code_khach_hang[],2,0)</f>
        <v>CHI NHÁNH ĐÀ NẴNG - CÔNG TY CỔ PHẦN DỊCH VỤ THƯƠNG MẠI TỔNG HỢP WINCOMMERCE</v>
      </c>
      <c r="G3323" s="16"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c r="A3324" s="14">
        <v>3098</v>
      </c>
      <c r="B3324" s="15" t="s">
        <v>5</v>
      </c>
      <c r="C3324" s="16" t="s">
        <v>11870</v>
      </c>
      <c r="D3324" s="21" t="s">
        <v>11871</v>
      </c>
      <c r="E3324" s="15" t="s">
        <v>11442</v>
      </c>
      <c r="F3324" s="22" t="str">
        <f>VLOOKUP(Table8[[#This Row],[Mã khách hàng]],code_khach_hang[],2,0)</f>
        <v>CHI NHÁNH ĐÀ NẴNG - CÔNG TY CỔ PHẦN DỊCH VỤ THƯƠNG MẠI TỔNG HỢP WINCOMMERCE</v>
      </c>
      <c r="G3324" s="16"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c r="A3325" s="14">
        <v>3099</v>
      </c>
      <c r="B3325" s="15" t="s">
        <v>5</v>
      </c>
      <c r="C3325" s="16" t="s">
        <v>11872</v>
      </c>
      <c r="D3325" s="21" t="s">
        <v>11873</v>
      </c>
      <c r="E3325" s="15" t="s">
        <v>11443</v>
      </c>
      <c r="F3325" s="22" t="str">
        <f>VLOOKUP(Table8[[#This Row],[Mã khách hàng]],code_khach_hang[],2,0)</f>
        <v>CHI NHÁNH KHÁNH HÒA - CÔNG TY CỔ PHẦN DỊCH VỤ THƯƠNG MẠI TỔNG HỢP WINCOMMERCE</v>
      </c>
      <c r="G3325" s="16"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c r="A3326" s="14">
        <v>3111</v>
      </c>
      <c r="B3326" s="15" t="s">
        <v>5</v>
      </c>
      <c r="C3326" s="16" t="s">
        <v>11874</v>
      </c>
      <c r="D3326" s="21" t="s">
        <v>11875</v>
      </c>
      <c r="E3326" s="15" t="s">
        <v>11443</v>
      </c>
      <c r="F3326" s="22" t="str">
        <f>VLOOKUP(Table8[[#This Row],[Mã khách hàng]],code_khach_hang[],2,0)</f>
        <v>CHI NHÁNH KHÁNH HÒA - CÔNG TY CỔ PHẦN DỊCH VỤ THƯƠNG MẠI TỔNG HỢP WINCOMMERCE</v>
      </c>
      <c r="G3326" s="16"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c r="A3327" s="14">
        <v>3128</v>
      </c>
      <c r="B3327" s="15" t="s">
        <v>5</v>
      </c>
      <c r="C3327" s="16" t="s">
        <v>11876</v>
      </c>
      <c r="D3327" s="21" t="s">
        <v>11877</v>
      </c>
      <c r="E3327" s="15" t="s">
        <v>11442</v>
      </c>
      <c r="F3327" s="22" t="str">
        <f>VLOOKUP(Table8[[#This Row],[Mã khách hàng]],code_khach_hang[],2,0)</f>
        <v>CHI NHÁNH ĐÀ NẴNG - CÔNG TY CỔ PHẦN DỊCH VỤ THƯƠNG MẠI TỔNG HỢP WINCOMMERCE</v>
      </c>
      <c r="G3327" s="16"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c r="A3328" s="14">
        <v>3194</v>
      </c>
      <c r="B3328" s="15" t="s">
        <v>5</v>
      </c>
      <c r="C3328" s="16" t="s">
        <v>11878</v>
      </c>
      <c r="D3328" s="21" t="s">
        <v>11879</v>
      </c>
      <c r="E3328" s="15" t="s">
        <v>11442</v>
      </c>
      <c r="F3328" s="22" t="str">
        <f>VLOOKUP(Table8[[#This Row],[Mã khách hàng]],code_khach_hang[],2,0)</f>
        <v>CHI NHÁNH ĐÀ NẴNG - CÔNG TY CỔ PHẦN DỊCH VỤ THƯƠNG MẠI TỔNG HỢP WINCOMMERCE</v>
      </c>
      <c r="G3328" s="16"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c r="A3329" s="14">
        <v>3202</v>
      </c>
      <c r="B3329" s="15" t="s">
        <v>5</v>
      </c>
      <c r="C3329" s="16" t="s">
        <v>11880</v>
      </c>
      <c r="D3329" s="21" t="s">
        <v>11881</v>
      </c>
      <c r="E3329" s="15" t="s">
        <v>11442</v>
      </c>
      <c r="F3329" s="22" t="str">
        <f>VLOOKUP(Table8[[#This Row],[Mã khách hàng]],code_khach_hang[],2,0)</f>
        <v>CHI NHÁNH ĐÀ NẴNG - CÔNG TY CỔ PHẦN DỊCH VỤ THƯƠNG MẠI TỔNG HỢP WINCOMMERCE</v>
      </c>
      <c r="G3329" s="16"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c r="A3330" s="14">
        <v>3234</v>
      </c>
      <c r="B3330" s="15" t="s">
        <v>5</v>
      </c>
      <c r="C3330" s="16" t="s">
        <v>11882</v>
      </c>
      <c r="D3330" s="21" t="s">
        <v>11883</v>
      </c>
      <c r="E3330" s="15" t="s">
        <v>11443</v>
      </c>
      <c r="F3330" s="22" t="str">
        <f>VLOOKUP(Table8[[#This Row],[Mã khách hàng]],code_khach_hang[],2,0)</f>
        <v>CHI NHÁNH KHÁNH HÒA - CÔNG TY CỔ PHẦN DỊCH VỤ THƯƠNG MẠI TỔNG HỢP WINCOMMERCE</v>
      </c>
      <c r="G3330" s="16"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c r="A3331" s="14">
        <v>3252</v>
      </c>
      <c r="B3331" s="15" t="s">
        <v>5</v>
      </c>
      <c r="C3331" s="16" t="s">
        <v>11884</v>
      </c>
      <c r="D3331" s="21" t="s">
        <v>11885</v>
      </c>
      <c r="E3331" s="15" t="s">
        <v>11442</v>
      </c>
      <c r="F3331" s="22" t="str">
        <f>VLOOKUP(Table8[[#This Row],[Mã khách hàng]],code_khach_hang[],2,0)</f>
        <v>CHI NHÁNH ĐÀ NẴNG - CÔNG TY CỔ PHẦN DỊCH VỤ THƯƠNG MẠI TỔNG HỢP WINCOMMERCE</v>
      </c>
      <c r="G3331" s="16"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c r="A3332" s="14">
        <v>3269</v>
      </c>
      <c r="B3332" s="15" t="s">
        <v>5</v>
      </c>
      <c r="C3332" s="16" t="s">
        <v>11886</v>
      </c>
      <c r="D3332" s="21" t="s">
        <v>11887</v>
      </c>
      <c r="E3332" s="15" t="s">
        <v>11442</v>
      </c>
      <c r="F3332" s="22" t="str">
        <f>VLOOKUP(Table8[[#This Row],[Mã khách hàng]],code_khach_hang[],2,0)</f>
        <v>CHI NHÁNH ĐÀ NẴNG - CÔNG TY CỔ PHẦN DỊCH VỤ THƯƠNG MẠI TỔNG HỢP WINCOMMERCE</v>
      </c>
      <c r="G3332" s="16"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c r="A3333" s="14">
        <v>3297</v>
      </c>
      <c r="B3333" s="15" t="s">
        <v>5</v>
      </c>
      <c r="C3333" s="16" t="s">
        <v>11888</v>
      </c>
      <c r="D3333" s="21" t="s">
        <v>11889</v>
      </c>
      <c r="E3333" s="15" t="s">
        <v>11442</v>
      </c>
      <c r="F3333" s="22" t="str">
        <f>VLOOKUP(Table8[[#This Row],[Mã khách hàng]],code_khach_hang[],2,0)</f>
        <v>CHI NHÁNH ĐÀ NẴNG - CÔNG TY CỔ PHẦN DỊCH VỤ THƯƠNG MẠI TỔNG HỢP WINCOMMERCE</v>
      </c>
      <c r="G3333" s="16"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c r="A3334" s="14">
        <v>3306</v>
      </c>
      <c r="B3334" s="15" t="s">
        <v>5</v>
      </c>
      <c r="C3334" s="16" t="s">
        <v>11890</v>
      </c>
      <c r="D3334" s="21" t="s">
        <v>11891</v>
      </c>
      <c r="E3334" s="15" t="s">
        <v>11442</v>
      </c>
      <c r="F3334" s="22" t="str">
        <f>VLOOKUP(Table8[[#This Row],[Mã khách hàng]],code_khach_hang[],2,0)</f>
        <v>CHI NHÁNH ĐÀ NẴNG - CÔNG TY CỔ PHẦN DỊCH VỤ THƯƠNG MẠI TỔNG HỢP WINCOMMERCE</v>
      </c>
      <c r="G3334" s="16"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c r="A3335" s="14">
        <v>3418</v>
      </c>
      <c r="B3335" s="15" t="s">
        <v>5</v>
      </c>
      <c r="C3335" s="16" t="s">
        <v>11892</v>
      </c>
      <c r="D3335" s="21" t="s">
        <v>11893</v>
      </c>
      <c r="E3335" s="15" t="s">
        <v>11442</v>
      </c>
      <c r="F3335" s="22" t="str">
        <f>VLOOKUP(Table8[[#This Row],[Mã khách hàng]],code_khach_hang[],2,0)</f>
        <v>CHI NHÁNH ĐÀ NẴNG - CÔNG TY CỔ PHẦN DỊCH VỤ THƯƠNG MẠI TỔNG HỢP WINCOMMERCE</v>
      </c>
      <c r="G3335" s="16"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c r="A3336" s="14">
        <v>3458</v>
      </c>
      <c r="B3336" s="15" t="s">
        <v>5</v>
      </c>
      <c r="C3336" s="16" t="s">
        <v>11894</v>
      </c>
      <c r="D3336" s="21" t="s">
        <v>11895</v>
      </c>
      <c r="E3336" s="15" t="s">
        <v>11443</v>
      </c>
      <c r="F3336" s="22" t="str">
        <f>VLOOKUP(Table8[[#This Row],[Mã khách hàng]],code_khach_hang[],2,0)</f>
        <v>CHI NHÁNH KHÁNH HÒA - CÔNG TY CỔ PHẦN DỊCH VỤ THƯƠNG MẠI TỔNG HỢP WINCOMMERCE</v>
      </c>
      <c r="G3336" s="16"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c r="A3337" s="14">
        <v>3459</v>
      </c>
      <c r="B3337" s="15" t="s">
        <v>5</v>
      </c>
      <c r="C3337" s="16" t="s">
        <v>11896</v>
      </c>
      <c r="D3337" s="21" t="s">
        <v>11897</v>
      </c>
      <c r="E3337" s="15" t="s">
        <v>11443</v>
      </c>
      <c r="F3337" s="22" t="str">
        <f>VLOOKUP(Table8[[#This Row],[Mã khách hàng]],code_khach_hang[],2,0)</f>
        <v>CHI NHÁNH KHÁNH HÒA - CÔNG TY CỔ PHẦN DỊCH VỤ THƯƠNG MẠI TỔNG HỢP WINCOMMERCE</v>
      </c>
      <c r="G3337" s="16"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c r="A3338" s="14">
        <v>3481</v>
      </c>
      <c r="B3338" s="15" t="s">
        <v>5</v>
      </c>
      <c r="C3338" s="16" t="s">
        <v>11898</v>
      </c>
      <c r="D3338" s="21" t="s">
        <v>11899</v>
      </c>
      <c r="E3338" s="15" t="s">
        <v>11442</v>
      </c>
      <c r="F3338" s="22" t="str">
        <f>VLOOKUP(Table8[[#This Row],[Mã khách hàng]],code_khach_hang[],2,0)</f>
        <v>CHI NHÁNH ĐÀ NẴNG - CÔNG TY CỔ PHẦN DỊCH VỤ THƯƠNG MẠI TỔNG HỢP WINCOMMERCE</v>
      </c>
      <c r="G3338" s="16"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c r="A3339" s="14">
        <v>3510</v>
      </c>
      <c r="B3339" s="15" t="s">
        <v>5</v>
      </c>
      <c r="C3339" s="16" t="s">
        <v>11900</v>
      </c>
      <c r="D3339" s="21" t="s">
        <v>11901</v>
      </c>
      <c r="E3339" s="15" t="s">
        <v>11442</v>
      </c>
      <c r="F3339" s="22" t="str">
        <f>VLOOKUP(Table8[[#This Row],[Mã khách hàng]],code_khach_hang[],2,0)</f>
        <v>CHI NHÁNH ĐÀ NẴNG - CÔNG TY CỔ PHẦN DỊCH VỤ THƯƠNG MẠI TỔNG HỢP WINCOMMERCE</v>
      </c>
      <c r="G3339" s="16"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c r="A3340" s="14">
        <v>3514</v>
      </c>
      <c r="B3340" s="15" t="s">
        <v>5</v>
      </c>
      <c r="C3340" s="16" t="s">
        <v>11902</v>
      </c>
      <c r="D3340" s="21" t="s">
        <v>11903</v>
      </c>
      <c r="E3340" s="15" t="s">
        <v>11442</v>
      </c>
      <c r="F3340" s="22" t="str">
        <f>VLOOKUP(Table8[[#This Row],[Mã khách hàng]],code_khach_hang[],2,0)</f>
        <v>CHI NHÁNH ĐÀ NẴNG - CÔNG TY CỔ PHẦN DỊCH VỤ THƯƠNG MẠI TỔNG HỢP WINCOMMERCE</v>
      </c>
      <c r="G3340" s="16"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c r="A3341" s="14">
        <v>3561</v>
      </c>
      <c r="B3341" s="15" t="s">
        <v>5</v>
      </c>
      <c r="C3341" s="16" t="s">
        <v>11904</v>
      </c>
      <c r="D3341" s="21" t="s">
        <v>11905</v>
      </c>
      <c r="E3341" s="15" t="s">
        <v>11442</v>
      </c>
      <c r="F3341" s="22" t="str">
        <f>VLOOKUP(Table8[[#This Row],[Mã khách hàng]],code_khach_hang[],2,0)</f>
        <v>CHI NHÁNH ĐÀ NẴNG - CÔNG TY CỔ PHẦN DỊCH VỤ THƯƠNG MẠI TỔNG HỢP WINCOMMERCE</v>
      </c>
      <c r="G3341" s="16"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c r="A3342" s="14">
        <v>3577</v>
      </c>
      <c r="B3342" s="15" t="s">
        <v>5</v>
      </c>
      <c r="C3342" s="16" t="s">
        <v>11906</v>
      </c>
      <c r="D3342" s="21" t="s">
        <v>11907</v>
      </c>
      <c r="E3342" s="15" t="s">
        <v>11442</v>
      </c>
      <c r="F3342" s="22" t="str">
        <f>VLOOKUP(Table8[[#This Row],[Mã khách hàng]],code_khach_hang[],2,0)</f>
        <v>CHI NHÁNH ĐÀ NẴNG - CÔNG TY CỔ PHẦN DỊCH VỤ THƯƠNG MẠI TỔNG HỢP WINCOMMERCE</v>
      </c>
      <c r="G3342" s="16"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c r="A3343" s="14">
        <v>3581</v>
      </c>
      <c r="B3343" s="15" t="s">
        <v>5</v>
      </c>
      <c r="C3343" s="16" t="s">
        <v>11908</v>
      </c>
      <c r="D3343" s="21" t="s">
        <v>11909</v>
      </c>
      <c r="E3343" s="15" t="s">
        <v>11442</v>
      </c>
      <c r="F3343" s="22" t="str">
        <f>VLOOKUP(Table8[[#This Row],[Mã khách hàng]],code_khach_hang[],2,0)</f>
        <v>CHI NHÁNH ĐÀ NẴNG - CÔNG TY CỔ PHẦN DỊCH VỤ THƯƠNG MẠI TỔNG HỢP WINCOMMERCE</v>
      </c>
      <c r="G3343" s="16"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c r="A3344" s="14">
        <v>3610</v>
      </c>
      <c r="B3344" s="15" t="s">
        <v>5</v>
      </c>
      <c r="C3344" s="16" t="s">
        <v>11910</v>
      </c>
      <c r="D3344" s="21" t="s">
        <v>11911</v>
      </c>
      <c r="E3344" s="15" t="s">
        <v>11443</v>
      </c>
      <c r="F3344" s="22" t="str">
        <f>VLOOKUP(Table8[[#This Row],[Mã khách hàng]],code_khach_hang[],2,0)</f>
        <v>CHI NHÁNH KHÁNH HÒA - CÔNG TY CỔ PHẦN DỊCH VỤ THƯƠNG MẠI TỔNG HỢP WINCOMMERCE</v>
      </c>
      <c r="G3344" s="16"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c r="A3345" s="14">
        <v>3665</v>
      </c>
      <c r="B3345" s="15" t="s">
        <v>5</v>
      </c>
      <c r="C3345" s="16" t="s">
        <v>11912</v>
      </c>
      <c r="D3345" s="21" t="s">
        <v>11913</v>
      </c>
      <c r="E3345" s="15" t="s">
        <v>11442</v>
      </c>
      <c r="F3345" s="22" t="str">
        <f>VLOOKUP(Table8[[#This Row],[Mã khách hàng]],code_khach_hang[],2,0)</f>
        <v>CHI NHÁNH ĐÀ NẴNG - CÔNG TY CỔ PHẦN DỊCH VỤ THƯƠNG MẠI TỔNG HỢP WINCOMMERCE</v>
      </c>
      <c r="G3345" s="16"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c r="A3346" s="14">
        <v>3672</v>
      </c>
      <c r="B3346" s="15" t="s">
        <v>5</v>
      </c>
      <c r="C3346" s="16" t="s">
        <v>11914</v>
      </c>
      <c r="D3346" s="21" t="s">
        <v>11915</v>
      </c>
      <c r="E3346" s="15" t="s">
        <v>11442</v>
      </c>
      <c r="F3346" s="22" t="str">
        <f>VLOOKUP(Table8[[#This Row],[Mã khách hàng]],code_khach_hang[],2,0)</f>
        <v>CHI NHÁNH ĐÀ NẴNG - CÔNG TY CỔ PHẦN DỊCH VỤ THƯƠNG MẠI TỔNG HỢP WINCOMMERCE</v>
      </c>
      <c r="G3346" s="16"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c r="A3347" s="14">
        <v>3674</v>
      </c>
      <c r="B3347" s="15" t="s">
        <v>5</v>
      </c>
      <c r="C3347" s="16" t="s">
        <v>11916</v>
      </c>
      <c r="D3347" s="21" t="s">
        <v>11917</v>
      </c>
      <c r="E3347" s="15" t="s">
        <v>11442</v>
      </c>
      <c r="F3347" s="22" t="str">
        <f>VLOOKUP(Table8[[#This Row],[Mã khách hàng]],code_khach_hang[],2,0)</f>
        <v>CHI NHÁNH ĐÀ NẴNG - CÔNG TY CỔ PHẦN DỊCH VỤ THƯƠNG MẠI TỔNG HỢP WINCOMMERCE</v>
      </c>
      <c r="G3347" s="16"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c r="A3348" s="14">
        <v>3704</v>
      </c>
      <c r="B3348" s="15" t="s">
        <v>5</v>
      </c>
      <c r="C3348" s="16" t="s">
        <v>11918</v>
      </c>
      <c r="D3348" s="21" t="s">
        <v>11919</v>
      </c>
      <c r="E3348" s="15" t="s">
        <v>11442</v>
      </c>
      <c r="F3348" s="22" t="str">
        <f>VLOOKUP(Table8[[#This Row],[Mã khách hàng]],code_khach_hang[],2,0)</f>
        <v>CHI NHÁNH ĐÀ NẴNG - CÔNG TY CỔ PHẦN DỊCH VỤ THƯƠNG MẠI TỔNG HỢP WINCOMMERCE</v>
      </c>
      <c r="G3348" s="16"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c r="A3349" s="14">
        <v>3733</v>
      </c>
      <c r="B3349" s="15" t="s">
        <v>5</v>
      </c>
      <c r="C3349" s="16" t="s">
        <v>11920</v>
      </c>
      <c r="D3349" s="21" t="s">
        <v>11921</v>
      </c>
      <c r="E3349" s="15" t="s">
        <v>11442</v>
      </c>
      <c r="F3349" s="22" t="str">
        <f>VLOOKUP(Table8[[#This Row],[Mã khách hàng]],code_khach_hang[],2,0)</f>
        <v>CHI NHÁNH ĐÀ NẴNG - CÔNG TY CỔ PHẦN DỊCH VỤ THƯƠNG MẠI TỔNG HỢP WINCOMMERCE</v>
      </c>
      <c r="G3349" s="16"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c r="A3350" s="14">
        <v>3737</v>
      </c>
      <c r="B3350" s="15" t="s">
        <v>5</v>
      </c>
      <c r="C3350" s="16" t="s">
        <v>11922</v>
      </c>
      <c r="D3350" s="21" t="s">
        <v>11923</v>
      </c>
      <c r="E3350" s="15" t="s">
        <v>11442</v>
      </c>
      <c r="F3350" s="22" t="str">
        <f>VLOOKUP(Table8[[#This Row],[Mã khách hàng]],code_khach_hang[],2,0)</f>
        <v>CHI NHÁNH ĐÀ NẴNG - CÔNG TY CỔ PHẦN DỊCH VỤ THƯƠNG MẠI TỔNG HỢP WINCOMMERCE</v>
      </c>
      <c r="G3350" s="16"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c r="A3351" s="14">
        <v>3739</v>
      </c>
      <c r="B3351" s="15" t="s">
        <v>5</v>
      </c>
      <c r="C3351" s="16" t="s">
        <v>11924</v>
      </c>
      <c r="D3351" s="21" t="s">
        <v>11925</v>
      </c>
      <c r="E3351" s="15" t="s">
        <v>11442</v>
      </c>
      <c r="F3351" s="22" t="str">
        <f>VLOOKUP(Table8[[#This Row],[Mã khách hàng]],code_khach_hang[],2,0)</f>
        <v>CHI NHÁNH ĐÀ NẴNG - CÔNG TY CỔ PHẦN DỊCH VỤ THƯƠNG MẠI TỔNG HỢP WINCOMMERCE</v>
      </c>
      <c r="G3351" s="16"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c r="A3352" s="14">
        <v>3744</v>
      </c>
      <c r="B3352" s="15" t="s">
        <v>5</v>
      </c>
      <c r="C3352" s="16" t="s">
        <v>11926</v>
      </c>
      <c r="D3352" s="21" t="s">
        <v>11927</v>
      </c>
      <c r="E3352" s="15" t="s">
        <v>11442</v>
      </c>
      <c r="F3352" s="22" t="str">
        <f>VLOOKUP(Table8[[#This Row],[Mã khách hàng]],code_khach_hang[],2,0)</f>
        <v>CHI NHÁNH ĐÀ NẴNG - CÔNG TY CỔ PHẦN DỊCH VỤ THƯƠNG MẠI TỔNG HỢP WINCOMMERCE</v>
      </c>
      <c r="G3352" s="16"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c r="A3353" s="14">
        <v>3746</v>
      </c>
      <c r="B3353" s="15" t="s">
        <v>5</v>
      </c>
      <c r="C3353" s="16" t="s">
        <v>11928</v>
      </c>
      <c r="D3353" s="21" t="s">
        <v>11929</v>
      </c>
      <c r="E3353" s="15" t="s">
        <v>11442</v>
      </c>
      <c r="F3353" s="22" t="str">
        <f>VLOOKUP(Table8[[#This Row],[Mã khách hàng]],code_khach_hang[],2,0)</f>
        <v>CHI NHÁNH ĐÀ NẴNG - CÔNG TY CỔ PHẦN DỊCH VỤ THƯƠNG MẠI TỔNG HỢP WINCOMMERCE</v>
      </c>
      <c r="G3353" s="16"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c r="A3354" s="14">
        <v>3748</v>
      </c>
      <c r="B3354" s="15" t="s">
        <v>5</v>
      </c>
      <c r="C3354" s="16" t="s">
        <v>11930</v>
      </c>
      <c r="D3354" s="21" t="s">
        <v>11931</v>
      </c>
      <c r="E3354" s="15" t="s">
        <v>11443</v>
      </c>
      <c r="F3354" s="22" t="str">
        <f>VLOOKUP(Table8[[#This Row],[Mã khách hàng]],code_khach_hang[],2,0)</f>
        <v>CHI NHÁNH KHÁNH HÒA - CÔNG TY CỔ PHẦN DỊCH VỤ THƯƠNG MẠI TỔNG HỢP WINCOMMERCE</v>
      </c>
      <c r="G3354" s="16"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c r="A3355" s="14">
        <v>3756</v>
      </c>
      <c r="B3355" s="15" t="s">
        <v>5</v>
      </c>
      <c r="C3355" s="16" t="s">
        <v>11932</v>
      </c>
      <c r="D3355" s="21" t="s">
        <v>11933</v>
      </c>
      <c r="E3355" s="15" t="s">
        <v>11442</v>
      </c>
      <c r="F3355" s="22" t="str">
        <f>VLOOKUP(Table8[[#This Row],[Mã khách hàng]],code_khach_hang[],2,0)</f>
        <v>CHI NHÁNH ĐÀ NẴNG - CÔNG TY CỔ PHẦN DỊCH VỤ THƯƠNG MẠI TỔNG HỢP WINCOMMERCE</v>
      </c>
      <c r="G3355" s="16"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c r="A3356" s="14">
        <v>3773</v>
      </c>
      <c r="B3356" s="15" t="s">
        <v>5</v>
      </c>
      <c r="C3356" s="16" t="s">
        <v>11934</v>
      </c>
      <c r="D3356" s="21" t="s">
        <v>11935</v>
      </c>
      <c r="E3356" s="15" t="s">
        <v>11442</v>
      </c>
      <c r="F3356" s="22" t="str">
        <f>VLOOKUP(Table8[[#This Row],[Mã khách hàng]],code_khach_hang[],2,0)</f>
        <v>CHI NHÁNH ĐÀ NẴNG - CÔNG TY CỔ PHẦN DỊCH VỤ THƯƠNG MẠI TỔNG HỢP WINCOMMERCE</v>
      </c>
      <c r="G3356" s="16"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c r="A3357" s="14">
        <v>3782</v>
      </c>
      <c r="B3357" s="15" t="s">
        <v>5</v>
      </c>
      <c r="C3357" s="16" t="s">
        <v>11936</v>
      </c>
      <c r="D3357" s="21" t="s">
        <v>11937</v>
      </c>
      <c r="E3357" s="15" t="s">
        <v>11442</v>
      </c>
      <c r="F3357" s="22" t="str">
        <f>VLOOKUP(Table8[[#This Row],[Mã khách hàng]],code_khach_hang[],2,0)</f>
        <v>CHI NHÁNH ĐÀ NẴNG - CÔNG TY CỔ PHẦN DỊCH VỤ THƯƠNG MẠI TỔNG HỢP WINCOMMERCE</v>
      </c>
      <c r="G3357" s="16"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c r="A3358" s="14">
        <v>3784</v>
      </c>
      <c r="B3358" s="15" t="s">
        <v>5</v>
      </c>
      <c r="C3358" s="16" t="s">
        <v>11938</v>
      </c>
      <c r="D3358" s="21" t="s">
        <v>11939</v>
      </c>
      <c r="E3358" s="15" t="s">
        <v>11442</v>
      </c>
      <c r="F3358" s="22" t="str">
        <f>VLOOKUP(Table8[[#This Row],[Mã khách hàng]],code_khach_hang[],2,0)</f>
        <v>CHI NHÁNH ĐÀ NẴNG - CÔNG TY CỔ PHẦN DỊCH VỤ THƯƠNG MẠI TỔNG HỢP WINCOMMERCE</v>
      </c>
      <c r="G3358" s="16"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c r="A3359" s="14">
        <v>3789</v>
      </c>
      <c r="B3359" s="15" t="s">
        <v>5</v>
      </c>
      <c r="C3359" s="16" t="s">
        <v>11940</v>
      </c>
      <c r="D3359" s="21" t="s">
        <v>11941</v>
      </c>
      <c r="E3359" s="15" t="s">
        <v>11442</v>
      </c>
      <c r="F3359" s="22" t="str">
        <f>VLOOKUP(Table8[[#This Row],[Mã khách hàng]],code_khach_hang[],2,0)</f>
        <v>CHI NHÁNH ĐÀ NẴNG - CÔNG TY CỔ PHẦN DỊCH VỤ THƯƠNG MẠI TỔNG HỢP WINCOMMERCE</v>
      </c>
      <c r="G3359" s="16"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c r="A3360" s="14">
        <v>3792</v>
      </c>
      <c r="B3360" s="15" t="s">
        <v>5</v>
      </c>
      <c r="C3360" s="16" t="s">
        <v>11942</v>
      </c>
      <c r="D3360" s="21" t="s">
        <v>11943</v>
      </c>
      <c r="E3360" s="15" t="s">
        <v>11442</v>
      </c>
      <c r="F3360" s="22" t="str">
        <f>VLOOKUP(Table8[[#This Row],[Mã khách hàng]],code_khach_hang[],2,0)</f>
        <v>CHI NHÁNH ĐÀ NẴNG - CÔNG TY CỔ PHẦN DỊCH VỤ THƯƠNG MẠI TỔNG HỢP WINCOMMERCE</v>
      </c>
      <c r="G3360" s="16"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c r="A3361" s="14">
        <v>3794</v>
      </c>
      <c r="B3361" s="15" t="s">
        <v>5</v>
      </c>
      <c r="C3361" s="16" t="s">
        <v>11944</v>
      </c>
      <c r="D3361" s="21" t="s">
        <v>11945</v>
      </c>
      <c r="E3361" s="15" t="s">
        <v>11443</v>
      </c>
      <c r="F3361" s="22" t="str">
        <f>VLOOKUP(Table8[[#This Row],[Mã khách hàng]],code_khach_hang[],2,0)</f>
        <v>CHI NHÁNH KHÁNH HÒA - CÔNG TY CỔ PHẦN DỊCH VỤ THƯƠNG MẠI TỔNG HỢP WINCOMMERCE</v>
      </c>
      <c r="G3361" s="16"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c r="A3362" s="14">
        <v>3797</v>
      </c>
      <c r="B3362" s="15" t="s">
        <v>5</v>
      </c>
      <c r="C3362" s="16" t="s">
        <v>11946</v>
      </c>
      <c r="D3362" s="21" t="s">
        <v>11947</v>
      </c>
      <c r="E3362" s="15" t="s">
        <v>11442</v>
      </c>
      <c r="F3362" s="22" t="str">
        <f>VLOOKUP(Table8[[#This Row],[Mã khách hàng]],code_khach_hang[],2,0)</f>
        <v>CHI NHÁNH ĐÀ NẴNG - CÔNG TY CỔ PHẦN DỊCH VỤ THƯƠNG MẠI TỔNG HỢP WINCOMMERCE</v>
      </c>
      <c r="G3362" s="16"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c r="A3363" s="14">
        <v>3801</v>
      </c>
      <c r="B3363" s="15" t="s">
        <v>5</v>
      </c>
      <c r="C3363" s="16" t="s">
        <v>11948</v>
      </c>
      <c r="D3363" s="21" t="s">
        <v>11949</v>
      </c>
      <c r="E3363" s="15" t="s">
        <v>11442</v>
      </c>
      <c r="F3363" s="22" t="str">
        <f>VLOOKUP(Table8[[#This Row],[Mã khách hàng]],code_khach_hang[],2,0)</f>
        <v>CHI NHÁNH ĐÀ NẴNG - CÔNG TY CỔ PHẦN DỊCH VỤ THƯƠNG MẠI TỔNG HỢP WINCOMMERCE</v>
      </c>
      <c r="G3363" s="16"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c r="A3364" s="14">
        <v>3819</v>
      </c>
      <c r="B3364" s="15" t="s">
        <v>5</v>
      </c>
      <c r="C3364" s="16" t="s">
        <v>11950</v>
      </c>
      <c r="D3364" s="21" t="s">
        <v>11951</v>
      </c>
      <c r="E3364" s="15" t="s">
        <v>11442</v>
      </c>
      <c r="F3364" s="22" t="str">
        <f>VLOOKUP(Table8[[#This Row],[Mã khách hàng]],code_khach_hang[],2,0)</f>
        <v>CHI NHÁNH ĐÀ NẴNG - CÔNG TY CỔ PHẦN DỊCH VỤ THƯƠNG MẠI TỔNG HỢP WINCOMMERCE</v>
      </c>
      <c r="G3364" s="16"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c r="A3365" s="14">
        <v>3835</v>
      </c>
      <c r="B3365" s="15" t="s">
        <v>5</v>
      </c>
      <c r="C3365" s="16" t="s">
        <v>11952</v>
      </c>
      <c r="D3365" s="21" t="s">
        <v>11953</v>
      </c>
      <c r="E3365" s="15" t="s">
        <v>11442</v>
      </c>
      <c r="F3365" s="22" t="str">
        <f>VLOOKUP(Table8[[#This Row],[Mã khách hàng]],code_khach_hang[],2,0)</f>
        <v>CHI NHÁNH ĐÀ NẴNG - CÔNG TY CỔ PHẦN DỊCH VỤ THƯƠNG MẠI TỔNG HỢP WINCOMMERCE</v>
      </c>
      <c r="G3365" s="16"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c r="A3366" s="14">
        <v>3854</v>
      </c>
      <c r="B3366" s="15" t="s">
        <v>5</v>
      </c>
      <c r="C3366" s="16" t="s">
        <v>11954</v>
      </c>
      <c r="D3366" s="21" t="s">
        <v>11955</v>
      </c>
      <c r="E3366" s="15" t="s">
        <v>11442</v>
      </c>
      <c r="F3366" s="22" t="str">
        <f>VLOOKUP(Table8[[#This Row],[Mã khách hàng]],code_khach_hang[],2,0)</f>
        <v>CHI NHÁNH ĐÀ NẴNG - CÔNG TY CỔ PHẦN DỊCH VỤ THƯƠNG MẠI TỔNG HỢP WINCOMMERCE</v>
      </c>
      <c r="G3366" s="16"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c r="A3367" s="14">
        <v>3874</v>
      </c>
      <c r="B3367" s="15" t="s">
        <v>5</v>
      </c>
      <c r="C3367" s="16" t="s">
        <v>11956</v>
      </c>
      <c r="D3367" s="21" t="s">
        <v>11957</v>
      </c>
      <c r="E3367" s="15" t="s">
        <v>11442</v>
      </c>
      <c r="F3367" s="22" t="str">
        <f>VLOOKUP(Table8[[#This Row],[Mã khách hàng]],code_khach_hang[],2,0)</f>
        <v>CHI NHÁNH ĐÀ NẴNG - CÔNG TY CỔ PHẦN DỊCH VỤ THƯƠNG MẠI TỔNG HỢP WINCOMMERCE</v>
      </c>
      <c r="G3367" s="16"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c r="A3368" s="14">
        <v>3885</v>
      </c>
      <c r="B3368" s="15" t="s">
        <v>5</v>
      </c>
      <c r="C3368" s="16" t="s">
        <v>11958</v>
      </c>
      <c r="D3368" s="21" t="s">
        <v>11959</v>
      </c>
      <c r="E3368" s="15" t="s">
        <v>11442</v>
      </c>
      <c r="F3368" s="22" t="str">
        <f>VLOOKUP(Table8[[#This Row],[Mã khách hàng]],code_khach_hang[],2,0)</f>
        <v>CHI NHÁNH ĐÀ NẴNG - CÔNG TY CỔ PHẦN DỊCH VỤ THƯƠNG MẠI TỔNG HỢP WINCOMMERCE</v>
      </c>
      <c r="G3368" s="16"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c r="A3369" s="14">
        <v>3915</v>
      </c>
      <c r="B3369" s="15" t="s">
        <v>5</v>
      </c>
      <c r="C3369" s="16" t="s">
        <v>11960</v>
      </c>
      <c r="D3369" s="21" t="s">
        <v>11961</v>
      </c>
      <c r="E3369" s="15" t="s">
        <v>11442</v>
      </c>
      <c r="F3369" s="22" t="str">
        <f>VLOOKUP(Table8[[#This Row],[Mã khách hàng]],code_khach_hang[],2,0)</f>
        <v>CHI NHÁNH ĐÀ NẴNG - CÔNG TY CỔ PHẦN DỊCH VỤ THƯƠNG MẠI TỔNG HỢP WINCOMMERCE</v>
      </c>
      <c r="G3369" s="16"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c r="A3370" s="14">
        <v>3930</v>
      </c>
      <c r="B3370" s="15" t="s">
        <v>5</v>
      </c>
      <c r="C3370" s="16" t="s">
        <v>11962</v>
      </c>
      <c r="D3370" s="21" t="s">
        <v>11963</v>
      </c>
      <c r="E3370" s="15" t="s">
        <v>11442</v>
      </c>
      <c r="F3370" s="22" t="str">
        <f>VLOOKUP(Table8[[#This Row],[Mã khách hàng]],code_khach_hang[],2,0)</f>
        <v>CHI NHÁNH ĐÀ NẴNG - CÔNG TY CỔ PHẦN DỊCH VỤ THƯƠNG MẠI TỔNG HỢP WINCOMMERCE</v>
      </c>
      <c r="G3370" s="16"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c r="A3371" s="14">
        <v>3935</v>
      </c>
      <c r="B3371" s="15" t="s">
        <v>5</v>
      </c>
      <c r="C3371" s="16" t="s">
        <v>11964</v>
      </c>
      <c r="D3371" s="21" t="s">
        <v>11965</v>
      </c>
      <c r="E3371" s="15" t="s">
        <v>11442</v>
      </c>
      <c r="F3371" s="22" t="str">
        <f>VLOOKUP(Table8[[#This Row],[Mã khách hàng]],code_khach_hang[],2,0)</f>
        <v>CHI NHÁNH ĐÀ NẴNG - CÔNG TY CỔ PHẦN DỊCH VỤ THƯƠNG MẠI TỔNG HỢP WINCOMMERCE</v>
      </c>
      <c r="G3371" s="16"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c r="A3372" s="14">
        <v>3937</v>
      </c>
      <c r="B3372" s="15" t="s">
        <v>5</v>
      </c>
      <c r="C3372" s="16" t="s">
        <v>11966</v>
      </c>
      <c r="D3372" s="21" t="s">
        <v>11967</v>
      </c>
      <c r="E3372" s="15" t="s">
        <v>11442</v>
      </c>
      <c r="F3372" s="22" t="str">
        <f>VLOOKUP(Table8[[#This Row],[Mã khách hàng]],code_khach_hang[],2,0)</f>
        <v>CHI NHÁNH ĐÀ NẴNG - CÔNG TY CỔ PHẦN DỊCH VỤ THƯƠNG MẠI TỔNG HỢP WINCOMMERCE</v>
      </c>
      <c r="G3372" s="16"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c r="A3373" s="14">
        <v>3956</v>
      </c>
      <c r="B3373" s="15" t="s">
        <v>5</v>
      </c>
      <c r="C3373" s="16" t="s">
        <v>11968</v>
      </c>
      <c r="D3373" s="21" t="s">
        <v>11969</v>
      </c>
      <c r="E3373" s="15" t="s">
        <v>11442</v>
      </c>
      <c r="F3373" s="22" t="str">
        <f>VLOOKUP(Table8[[#This Row],[Mã khách hàng]],code_khach_hang[],2,0)</f>
        <v>CHI NHÁNH ĐÀ NẴNG - CÔNG TY CỔ PHẦN DỊCH VỤ THƯƠNG MẠI TỔNG HỢP WINCOMMERCE</v>
      </c>
      <c r="G3373" s="16"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c r="A3374" s="14">
        <v>3985</v>
      </c>
      <c r="B3374" s="15" t="s">
        <v>5</v>
      </c>
      <c r="C3374" s="16" t="s">
        <v>11970</v>
      </c>
      <c r="D3374" s="21" t="s">
        <v>11971</v>
      </c>
      <c r="E3374" s="15" t="s">
        <v>11442</v>
      </c>
      <c r="F3374" s="22" t="str">
        <f>VLOOKUP(Table8[[#This Row],[Mã khách hàng]],code_khach_hang[],2,0)</f>
        <v>CHI NHÁNH ĐÀ NẴNG - CÔNG TY CỔ PHẦN DỊCH VỤ THƯƠNG MẠI TỔNG HỢP WINCOMMERCE</v>
      </c>
      <c r="G3374" s="16"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c r="A3375" s="14">
        <v>4034</v>
      </c>
      <c r="B3375" s="15" t="s">
        <v>5</v>
      </c>
      <c r="C3375" s="16" t="s">
        <v>11972</v>
      </c>
      <c r="D3375" s="21" t="s">
        <v>11973</v>
      </c>
      <c r="E3375" s="15" t="s">
        <v>11443</v>
      </c>
      <c r="F3375" s="22" t="str">
        <f>VLOOKUP(Table8[[#This Row],[Mã khách hàng]],code_khach_hang[],2,0)</f>
        <v>CHI NHÁNH KHÁNH HÒA - CÔNG TY CỔ PHẦN DỊCH VỤ THƯƠNG MẠI TỔNG HỢP WINCOMMERCE</v>
      </c>
      <c r="G3375" s="16"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c r="A3376" s="14">
        <v>4062</v>
      </c>
      <c r="B3376" s="15" t="s">
        <v>5</v>
      </c>
      <c r="C3376" s="16" t="s">
        <v>11974</v>
      </c>
      <c r="D3376" s="21" t="s">
        <v>11975</v>
      </c>
      <c r="E3376" s="15" t="s">
        <v>11442</v>
      </c>
      <c r="F3376" s="22" t="str">
        <f>VLOOKUP(Table8[[#This Row],[Mã khách hàng]],code_khach_hang[],2,0)</f>
        <v>CHI NHÁNH ĐÀ NẴNG - CÔNG TY CỔ PHẦN DỊCH VỤ THƯƠNG MẠI TỔNG HỢP WINCOMMERCE</v>
      </c>
      <c r="G3376" s="16"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c r="A3377" s="14">
        <v>4063</v>
      </c>
      <c r="B3377" s="15" t="s">
        <v>5</v>
      </c>
      <c r="C3377" s="16" t="s">
        <v>11976</v>
      </c>
      <c r="D3377" s="21" t="s">
        <v>11977</v>
      </c>
      <c r="E3377" s="15" t="s">
        <v>11442</v>
      </c>
      <c r="F3377" s="22" t="str">
        <f>VLOOKUP(Table8[[#This Row],[Mã khách hàng]],code_khach_hang[],2,0)</f>
        <v>CHI NHÁNH ĐÀ NẴNG - CÔNG TY CỔ PHẦN DỊCH VỤ THƯƠNG MẠI TỔNG HỢP WINCOMMERCE</v>
      </c>
      <c r="G3377" s="16"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c r="A3378" s="14">
        <v>4071</v>
      </c>
      <c r="B3378" s="15" t="s">
        <v>5</v>
      </c>
      <c r="C3378" s="16" t="s">
        <v>11978</v>
      </c>
      <c r="D3378" s="21" t="s">
        <v>11979</v>
      </c>
      <c r="E3378" s="15" t="s">
        <v>11442</v>
      </c>
      <c r="F3378" s="22" t="str">
        <f>VLOOKUP(Table8[[#This Row],[Mã khách hàng]],code_khach_hang[],2,0)</f>
        <v>CHI NHÁNH ĐÀ NẴNG - CÔNG TY CỔ PHẦN DỊCH VỤ THƯƠNG MẠI TỔNG HỢP WINCOMMERCE</v>
      </c>
      <c r="G3378" s="16"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c r="A3379" s="14">
        <v>4075</v>
      </c>
      <c r="B3379" s="15" t="s">
        <v>5</v>
      </c>
      <c r="C3379" s="16" t="s">
        <v>11980</v>
      </c>
      <c r="D3379" s="21" t="s">
        <v>11981</v>
      </c>
      <c r="E3379" s="15" t="s">
        <v>11443</v>
      </c>
      <c r="F3379" s="22" t="str">
        <f>VLOOKUP(Table8[[#This Row],[Mã khách hàng]],code_khach_hang[],2,0)</f>
        <v>CHI NHÁNH KHÁNH HÒA - CÔNG TY CỔ PHẦN DỊCH VỤ THƯƠNG MẠI TỔNG HỢP WINCOMMERCE</v>
      </c>
      <c r="G3379" s="16"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c r="A3380" s="14">
        <v>4083</v>
      </c>
      <c r="B3380" s="15" t="s">
        <v>5</v>
      </c>
      <c r="C3380" s="16" t="s">
        <v>11982</v>
      </c>
      <c r="D3380" s="21" t="s">
        <v>11983</v>
      </c>
      <c r="E3380" s="15" t="s">
        <v>11442</v>
      </c>
      <c r="F3380" s="22" t="str">
        <f>VLOOKUP(Table8[[#This Row],[Mã khách hàng]],code_khach_hang[],2,0)</f>
        <v>CHI NHÁNH ĐÀ NẴNG - CÔNG TY CỔ PHẦN DỊCH VỤ THƯƠNG MẠI TỔNG HỢP WINCOMMERCE</v>
      </c>
      <c r="G3380" s="16"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c r="A3381" s="14">
        <v>4157</v>
      </c>
      <c r="B3381" s="15" t="s">
        <v>5</v>
      </c>
      <c r="C3381" s="16" t="s">
        <v>11984</v>
      </c>
      <c r="D3381" s="21" t="s">
        <v>11985</v>
      </c>
      <c r="E3381" s="15" t="s">
        <v>11442</v>
      </c>
      <c r="F3381" s="22" t="str">
        <f>VLOOKUP(Table8[[#This Row],[Mã khách hàng]],code_khach_hang[],2,0)</f>
        <v>CHI NHÁNH ĐÀ NẴNG - CÔNG TY CỔ PHẦN DỊCH VỤ THƯƠNG MẠI TỔNG HỢP WINCOMMERCE</v>
      </c>
      <c r="G3381" s="16"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c r="A3382" s="14">
        <v>4164</v>
      </c>
      <c r="B3382" s="15" t="s">
        <v>5</v>
      </c>
      <c r="C3382" s="16" t="s">
        <v>11986</v>
      </c>
      <c r="D3382" s="21" t="s">
        <v>11987</v>
      </c>
      <c r="E3382" s="15" t="s">
        <v>11442</v>
      </c>
      <c r="F3382" s="22" t="str">
        <f>VLOOKUP(Table8[[#This Row],[Mã khách hàng]],code_khach_hang[],2,0)</f>
        <v>CHI NHÁNH ĐÀ NẴNG - CÔNG TY CỔ PHẦN DỊCH VỤ THƯƠNG MẠI TỔNG HỢP WINCOMMERCE</v>
      </c>
      <c r="G3382" s="16"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c r="A3383" s="14">
        <v>4254</v>
      </c>
      <c r="B3383" s="15" t="s">
        <v>5</v>
      </c>
      <c r="C3383" s="16" t="s">
        <v>11988</v>
      </c>
      <c r="D3383" s="21" t="s">
        <v>11989</v>
      </c>
      <c r="E3383" s="15" t="s">
        <v>11442</v>
      </c>
      <c r="F3383" s="22" t="str">
        <f>VLOOKUP(Table8[[#This Row],[Mã khách hàng]],code_khach_hang[],2,0)</f>
        <v>CHI NHÁNH ĐÀ NẴNG - CÔNG TY CỔ PHẦN DỊCH VỤ THƯƠNG MẠI TỔNG HỢP WINCOMMERCE</v>
      </c>
      <c r="G3383" s="16"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c r="A3384" s="14">
        <v>4279</v>
      </c>
      <c r="B3384" s="15" t="s">
        <v>5</v>
      </c>
      <c r="C3384" s="16" t="s">
        <v>11990</v>
      </c>
      <c r="D3384" s="21" t="s">
        <v>11991</v>
      </c>
      <c r="E3384" s="15" t="s">
        <v>11442</v>
      </c>
      <c r="F3384" s="22" t="str">
        <f>VLOOKUP(Table8[[#This Row],[Mã khách hàng]],code_khach_hang[],2,0)</f>
        <v>CHI NHÁNH ĐÀ NẴNG - CÔNG TY CỔ PHẦN DỊCH VỤ THƯƠNG MẠI TỔNG HỢP WINCOMMERCE</v>
      </c>
      <c r="G3384" s="16"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c r="A3385" s="14">
        <v>4315</v>
      </c>
      <c r="B3385" s="15" t="s">
        <v>5</v>
      </c>
      <c r="C3385" s="16" t="s">
        <v>11992</v>
      </c>
      <c r="D3385" s="21" t="s">
        <v>11993</v>
      </c>
      <c r="E3385" s="15" t="s">
        <v>11442</v>
      </c>
      <c r="F3385" s="22" t="str">
        <f>VLOOKUP(Table8[[#This Row],[Mã khách hàng]],code_khach_hang[],2,0)</f>
        <v>CHI NHÁNH ĐÀ NẴNG - CÔNG TY CỔ PHẦN DỊCH VỤ THƯƠNG MẠI TỔNG HỢP WINCOMMERCE</v>
      </c>
      <c r="G3385" s="16"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c r="A3386" s="14">
        <v>4316</v>
      </c>
      <c r="B3386" s="15" t="s">
        <v>5</v>
      </c>
      <c r="C3386" s="16" t="s">
        <v>11994</v>
      </c>
      <c r="D3386" s="21" t="s">
        <v>11995</v>
      </c>
      <c r="E3386" s="15" t="s">
        <v>11442</v>
      </c>
      <c r="F3386" s="22" t="str">
        <f>VLOOKUP(Table8[[#This Row],[Mã khách hàng]],code_khach_hang[],2,0)</f>
        <v>CHI NHÁNH ĐÀ NẴNG - CÔNG TY CỔ PHẦN DỊCH VỤ THƯƠNG MẠI TỔNG HỢP WINCOMMERCE</v>
      </c>
      <c r="G3386" s="16"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c r="A3387" s="14">
        <v>4346</v>
      </c>
      <c r="B3387" s="15" t="s">
        <v>5</v>
      </c>
      <c r="C3387" s="16" t="s">
        <v>11996</v>
      </c>
      <c r="D3387" s="21" t="s">
        <v>11997</v>
      </c>
      <c r="E3387" s="15" t="s">
        <v>11443</v>
      </c>
      <c r="F3387" s="22" t="str">
        <f>VLOOKUP(Table8[[#This Row],[Mã khách hàng]],code_khach_hang[],2,0)</f>
        <v>CHI NHÁNH KHÁNH HÒA - CÔNG TY CỔ PHẦN DỊCH VỤ THƯƠNG MẠI TỔNG HỢP WINCOMMERCE</v>
      </c>
      <c r="G3387" s="16"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c r="A3388" s="14">
        <v>4359</v>
      </c>
      <c r="B3388" s="15" t="s">
        <v>5</v>
      </c>
      <c r="C3388" s="16" t="s">
        <v>11998</v>
      </c>
      <c r="D3388" s="21" t="s">
        <v>11999</v>
      </c>
      <c r="E3388" s="15" t="s">
        <v>11442</v>
      </c>
      <c r="F3388" s="22" t="str">
        <f>VLOOKUP(Table8[[#This Row],[Mã khách hàng]],code_khach_hang[],2,0)</f>
        <v>CHI NHÁNH ĐÀ NẴNG - CÔNG TY CỔ PHẦN DỊCH VỤ THƯƠNG MẠI TỔNG HỢP WINCOMMERCE</v>
      </c>
      <c r="G3388" s="16"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c r="A3389" s="14">
        <v>4413</v>
      </c>
      <c r="B3389" s="15" t="s">
        <v>5</v>
      </c>
      <c r="C3389" s="16" t="s">
        <v>12000</v>
      </c>
      <c r="D3389" s="21" t="s">
        <v>12001</v>
      </c>
      <c r="E3389" s="15" t="s">
        <v>11442</v>
      </c>
      <c r="F3389" s="22" t="str">
        <f>VLOOKUP(Table8[[#This Row],[Mã khách hàng]],code_khach_hang[],2,0)</f>
        <v>CHI NHÁNH ĐÀ NẴNG - CÔNG TY CỔ PHẦN DỊCH VỤ THƯƠNG MẠI TỔNG HỢP WINCOMMERCE</v>
      </c>
      <c r="G3389" s="16"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c r="A3390" s="14">
        <v>4422</v>
      </c>
      <c r="B3390" s="15" t="s">
        <v>5</v>
      </c>
      <c r="C3390" s="16" t="s">
        <v>12002</v>
      </c>
      <c r="D3390" s="21" t="s">
        <v>12003</v>
      </c>
      <c r="E3390" s="15" t="s">
        <v>11442</v>
      </c>
      <c r="F3390" s="22" t="str">
        <f>VLOOKUP(Table8[[#This Row],[Mã khách hàng]],code_khach_hang[],2,0)</f>
        <v>CHI NHÁNH ĐÀ NẴNG - CÔNG TY CỔ PHẦN DỊCH VỤ THƯƠNG MẠI TỔNG HỢP WINCOMMERCE</v>
      </c>
      <c r="G3390" s="16"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c r="A3391" s="14">
        <v>4434</v>
      </c>
      <c r="B3391" s="15" t="s">
        <v>5</v>
      </c>
      <c r="C3391" s="16" t="s">
        <v>12004</v>
      </c>
      <c r="D3391" s="21" t="s">
        <v>12005</v>
      </c>
      <c r="E3391" s="15" t="s">
        <v>11442</v>
      </c>
      <c r="F3391" s="22" t="str">
        <f>VLOOKUP(Table8[[#This Row],[Mã khách hàng]],code_khach_hang[],2,0)</f>
        <v>CHI NHÁNH ĐÀ NẴNG - CÔNG TY CỔ PHẦN DỊCH VỤ THƯƠNG MẠI TỔNG HỢP WINCOMMERCE</v>
      </c>
      <c r="G3391" s="16"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c r="A3392" s="14">
        <v>4439</v>
      </c>
      <c r="B3392" s="15" t="s">
        <v>5</v>
      </c>
      <c r="C3392" s="16" t="s">
        <v>12006</v>
      </c>
      <c r="D3392" s="21" t="s">
        <v>12007</v>
      </c>
      <c r="E3392" s="15" t="s">
        <v>11442</v>
      </c>
      <c r="F3392" s="22" t="str">
        <f>VLOOKUP(Table8[[#This Row],[Mã khách hàng]],code_khach_hang[],2,0)</f>
        <v>CHI NHÁNH ĐÀ NẴNG - CÔNG TY CỔ PHẦN DỊCH VỤ THƯƠNG MẠI TỔNG HỢP WINCOMMERCE</v>
      </c>
      <c r="G3392" s="16"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c r="A3393" s="14">
        <v>4474</v>
      </c>
      <c r="B3393" s="15" t="s">
        <v>5</v>
      </c>
      <c r="C3393" s="16" t="s">
        <v>12008</v>
      </c>
      <c r="D3393" s="21" t="s">
        <v>12009</v>
      </c>
      <c r="E3393" s="15" t="s">
        <v>11442</v>
      </c>
      <c r="F3393" s="22" t="str">
        <f>VLOOKUP(Table8[[#This Row],[Mã khách hàng]],code_khach_hang[],2,0)</f>
        <v>CHI NHÁNH ĐÀ NẴNG - CÔNG TY CỔ PHẦN DỊCH VỤ THƯƠNG MẠI TỔNG HỢP WINCOMMERCE</v>
      </c>
      <c r="G3393" s="16"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c r="A3394" s="14">
        <v>4475</v>
      </c>
      <c r="B3394" s="15" t="s">
        <v>5</v>
      </c>
      <c r="C3394" s="16" t="s">
        <v>12010</v>
      </c>
      <c r="D3394" s="21" t="s">
        <v>12011</v>
      </c>
      <c r="E3394" s="15" t="s">
        <v>11442</v>
      </c>
      <c r="F3394" s="22" t="str">
        <f>VLOOKUP(Table8[[#This Row],[Mã khách hàng]],code_khach_hang[],2,0)</f>
        <v>CHI NHÁNH ĐÀ NẴNG - CÔNG TY CỔ PHẦN DỊCH VỤ THƯƠNG MẠI TỔNG HỢP WINCOMMERCE</v>
      </c>
      <c r="G3394" s="16"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c r="A3395" s="14">
        <v>4476</v>
      </c>
      <c r="B3395" s="15" t="s">
        <v>5</v>
      </c>
      <c r="C3395" s="16" t="s">
        <v>12012</v>
      </c>
      <c r="D3395" s="21" t="s">
        <v>12013</v>
      </c>
      <c r="E3395" s="15" t="s">
        <v>11442</v>
      </c>
      <c r="F3395" s="22" t="str">
        <f>VLOOKUP(Table8[[#This Row],[Mã khách hàng]],code_khach_hang[],2,0)</f>
        <v>CHI NHÁNH ĐÀ NẴNG - CÔNG TY CỔ PHẦN DỊCH VỤ THƯƠNG MẠI TỔNG HỢP WINCOMMERCE</v>
      </c>
      <c r="G3395" s="16"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c r="A3396" s="14">
        <v>4489</v>
      </c>
      <c r="B3396" s="15" t="s">
        <v>5</v>
      </c>
      <c r="C3396" s="16" t="s">
        <v>12014</v>
      </c>
      <c r="D3396" s="21" t="s">
        <v>12015</v>
      </c>
      <c r="E3396" s="15" t="s">
        <v>11442</v>
      </c>
      <c r="F3396" s="22" t="str">
        <f>VLOOKUP(Table8[[#This Row],[Mã khách hàng]],code_khach_hang[],2,0)</f>
        <v>CHI NHÁNH ĐÀ NẴNG - CÔNG TY CỔ PHẦN DỊCH VỤ THƯƠNG MẠI TỔNG HỢP WINCOMMERCE</v>
      </c>
      <c r="G3396" s="16"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c r="A3397" s="14">
        <v>4495</v>
      </c>
      <c r="B3397" s="15" t="s">
        <v>5</v>
      </c>
      <c r="C3397" s="16" t="s">
        <v>12016</v>
      </c>
      <c r="D3397" s="21" t="s">
        <v>12017</v>
      </c>
      <c r="E3397" s="15" t="s">
        <v>11442</v>
      </c>
      <c r="F3397" s="22" t="str">
        <f>VLOOKUP(Table8[[#This Row],[Mã khách hàng]],code_khach_hang[],2,0)</f>
        <v>CHI NHÁNH ĐÀ NẴNG - CÔNG TY CỔ PHẦN DỊCH VỤ THƯƠNG MẠI TỔNG HỢP WINCOMMERCE</v>
      </c>
      <c r="G3397" s="16"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c r="A3398" s="14">
        <v>4496</v>
      </c>
      <c r="B3398" s="15" t="s">
        <v>5</v>
      </c>
      <c r="C3398" s="16" t="s">
        <v>12018</v>
      </c>
      <c r="D3398" s="21" t="s">
        <v>12019</v>
      </c>
      <c r="E3398" s="15" t="s">
        <v>11442</v>
      </c>
      <c r="F3398" s="22" t="str">
        <f>VLOOKUP(Table8[[#This Row],[Mã khách hàng]],code_khach_hang[],2,0)</f>
        <v>CHI NHÁNH ĐÀ NẴNG - CÔNG TY CỔ PHẦN DỊCH VỤ THƯƠNG MẠI TỔNG HỢP WINCOMMERCE</v>
      </c>
      <c r="G3398" s="16"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c r="A3399" s="14">
        <v>4527</v>
      </c>
      <c r="B3399" s="15" t="s">
        <v>5</v>
      </c>
      <c r="C3399" s="16" t="s">
        <v>12020</v>
      </c>
      <c r="D3399" s="21" t="s">
        <v>12021</v>
      </c>
      <c r="E3399" s="15" t="s">
        <v>11442</v>
      </c>
      <c r="F3399" s="22" t="str">
        <f>VLOOKUP(Table8[[#This Row],[Mã khách hàng]],code_khach_hang[],2,0)</f>
        <v>CHI NHÁNH ĐÀ NẴNG - CÔNG TY CỔ PHẦN DỊCH VỤ THƯƠNG MẠI TỔNG HỢP WINCOMMERCE</v>
      </c>
      <c r="G3399" s="16"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c r="A3400" s="14">
        <v>4528</v>
      </c>
      <c r="B3400" s="15" t="s">
        <v>5</v>
      </c>
      <c r="C3400" s="16" t="s">
        <v>12022</v>
      </c>
      <c r="D3400" s="21" t="s">
        <v>12023</v>
      </c>
      <c r="E3400" s="15" t="s">
        <v>11442</v>
      </c>
      <c r="F3400" s="22" t="str">
        <f>VLOOKUP(Table8[[#This Row],[Mã khách hàng]],code_khach_hang[],2,0)</f>
        <v>CHI NHÁNH ĐÀ NẴNG - CÔNG TY CỔ PHẦN DỊCH VỤ THƯƠNG MẠI TỔNG HỢP WINCOMMERCE</v>
      </c>
      <c r="G3400" s="16"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c r="A3401" s="14">
        <v>4529</v>
      </c>
      <c r="B3401" s="15" t="s">
        <v>5</v>
      </c>
      <c r="C3401" s="16" t="s">
        <v>12024</v>
      </c>
      <c r="D3401" s="21" t="s">
        <v>12025</v>
      </c>
      <c r="E3401" s="15" t="s">
        <v>11442</v>
      </c>
      <c r="F3401" s="22" t="str">
        <f>VLOOKUP(Table8[[#This Row],[Mã khách hàng]],code_khach_hang[],2,0)</f>
        <v>CHI NHÁNH ĐÀ NẴNG - CÔNG TY CỔ PHẦN DỊCH VỤ THƯƠNG MẠI TỔNG HỢP WINCOMMERCE</v>
      </c>
      <c r="G3401" s="16"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c r="A3402" s="14">
        <v>4544</v>
      </c>
      <c r="B3402" s="15" t="s">
        <v>5</v>
      </c>
      <c r="C3402" s="16" t="s">
        <v>12026</v>
      </c>
      <c r="D3402" s="21" t="s">
        <v>12027</v>
      </c>
      <c r="E3402" s="15" t="s">
        <v>11442</v>
      </c>
      <c r="F3402" s="22" t="str">
        <f>VLOOKUP(Table8[[#This Row],[Mã khách hàng]],code_khach_hang[],2,0)</f>
        <v>CHI NHÁNH ĐÀ NẴNG - CÔNG TY CỔ PHẦN DỊCH VỤ THƯƠNG MẠI TỔNG HỢP WINCOMMERCE</v>
      </c>
      <c r="G3402" s="16"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c r="A3403" s="14">
        <v>4545</v>
      </c>
      <c r="B3403" s="15" t="s">
        <v>5</v>
      </c>
      <c r="C3403" s="16" t="s">
        <v>12028</v>
      </c>
      <c r="D3403" s="21" t="s">
        <v>12029</v>
      </c>
      <c r="E3403" s="15" t="s">
        <v>11442</v>
      </c>
      <c r="F3403" s="22" t="str">
        <f>VLOOKUP(Table8[[#This Row],[Mã khách hàng]],code_khach_hang[],2,0)</f>
        <v>CHI NHÁNH ĐÀ NẴNG - CÔNG TY CỔ PHẦN DỊCH VỤ THƯƠNG MẠI TỔNG HỢP WINCOMMERCE</v>
      </c>
      <c r="G3403" s="16"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c r="A3404" s="14">
        <v>4559</v>
      </c>
      <c r="B3404" s="15" t="s">
        <v>5</v>
      </c>
      <c r="C3404" s="16" t="s">
        <v>12030</v>
      </c>
      <c r="D3404" s="21" t="s">
        <v>12031</v>
      </c>
      <c r="E3404" s="15" t="s">
        <v>11442</v>
      </c>
      <c r="F3404" s="22" t="str">
        <f>VLOOKUP(Table8[[#This Row],[Mã khách hàng]],code_khach_hang[],2,0)</f>
        <v>CHI NHÁNH ĐÀ NẴNG - CÔNG TY CỔ PHẦN DỊCH VỤ THƯƠNG MẠI TỔNG HỢP WINCOMMERCE</v>
      </c>
      <c r="G3404" s="16"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c r="A3405" s="14">
        <v>4624</v>
      </c>
      <c r="B3405" s="15" t="s">
        <v>5</v>
      </c>
      <c r="C3405" s="16" t="s">
        <v>12032</v>
      </c>
      <c r="D3405" s="21" t="s">
        <v>12033</v>
      </c>
      <c r="E3405" s="15" t="s">
        <v>11445</v>
      </c>
      <c r="F3405" s="22" t="str">
        <f>VLOOKUP(Table8[[#This Row],[Mã khách hàng]],code_khach_hang[],2,0)</f>
        <v>CHI NHÁNH THỪA THIÊN HUẾ - CÔNG TY CỔ PHẦN DỊCH VỤ THƯƠNG MẠI TỔNG HỢP WINCOMMERCE</v>
      </c>
      <c r="G3405" s="16"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c r="A3406" s="14">
        <v>4629</v>
      </c>
      <c r="B3406" s="15" t="s">
        <v>5</v>
      </c>
      <c r="C3406" s="16" t="s">
        <v>12034</v>
      </c>
      <c r="D3406" s="21" t="s">
        <v>12035</v>
      </c>
      <c r="E3406" s="15" t="s">
        <v>11445</v>
      </c>
      <c r="F3406" s="22" t="str">
        <f>VLOOKUP(Table8[[#This Row],[Mã khách hàng]],code_khach_hang[],2,0)</f>
        <v>CHI NHÁNH THỪA THIÊN HUẾ - CÔNG TY CỔ PHẦN DỊCH VỤ THƯƠNG MẠI TỔNG HỢP WINCOMMERCE</v>
      </c>
      <c r="G3406" s="16"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c r="A3407" s="14">
        <v>4648</v>
      </c>
      <c r="B3407" s="15" t="s">
        <v>5</v>
      </c>
      <c r="C3407" s="16" t="s">
        <v>12036</v>
      </c>
      <c r="D3407" s="21" t="s">
        <v>12037</v>
      </c>
      <c r="E3407" s="15" t="s">
        <v>11442</v>
      </c>
      <c r="F3407" s="22" t="str">
        <f>VLOOKUP(Table8[[#This Row],[Mã khách hàng]],code_khach_hang[],2,0)</f>
        <v>CHI NHÁNH ĐÀ NẴNG - CÔNG TY CỔ PHẦN DỊCH VỤ THƯƠNG MẠI TỔNG HỢP WINCOMMERCE</v>
      </c>
      <c r="G3407" s="16"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c r="A3408" s="14">
        <v>4689</v>
      </c>
      <c r="B3408" s="15" t="s">
        <v>5</v>
      </c>
      <c r="C3408" s="16" t="s">
        <v>12038</v>
      </c>
      <c r="D3408" s="21" t="s">
        <v>12039</v>
      </c>
      <c r="E3408" s="15" t="s">
        <v>11445</v>
      </c>
      <c r="F3408" s="22" t="str">
        <f>VLOOKUP(Table8[[#This Row],[Mã khách hàng]],code_khach_hang[],2,0)</f>
        <v>CHI NHÁNH THỪA THIÊN HUẾ - CÔNG TY CỔ PHẦN DỊCH VỤ THƯƠNG MẠI TỔNG HỢP WINCOMMERCE</v>
      </c>
      <c r="G3408" s="16"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c r="A3409" s="14">
        <v>4700</v>
      </c>
      <c r="B3409" s="15" t="s">
        <v>5</v>
      </c>
      <c r="C3409" s="16" t="s">
        <v>12040</v>
      </c>
      <c r="D3409" s="21" t="s">
        <v>12041</v>
      </c>
      <c r="E3409" s="15" t="s">
        <v>11443</v>
      </c>
      <c r="F3409" s="22" t="str">
        <f>VLOOKUP(Table8[[#This Row],[Mã khách hàng]],code_khach_hang[],2,0)</f>
        <v>CHI NHÁNH KHÁNH HÒA - CÔNG TY CỔ PHẦN DỊCH VỤ THƯƠNG MẠI TỔNG HỢP WINCOMMERCE</v>
      </c>
      <c r="G3409" s="16"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c r="A3410" s="14">
        <v>4717</v>
      </c>
      <c r="B3410" s="15" t="s">
        <v>5</v>
      </c>
      <c r="C3410" s="16" t="s">
        <v>12042</v>
      </c>
      <c r="D3410" s="21" t="s">
        <v>12043</v>
      </c>
      <c r="E3410" s="15" t="s">
        <v>11450</v>
      </c>
      <c r="F3410" s="22" t="str">
        <f>VLOOKUP(Table8[[#This Row],[Mã khách hàng]],code_khach_hang[],2,0)</f>
        <v>CHI NHÁNH ĐẮK LẮK - CÔNG TY CỔ PHẦN DỊCH VỤ THƯƠNG MẠI TỔNG HỢP WINCOMMERCE</v>
      </c>
      <c r="G3410" s="16"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c r="A3411" s="14">
        <v>4718</v>
      </c>
      <c r="B3411" s="15" t="s">
        <v>5</v>
      </c>
      <c r="C3411" s="16" t="s">
        <v>12044</v>
      </c>
      <c r="D3411" s="21" t="s">
        <v>12045</v>
      </c>
      <c r="E3411" s="15" t="s">
        <v>11442</v>
      </c>
      <c r="F3411" s="22" t="str">
        <f>VLOOKUP(Table8[[#This Row],[Mã khách hàng]],code_khach_hang[],2,0)</f>
        <v>CHI NHÁNH ĐÀ NẴNG - CÔNG TY CỔ PHẦN DỊCH VỤ THƯƠNG MẠI TỔNG HỢP WINCOMMERCE</v>
      </c>
      <c r="G3411" s="16"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c r="A3412" s="14">
        <v>4727</v>
      </c>
      <c r="B3412" s="15" t="s">
        <v>5</v>
      </c>
      <c r="C3412" s="16" t="s">
        <v>12046</v>
      </c>
      <c r="D3412" s="21" t="s">
        <v>12047</v>
      </c>
      <c r="E3412" s="15" t="s">
        <v>11450</v>
      </c>
      <c r="F3412" s="22" t="str">
        <f>VLOOKUP(Table8[[#This Row],[Mã khách hàng]],code_khach_hang[],2,0)</f>
        <v>CHI NHÁNH ĐẮK LẮK - CÔNG TY CỔ PHẦN DỊCH VỤ THƯƠNG MẠI TỔNG HỢP WINCOMMERCE</v>
      </c>
      <c r="G3412" s="16"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c r="A3413" s="14">
        <v>4732</v>
      </c>
      <c r="B3413" s="15" t="s">
        <v>5</v>
      </c>
      <c r="C3413" s="16" t="s">
        <v>12048</v>
      </c>
      <c r="D3413" s="21" t="s">
        <v>12049</v>
      </c>
      <c r="E3413" s="15" t="s">
        <v>11450</v>
      </c>
      <c r="F3413" s="22" t="str">
        <f>VLOOKUP(Table8[[#This Row],[Mã khách hàng]],code_khach_hang[],2,0)</f>
        <v>CHI NHÁNH ĐẮK LẮK - CÔNG TY CỔ PHẦN DỊCH VỤ THƯƠNG MẠI TỔNG HỢP WINCOMMERCE</v>
      </c>
      <c r="G3413" s="16"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c r="A3414" s="14">
        <v>4743</v>
      </c>
      <c r="B3414" s="15" t="s">
        <v>5</v>
      </c>
      <c r="C3414" s="16" t="s">
        <v>12050</v>
      </c>
      <c r="D3414" s="21" t="s">
        <v>12051</v>
      </c>
      <c r="E3414" s="15" t="s">
        <v>11450</v>
      </c>
      <c r="F3414" s="22" t="str">
        <f>VLOOKUP(Table8[[#This Row],[Mã khách hàng]],code_khach_hang[],2,0)</f>
        <v>CHI NHÁNH ĐẮK LẮK - CÔNG TY CỔ PHẦN DỊCH VỤ THƯƠNG MẠI TỔNG HỢP WINCOMMERCE</v>
      </c>
      <c r="G3414" s="16"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c r="A3415" s="14">
        <v>4752</v>
      </c>
      <c r="B3415" s="15" t="s">
        <v>5</v>
      </c>
      <c r="C3415" s="16" t="s">
        <v>12052</v>
      </c>
      <c r="D3415" s="21" t="s">
        <v>12053</v>
      </c>
      <c r="E3415" s="15" t="s">
        <v>11450</v>
      </c>
      <c r="F3415" s="22" t="str">
        <f>VLOOKUP(Table8[[#This Row],[Mã khách hàng]],code_khach_hang[],2,0)</f>
        <v>CHI NHÁNH ĐẮK LẮK - CÔNG TY CỔ PHẦN DỊCH VỤ THƯƠNG MẠI TỔNG HỢP WINCOMMERCE</v>
      </c>
      <c r="G3415" s="16"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c r="A3416" s="14">
        <v>4755</v>
      </c>
      <c r="B3416" s="15" t="s">
        <v>5</v>
      </c>
      <c r="C3416" s="16" t="s">
        <v>12054</v>
      </c>
      <c r="D3416" s="21" t="s">
        <v>12055</v>
      </c>
      <c r="E3416" s="15" t="s">
        <v>11442</v>
      </c>
      <c r="F3416" s="22" t="str">
        <f>VLOOKUP(Table8[[#This Row],[Mã khách hàng]],code_khach_hang[],2,0)</f>
        <v>CHI NHÁNH ĐÀ NẴNG - CÔNG TY CỔ PHẦN DỊCH VỤ THƯƠNG MẠI TỔNG HỢP WINCOMMERCE</v>
      </c>
      <c r="G3416" s="16"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c r="A3417" s="14">
        <v>4773</v>
      </c>
      <c r="B3417" s="15" t="s">
        <v>5</v>
      </c>
      <c r="C3417" s="16" t="s">
        <v>12056</v>
      </c>
      <c r="D3417" s="21" t="s">
        <v>12057</v>
      </c>
      <c r="E3417" s="15" t="s">
        <v>11450</v>
      </c>
      <c r="F3417" s="22" t="str">
        <f>VLOOKUP(Table8[[#This Row],[Mã khách hàng]],code_khach_hang[],2,0)</f>
        <v>CHI NHÁNH ĐẮK LẮK - CÔNG TY CỔ PHẦN DỊCH VỤ THƯƠNG MẠI TỔNG HỢP WINCOMMERCE</v>
      </c>
      <c r="G3417" s="16"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c r="A3418" s="14">
        <v>4806</v>
      </c>
      <c r="B3418" s="15" t="s">
        <v>5</v>
      </c>
      <c r="C3418" s="16" t="s">
        <v>12058</v>
      </c>
      <c r="D3418" s="21" t="s">
        <v>12059</v>
      </c>
      <c r="E3418" s="15" t="s">
        <v>11442</v>
      </c>
      <c r="F3418" s="22" t="str">
        <f>VLOOKUP(Table8[[#This Row],[Mã khách hàng]],code_khach_hang[],2,0)</f>
        <v>CHI NHÁNH ĐÀ NẴNG - CÔNG TY CỔ PHẦN DỊCH VỤ THƯƠNG MẠI TỔNG HỢP WINCOMMERCE</v>
      </c>
      <c r="G3418" s="16"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c r="A3419" s="14">
        <v>4807</v>
      </c>
      <c r="B3419" s="15" t="s">
        <v>5</v>
      </c>
      <c r="C3419" s="16" t="s">
        <v>12060</v>
      </c>
      <c r="D3419" s="21" t="s">
        <v>12061</v>
      </c>
      <c r="E3419" s="15" t="s">
        <v>11442</v>
      </c>
      <c r="F3419" s="22" t="str">
        <f>VLOOKUP(Table8[[#This Row],[Mã khách hàng]],code_khach_hang[],2,0)</f>
        <v>CHI NHÁNH ĐÀ NẴNG - CÔNG TY CỔ PHẦN DỊCH VỤ THƯƠNG MẠI TỔNG HỢP WINCOMMERCE</v>
      </c>
      <c r="G3419" s="16"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c r="A3420" s="14">
        <v>4836</v>
      </c>
      <c r="B3420" s="15" t="s">
        <v>5</v>
      </c>
      <c r="C3420" s="16" t="s">
        <v>12062</v>
      </c>
      <c r="D3420" s="21" t="s">
        <v>12063</v>
      </c>
      <c r="E3420" s="15" t="s">
        <v>11442</v>
      </c>
      <c r="F3420" s="22" t="str">
        <f>VLOOKUP(Table8[[#This Row],[Mã khách hàng]],code_khach_hang[],2,0)</f>
        <v>CHI NHÁNH ĐÀ NẴNG - CÔNG TY CỔ PHẦN DỊCH VỤ THƯƠNG MẠI TỔNG HỢP WINCOMMERCE</v>
      </c>
      <c r="G3420" s="16"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c r="A3421" s="14">
        <v>4838</v>
      </c>
      <c r="B3421" s="15" t="s">
        <v>5</v>
      </c>
      <c r="C3421" s="16" t="s">
        <v>12064</v>
      </c>
      <c r="D3421" s="21" t="s">
        <v>12065</v>
      </c>
      <c r="E3421" s="15" t="s">
        <v>11442</v>
      </c>
      <c r="F3421" s="22" t="str">
        <f>VLOOKUP(Table8[[#This Row],[Mã khách hàng]],code_khach_hang[],2,0)</f>
        <v>CHI NHÁNH ĐÀ NẴNG - CÔNG TY CỔ PHẦN DỊCH VỤ THƯƠNG MẠI TỔNG HỢP WINCOMMERCE</v>
      </c>
      <c r="G3421" s="16"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c r="A3422" s="14">
        <v>4845</v>
      </c>
      <c r="B3422" s="15" t="s">
        <v>5</v>
      </c>
      <c r="C3422" s="16" t="s">
        <v>12066</v>
      </c>
      <c r="D3422" s="21" t="s">
        <v>12067</v>
      </c>
      <c r="E3422" s="15" t="s">
        <v>11445</v>
      </c>
      <c r="F3422" s="22" t="str">
        <f>VLOOKUP(Table8[[#This Row],[Mã khách hàng]],code_khach_hang[],2,0)</f>
        <v>CHI NHÁNH THỪA THIÊN HUẾ - CÔNG TY CỔ PHẦN DỊCH VỤ THƯƠNG MẠI TỔNG HỢP WINCOMMERCE</v>
      </c>
      <c r="G3422" s="16"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c r="A3423" s="14">
        <v>4859</v>
      </c>
      <c r="B3423" s="15" t="s">
        <v>5</v>
      </c>
      <c r="C3423" s="16" t="s">
        <v>12068</v>
      </c>
      <c r="D3423" s="21" t="s">
        <v>12069</v>
      </c>
      <c r="E3423" s="15" t="s">
        <v>11442</v>
      </c>
      <c r="F3423" s="22" t="str">
        <f>VLOOKUP(Table8[[#This Row],[Mã khách hàng]],code_khach_hang[],2,0)</f>
        <v>CHI NHÁNH ĐÀ NẴNG - CÔNG TY CỔ PHẦN DỊCH VỤ THƯƠNG MẠI TỔNG HỢP WINCOMMERCE</v>
      </c>
      <c r="G3423" s="16"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c r="A3424" s="14">
        <v>4879</v>
      </c>
      <c r="B3424" s="15" t="s">
        <v>5</v>
      </c>
      <c r="C3424" s="16" t="s">
        <v>12070</v>
      </c>
      <c r="D3424" s="21" t="s">
        <v>12071</v>
      </c>
      <c r="E3424" s="15" t="s">
        <v>11445</v>
      </c>
      <c r="F3424" s="22" t="str">
        <f>VLOOKUP(Table8[[#This Row],[Mã khách hàng]],code_khach_hang[],2,0)</f>
        <v>CHI NHÁNH THỪA THIÊN HUẾ - CÔNG TY CỔ PHẦN DỊCH VỤ THƯƠNG MẠI TỔNG HỢP WINCOMMERCE</v>
      </c>
      <c r="G3424" s="16"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c r="A3425" s="14">
        <v>4899</v>
      </c>
      <c r="B3425" s="15" t="s">
        <v>5</v>
      </c>
      <c r="C3425" s="16" t="s">
        <v>12072</v>
      </c>
      <c r="D3425" s="21" t="s">
        <v>12073</v>
      </c>
      <c r="E3425" s="15" t="s">
        <v>11446</v>
      </c>
      <c r="F3425" s="22" t="str">
        <f>VLOOKUP(Table8[[#This Row],[Mã khách hàng]],code_khach_hang[],2,0)</f>
        <v>CHI NHÁNH GIA LAI - CÔNG TY CỔ PHẦN DỊCH VỤ THƯƠNG MẠI TỔNG HỢP WINCOMMERCE</v>
      </c>
      <c r="G3425" s="16"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c r="A3426" s="14">
        <v>4900</v>
      </c>
      <c r="B3426" s="15" t="s">
        <v>5</v>
      </c>
      <c r="C3426" s="16" t="s">
        <v>12074</v>
      </c>
      <c r="D3426" s="21" t="s">
        <v>12075</v>
      </c>
      <c r="E3426" s="15" t="s">
        <v>11446</v>
      </c>
      <c r="F3426" s="22" t="str">
        <f>VLOOKUP(Table8[[#This Row],[Mã khách hàng]],code_khach_hang[],2,0)</f>
        <v>CHI NHÁNH GIA LAI - CÔNG TY CỔ PHẦN DỊCH VỤ THƯƠNG MẠI TỔNG HỢP WINCOMMERCE</v>
      </c>
      <c r="G3426" s="16"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c r="A3427" s="14">
        <v>4907</v>
      </c>
      <c r="B3427" s="15" t="s">
        <v>5</v>
      </c>
      <c r="C3427" s="16" t="s">
        <v>12076</v>
      </c>
      <c r="D3427" s="21" t="s">
        <v>12077</v>
      </c>
      <c r="E3427" s="15" t="s">
        <v>11446</v>
      </c>
      <c r="F3427" s="22" t="str">
        <f>VLOOKUP(Table8[[#This Row],[Mã khách hàng]],code_khach_hang[],2,0)</f>
        <v>CHI NHÁNH GIA LAI - CÔNG TY CỔ PHẦN DỊCH VỤ THƯƠNG MẠI TỔNG HỢP WINCOMMERCE</v>
      </c>
      <c r="G3427" s="16"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c r="A3428" s="14">
        <v>4909</v>
      </c>
      <c r="B3428" s="15" t="s">
        <v>5</v>
      </c>
      <c r="C3428" s="16" t="s">
        <v>12078</v>
      </c>
      <c r="D3428" s="21" t="s">
        <v>12079</v>
      </c>
      <c r="E3428" s="15" t="s">
        <v>11446</v>
      </c>
      <c r="F3428" s="22" t="str">
        <f>VLOOKUP(Table8[[#This Row],[Mã khách hàng]],code_khach_hang[],2,0)</f>
        <v>CHI NHÁNH GIA LAI - CÔNG TY CỔ PHẦN DỊCH VỤ THƯƠNG MẠI TỔNG HỢP WINCOMMERCE</v>
      </c>
      <c r="G3428" s="16"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c r="A3429" s="14">
        <v>4910</v>
      </c>
      <c r="B3429" s="15" t="s">
        <v>5</v>
      </c>
      <c r="C3429" s="16" t="s">
        <v>12080</v>
      </c>
      <c r="D3429" s="21" t="s">
        <v>12081</v>
      </c>
      <c r="E3429" s="15" t="s">
        <v>11446</v>
      </c>
      <c r="F3429" s="22" t="str">
        <f>VLOOKUP(Table8[[#This Row],[Mã khách hàng]],code_khach_hang[],2,0)</f>
        <v>CHI NHÁNH GIA LAI - CÔNG TY CỔ PHẦN DỊCH VỤ THƯƠNG MẠI TỔNG HỢP WINCOMMERCE</v>
      </c>
      <c r="G3429" s="16"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c r="A3430" s="14">
        <v>4947</v>
      </c>
      <c r="B3430" s="15" t="s">
        <v>5</v>
      </c>
      <c r="C3430" s="16" t="s">
        <v>12082</v>
      </c>
      <c r="D3430" s="21" t="s">
        <v>12083</v>
      </c>
      <c r="E3430" s="15" t="s">
        <v>11446</v>
      </c>
      <c r="F3430" s="22" t="str">
        <f>VLOOKUP(Table8[[#This Row],[Mã khách hàng]],code_khach_hang[],2,0)</f>
        <v>CHI NHÁNH GIA LAI - CÔNG TY CỔ PHẦN DỊCH VỤ THƯƠNG MẠI TỔNG HỢP WINCOMMERCE</v>
      </c>
      <c r="G3430" s="16"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c r="A3431" s="14">
        <v>4949</v>
      </c>
      <c r="B3431" s="15" t="s">
        <v>5</v>
      </c>
      <c r="C3431" s="16" t="s">
        <v>12084</v>
      </c>
      <c r="D3431" s="21" t="s">
        <v>12085</v>
      </c>
      <c r="E3431" s="15" t="s">
        <v>11442</v>
      </c>
      <c r="F3431" s="22" t="str">
        <f>VLOOKUP(Table8[[#This Row],[Mã khách hàng]],code_khach_hang[],2,0)</f>
        <v>CHI NHÁNH ĐÀ NẴNG - CÔNG TY CỔ PHẦN DỊCH VỤ THƯƠNG MẠI TỔNG HỢP WINCOMMERCE</v>
      </c>
      <c r="G3431" s="16"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c r="A3432" s="14">
        <v>4980</v>
      </c>
      <c r="B3432" s="15" t="s">
        <v>5</v>
      </c>
      <c r="C3432" s="16" t="s">
        <v>12086</v>
      </c>
      <c r="D3432" s="21" t="s">
        <v>12087</v>
      </c>
      <c r="E3432" s="15" t="s">
        <v>11447</v>
      </c>
      <c r="F3432" s="22" t="str">
        <f>VLOOKUP(Table8[[#This Row],[Mã khách hàng]],code_khach_hang[],2,0)</f>
        <v>CHI NHÁNH QUẢNG TRỊ - CÔNG TY CỔ PHẦN DỊCH VỤ THƯƠNG MẠI TỔNG HỢP WINCOMMERCE</v>
      </c>
      <c r="G3432" s="16"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c r="A3433" s="14">
        <v>4981</v>
      </c>
      <c r="B3433" s="15" t="s">
        <v>5</v>
      </c>
      <c r="C3433" s="16" t="s">
        <v>12088</v>
      </c>
      <c r="D3433" s="21" t="s">
        <v>12089</v>
      </c>
      <c r="E3433" s="15" t="s">
        <v>11447</v>
      </c>
      <c r="F3433" s="22" t="str">
        <f>VLOOKUP(Table8[[#This Row],[Mã khách hàng]],code_khach_hang[],2,0)</f>
        <v>CHI NHÁNH QUẢNG TRỊ - CÔNG TY CỔ PHẦN DỊCH VỤ THƯƠNG MẠI TỔNG HỢP WINCOMMERCE</v>
      </c>
      <c r="G3433" s="16"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c r="A3434" s="14">
        <v>5011</v>
      </c>
      <c r="B3434" s="15" t="s">
        <v>5</v>
      </c>
      <c r="C3434" s="16" t="s">
        <v>12090</v>
      </c>
      <c r="D3434" s="21" t="s">
        <v>12091</v>
      </c>
      <c r="E3434" s="15" t="s">
        <v>11442</v>
      </c>
      <c r="F3434" s="22" t="str">
        <f>VLOOKUP(Table8[[#This Row],[Mã khách hàng]],code_khach_hang[],2,0)</f>
        <v>CHI NHÁNH ĐÀ NẴNG - CÔNG TY CỔ PHẦN DỊCH VỤ THƯƠNG MẠI TỔNG HỢP WINCOMMERCE</v>
      </c>
      <c r="G3434" s="16"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c r="A3435" s="14">
        <v>5012</v>
      </c>
      <c r="B3435" s="15" t="s">
        <v>5</v>
      </c>
      <c r="C3435" s="16" t="s">
        <v>12092</v>
      </c>
      <c r="D3435" s="21" t="s">
        <v>12093</v>
      </c>
      <c r="E3435" s="15" t="s">
        <v>11442</v>
      </c>
      <c r="F3435" s="22" t="str">
        <f>VLOOKUP(Table8[[#This Row],[Mã khách hàng]],code_khach_hang[],2,0)</f>
        <v>CHI NHÁNH ĐÀ NẴNG - CÔNG TY CỔ PHẦN DỊCH VỤ THƯƠNG MẠI TỔNG HỢP WINCOMMERCE</v>
      </c>
      <c r="G3435" s="16"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c r="A3436" s="14">
        <v>5033</v>
      </c>
      <c r="B3436" s="15" t="s">
        <v>5</v>
      </c>
      <c r="C3436" s="16" t="s">
        <v>12094</v>
      </c>
      <c r="D3436" s="21" t="s">
        <v>12095</v>
      </c>
      <c r="E3436" s="15" t="s">
        <v>11447</v>
      </c>
      <c r="F3436" s="22" t="str">
        <f>VLOOKUP(Table8[[#This Row],[Mã khách hàng]],code_khach_hang[],2,0)</f>
        <v>CHI NHÁNH QUẢNG TRỊ - CÔNG TY CỔ PHẦN DỊCH VỤ THƯƠNG MẠI TỔNG HỢP WINCOMMERCE</v>
      </c>
      <c r="G3436" s="16"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c r="A3437" s="14">
        <v>5034</v>
      </c>
      <c r="B3437" s="15" t="s">
        <v>5</v>
      </c>
      <c r="C3437" s="16" t="s">
        <v>12096</v>
      </c>
      <c r="D3437" s="21" t="s">
        <v>12097</v>
      </c>
      <c r="E3437" s="15" t="s">
        <v>11447</v>
      </c>
      <c r="F3437" s="22" t="str">
        <f>VLOOKUP(Table8[[#This Row],[Mã khách hàng]],code_khach_hang[],2,0)</f>
        <v>CHI NHÁNH QUẢNG TRỊ - CÔNG TY CỔ PHẦN DỊCH VỤ THƯƠNG MẠI TỔNG HỢP WINCOMMERCE</v>
      </c>
      <c r="G3437" s="16"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c r="A3438" s="14">
        <v>5035</v>
      </c>
      <c r="B3438" s="15" t="s">
        <v>5</v>
      </c>
      <c r="C3438" s="16" t="s">
        <v>12098</v>
      </c>
      <c r="D3438" s="21" t="s">
        <v>12099</v>
      </c>
      <c r="E3438" s="15" t="s">
        <v>11447</v>
      </c>
      <c r="F3438" s="22" t="str">
        <f>VLOOKUP(Table8[[#This Row],[Mã khách hàng]],code_khach_hang[],2,0)</f>
        <v>CHI NHÁNH QUẢNG TRỊ - CÔNG TY CỔ PHẦN DỊCH VỤ THƯƠNG MẠI TỔNG HỢP WINCOMMERCE</v>
      </c>
      <c r="G3438" s="16"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c r="A3439" s="14">
        <v>5137</v>
      </c>
      <c r="B3439" s="15" t="s">
        <v>5</v>
      </c>
      <c r="C3439" s="16" t="s">
        <v>12100</v>
      </c>
      <c r="D3439" s="21" t="s">
        <v>12101</v>
      </c>
      <c r="E3439" s="15" t="s">
        <v>11442</v>
      </c>
      <c r="F3439" s="22" t="str">
        <f>VLOOKUP(Table8[[#This Row],[Mã khách hàng]],code_khach_hang[],2,0)</f>
        <v>CHI NHÁNH ĐÀ NẴNG - CÔNG TY CỔ PHẦN DỊCH VỤ THƯƠNG MẠI TỔNG HỢP WINCOMMERCE</v>
      </c>
      <c r="G3439" s="16"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c r="A3440" s="14">
        <v>5152</v>
      </c>
      <c r="B3440" s="15" t="s">
        <v>5</v>
      </c>
      <c r="C3440" s="16" t="s">
        <v>12102</v>
      </c>
      <c r="D3440" s="21" t="s">
        <v>12103</v>
      </c>
      <c r="E3440" s="15" t="s">
        <v>11445</v>
      </c>
      <c r="F3440" s="22" t="str">
        <f>VLOOKUP(Table8[[#This Row],[Mã khách hàng]],code_khach_hang[],2,0)</f>
        <v>CHI NHÁNH THỪA THIÊN HUẾ - CÔNG TY CỔ PHẦN DỊCH VỤ THƯƠNG MẠI TỔNG HỢP WINCOMMERCE</v>
      </c>
      <c r="G3440" s="16"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c r="A3441" s="14">
        <v>5169</v>
      </c>
      <c r="B3441" s="15" t="s">
        <v>5</v>
      </c>
      <c r="C3441" s="16" t="s">
        <v>12104</v>
      </c>
      <c r="D3441" s="21" t="s">
        <v>12105</v>
      </c>
      <c r="E3441" s="15" t="s">
        <v>11442</v>
      </c>
      <c r="F3441" s="22" t="str">
        <f>VLOOKUP(Table8[[#This Row],[Mã khách hàng]],code_khach_hang[],2,0)</f>
        <v>CHI NHÁNH ĐÀ NẴNG - CÔNG TY CỔ PHẦN DỊCH VỤ THƯƠNG MẠI TỔNG HỢP WINCOMMERCE</v>
      </c>
      <c r="G3441" s="16"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c r="A3442" s="14">
        <v>5170</v>
      </c>
      <c r="B3442" s="15" t="s">
        <v>5</v>
      </c>
      <c r="C3442" s="16" t="s">
        <v>12106</v>
      </c>
      <c r="D3442" s="21" t="s">
        <v>12107</v>
      </c>
      <c r="E3442" s="15" t="s">
        <v>11442</v>
      </c>
      <c r="F3442" s="22" t="str">
        <f>VLOOKUP(Table8[[#This Row],[Mã khách hàng]],code_khach_hang[],2,0)</f>
        <v>CHI NHÁNH ĐÀ NẴNG - CÔNG TY CỔ PHẦN DỊCH VỤ THƯƠNG MẠI TỔNG HỢP WINCOMMERCE</v>
      </c>
      <c r="G3442" s="16"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c r="A3443" s="14">
        <v>5179</v>
      </c>
      <c r="B3443" s="15" t="s">
        <v>5</v>
      </c>
      <c r="C3443" s="16" t="s">
        <v>12108</v>
      </c>
      <c r="D3443" s="21" t="s">
        <v>12109</v>
      </c>
      <c r="E3443" s="15" t="s">
        <v>11445</v>
      </c>
      <c r="F3443" s="22" t="str">
        <f>VLOOKUP(Table8[[#This Row],[Mã khách hàng]],code_khach_hang[],2,0)</f>
        <v>CHI NHÁNH THỪA THIÊN HUẾ - CÔNG TY CỔ PHẦN DỊCH VỤ THƯƠNG MẠI TỔNG HỢP WINCOMMERCE</v>
      </c>
      <c r="G3443" s="16"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c r="A3444" s="14">
        <v>5181</v>
      </c>
      <c r="B3444" s="15" t="s">
        <v>5</v>
      </c>
      <c r="C3444" s="16" t="s">
        <v>12110</v>
      </c>
      <c r="D3444" s="21" t="s">
        <v>12111</v>
      </c>
      <c r="E3444" s="15" t="s">
        <v>11442</v>
      </c>
      <c r="F3444" s="22" t="str">
        <f>VLOOKUP(Table8[[#This Row],[Mã khách hàng]],code_khach_hang[],2,0)</f>
        <v>CHI NHÁNH ĐÀ NẴNG - CÔNG TY CỔ PHẦN DỊCH VỤ THƯƠNG MẠI TỔNG HỢP WINCOMMERCE</v>
      </c>
      <c r="G3444" s="16"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c r="A3445" s="14">
        <v>5215</v>
      </c>
      <c r="B3445" s="15" t="s">
        <v>5</v>
      </c>
      <c r="C3445" s="16" t="s">
        <v>12112</v>
      </c>
      <c r="D3445" s="21" t="s">
        <v>12113</v>
      </c>
      <c r="E3445" s="15" t="s">
        <v>11445</v>
      </c>
      <c r="F3445" s="22" t="str">
        <f>VLOOKUP(Table8[[#This Row],[Mã khách hàng]],code_khach_hang[],2,0)</f>
        <v>CHI NHÁNH THỪA THIÊN HUẾ - CÔNG TY CỔ PHẦN DỊCH VỤ THƯƠNG MẠI TỔNG HỢP WINCOMMERCE</v>
      </c>
      <c r="G3445" s="16"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c r="A3446" s="14">
        <v>5216</v>
      </c>
      <c r="B3446" s="15" t="s">
        <v>5</v>
      </c>
      <c r="C3446" s="16" t="s">
        <v>12114</v>
      </c>
      <c r="D3446" s="21" t="s">
        <v>12115</v>
      </c>
      <c r="E3446" s="15" t="s">
        <v>11445</v>
      </c>
      <c r="F3446" s="22" t="str">
        <f>VLOOKUP(Table8[[#This Row],[Mã khách hàng]],code_khach_hang[],2,0)</f>
        <v>CHI NHÁNH THỪA THIÊN HUẾ - CÔNG TY CỔ PHẦN DỊCH VỤ THƯƠNG MẠI TỔNG HỢP WINCOMMERCE</v>
      </c>
      <c r="G3446" s="16"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c r="A3447" s="14">
        <v>5217</v>
      </c>
      <c r="B3447" s="15" t="s">
        <v>5</v>
      </c>
      <c r="C3447" s="16" t="s">
        <v>12116</v>
      </c>
      <c r="D3447" s="21" t="s">
        <v>12117</v>
      </c>
      <c r="E3447" s="15" t="s">
        <v>11445</v>
      </c>
      <c r="F3447" s="22" t="str">
        <f>VLOOKUP(Table8[[#This Row],[Mã khách hàng]],code_khach_hang[],2,0)</f>
        <v>CHI NHÁNH THỪA THIÊN HUẾ - CÔNG TY CỔ PHẦN DỊCH VỤ THƯƠNG MẠI TỔNG HỢP WINCOMMERCE</v>
      </c>
      <c r="G3447" s="16"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c r="A3448" s="14">
        <v>5220</v>
      </c>
      <c r="B3448" s="15" t="s">
        <v>5</v>
      </c>
      <c r="C3448" s="16" t="s">
        <v>12118</v>
      </c>
      <c r="D3448" s="21" t="s">
        <v>12119</v>
      </c>
      <c r="E3448" s="15" t="s">
        <v>11445</v>
      </c>
      <c r="F3448" s="22" t="str">
        <f>VLOOKUP(Table8[[#This Row],[Mã khách hàng]],code_khach_hang[],2,0)</f>
        <v>CHI NHÁNH THỪA THIÊN HUẾ - CÔNG TY CỔ PHẦN DỊCH VỤ THƯƠNG MẠI TỔNG HỢP WINCOMMERCE</v>
      </c>
      <c r="G3448" s="16"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c r="A3449" s="14">
        <v>5235</v>
      </c>
      <c r="B3449" s="15" t="s">
        <v>5</v>
      </c>
      <c r="C3449" s="16" t="s">
        <v>12120</v>
      </c>
      <c r="D3449" s="21" t="s">
        <v>12121</v>
      </c>
      <c r="E3449" s="15" t="s">
        <v>11442</v>
      </c>
      <c r="F3449" s="22" t="str">
        <f>VLOOKUP(Table8[[#This Row],[Mã khách hàng]],code_khach_hang[],2,0)</f>
        <v>CHI NHÁNH ĐÀ NẴNG - CÔNG TY CỔ PHẦN DỊCH VỤ THƯƠNG MẠI TỔNG HỢP WINCOMMERCE</v>
      </c>
      <c r="G3449" s="16"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c r="A3450" s="14">
        <v>5236</v>
      </c>
      <c r="B3450" s="15" t="s">
        <v>5</v>
      </c>
      <c r="C3450" s="16" t="s">
        <v>12122</v>
      </c>
      <c r="D3450" s="21" t="s">
        <v>12123</v>
      </c>
      <c r="E3450" s="15" t="s">
        <v>11442</v>
      </c>
      <c r="F3450" s="22" t="str">
        <f>VLOOKUP(Table8[[#This Row],[Mã khách hàng]],code_khach_hang[],2,0)</f>
        <v>CHI NHÁNH ĐÀ NẴNG - CÔNG TY CỔ PHẦN DỊCH VỤ THƯƠNG MẠI TỔNG HỢP WINCOMMERCE</v>
      </c>
      <c r="G3450" s="16"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c r="A3451" s="14">
        <v>5254</v>
      </c>
      <c r="B3451" s="15" t="s">
        <v>5</v>
      </c>
      <c r="C3451" s="16" t="s">
        <v>12124</v>
      </c>
      <c r="D3451" s="21" t="s">
        <v>12125</v>
      </c>
      <c r="E3451" s="15" t="s">
        <v>11442</v>
      </c>
      <c r="F3451" s="22" t="str">
        <f>VLOOKUP(Table8[[#This Row],[Mã khách hàng]],code_khach_hang[],2,0)</f>
        <v>CHI NHÁNH ĐÀ NẴNG - CÔNG TY CỔ PHẦN DỊCH VỤ THƯƠNG MẠI TỔNG HỢP WINCOMMERCE</v>
      </c>
      <c r="G3451" s="16"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c r="A3452" s="14">
        <v>5258</v>
      </c>
      <c r="B3452" s="15" t="s">
        <v>5</v>
      </c>
      <c r="C3452" s="16" t="s">
        <v>12126</v>
      </c>
      <c r="D3452" s="21" t="s">
        <v>12127</v>
      </c>
      <c r="E3452" s="15" t="s">
        <v>11447</v>
      </c>
      <c r="F3452" s="22" t="str">
        <f>VLOOKUP(Table8[[#This Row],[Mã khách hàng]],code_khach_hang[],2,0)</f>
        <v>CHI NHÁNH QUẢNG TRỊ - CÔNG TY CỔ PHẦN DỊCH VỤ THƯƠNG MẠI TỔNG HỢP WINCOMMERCE</v>
      </c>
      <c r="G3452" s="16"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c r="A3453" s="14">
        <v>5260</v>
      </c>
      <c r="B3453" s="15" t="s">
        <v>5</v>
      </c>
      <c r="C3453" s="16" t="s">
        <v>12128</v>
      </c>
      <c r="D3453" s="21" t="s">
        <v>12129</v>
      </c>
      <c r="E3453" s="15" t="s">
        <v>11447</v>
      </c>
      <c r="F3453" s="22" t="str">
        <f>VLOOKUP(Table8[[#This Row],[Mã khách hàng]],code_khach_hang[],2,0)</f>
        <v>CHI NHÁNH QUẢNG TRỊ - CÔNG TY CỔ PHẦN DỊCH VỤ THƯƠNG MẠI TỔNG HỢP WINCOMMERCE</v>
      </c>
      <c r="G3453" s="16"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c r="A3454" s="14">
        <v>5261</v>
      </c>
      <c r="B3454" s="15" t="s">
        <v>5</v>
      </c>
      <c r="C3454" s="16" t="s">
        <v>12130</v>
      </c>
      <c r="D3454" s="21" t="s">
        <v>12131</v>
      </c>
      <c r="E3454" s="15" t="s">
        <v>11442</v>
      </c>
      <c r="F3454" s="22" t="str">
        <f>VLOOKUP(Table8[[#This Row],[Mã khách hàng]],code_khach_hang[],2,0)</f>
        <v>CHI NHÁNH ĐÀ NẴNG - CÔNG TY CỔ PHẦN DỊCH VỤ THƯƠNG MẠI TỔNG HỢP WINCOMMERCE</v>
      </c>
      <c r="G3454" s="16"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c r="A3455" s="14">
        <v>5279</v>
      </c>
      <c r="B3455" s="15" t="s">
        <v>5</v>
      </c>
      <c r="C3455" s="16" t="s">
        <v>12132</v>
      </c>
      <c r="D3455" s="21" t="s">
        <v>12133</v>
      </c>
      <c r="E3455" s="15" t="s">
        <v>11450</v>
      </c>
      <c r="F3455" s="22" t="str">
        <f>VLOOKUP(Table8[[#This Row],[Mã khách hàng]],code_khach_hang[],2,0)</f>
        <v>CHI NHÁNH ĐẮK LẮK - CÔNG TY CỔ PHẦN DỊCH VỤ THƯƠNG MẠI TỔNG HỢP WINCOMMERCE</v>
      </c>
      <c r="G3455" s="16"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c r="A3456" s="14">
        <v>5331</v>
      </c>
      <c r="B3456" s="15" t="s">
        <v>5</v>
      </c>
      <c r="C3456" s="16" t="s">
        <v>12134</v>
      </c>
      <c r="D3456" s="21" t="s">
        <v>12135</v>
      </c>
      <c r="E3456" s="15" t="s">
        <v>11442</v>
      </c>
      <c r="F3456" s="22" t="str">
        <f>VLOOKUP(Table8[[#This Row],[Mã khách hàng]],code_khach_hang[],2,0)</f>
        <v>CHI NHÁNH ĐÀ NẴNG - CÔNG TY CỔ PHẦN DỊCH VỤ THƯƠNG MẠI TỔNG HỢP WINCOMMERCE</v>
      </c>
      <c r="G3456" s="16"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c r="A3457" s="14">
        <v>5398</v>
      </c>
      <c r="B3457" s="15" t="s">
        <v>5</v>
      </c>
      <c r="C3457" s="16" t="s">
        <v>12136</v>
      </c>
      <c r="D3457" s="21" t="s">
        <v>12137</v>
      </c>
      <c r="E3457" s="15" t="s">
        <v>11445</v>
      </c>
      <c r="F3457" s="22" t="str">
        <f>VLOOKUP(Table8[[#This Row],[Mã khách hàng]],code_khach_hang[],2,0)</f>
        <v>CHI NHÁNH THỪA THIÊN HUẾ - CÔNG TY CỔ PHẦN DỊCH VỤ THƯƠNG MẠI TỔNG HỢP WINCOMMERCE</v>
      </c>
      <c r="G3457" s="16"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c r="A3458" s="14">
        <v>5412</v>
      </c>
      <c r="B3458" s="15" t="s">
        <v>5</v>
      </c>
      <c r="C3458" s="16" t="s">
        <v>12138</v>
      </c>
      <c r="D3458" s="21" t="s">
        <v>12139</v>
      </c>
      <c r="E3458" s="15" t="s">
        <v>11442</v>
      </c>
      <c r="F3458" s="22" t="str">
        <f>VLOOKUP(Table8[[#This Row],[Mã khách hàng]],code_khach_hang[],2,0)</f>
        <v>CHI NHÁNH ĐÀ NẴNG - CÔNG TY CỔ PHẦN DỊCH VỤ THƯƠNG MẠI TỔNG HỢP WINCOMMERCE</v>
      </c>
      <c r="G3458" s="16"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c r="A3459" s="14">
        <v>5421</v>
      </c>
      <c r="B3459" s="15" t="s">
        <v>5</v>
      </c>
      <c r="C3459" s="16" t="s">
        <v>12140</v>
      </c>
      <c r="D3459" s="21" t="s">
        <v>12141</v>
      </c>
      <c r="E3459" s="15" t="s">
        <v>11442</v>
      </c>
      <c r="F3459" s="22" t="str">
        <f>VLOOKUP(Table8[[#This Row],[Mã khách hàng]],code_khach_hang[],2,0)</f>
        <v>CHI NHÁNH ĐÀ NẴNG - CÔNG TY CỔ PHẦN DỊCH VỤ THƯƠNG MẠI TỔNG HỢP WINCOMMERCE</v>
      </c>
      <c r="G3459" s="16"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c r="A3460" s="14">
        <v>5424</v>
      </c>
      <c r="B3460" s="15" t="s">
        <v>5</v>
      </c>
      <c r="C3460" s="16" t="s">
        <v>12142</v>
      </c>
      <c r="D3460" s="21" t="s">
        <v>12143</v>
      </c>
      <c r="E3460" s="15" t="s">
        <v>11450</v>
      </c>
      <c r="F3460" s="22" t="str">
        <f>VLOOKUP(Table8[[#This Row],[Mã khách hàng]],code_khach_hang[],2,0)</f>
        <v>CHI NHÁNH ĐẮK LẮK - CÔNG TY CỔ PHẦN DỊCH VỤ THƯƠNG MẠI TỔNG HỢP WINCOMMERCE</v>
      </c>
      <c r="G3460" s="16"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c r="A3461" s="14">
        <v>5458</v>
      </c>
      <c r="B3461" s="15" t="s">
        <v>5</v>
      </c>
      <c r="C3461" s="16" t="s">
        <v>12144</v>
      </c>
      <c r="D3461" s="21" t="s">
        <v>12145</v>
      </c>
      <c r="E3461" s="15" t="s">
        <v>11442</v>
      </c>
      <c r="F3461" s="22" t="str">
        <f>VLOOKUP(Table8[[#This Row],[Mã khách hàng]],code_khach_hang[],2,0)</f>
        <v>CHI NHÁNH ĐÀ NẴNG - CÔNG TY CỔ PHẦN DỊCH VỤ THƯƠNG MẠI TỔNG HỢP WINCOMMERCE</v>
      </c>
      <c r="G3461" s="16"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c r="A3462" s="14">
        <v>5527</v>
      </c>
      <c r="B3462" s="15" t="s">
        <v>5</v>
      </c>
      <c r="C3462" s="16" t="s">
        <v>12146</v>
      </c>
      <c r="D3462" s="21" t="s">
        <v>12147</v>
      </c>
      <c r="E3462" s="15" t="s">
        <v>11445</v>
      </c>
      <c r="F3462" s="22" t="str">
        <f>VLOOKUP(Table8[[#This Row],[Mã khách hàng]],code_khach_hang[],2,0)</f>
        <v>CHI NHÁNH THỪA THIÊN HUẾ - CÔNG TY CỔ PHẦN DỊCH VỤ THƯƠNG MẠI TỔNG HỢP WINCOMMERCE</v>
      </c>
      <c r="G3462" s="16"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c r="A3463" s="14">
        <v>5627</v>
      </c>
      <c r="B3463" s="15" t="s">
        <v>5</v>
      </c>
      <c r="C3463" s="16" t="s">
        <v>12148</v>
      </c>
      <c r="D3463" s="21" t="s">
        <v>12149</v>
      </c>
      <c r="E3463" s="15" t="s">
        <v>11442</v>
      </c>
      <c r="F3463" s="22" t="str">
        <f>VLOOKUP(Table8[[#This Row],[Mã khách hàng]],code_khach_hang[],2,0)</f>
        <v>CHI NHÁNH ĐÀ NẴNG - CÔNG TY CỔ PHẦN DỊCH VỤ THƯƠNG MẠI TỔNG HỢP WINCOMMERCE</v>
      </c>
      <c r="G3463" s="16"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c r="A3464" s="14">
        <v>5639</v>
      </c>
      <c r="B3464" s="15" t="s">
        <v>5</v>
      </c>
      <c r="C3464" s="16" t="s">
        <v>12150</v>
      </c>
      <c r="D3464" s="21" t="s">
        <v>12151</v>
      </c>
      <c r="E3464" s="15" t="s">
        <v>11442</v>
      </c>
      <c r="F3464" s="22" t="str">
        <f>VLOOKUP(Table8[[#This Row],[Mã khách hàng]],code_khach_hang[],2,0)</f>
        <v>CHI NHÁNH ĐÀ NẴNG - CÔNG TY CỔ PHẦN DỊCH VỤ THƯƠNG MẠI TỔNG HỢP WINCOMMERCE</v>
      </c>
      <c r="G3464" s="16"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c r="A3465" s="14">
        <v>5641</v>
      </c>
      <c r="B3465" s="15" t="s">
        <v>5</v>
      </c>
      <c r="C3465" s="16" t="s">
        <v>12152</v>
      </c>
      <c r="D3465" s="21" t="s">
        <v>12153</v>
      </c>
      <c r="E3465" s="15" t="s">
        <v>11442</v>
      </c>
      <c r="F3465" s="22" t="str">
        <f>VLOOKUP(Table8[[#This Row],[Mã khách hàng]],code_khach_hang[],2,0)</f>
        <v>CHI NHÁNH ĐÀ NẴNG - CÔNG TY CỔ PHẦN DỊCH VỤ THƯƠNG MẠI TỔNG HỢP WINCOMMERCE</v>
      </c>
      <c r="G3465" s="16"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c r="A3466" s="14">
        <v>5645</v>
      </c>
      <c r="B3466" s="15" t="s">
        <v>5</v>
      </c>
      <c r="C3466" s="16" t="s">
        <v>12154</v>
      </c>
      <c r="D3466" s="21" t="s">
        <v>12155</v>
      </c>
      <c r="E3466" s="15" t="s">
        <v>11442</v>
      </c>
      <c r="F3466" s="22" t="str">
        <f>VLOOKUP(Table8[[#This Row],[Mã khách hàng]],code_khach_hang[],2,0)</f>
        <v>CHI NHÁNH ĐÀ NẴNG - CÔNG TY CỔ PHẦN DỊCH VỤ THƯƠNG MẠI TỔNG HỢP WINCOMMERCE</v>
      </c>
      <c r="G3466" s="16"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c r="A3467" s="14">
        <v>5649</v>
      </c>
      <c r="B3467" s="15" t="s">
        <v>5</v>
      </c>
      <c r="C3467" s="16" t="s">
        <v>12156</v>
      </c>
      <c r="D3467" s="21" t="s">
        <v>12157</v>
      </c>
      <c r="E3467" s="15" t="s">
        <v>11442</v>
      </c>
      <c r="F3467" s="22" t="str">
        <f>VLOOKUP(Table8[[#This Row],[Mã khách hàng]],code_khach_hang[],2,0)</f>
        <v>CHI NHÁNH ĐÀ NẴNG - CÔNG TY CỔ PHẦN DỊCH VỤ THƯƠNG MẠI TỔNG HỢP WINCOMMERCE</v>
      </c>
      <c r="G3467" s="16"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c r="A3468" s="14">
        <v>5769</v>
      </c>
      <c r="B3468" s="15" t="s">
        <v>5</v>
      </c>
      <c r="C3468" s="16" t="s">
        <v>12158</v>
      </c>
      <c r="D3468" s="21" t="s">
        <v>12159</v>
      </c>
      <c r="E3468" s="15" t="s">
        <v>11442</v>
      </c>
      <c r="F3468" s="22" t="str">
        <f>VLOOKUP(Table8[[#This Row],[Mã khách hàng]],code_khach_hang[],2,0)</f>
        <v>CHI NHÁNH ĐÀ NẴNG - CÔNG TY CỔ PHẦN DỊCH VỤ THƯƠNG MẠI TỔNG HỢP WINCOMMERCE</v>
      </c>
      <c r="G3468" s="16"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c r="A3469" s="14">
        <v>5780</v>
      </c>
      <c r="B3469" s="15" t="s">
        <v>5</v>
      </c>
      <c r="C3469" s="16" t="s">
        <v>12160</v>
      </c>
      <c r="D3469" s="21" t="s">
        <v>12161</v>
      </c>
      <c r="E3469" s="15" t="s">
        <v>11442</v>
      </c>
      <c r="F3469" s="22" t="str">
        <f>VLOOKUP(Table8[[#This Row],[Mã khách hàng]],code_khach_hang[],2,0)</f>
        <v>CHI NHÁNH ĐÀ NẴNG - CÔNG TY CỔ PHẦN DỊCH VỤ THƯƠNG MẠI TỔNG HỢP WINCOMMERCE</v>
      </c>
      <c r="G3469" s="16"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c r="A3470" s="14">
        <v>5783</v>
      </c>
      <c r="B3470" s="15" t="s">
        <v>5</v>
      </c>
      <c r="C3470" s="16" t="s">
        <v>12162</v>
      </c>
      <c r="D3470" s="21" t="s">
        <v>12163</v>
      </c>
      <c r="E3470" s="15" t="s">
        <v>11442</v>
      </c>
      <c r="F3470" s="22" t="str">
        <f>VLOOKUP(Table8[[#This Row],[Mã khách hàng]],code_khach_hang[],2,0)</f>
        <v>CHI NHÁNH ĐÀ NẴNG - CÔNG TY CỔ PHẦN DỊCH VỤ THƯƠNG MẠI TỔNG HỢP WINCOMMERCE</v>
      </c>
      <c r="G3470" s="16"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c r="A3471" s="14">
        <v>5834</v>
      </c>
      <c r="B3471" s="15" t="s">
        <v>5</v>
      </c>
      <c r="C3471" s="16" t="s">
        <v>12164</v>
      </c>
      <c r="D3471" s="21" t="s">
        <v>12165</v>
      </c>
      <c r="E3471" s="15" t="s">
        <v>11442</v>
      </c>
      <c r="F3471" s="22" t="str">
        <f>VLOOKUP(Table8[[#This Row],[Mã khách hàng]],code_khach_hang[],2,0)</f>
        <v>CHI NHÁNH ĐÀ NẴNG - CÔNG TY CỔ PHẦN DỊCH VỤ THƯƠNG MẠI TỔNG HỢP WINCOMMERCE</v>
      </c>
      <c r="G3471" s="16"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c r="A3472" s="14">
        <v>5860</v>
      </c>
      <c r="B3472" s="15" t="s">
        <v>5</v>
      </c>
      <c r="C3472" s="16" t="s">
        <v>12166</v>
      </c>
      <c r="D3472" s="21" t="s">
        <v>12167</v>
      </c>
      <c r="E3472" s="15" t="s">
        <v>11444</v>
      </c>
      <c r="F3472" s="22" t="str">
        <f>VLOOKUP(Table8[[#This Row],[Mã khách hàng]],code_khach_hang[],2,0)</f>
        <v>CHI NHÁNH QUẢNG NAM - CÔNG TY CỔ PHẦN DỊCH VỤ THƯƠNG MẠI TỔNG HỢP WINCOMMERCE</v>
      </c>
      <c r="G3472" s="16"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c r="A3473" s="14">
        <v>5864</v>
      </c>
      <c r="B3473" s="15" t="s">
        <v>5</v>
      </c>
      <c r="C3473" s="16" t="s">
        <v>12168</v>
      </c>
      <c r="D3473" s="21" t="s">
        <v>12169</v>
      </c>
      <c r="E3473" s="15" t="s">
        <v>11442</v>
      </c>
      <c r="F3473" s="22" t="str">
        <f>VLOOKUP(Table8[[#This Row],[Mã khách hàng]],code_khach_hang[],2,0)</f>
        <v>CHI NHÁNH ĐÀ NẴNG - CÔNG TY CỔ PHẦN DỊCH VỤ THƯƠNG MẠI TỔNG HỢP WINCOMMERCE</v>
      </c>
      <c r="G3473" s="16"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c r="A3474" s="14">
        <v>5883</v>
      </c>
      <c r="B3474" s="15" t="s">
        <v>5</v>
      </c>
      <c r="C3474" s="16" t="s">
        <v>12170</v>
      </c>
      <c r="D3474" s="21" t="s">
        <v>12171</v>
      </c>
      <c r="E3474" s="15" t="s">
        <v>11446</v>
      </c>
      <c r="F3474" s="22" t="str">
        <f>VLOOKUP(Table8[[#This Row],[Mã khách hàng]],code_khach_hang[],2,0)</f>
        <v>CHI NHÁNH GIA LAI - CÔNG TY CỔ PHẦN DỊCH VỤ THƯƠNG MẠI TỔNG HỢP WINCOMMERCE</v>
      </c>
      <c r="G3474" s="16"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c r="A3475" s="14">
        <v>5893</v>
      </c>
      <c r="B3475" s="15" t="s">
        <v>5</v>
      </c>
      <c r="C3475" s="16" t="s">
        <v>12172</v>
      </c>
      <c r="D3475" s="21" t="s">
        <v>12173</v>
      </c>
      <c r="E3475" s="15" t="s">
        <v>11445</v>
      </c>
      <c r="F3475" s="22" t="str">
        <f>VLOOKUP(Table8[[#This Row],[Mã khách hàng]],code_khach_hang[],2,0)</f>
        <v>CHI NHÁNH THỪA THIÊN HUẾ - CÔNG TY CỔ PHẦN DỊCH VỤ THƯƠNG MẠI TỔNG HỢP WINCOMMERCE</v>
      </c>
      <c r="G3475" s="16"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c r="A3476" s="14">
        <v>5902</v>
      </c>
      <c r="B3476" s="15" t="s">
        <v>5</v>
      </c>
      <c r="C3476" s="16" t="s">
        <v>12174</v>
      </c>
      <c r="D3476" s="21" t="s">
        <v>12175</v>
      </c>
      <c r="E3476" s="15" t="s">
        <v>11443</v>
      </c>
      <c r="F3476" s="22" t="str">
        <f>VLOOKUP(Table8[[#This Row],[Mã khách hàng]],code_khach_hang[],2,0)</f>
        <v>CHI NHÁNH KHÁNH HÒA - CÔNG TY CỔ PHẦN DỊCH VỤ THƯƠNG MẠI TỔNG HỢP WINCOMMERCE</v>
      </c>
      <c r="G3476" s="16"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c r="A3477" s="14">
        <v>5962</v>
      </c>
      <c r="B3477" s="15" t="s">
        <v>5</v>
      </c>
      <c r="C3477" s="16" t="s">
        <v>12176</v>
      </c>
      <c r="D3477" s="21" t="s">
        <v>12177</v>
      </c>
      <c r="E3477" s="15" t="s">
        <v>11442</v>
      </c>
      <c r="F3477" s="22" t="str">
        <f>VLOOKUP(Table8[[#This Row],[Mã khách hàng]],code_khach_hang[],2,0)</f>
        <v>CHI NHÁNH ĐÀ NẴNG - CÔNG TY CỔ PHẦN DỊCH VỤ THƯƠNG MẠI TỔNG HỢP WINCOMMERCE</v>
      </c>
      <c r="G3477" s="16"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c r="A3478" s="14">
        <v>5975</v>
      </c>
      <c r="B3478" s="15" t="s">
        <v>5</v>
      </c>
      <c r="C3478" s="16" t="s">
        <v>12178</v>
      </c>
      <c r="D3478" s="21" t="s">
        <v>12179</v>
      </c>
      <c r="E3478" s="15" t="s">
        <v>11442</v>
      </c>
      <c r="F3478" s="22" t="str">
        <f>VLOOKUP(Table8[[#This Row],[Mã khách hàng]],code_khach_hang[],2,0)</f>
        <v>CHI NHÁNH ĐÀ NẴNG - CÔNG TY CỔ PHẦN DỊCH VỤ THƯƠNG MẠI TỔNG HỢP WINCOMMERCE</v>
      </c>
      <c r="G3478" s="16"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c r="A3479" s="14">
        <v>6005</v>
      </c>
      <c r="B3479" s="15" t="s">
        <v>5</v>
      </c>
      <c r="C3479" s="16" t="s">
        <v>12180</v>
      </c>
      <c r="D3479" s="21" t="s">
        <v>12181</v>
      </c>
      <c r="E3479" s="15" t="s">
        <v>11443</v>
      </c>
      <c r="F3479" s="22" t="str">
        <f>VLOOKUP(Table8[[#This Row],[Mã khách hàng]],code_khach_hang[],2,0)</f>
        <v>CHI NHÁNH KHÁNH HÒA - CÔNG TY CỔ PHẦN DỊCH VỤ THƯƠNG MẠI TỔNG HỢP WINCOMMERCE</v>
      </c>
      <c r="G3479" s="16"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c r="A3480" s="14">
        <v>6098</v>
      </c>
      <c r="B3480" s="15" t="s">
        <v>5</v>
      </c>
      <c r="C3480" s="16" t="s">
        <v>12182</v>
      </c>
      <c r="D3480" s="21" t="s">
        <v>12183</v>
      </c>
      <c r="E3480" s="15" t="s">
        <v>11442</v>
      </c>
      <c r="F3480" s="22" t="str">
        <f>VLOOKUP(Table8[[#This Row],[Mã khách hàng]],code_khach_hang[],2,0)</f>
        <v>CHI NHÁNH ĐÀ NẴNG - CÔNG TY CỔ PHẦN DỊCH VỤ THƯƠNG MẠI TỔNG HỢP WINCOMMERCE</v>
      </c>
      <c r="G3480" s="16"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c r="A3481" s="14">
        <v>6170</v>
      </c>
      <c r="B3481" s="15" t="s">
        <v>5</v>
      </c>
      <c r="C3481" s="16" t="s">
        <v>12184</v>
      </c>
      <c r="D3481" s="21" t="s">
        <v>12185</v>
      </c>
      <c r="E3481" s="15" t="s">
        <v>11446</v>
      </c>
      <c r="F3481" s="22" t="str">
        <f>VLOOKUP(Table8[[#This Row],[Mã khách hàng]],code_khach_hang[],2,0)</f>
        <v>CHI NHÁNH GIA LAI - CÔNG TY CỔ PHẦN DỊCH VỤ THƯƠNG MẠI TỔNG HỢP WINCOMMERCE</v>
      </c>
      <c r="G3481" s="16"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c r="A3482" s="14">
        <v>6193</v>
      </c>
      <c r="B3482" s="15" t="s">
        <v>5</v>
      </c>
      <c r="C3482" s="16" t="s">
        <v>12186</v>
      </c>
      <c r="D3482" s="21" t="s">
        <v>12187</v>
      </c>
      <c r="E3482" s="15" t="s">
        <v>11447</v>
      </c>
      <c r="F3482" s="22" t="str">
        <f>VLOOKUP(Table8[[#This Row],[Mã khách hàng]],code_khach_hang[],2,0)</f>
        <v>CHI NHÁNH QUẢNG TRỊ - CÔNG TY CỔ PHẦN DỊCH VỤ THƯƠNG MẠI TỔNG HỢP WINCOMMERCE</v>
      </c>
      <c r="G3482" s="16"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c r="A3483" s="14">
        <v>6198</v>
      </c>
      <c r="B3483" s="15" t="s">
        <v>5</v>
      </c>
      <c r="C3483" s="16" t="s">
        <v>12188</v>
      </c>
      <c r="D3483" s="21" t="s">
        <v>12189</v>
      </c>
      <c r="E3483" s="15" t="s">
        <v>11442</v>
      </c>
      <c r="F3483" s="22" t="str">
        <f>VLOOKUP(Table8[[#This Row],[Mã khách hàng]],code_khach_hang[],2,0)</f>
        <v>CHI NHÁNH ĐÀ NẴNG - CÔNG TY CỔ PHẦN DỊCH VỤ THƯƠNG MẠI TỔNG HỢP WINCOMMERCE</v>
      </c>
      <c r="G3483" s="16"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c r="A3484" s="14">
        <v>6199</v>
      </c>
      <c r="B3484" s="15" t="s">
        <v>5</v>
      </c>
      <c r="C3484" s="16" t="s">
        <v>12190</v>
      </c>
      <c r="D3484" s="21" t="s">
        <v>12191</v>
      </c>
      <c r="E3484" s="15" t="s">
        <v>11442</v>
      </c>
      <c r="F3484" s="22" t="str">
        <f>VLOOKUP(Table8[[#This Row],[Mã khách hàng]],code_khach_hang[],2,0)</f>
        <v>CHI NHÁNH ĐÀ NẴNG - CÔNG TY CỔ PHẦN DỊCH VỤ THƯƠNG MẠI TỔNG HỢP WINCOMMERCE</v>
      </c>
      <c r="G3484" s="16"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c r="A3485" s="14">
        <v>6200</v>
      </c>
      <c r="B3485" s="15" t="s">
        <v>5</v>
      </c>
      <c r="C3485" s="16" t="s">
        <v>12192</v>
      </c>
      <c r="D3485" s="21" t="s">
        <v>12193</v>
      </c>
      <c r="E3485" s="15" t="s">
        <v>11447</v>
      </c>
      <c r="F3485" s="22" t="str">
        <f>VLOOKUP(Table8[[#This Row],[Mã khách hàng]],code_khach_hang[],2,0)</f>
        <v>CHI NHÁNH QUẢNG TRỊ - CÔNG TY CỔ PHẦN DỊCH VỤ THƯƠNG MẠI TỔNG HỢP WINCOMMERCE</v>
      </c>
      <c r="G3485" s="16"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c r="A3486" s="14">
        <v>6268</v>
      </c>
      <c r="B3486" s="15" t="s">
        <v>5</v>
      </c>
      <c r="C3486" s="16" t="s">
        <v>12194</v>
      </c>
      <c r="D3486" s="21" t="s">
        <v>12195</v>
      </c>
      <c r="E3486" s="15" t="s">
        <v>11442</v>
      </c>
      <c r="F3486" s="22" t="str">
        <f>VLOOKUP(Table8[[#This Row],[Mã khách hàng]],code_khach_hang[],2,0)</f>
        <v>CHI NHÁNH ĐÀ NẴNG - CÔNG TY CỔ PHẦN DỊCH VỤ THƯƠNG MẠI TỔNG HỢP WINCOMMERCE</v>
      </c>
      <c r="G3486" s="16"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c r="A3487" s="14">
        <v>6284</v>
      </c>
      <c r="B3487" s="15" t="s">
        <v>5</v>
      </c>
      <c r="C3487" s="16" t="s">
        <v>12196</v>
      </c>
      <c r="D3487" s="21" t="s">
        <v>12197</v>
      </c>
      <c r="E3487" s="15" t="s">
        <v>11445</v>
      </c>
      <c r="F3487" s="22" t="str">
        <f>VLOOKUP(Table8[[#This Row],[Mã khách hàng]],code_khach_hang[],2,0)</f>
        <v>CHI NHÁNH THỪA THIÊN HUẾ - CÔNG TY CỔ PHẦN DỊCH VỤ THƯƠNG MẠI TỔNG HỢP WINCOMMERCE</v>
      </c>
      <c r="G3487" s="16"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c r="A3488" s="14">
        <v>6285</v>
      </c>
      <c r="B3488" s="15" t="s">
        <v>5</v>
      </c>
      <c r="C3488" s="16" t="s">
        <v>12198</v>
      </c>
      <c r="D3488" s="21" t="s">
        <v>12199</v>
      </c>
      <c r="E3488" s="15" t="s">
        <v>11447</v>
      </c>
      <c r="F3488" s="22" t="str">
        <f>VLOOKUP(Table8[[#This Row],[Mã khách hàng]],code_khach_hang[],2,0)</f>
        <v>CHI NHÁNH QUẢNG TRỊ - CÔNG TY CỔ PHẦN DỊCH VỤ THƯƠNG MẠI TỔNG HỢP WINCOMMERCE</v>
      </c>
      <c r="G3488" s="16"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c r="A3489" s="14">
        <v>6286</v>
      </c>
      <c r="B3489" s="15" t="s">
        <v>5</v>
      </c>
      <c r="C3489" s="16" t="s">
        <v>12200</v>
      </c>
      <c r="D3489" s="21" t="s">
        <v>12201</v>
      </c>
      <c r="E3489" s="15" t="s">
        <v>11443</v>
      </c>
      <c r="F3489" s="22" t="str">
        <f>VLOOKUP(Table8[[#This Row],[Mã khách hàng]],code_khach_hang[],2,0)</f>
        <v>CHI NHÁNH KHÁNH HÒA - CÔNG TY CỔ PHẦN DỊCH VỤ THƯƠNG MẠI TỔNG HỢP WINCOMMERCE</v>
      </c>
      <c r="G3489" s="16"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c r="A3490" s="14">
        <v>6299</v>
      </c>
      <c r="B3490" s="15" t="s">
        <v>5</v>
      </c>
      <c r="C3490" s="16" t="s">
        <v>12202</v>
      </c>
      <c r="D3490" s="21" t="s">
        <v>12203</v>
      </c>
      <c r="E3490" s="15" t="s">
        <v>11442</v>
      </c>
      <c r="F3490" s="22" t="str">
        <f>VLOOKUP(Table8[[#This Row],[Mã khách hàng]],code_khach_hang[],2,0)</f>
        <v>CHI NHÁNH ĐÀ NẴNG - CÔNG TY CỔ PHẦN DỊCH VỤ THƯƠNG MẠI TỔNG HỢP WINCOMMERCE</v>
      </c>
      <c r="G3490" s="16"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c r="A3491" s="14">
        <v>6301</v>
      </c>
      <c r="B3491" s="15" t="s">
        <v>5</v>
      </c>
      <c r="C3491" s="16" t="s">
        <v>12204</v>
      </c>
      <c r="D3491" s="21" t="s">
        <v>12205</v>
      </c>
      <c r="E3491" s="15" t="s">
        <v>11442</v>
      </c>
      <c r="F3491" s="22" t="str">
        <f>VLOOKUP(Table8[[#This Row],[Mã khách hàng]],code_khach_hang[],2,0)</f>
        <v>CHI NHÁNH ĐÀ NẴNG - CÔNG TY CỔ PHẦN DỊCH VỤ THƯƠNG MẠI TỔNG HỢP WINCOMMERCE</v>
      </c>
      <c r="G3491" s="16"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c r="A3492" s="14">
        <v>6344</v>
      </c>
      <c r="B3492" s="15" t="s">
        <v>5</v>
      </c>
      <c r="C3492" s="16" t="s">
        <v>12206</v>
      </c>
      <c r="D3492" s="21" t="s">
        <v>12207</v>
      </c>
      <c r="E3492" s="15" t="s">
        <v>11442</v>
      </c>
      <c r="F3492" s="22" t="str">
        <f>VLOOKUP(Table8[[#This Row],[Mã khách hàng]],code_khach_hang[],2,0)</f>
        <v>CHI NHÁNH ĐÀ NẴNG - CÔNG TY CỔ PHẦN DỊCH VỤ THƯƠNG MẠI TỔNG HỢP WINCOMMERCE</v>
      </c>
      <c r="G3492" s="16"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c r="A3493" s="14">
        <v>6349</v>
      </c>
      <c r="B3493" s="15" t="s">
        <v>5</v>
      </c>
      <c r="C3493" s="16" t="s">
        <v>12208</v>
      </c>
      <c r="D3493" s="21" t="s">
        <v>12209</v>
      </c>
      <c r="E3493" s="15" t="s">
        <v>11442</v>
      </c>
      <c r="F3493" s="22" t="str">
        <f>VLOOKUP(Table8[[#This Row],[Mã khách hàng]],code_khach_hang[],2,0)</f>
        <v>CHI NHÁNH ĐÀ NẴNG - CÔNG TY CỔ PHẦN DỊCH VỤ THƯƠNG MẠI TỔNG HỢP WINCOMMERCE</v>
      </c>
      <c r="G3493" s="16"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c r="A3494" s="14">
        <v>6351</v>
      </c>
      <c r="B3494" s="15" t="s">
        <v>5</v>
      </c>
      <c r="C3494" s="16" t="s">
        <v>12210</v>
      </c>
      <c r="D3494" s="21" t="s">
        <v>12211</v>
      </c>
      <c r="E3494" s="15" t="s">
        <v>11446</v>
      </c>
      <c r="F3494" s="22" t="str">
        <f>VLOOKUP(Table8[[#This Row],[Mã khách hàng]],code_khach_hang[],2,0)</f>
        <v>CHI NHÁNH GIA LAI - CÔNG TY CỔ PHẦN DỊCH VỤ THƯƠNG MẠI TỔNG HỢP WINCOMMERCE</v>
      </c>
      <c r="G3494" s="16"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c r="A3495" s="14">
        <v>6355</v>
      </c>
      <c r="B3495" s="15" t="s">
        <v>5</v>
      </c>
      <c r="C3495" s="16" t="s">
        <v>12212</v>
      </c>
      <c r="D3495" s="21" t="s">
        <v>12213</v>
      </c>
      <c r="E3495" s="15" t="s">
        <v>11442</v>
      </c>
      <c r="F3495" s="22" t="str">
        <f>VLOOKUP(Table8[[#This Row],[Mã khách hàng]],code_khach_hang[],2,0)</f>
        <v>CHI NHÁNH ĐÀ NẴNG - CÔNG TY CỔ PHẦN DỊCH VỤ THƯƠNG MẠI TỔNG HỢP WINCOMMERCE</v>
      </c>
      <c r="G3495" s="16"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c r="A3496" s="14">
        <v>6356</v>
      </c>
      <c r="B3496" s="15" t="s">
        <v>5</v>
      </c>
      <c r="C3496" s="16" t="s">
        <v>12214</v>
      </c>
      <c r="D3496" s="21" t="s">
        <v>12215</v>
      </c>
      <c r="E3496" s="15" t="s">
        <v>11450</v>
      </c>
      <c r="F3496" s="22" t="str">
        <f>VLOOKUP(Table8[[#This Row],[Mã khách hàng]],code_khach_hang[],2,0)</f>
        <v>CHI NHÁNH ĐẮK LẮK - CÔNG TY CỔ PHẦN DỊCH VỤ THƯƠNG MẠI TỔNG HỢP WINCOMMERCE</v>
      </c>
      <c r="G3496" s="16"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c r="A3497" s="14">
        <v>6361</v>
      </c>
      <c r="B3497" s="15" t="s">
        <v>5</v>
      </c>
      <c r="C3497" s="16" t="s">
        <v>12216</v>
      </c>
      <c r="D3497" s="21" t="s">
        <v>12217</v>
      </c>
      <c r="E3497" s="15" t="s">
        <v>11448</v>
      </c>
      <c r="F3497" s="22" t="str">
        <f>VLOOKUP(Table8[[#This Row],[Mã khách hàng]],code_khach_hang[],2,0)</f>
        <v>CHI NHÁNH KON TUM - CÔNG TY CỔ PHẦN DỊCH VỤ THƯƠNG MẠI TỔNG HỢP WINCOMMERCE</v>
      </c>
      <c r="G3497" s="16"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c r="A3498" s="14">
        <v>6365</v>
      </c>
      <c r="B3498" s="15" t="s">
        <v>5</v>
      </c>
      <c r="C3498" s="16" t="s">
        <v>12218</v>
      </c>
      <c r="D3498" s="21" t="s">
        <v>12219</v>
      </c>
      <c r="E3498" s="15" t="s">
        <v>11444</v>
      </c>
      <c r="F3498" s="22" t="str">
        <f>VLOOKUP(Table8[[#This Row],[Mã khách hàng]],code_khach_hang[],2,0)</f>
        <v>CHI NHÁNH QUẢNG NAM - CÔNG TY CỔ PHẦN DỊCH VỤ THƯƠNG MẠI TỔNG HỢP WINCOMMERCE</v>
      </c>
      <c r="G3498" s="16"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c r="A3499" s="14">
        <v>6412</v>
      </c>
      <c r="B3499" s="15" t="s">
        <v>5</v>
      </c>
      <c r="C3499" s="16" t="s">
        <v>12220</v>
      </c>
      <c r="D3499" s="21" t="s">
        <v>12221</v>
      </c>
      <c r="E3499" s="15" t="s">
        <v>11448</v>
      </c>
      <c r="F3499" s="22" t="str">
        <f>VLOOKUP(Table8[[#This Row],[Mã khách hàng]],code_khach_hang[],2,0)</f>
        <v>CHI NHÁNH KON TUM - CÔNG TY CỔ PHẦN DỊCH VỤ THƯƠNG MẠI TỔNG HỢP WINCOMMERCE</v>
      </c>
      <c r="G3499" s="16"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c r="A3500" s="14">
        <v>6420</v>
      </c>
      <c r="B3500" s="15" t="s">
        <v>5</v>
      </c>
      <c r="C3500" s="16" t="s">
        <v>12222</v>
      </c>
      <c r="D3500" s="21" t="s">
        <v>12223</v>
      </c>
      <c r="E3500" s="15" t="s">
        <v>11448</v>
      </c>
      <c r="F3500" s="22" t="str">
        <f>VLOOKUP(Table8[[#This Row],[Mã khách hàng]],code_khach_hang[],2,0)</f>
        <v>CHI NHÁNH KON TUM - CÔNG TY CỔ PHẦN DỊCH VỤ THƯƠNG MẠI TỔNG HỢP WINCOMMERCE</v>
      </c>
      <c r="G3500" s="16"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c r="A3501" s="14">
        <v>6445</v>
      </c>
      <c r="B3501" s="15" t="s">
        <v>5</v>
      </c>
      <c r="C3501" s="16" t="s">
        <v>12224</v>
      </c>
      <c r="D3501" s="21" t="s">
        <v>12225</v>
      </c>
      <c r="E3501" s="15" t="s">
        <v>11442</v>
      </c>
      <c r="F3501" s="22" t="str">
        <f>VLOOKUP(Table8[[#This Row],[Mã khách hàng]],code_khach_hang[],2,0)</f>
        <v>CHI NHÁNH ĐÀ NẴNG - CÔNG TY CỔ PHẦN DỊCH VỤ THƯƠNG MẠI TỔNG HỢP WINCOMMERCE</v>
      </c>
      <c r="G3501" s="16"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c r="A3502" s="14">
        <v>6494</v>
      </c>
      <c r="B3502" s="15" t="s">
        <v>5</v>
      </c>
      <c r="C3502" s="16" t="s">
        <v>12226</v>
      </c>
      <c r="D3502" s="21" t="s">
        <v>12227</v>
      </c>
      <c r="E3502" s="15" t="s">
        <v>11444</v>
      </c>
      <c r="F3502" s="22" t="str">
        <f>VLOOKUP(Table8[[#This Row],[Mã khách hàng]],code_khach_hang[],2,0)</f>
        <v>CHI NHÁNH QUẢNG NAM - CÔNG TY CỔ PHẦN DỊCH VỤ THƯƠNG MẠI TỔNG HỢP WINCOMMERCE</v>
      </c>
      <c r="G3502" s="16"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c r="A3503" s="14">
        <v>6498</v>
      </c>
      <c r="B3503" s="15" t="s">
        <v>5</v>
      </c>
      <c r="C3503" s="16" t="s">
        <v>12228</v>
      </c>
      <c r="D3503" s="21" t="s">
        <v>12229</v>
      </c>
      <c r="E3503" s="15" t="s">
        <v>11447</v>
      </c>
      <c r="F3503" s="22" t="str">
        <f>VLOOKUP(Table8[[#This Row],[Mã khách hàng]],code_khach_hang[],2,0)</f>
        <v>CHI NHÁNH QUẢNG TRỊ - CÔNG TY CỔ PHẦN DỊCH VỤ THƯƠNG MẠI TỔNG HỢP WINCOMMERCE</v>
      </c>
      <c r="G3503" s="16"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c r="A3504" s="14">
        <v>6503</v>
      </c>
      <c r="B3504" s="15" t="s">
        <v>5</v>
      </c>
      <c r="C3504" s="16" t="s">
        <v>12230</v>
      </c>
      <c r="D3504" s="21" t="s">
        <v>12231</v>
      </c>
      <c r="E3504" s="15" t="s">
        <v>11442</v>
      </c>
      <c r="F3504" s="22" t="str">
        <f>VLOOKUP(Table8[[#This Row],[Mã khách hàng]],code_khach_hang[],2,0)</f>
        <v>CHI NHÁNH ĐÀ NẴNG - CÔNG TY CỔ PHẦN DỊCH VỤ THƯƠNG MẠI TỔNG HỢP WINCOMMERCE</v>
      </c>
      <c r="G3504" s="16"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c r="A3505" s="14">
        <v>6514</v>
      </c>
      <c r="B3505" s="15" t="s">
        <v>5</v>
      </c>
      <c r="C3505" s="16" t="s">
        <v>12232</v>
      </c>
      <c r="D3505" s="21" t="s">
        <v>12233</v>
      </c>
      <c r="E3505" s="15" t="s">
        <v>11443</v>
      </c>
      <c r="F3505" s="22" t="str">
        <f>VLOOKUP(Table8[[#This Row],[Mã khách hàng]],code_khach_hang[],2,0)</f>
        <v>CHI NHÁNH KHÁNH HÒA - CÔNG TY CỔ PHẦN DỊCH VỤ THƯƠNG MẠI TỔNG HỢP WINCOMMERCE</v>
      </c>
      <c r="G3505" s="16"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c r="A3506" s="14">
        <v>6553</v>
      </c>
      <c r="B3506" s="15" t="s">
        <v>5</v>
      </c>
      <c r="C3506" s="16" t="s">
        <v>12234</v>
      </c>
      <c r="D3506" s="21" t="s">
        <v>12235</v>
      </c>
      <c r="E3506" s="15" t="s">
        <v>11444</v>
      </c>
      <c r="F3506" s="22" t="str">
        <f>VLOOKUP(Table8[[#This Row],[Mã khách hàng]],code_khach_hang[],2,0)</f>
        <v>CHI NHÁNH QUẢNG NAM - CÔNG TY CỔ PHẦN DỊCH VỤ THƯƠNG MẠI TỔNG HỢP WINCOMMERCE</v>
      </c>
      <c r="G3506" s="16"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c r="A3507" s="14">
        <v>6555</v>
      </c>
      <c r="B3507" s="15" t="s">
        <v>5</v>
      </c>
      <c r="C3507" s="16" t="s">
        <v>12236</v>
      </c>
      <c r="D3507" s="21" t="s">
        <v>12237</v>
      </c>
      <c r="E3507" s="15" t="s">
        <v>11444</v>
      </c>
      <c r="F3507" s="22" t="str">
        <f>VLOOKUP(Table8[[#This Row],[Mã khách hàng]],code_khach_hang[],2,0)</f>
        <v>CHI NHÁNH QUẢNG NAM - CÔNG TY CỔ PHẦN DỊCH VỤ THƯƠNG MẠI TỔNG HỢP WINCOMMERCE</v>
      </c>
      <c r="G3507" s="16"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c r="A3508" s="14">
        <v>6556</v>
      </c>
      <c r="B3508" s="15" t="s">
        <v>5</v>
      </c>
      <c r="C3508" s="16" t="s">
        <v>12238</v>
      </c>
      <c r="D3508" s="21" t="s">
        <v>12239</v>
      </c>
      <c r="E3508" s="15" t="s">
        <v>11444</v>
      </c>
      <c r="F3508" s="22" t="str">
        <f>VLOOKUP(Table8[[#This Row],[Mã khách hàng]],code_khach_hang[],2,0)</f>
        <v>CHI NHÁNH QUẢNG NAM - CÔNG TY CỔ PHẦN DỊCH VỤ THƯƠNG MẠI TỔNG HỢP WINCOMMERCE</v>
      </c>
      <c r="G3508" s="16"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c r="A3509" s="14">
        <v>6599</v>
      </c>
      <c r="B3509" s="15" t="s">
        <v>5</v>
      </c>
      <c r="C3509" s="16" t="s">
        <v>12240</v>
      </c>
      <c r="D3509" s="21" t="s">
        <v>12241</v>
      </c>
      <c r="E3509" s="15" t="s">
        <v>11241</v>
      </c>
      <c r="F3509" s="22" t="str">
        <f>VLOOKUP(Table8[[#This Row],[Mã khách hàng]],code_khach_hang[],2,0)</f>
        <v>CHI NHÁNH BÌNH ĐỊNH - CÔNG TY CỔ PHẦN DỊCH VỤ THƯƠNG MẠI TỔNG HỢP WINCOMMERCE</v>
      </c>
      <c r="G3509" s="16"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c r="A3510" s="14">
        <v>6637</v>
      </c>
      <c r="B3510" s="15" t="s">
        <v>5</v>
      </c>
      <c r="C3510" s="16" t="s">
        <v>12242</v>
      </c>
      <c r="D3510" s="21" t="s">
        <v>12243</v>
      </c>
      <c r="E3510" s="15" t="s">
        <v>11446</v>
      </c>
      <c r="F3510" s="22" t="str">
        <f>VLOOKUP(Table8[[#This Row],[Mã khách hàng]],code_khach_hang[],2,0)</f>
        <v>CHI NHÁNH GIA LAI - CÔNG TY CỔ PHẦN DỊCH VỤ THƯƠNG MẠI TỔNG HỢP WINCOMMERCE</v>
      </c>
      <c r="G3510" s="16"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c r="A3511" s="14">
        <v>6638</v>
      </c>
      <c r="B3511" s="15" t="s">
        <v>5</v>
      </c>
      <c r="C3511" s="16" t="s">
        <v>12244</v>
      </c>
      <c r="D3511" s="21" t="s">
        <v>12245</v>
      </c>
      <c r="E3511" s="15" t="s">
        <v>11448</v>
      </c>
      <c r="F3511" s="22" t="str">
        <f>VLOOKUP(Table8[[#This Row],[Mã khách hàng]],code_khach_hang[],2,0)</f>
        <v>CHI NHÁNH KON TUM - CÔNG TY CỔ PHẦN DỊCH VỤ THƯƠNG MẠI TỔNG HỢP WINCOMMERCE</v>
      </c>
      <c r="G3511" s="16"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c r="A3512" s="14">
        <v>6640</v>
      </c>
      <c r="B3512" s="15" t="s">
        <v>5</v>
      </c>
      <c r="C3512" s="16" t="s">
        <v>12246</v>
      </c>
      <c r="D3512" s="21" t="s">
        <v>12247</v>
      </c>
      <c r="E3512" s="15" t="s">
        <v>11446</v>
      </c>
      <c r="F3512" s="22" t="str">
        <f>VLOOKUP(Table8[[#This Row],[Mã khách hàng]],code_khach_hang[],2,0)</f>
        <v>CHI NHÁNH GIA LAI - CÔNG TY CỔ PHẦN DỊCH VỤ THƯƠNG MẠI TỔNG HỢP WINCOMMERCE</v>
      </c>
      <c r="G3512" s="16"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c r="A3513" s="14">
        <v>6645</v>
      </c>
      <c r="B3513" s="15" t="s">
        <v>5</v>
      </c>
      <c r="C3513" s="16" t="s">
        <v>12248</v>
      </c>
      <c r="D3513" s="21" t="s">
        <v>12249</v>
      </c>
      <c r="E3513" s="15" t="s">
        <v>11442</v>
      </c>
      <c r="F3513" s="22" t="str">
        <f>VLOOKUP(Table8[[#This Row],[Mã khách hàng]],code_khach_hang[],2,0)</f>
        <v>CHI NHÁNH ĐÀ NẴNG - CÔNG TY CỔ PHẦN DỊCH VỤ THƯƠNG MẠI TỔNG HỢP WINCOMMERCE</v>
      </c>
      <c r="G3513" s="16"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c r="A3514" s="14">
        <v>6648</v>
      </c>
      <c r="B3514" s="15" t="s">
        <v>5</v>
      </c>
      <c r="C3514" s="16" t="s">
        <v>12250</v>
      </c>
      <c r="D3514" s="21" t="s">
        <v>12251</v>
      </c>
      <c r="E3514" s="15" t="s">
        <v>11446</v>
      </c>
      <c r="F3514" s="22" t="str">
        <f>VLOOKUP(Table8[[#This Row],[Mã khách hàng]],code_khach_hang[],2,0)</f>
        <v>CHI NHÁNH GIA LAI - CÔNG TY CỔ PHẦN DỊCH VỤ THƯƠNG MẠI TỔNG HỢP WINCOMMERCE</v>
      </c>
      <c r="G3514" s="16"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c r="A3515" s="14">
        <v>6679</v>
      </c>
      <c r="B3515" s="15" t="s">
        <v>5</v>
      </c>
      <c r="C3515" s="16" t="s">
        <v>12252</v>
      </c>
      <c r="D3515" s="21" t="s">
        <v>12253</v>
      </c>
      <c r="E3515" s="15" t="s">
        <v>11450</v>
      </c>
      <c r="F3515" s="22" t="str">
        <f>VLOOKUP(Table8[[#This Row],[Mã khách hàng]],code_khach_hang[],2,0)</f>
        <v>CHI NHÁNH ĐẮK LẮK - CÔNG TY CỔ PHẦN DỊCH VỤ THƯƠNG MẠI TỔNG HỢP WINCOMMERCE</v>
      </c>
      <c r="G3515" s="16"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c r="A3516" s="14">
        <v>6718</v>
      </c>
      <c r="B3516" s="15" t="s">
        <v>5</v>
      </c>
      <c r="C3516" s="16" t="s">
        <v>12254</v>
      </c>
      <c r="D3516" s="21" t="s">
        <v>12255</v>
      </c>
      <c r="E3516" s="15" t="s">
        <v>11442</v>
      </c>
      <c r="F3516" s="22" t="str">
        <f>VLOOKUP(Table8[[#This Row],[Mã khách hàng]],code_khach_hang[],2,0)</f>
        <v>CHI NHÁNH ĐÀ NẴNG - CÔNG TY CỔ PHẦN DỊCH VỤ THƯƠNG MẠI TỔNG HỢP WINCOMMERCE</v>
      </c>
      <c r="G3516" s="16"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c r="A3517" s="14">
        <v>6719</v>
      </c>
      <c r="B3517" s="15" t="s">
        <v>5</v>
      </c>
      <c r="C3517" s="16" t="s">
        <v>12256</v>
      </c>
      <c r="D3517" s="21" t="s">
        <v>12257</v>
      </c>
      <c r="E3517" s="15" t="s">
        <v>11443</v>
      </c>
      <c r="F3517" s="22" t="str">
        <f>VLOOKUP(Table8[[#This Row],[Mã khách hàng]],code_khach_hang[],2,0)</f>
        <v>CHI NHÁNH KHÁNH HÒA - CÔNG TY CỔ PHẦN DỊCH VỤ THƯƠNG MẠI TỔNG HỢP WINCOMMERCE</v>
      </c>
      <c r="G3517" s="16"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c r="A3518" s="14">
        <v>6720</v>
      </c>
      <c r="B3518" s="15" t="s">
        <v>5</v>
      </c>
      <c r="C3518" s="16" t="s">
        <v>12258</v>
      </c>
      <c r="D3518" s="21" t="s">
        <v>12259</v>
      </c>
      <c r="E3518" s="15" t="s">
        <v>11448</v>
      </c>
      <c r="F3518" s="22" t="str">
        <f>VLOOKUP(Table8[[#This Row],[Mã khách hàng]],code_khach_hang[],2,0)</f>
        <v>CHI NHÁNH KON TUM - CÔNG TY CỔ PHẦN DỊCH VỤ THƯƠNG MẠI TỔNG HỢP WINCOMMERCE</v>
      </c>
      <c r="G3518" s="16"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c r="A3519" s="14">
        <v>6732</v>
      </c>
      <c r="B3519" s="15" t="s">
        <v>5</v>
      </c>
      <c r="C3519" s="16" t="s">
        <v>12260</v>
      </c>
      <c r="D3519" s="21" t="s">
        <v>12261</v>
      </c>
      <c r="E3519" s="15" t="s">
        <v>11450</v>
      </c>
      <c r="F3519" s="22" t="str">
        <f>VLOOKUP(Table8[[#This Row],[Mã khách hàng]],code_khach_hang[],2,0)</f>
        <v>CHI NHÁNH ĐẮK LẮK - CÔNG TY CỔ PHẦN DỊCH VỤ THƯƠNG MẠI TỔNG HỢP WINCOMMERCE</v>
      </c>
      <c r="G3519" s="16"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c r="A3520" s="14">
        <v>6733</v>
      </c>
      <c r="B3520" s="15" t="s">
        <v>5</v>
      </c>
      <c r="C3520" s="16" t="s">
        <v>12262</v>
      </c>
      <c r="D3520" s="21" t="s">
        <v>12263</v>
      </c>
      <c r="E3520" s="15" t="s">
        <v>11241</v>
      </c>
      <c r="F3520" s="22" t="str">
        <f>VLOOKUP(Table8[[#This Row],[Mã khách hàng]],code_khach_hang[],2,0)</f>
        <v>CHI NHÁNH BÌNH ĐỊNH - CÔNG TY CỔ PHẦN DỊCH VỤ THƯƠNG MẠI TỔNG HỢP WINCOMMERCE</v>
      </c>
      <c r="G3520" s="16"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c r="A3521" s="14">
        <v>6736</v>
      </c>
      <c r="B3521" s="15" t="s">
        <v>5</v>
      </c>
      <c r="C3521" s="16" t="s">
        <v>12264</v>
      </c>
      <c r="D3521" s="21" t="s">
        <v>12265</v>
      </c>
      <c r="E3521" s="15" t="s">
        <v>11443</v>
      </c>
      <c r="F3521" s="22" t="str">
        <f>VLOOKUP(Table8[[#This Row],[Mã khách hàng]],code_khach_hang[],2,0)</f>
        <v>CHI NHÁNH KHÁNH HÒA - CÔNG TY CỔ PHẦN DỊCH VỤ THƯƠNG MẠI TỔNG HỢP WINCOMMERCE</v>
      </c>
      <c r="G3521" s="16"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c r="A3522" s="14">
        <v>6745</v>
      </c>
      <c r="B3522" s="15" t="s">
        <v>5</v>
      </c>
      <c r="C3522" s="16" t="s">
        <v>12266</v>
      </c>
      <c r="D3522" s="21" t="s">
        <v>12267</v>
      </c>
      <c r="E3522" s="15" t="s">
        <v>11442</v>
      </c>
      <c r="F3522" s="22" t="str">
        <f>VLOOKUP(Table8[[#This Row],[Mã khách hàng]],code_khach_hang[],2,0)</f>
        <v>CHI NHÁNH ĐÀ NẴNG - CÔNG TY CỔ PHẦN DỊCH VỤ THƯƠNG MẠI TỔNG HỢP WINCOMMERCE</v>
      </c>
      <c r="G3522" s="16"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c r="A3523" s="14">
        <v>6811</v>
      </c>
      <c r="B3523" s="15" t="s">
        <v>5</v>
      </c>
      <c r="C3523" s="16" t="s">
        <v>12268</v>
      </c>
      <c r="D3523" s="21" t="s">
        <v>12269</v>
      </c>
      <c r="E3523" s="15" t="s">
        <v>11442</v>
      </c>
      <c r="F3523" s="22" t="str">
        <f>VLOOKUP(Table8[[#This Row],[Mã khách hàng]],code_khach_hang[],2,0)</f>
        <v>CHI NHÁNH ĐÀ NẴNG - CÔNG TY CỔ PHẦN DỊCH VỤ THƯƠNG MẠI TỔNG HỢP WINCOMMERCE</v>
      </c>
      <c r="G3523" s="16"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c r="A3524" s="14">
        <v>6901</v>
      </c>
      <c r="B3524" s="15" t="s">
        <v>5</v>
      </c>
      <c r="C3524" s="16" t="s">
        <v>12270</v>
      </c>
      <c r="D3524" s="21" t="s">
        <v>12271</v>
      </c>
      <c r="E3524" s="15" t="s">
        <v>11447</v>
      </c>
      <c r="F3524" s="22" t="str">
        <f>VLOOKUP(Table8[[#This Row],[Mã khách hàng]],code_khach_hang[],2,0)</f>
        <v>CHI NHÁNH QUẢNG TRỊ - CÔNG TY CỔ PHẦN DỊCH VỤ THƯƠNG MẠI TỔNG HỢP WINCOMMERCE</v>
      </c>
      <c r="G3524" s="16"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c r="A3525" s="14">
        <v>6902</v>
      </c>
      <c r="B3525" s="15" t="s">
        <v>5</v>
      </c>
      <c r="C3525" s="16" t="s">
        <v>12272</v>
      </c>
      <c r="D3525" s="21" t="s">
        <v>12273</v>
      </c>
      <c r="E3525" s="15" t="s">
        <v>11447</v>
      </c>
      <c r="F3525" s="22" t="str">
        <f>VLOOKUP(Table8[[#This Row],[Mã khách hàng]],code_khach_hang[],2,0)</f>
        <v>CHI NHÁNH QUẢNG TRỊ - CÔNG TY CỔ PHẦN DỊCH VỤ THƯƠNG MẠI TỔNG HỢP WINCOMMERCE</v>
      </c>
      <c r="G3525" s="16"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c r="A3526" s="14">
        <v>6903</v>
      </c>
      <c r="B3526" s="15" t="s">
        <v>5</v>
      </c>
      <c r="C3526" s="16" t="s">
        <v>12274</v>
      </c>
      <c r="D3526" s="21" t="s">
        <v>12275</v>
      </c>
      <c r="E3526" s="15" t="s">
        <v>11447</v>
      </c>
      <c r="F3526" s="22" t="str">
        <f>VLOOKUP(Table8[[#This Row],[Mã khách hàng]],code_khach_hang[],2,0)</f>
        <v>CHI NHÁNH QUẢNG TRỊ - CÔNG TY CỔ PHẦN DỊCH VỤ THƯƠNG MẠI TỔNG HỢP WINCOMMERCE</v>
      </c>
      <c r="G3526" s="16"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c r="A3527" s="14">
        <v>6904</v>
      </c>
      <c r="B3527" s="15" t="s">
        <v>5</v>
      </c>
      <c r="C3527" s="16" t="s">
        <v>12276</v>
      </c>
      <c r="D3527" s="21" t="s">
        <v>12277</v>
      </c>
      <c r="E3527" s="15" t="s">
        <v>11447</v>
      </c>
      <c r="F3527" s="22" t="str">
        <f>VLOOKUP(Table8[[#This Row],[Mã khách hàng]],code_khach_hang[],2,0)</f>
        <v>CHI NHÁNH QUẢNG TRỊ - CÔNG TY CỔ PHẦN DỊCH VỤ THƯƠNG MẠI TỔNG HỢP WINCOMMERCE</v>
      </c>
      <c r="G3527" s="16"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c r="A3528" s="14">
        <v>6905</v>
      </c>
      <c r="B3528" s="15" t="s">
        <v>5</v>
      </c>
      <c r="C3528" s="16" t="s">
        <v>12278</v>
      </c>
      <c r="D3528" s="21" t="s">
        <v>12279</v>
      </c>
      <c r="E3528" s="15" t="s">
        <v>11447</v>
      </c>
      <c r="F3528" s="22" t="str">
        <f>VLOOKUP(Table8[[#This Row],[Mã khách hàng]],code_khach_hang[],2,0)</f>
        <v>CHI NHÁNH QUẢNG TRỊ - CÔNG TY CỔ PHẦN DỊCH VỤ THƯƠNG MẠI TỔNG HỢP WINCOMMERCE</v>
      </c>
      <c r="G3528" s="16"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c r="A3529" s="14">
        <v>6906</v>
      </c>
      <c r="B3529" s="15" t="s">
        <v>5</v>
      </c>
      <c r="C3529" s="16" t="s">
        <v>12280</v>
      </c>
      <c r="D3529" s="21" t="s">
        <v>12281</v>
      </c>
      <c r="E3529" s="15" t="s">
        <v>11447</v>
      </c>
      <c r="F3529" s="22" t="str">
        <f>VLOOKUP(Table8[[#This Row],[Mã khách hàng]],code_khach_hang[],2,0)</f>
        <v>CHI NHÁNH QUẢNG TRỊ - CÔNG TY CỔ PHẦN DỊCH VỤ THƯƠNG MẠI TỔNG HỢP WINCOMMERCE</v>
      </c>
      <c r="G3529" s="16"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c r="A3530" s="14">
        <v>6936</v>
      </c>
      <c r="B3530" s="15" t="s">
        <v>5</v>
      </c>
      <c r="C3530" s="16" t="s">
        <v>12282</v>
      </c>
      <c r="D3530" s="21" t="s">
        <v>12283</v>
      </c>
      <c r="E3530" s="15" t="s">
        <v>11447</v>
      </c>
      <c r="F3530" s="22" t="str">
        <f>VLOOKUP(Table8[[#This Row],[Mã khách hàng]],code_khach_hang[],2,0)</f>
        <v>CHI NHÁNH QUẢNG TRỊ - CÔNG TY CỔ PHẦN DỊCH VỤ THƯƠNG MẠI TỔNG HỢP WINCOMMERCE</v>
      </c>
      <c r="G3530" s="16"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c r="A3531" s="14">
        <v>6944</v>
      </c>
      <c r="B3531" s="15" t="s">
        <v>5</v>
      </c>
      <c r="C3531" s="16" t="s">
        <v>12284</v>
      </c>
      <c r="D3531" s="21" t="s">
        <v>12285</v>
      </c>
      <c r="E3531" s="15" t="s">
        <v>11450</v>
      </c>
      <c r="F3531" s="22" t="str">
        <f>VLOOKUP(Table8[[#This Row],[Mã khách hàng]],code_khach_hang[],2,0)</f>
        <v>CHI NHÁNH ĐẮK LẮK - CÔNG TY CỔ PHẦN DỊCH VỤ THƯƠNG MẠI TỔNG HỢP WINCOMMERCE</v>
      </c>
      <c r="G3531" s="16"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c r="A3532" s="14">
        <v>6945</v>
      </c>
      <c r="B3532" s="15" t="s">
        <v>5</v>
      </c>
      <c r="C3532" s="16" t="s">
        <v>12286</v>
      </c>
      <c r="D3532" s="21" t="s">
        <v>12287</v>
      </c>
      <c r="E3532" s="15" t="s">
        <v>11442</v>
      </c>
      <c r="F3532" s="22" t="str">
        <f>VLOOKUP(Table8[[#This Row],[Mã khách hàng]],code_khach_hang[],2,0)</f>
        <v>CHI NHÁNH ĐÀ NẴNG - CÔNG TY CỔ PHẦN DỊCH VỤ THƯƠNG MẠI TỔNG HỢP WINCOMMERCE</v>
      </c>
      <c r="G3532" s="16"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c r="A3533" s="14">
        <v>6955</v>
      </c>
      <c r="B3533" s="15" t="s">
        <v>5</v>
      </c>
      <c r="C3533" s="16" t="s">
        <v>12288</v>
      </c>
      <c r="D3533" s="21" t="s">
        <v>12289</v>
      </c>
      <c r="E3533" s="15" t="s">
        <v>11442</v>
      </c>
      <c r="F3533" s="22" t="str">
        <f>VLOOKUP(Table8[[#This Row],[Mã khách hàng]],code_khach_hang[],2,0)</f>
        <v>CHI NHÁNH ĐÀ NẴNG - CÔNG TY CỔ PHẦN DỊCH VỤ THƯƠNG MẠI TỔNG HỢP WINCOMMERCE</v>
      </c>
      <c r="G3533" s="16"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c r="A3534" s="14">
        <v>6963</v>
      </c>
      <c r="B3534" s="15" t="s">
        <v>5</v>
      </c>
      <c r="C3534" s="16" t="s">
        <v>12290</v>
      </c>
      <c r="D3534" s="21" t="s">
        <v>12291</v>
      </c>
      <c r="E3534" s="15" t="s">
        <v>11448</v>
      </c>
      <c r="F3534" s="22" t="str">
        <f>VLOOKUP(Table8[[#This Row],[Mã khách hàng]],code_khach_hang[],2,0)</f>
        <v>CHI NHÁNH KON TUM - CÔNG TY CỔ PHẦN DỊCH VỤ THƯƠNG MẠI TỔNG HỢP WINCOMMERCE</v>
      </c>
      <c r="G3534" s="16"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c r="A3535" s="14">
        <v>6971</v>
      </c>
      <c r="B3535" s="15" t="s">
        <v>5</v>
      </c>
      <c r="C3535" s="16" t="s">
        <v>12292</v>
      </c>
      <c r="D3535" s="21" t="s">
        <v>12293</v>
      </c>
      <c r="E3535" s="15" t="s">
        <v>11446</v>
      </c>
      <c r="F3535" s="22" t="str">
        <f>VLOOKUP(Table8[[#This Row],[Mã khách hàng]],code_khach_hang[],2,0)</f>
        <v>CHI NHÁNH GIA LAI - CÔNG TY CỔ PHẦN DỊCH VỤ THƯƠNG MẠI TỔNG HỢP WINCOMMERCE</v>
      </c>
      <c r="G3535" s="16"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c r="A3536" s="14">
        <v>6972</v>
      </c>
      <c r="B3536" s="15" t="s">
        <v>5</v>
      </c>
      <c r="C3536" s="16" t="s">
        <v>12294</v>
      </c>
      <c r="D3536" s="21" t="s">
        <v>12295</v>
      </c>
      <c r="E3536" s="15" t="s">
        <v>11446</v>
      </c>
      <c r="F3536" s="22" t="str">
        <f>VLOOKUP(Table8[[#This Row],[Mã khách hàng]],code_khach_hang[],2,0)</f>
        <v>CHI NHÁNH GIA LAI - CÔNG TY CỔ PHẦN DỊCH VỤ THƯƠNG MẠI TỔNG HỢP WINCOMMERCE</v>
      </c>
      <c r="G3536" s="16"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c r="A3537" s="14">
        <v>6973</v>
      </c>
      <c r="B3537" s="15" t="s">
        <v>5</v>
      </c>
      <c r="C3537" s="16" t="s">
        <v>12296</v>
      </c>
      <c r="D3537" s="21" t="s">
        <v>12297</v>
      </c>
      <c r="E3537" s="15" t="s">
        <v>11447</v>
      </c>
      <c r="F3537" s="22" t="str">
        <f>VLOOKUP(Table8[[#This Row],[Mã khách hàng]],code_khach_hang[],2,0)</f>
        <v>CHI NHÁNH QUẢNG TRỊ - CÔNG TY CỔ PHẦN DỊCH VỤ THƯƠNG MẠI TỔNG HỢP WINCOMMERCE</v>
      </c>
      <c r="G3537" s="16"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c r="A3538" s="14">
        <v>6979</v>
      </c>
      <c r="B3538" s="15" t="s">
        <v>5</v>
      </c>
      <c r="C3538" s="16" t="s">
        <v>12298</v>
      </c>
      <c r="D3538" s="21" t="s">
        <v>12299</v>
      </c>
      <c r="E3538" s="15" t="s">
        <v>11442</v>
      </c>
      <c r="F3538" s="22" t="str">
        <f>VLOOKUP(Table8[[#This Row],[Mã khách hàng]],code_khach_hang[],2,0)</f>
        <v>CHI NHÁNH ĐÀ NẴNG - CÔNG TY CỔ PHẦN DỊCH VỤ THƯƠNG MẠI TỔNG HỢP WINCOMMERCE</v>
      </c>
      <c r="G3538" s="16"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c r="A3539" s="11" t="s">
        <v>12318</v>
      </c>
      <c r="B3539" s="15" t="s">
        <v>5</v>
      </c>
      <c r="C3539" s="10" t="s">
        <v>12324</v>
      </c>
      <c r="D3539" s="21"/>
      <c r="E3539" s="31" t="s">
        <v>11215</v>
      </c>
      <c r="F3539" s="22" t="str">
        <f>VLOOKUP(Table8[[#This Row],[Mã khách hàng]],code_khach_hang[],2,0)</f>
        <v>CHI NHÁNH HÀ NỘI - CÔNG TY CỔ PHẦN DỊCH VỤ THƯƠNG MẠI TỔNG HỢP WINCOMMERCE</v>
      </c>
      <c r="G3539" s="10"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c r="A3540" s="14" t="s">
        <v>12319</v>
      </c>
      <c r="B3540" s="15" t="s">
        <v>5</v>
      </c>
      <c r="C3540" s="16" t="s">
        <v>12325</v>
      </c>
      <c r="D3540" s="21"/>
      <c r="E3540" s="32" t="s">
        <v>11205</v>
      </c>
      <c r="F3540" s="22" t="str">
        <f>VLOOKUP(Table8[[#This Row],[Mã khách hàng]],code_khach_hang[],2,0)</f>
        <v>CHI NHÁNH HÀ TĨNH - CÔNG TY CỔ PHẦN DỊCH VỤ THƯƠNG MẠI TỔNG HỢP WINCOMMERCE</v>
      </c>
      <c r="G3540" s="16"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c r="A3541" s="14" t="s">
        <v>12320</v>
      </c>
      <c r="B3541" s="15" t="s">
        <v>5</v>
      </c>
      <c r="C3541" s="16" t="s">
        <v>12326</v>
      </c>
      <c r="D3541" s="21"/>
      <c r="E3541" s="32" t="s">
        <v>11207</v>
      </c>
      <c r="F3541" s="22" t="str">
        <f>VLOOKUP(Table8[[#This Row],[Mã khách hàng]],code_khach_hang[],2,0)</f>
        <v>CHI NHÁNH THÁI NGUYÊN - CÔNG TY CỔ PHẦN DỊCH VỤ THƯƠNG MẠI TỔNG HỢP WINCOMMERCE</v>
      </c>
      <c r="G3541" s="16"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c r="A3542" s="14" t="s">
        <v>12321</v>
      </c>
      <c r="B3542" s="15" t="s">
        <v>5</v>
      </c>
      <c r="C3542" s="16" t="s">
        <v>12327</v>
      </c>
      <c r="D3542" s="21"/>
      <c r="E3542" s="32" t="s">
        <v>11193</v>
      </c>
      <c r="F3542" s="22" t="str">
        <f>VLOOKUP(Table8[[#This Row],[Mã khách hàng]],code_khach_hang[],2,0)</f>
        <v>CHI NHÁNH BẮC NINH - CÔNG TY CỔ PHẦN DỊCH VỤ THƯƠNG MẠI TỔNG HỢP WINCOMMERCE</v>
      </c>
      <c r="G3542" s="16"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c r="A3543" s="14" t="s">
        <v>12322</v>
      </c>
      <c r="B3543" s="15" t="s">
        <v>5</v>
      </c>
      <c r="C3543" s="16" t="s">
        <v>12328</v>
      </c>
      <c r="D3543" s="21"/>
      <c r="E3543" s="32" t="s">
        <v>11198</v>
      </c>
      <c r="F3543" s="22" t="str">
        <f>VLOOKUP(Table8[[#This Row],[Mã khách hàng]],code_khach_hang[],2,0)</f>
        <v>CHI NHÁNH HẢI PHÒNG - CÔNG TY CỔ PHẦN DỊCH VỤ THƯƠNG MẠI TỔNG HỢP WINCOMMERCE</v>
      </c>
      <c r="G3543" s="16"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c r="A3544" s="14" t="s">
        <v>12323</v>
      </c>
      <c r="B3544" s="15" t="s">
        <v>5</v>
      </c>
      <c r="C3544" s="16" t="s">
        <v>12329</v>
      </c>
      <c r="D3544" s="21"/>
      <c r="E3544" s="32" t="s">
        <v>11198</v>
      </c>
      <c r="F3544" s="22" t="str">
        <f>VLOOKUP(Table8[[#This Row],[Mã khách hàng]],code_khach_hang[],2,0)</f>
        <v>CHI NHÁNH HẢI PHÒNG - CÔNG TY CỔ PHẦN DỊCH VỤ THƯƠNG MẠI TỔNG HỢP WINCOMMERCE</v>
      </c>
      <c r="G3544" s="16"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c r="A3545" s="11" t="s">
        <v>12330</v>
      </c>
      <c r="B3545" s="15" t="s">
        <v>5</v>
      </c>
      <c r="C3545" s="10" t="s">
        <v>12336</v>
      </c>
      <c r="D3545" s="21"/>
      <c r="E3545" s="31" t="s">
        <v>11215</v>
      </c>
      <c r="F3545" s="22" t="str">
        <f>VLOOKUP(Table8[[#This Row],[Mã khách hàng]],code_khach_hang[],2,0)</f>
        <v>CHI NHÁNH HÀ NỘI - CÔNG TY CỔ PHẦN DỊCH VỤ THƯƠNG MẠI TỔNG HỢP WINCOMMERCE</v>
      </c>
      <c r="G3545" s="10"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c r="A3546" s="14" t="s">
        <v>12331</v>
      </c>
      <c r="B3546" s="15" t="s">
        <v>5</v>
      </c>
      <c r="C3546" s="16" t="s">
        <v>12337</v>
      </c>
      <c r="D3546" s="21"/>
      <c r="E3546" s="32" t="s">
        <v>11197</v>
      </c>
      <c r="F3546" s="22" t="str">
        <f>VLOOKUP(Table8[[#This Row],[Mã khách hàng]],code_khach_hang[],2,0)</f>
        <v>CHI NHÁNH QUẢNG NINH - CÔNG TY CỔ PHẦN DỊCH VỤ THƯƠNG MẠI TỔNG HỢP WINCOMMERCE</v>
      </c>
      <c r="G3546" s="16"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c r="A3547" s="14" t="s">
        <v>12332</v>
      </c>
      <c r="B3547" s="15" t="s">
        <v>5</v>
      </c>
      <c r="C3547" s="16" t="s">
        <v>12338</v>
      </c>
      <c r="D3547" s="21"/>
      <c r="E3547" s="32" t="s">
        <v>11198</v>
      </c>
      <c r="F3547" s="22" t="str">
        <f>VLOOKUP(Table8[[#This Row],[Mã khách hàng]],code_khach_hang[],2,0)</f>
        <v>CHI NHÁNH HẢI PHÒNG - CÔNG TY CỔ PHẦN DỊCH VỤ THƯƠNG MẠI TỔNG HỢP WINCOMMERCE</v>
      </c>
      <c r="G3547" s="16"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c r="A3548" s="14" t="s">
        <v>12333</v>
      </c>
      <c r="B3548" s="15" t="s">
        <v>5</v>
      </c>
      <c r="C3548" s="16" t="s">
        <v>12339</v>
      </c>
      <c r="D3548" s="21"/>
      <c r="E3548" s="32" t="s">
        <v>11215</v>
      </c>
      <c r="F3548" s="22" t="str">
        <f>VLOOKUP(Table8[[#This Row],[Mã khách hàng]],code_khach_hang[],2,0)</f>
        <v>CHI NHÁNH HÀ NỘI - CÔNG TY CỔ PHẦN DỊCH VỤ THƯƠNG MẠI TỔNG HỢP WINCOMMERCE</v>
      </c>
      <c r="G3548" s="16"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c r="A3549" s="14" t="s">
        <v>12334</v>
      </c>
      <c r="B3549" s="15" t="s">
        <v>5</v>
      </c>
      <c r="C3549" s="16" t="s">
        <v>12340</v>
      </c>
      <c r="D3549" s="21"/>
      <c r="E3549" s="32" t="s">
        <v>11198</v>
      </c>
      <c r="F3549" s="22" t="str">
        <f>VLOOKUP(Table8[[#This Row],[Mã khách hàng]],code_khach_hang[],2,0)</f>
        <v>CHI NHÁNH HẢI PHÒNG - CÔNG TY CỔ PHẦN DỊCH VỤ THƯƠNG MẠI TỔNG HỢP WINCOMMERCE</v>
      </c>
      <c r="G3549" s="16"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c r="A3550" s="14" t="s">
        <v>12335</v>
      </c>
      <c r="B3550" s="15" t="s">
        <v>5</v>
      </c>
      <c r="C3550" s="16" t="s">
        <v>12341</v>
      </c>
      <c r="D3550" s="21"/>
      <c r="E3550" s="32" t="s">
        <v>11203</v>
      </c>
      <c r="F3550" s="22" t="str">
        <f>VLOOKUP(Table8[[#This Row],[Mã khách hàng]],code_khach_hang[],2,0)</f>
        <v>CHI NHÁNH THANH HÓA - CÔNG TY CỔ PHẦN DỊCH VỤ THƯƠNG MẠI TỔNG HỢP WINCOMMERCE</v>
      </c>
      <c r="G3550" s="16"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c r="A3551" s="11" t="s">
        <v>12346</v>
      </c>
      <c r="B3551" s="15" t="s">
        <v>5</v>
      </c>
      <c r="C3551" s="10" t="s">
        <v>12363</v>
      </c>
      <c r="D3551" s="21"/>
      <c r="E3551" s="31" t="s">
        <v>11218</v>
      </c>
      <c r="F3551" s="22" t="str">
        <f>VLOOKUP(Table8[[#This Row],[Mã khách hàng]],code_khach_hang[],2,0)</f>
        <v>CHI NHÁNH LÀO CAI - CÔNG TY CỔ PHẦN DỊCH VỤ THƯƠNG MẠI TỔNG HỢP WINCOMMERCE</v>
      </c>
      <c r="G3551" s="10"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c r="A3552" s="14" t="s">
        <v>12347</v>
      </c>
      <c r="B3552" s="15" t="s">
        <v>5</v>
      </c>
      <c r="C3552" s="16" t="s">
        <v>12364</v>
      </c>
      <c r="D3552" s="21"/>
      <c r="E3552" s="32" t="s">
        <v>11215</v>
      </c>
      <c r="F3552" s="22" t="str">
        <f>VLOOKUP(Table8[[#This Row],[Mã khách hàng]],code_khach_hang[],2,0)</f>
        <v>CHI NHÁNH HÀ NỘI - CÔNG TY CỔ PHẦN DỊCH VỤ THƯƠNG MẠI TỔNG HỢP WINCOMMERCE</v>
      </c>
      <c r="G3552" s="16"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c r="A3553" s="14" t="s">
        <v>12348</v>
      </c>
      <c r="B3553" s="15" t="s">
        <v>5</v>
      </c>
      <c r="C3553" s="16" t="s">
        <v>12365</v>
      </c>
      <c r="D3553" s="21"/>
      <c r="E3553" s="32" t="s">
        <v>11216</v>
      </c>
      <c r="F3553" s="22" t="str">
        <f>VLOOKUP(Table8[[#This Row],[Mã khách hàng]],code_khach_hang[],2,0)</f>
        <v>CHI NHÁNH HƯNG YÊN - CÔNG TY CỔ PHẦN DỊCH VỤ THƯƠNG MẠI TỔNG HỢP WINCOMMERCE</v>
      </c>
      <c r="G3553" s="16"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c r="A3554" s="14" t="s">
        <v>12349</v>
      </c>
      <c r="B3554" s="15" t="s">
        <v>5</v>
      </c>
      <c r="C3554" s="16" t="s">
        <v>12366</v>
      </c>
      <c r="D3554" s="21"/>
      <c r="E3554" s="32" t="s">
        <v>11215</v>
      </c>
      <c r="F3554" s="22" t="str">
        <f>VLOOKUP(Table8[[#This Row],[Mã khách hàng]],code_khach_hang[],2,0)</f>
        <v>CHI NHÁNH HÀ NỘI - CÔNG TY CỔ PHẦN DỊCH VỤ THƯƠNG MẠI TỔNG HỢP WINCOMMERCE</v>
      </c>
      <c r="G3554" s="16"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c r="A3555" s="14" t="s">
        <v>12350</v>
      </c>
      <c r="B3555" s="15" t="s">
        <v>5</v>
      </c>
      <c r="C3555" s="16" t="s">
        <v>12367</v>
      </c>
      <c r="D3555" s="21"/>
      <c r="E3555" s="32" t="s">
        <v>11199</v>
      </c>
      <c r="F3555" s="22" t="str">
        <f>VLOOKUP(Table8[[#This Row],[Mã khách hàng]],code_khach_hang[],2,0)</f>
        <v>CHI NHÁNH PHÚ THỌ - CÔNG TY CỔ PHẦN DỊCH VỤ THƯƠNG MẠI TỔNG HỢP WINCOMMERCE</v>
      </c>
      <c r="G3555" s="16"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c r="A3556" s="14" t="s">
        <v>12351</v>
      </c>
      <c r="B3556" s="15" t="s">
        <v>5</v>
      </c>
      <c r="C3556" s="16" t="s">
        <v>12368</v>
      </c>
      <c r="D3556" s="21"/>
      <c r="E3556" s="32" t="s">
        <v>11203</v>
      </c>
      <c r="F3556" s="22" t="str">
        <f>VLOOKUP(Table8[[#This Row],[Mã khách hàng]],code_khach_hang[],2,0)</f>
        <v>CHI NHÁNH THANH HÓA - CÔNG TY CỔ PHẦN DỊCH VỤ THƯƠNG MẠI TỔNG HỢP WINCOMMERCE</v>
      </c>
      <c r="G3556" s="16"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c r="A3557" s="14" t="s">
        <v>12352</v>
      </c>
      <c r="B3557" s="15" t="s">
        <v>5</v>
      </c>
      <c r="C3557" s="16" t="s">
        <v>12369</v>
      </c>
      <c r="D3557" s="21"/>
      <c r="E3557" s="32" t="s">
        <v>11216</v>
      </c>
      <c r="F3557" s="22" t="str">
        <f>VLOOKUP(Table8[[#This Row],[Mã khách hàng]],code_khach_hang[],2,0)</f>
        <v>CHI NHÁNH HƯNG YÊN - CÔNG TY CỔ PHẦN DỊCH VỤ THƯƠNG MẠI TỔNG HỢP WINCOMMERCE</v>
      </c>
      <c r="G3557" s="16"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c r="A3558" s="14" t="s">
        <v>12353</v>
      </c>
      <c r="B3558" s="15" t="s">
        <v>5</v>
      </c>
      <c r="C3558" s="16" t="s">
        <v>12370</v>
      </c>
      <c r="D3558" s="21"/>
      <c r="E3558" s="32" t="s">
        <v>11193</v>
      </c>
      <c r="F3558" s="22" t="str">
        <f>VLOOKUP(Table8[[#This Row],[Mã khách hàng]],code_khach_hang[],2,0)</f>
        <v>CHI NHÁNH BẮC NINH - CÔNG TY CỔ PHẦN DỊCH VỤ THƯƠNG MẠI TỔNG HỢP WINCOMMERCE</v>
      </c>
      <c r="G3558" s="16"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c r="A3559" s="14" t="s">
        <v>12354</v>
      </c>
      <c r="B3559" s="15" t="s">
        <v>5</v>
      </c>
      <c r="C3559" s="16" t="s">
        <v>12371</v>
      </c>
      <c r="D3559" s="21"/>
      <c r="E3559" s="32" t="s">
        <v>11211</v>
      </c>
      <c r="F3559" s="22" t="str">
        <f>VLOOKUP(Table8[[#This Row],[Mã khách hàng]],code_khach_hang[],2,0)</f>
        <v>CHI NHÁNH NGHỆ AN - CÔNG TY CỔ PHẦN DỊCH VỤ THƯƠNG MẠI TỔNG HỢP WINCOMMERCE</v>
      </c>
      <c r="G3559" s="16"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c r="A3560" s="14" t="s">
        <v>12355</v>
      </c>
      <c r="B3560" s="15" t="s">
        <v>5</v>
      </c>
      <c r="C3560" s="16" t="s">
        <v>12372</v>
      </c>
      <c r="D3560" s="21"/>
      <c r="E3560" s="32" t="s">
        <v>11198</v>
      </c>
      <c r="F3560" s="22" t="str">
        <f>VLOOKUP(Table8[[#This Row],[Mã khách hàng]],code_khach_hang[],2,0)</f>
        <v>CHI NHÁNH HẢI PHÒNG - CÔNG TY CỔ PHẦN DỊCH VỤ THƯƠNG MẠI TỔNG HỢP WINCOMMERCE</v>
      </c>
      <c r="G3560" s="16"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c r="A3561" s="14" t="s">
        <v>12356</v>
      </c>
      <c r="B3561" s="15" t="s">
        <v>5</v>
      </c>
      <c r="C3561" s="16" t="s">
        <v>12373</v>
      </c>
      <c r="D3561" s="21"/>
      <c r="E3561" s="32" t="s">
        <v>11198</v>
      </c>
      <c r="F3561" s="22" t="str">
        <f>VLOOKUP(Table8[[#This Row],[Mã khách hàng]],code_khach_hang[],2,0)</f>
        <v>CHI NHÁNH HẢI PHÒNG - CÔNG TY CỔ PHẦN DỊCH VỤ THƯƠNG MẠI TỔNG HỢP WINCOMMERCE</v>
      </c>
      <c r="G3561" s="16"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c r="A3562" s="14" t="s">
        <v>12357</v>
      </c>
      <c r="B3562" s="15" t="s">
        <v>5</v>
      </c>
      <c r="C3562" s="16" t="s">
        <v>12374</v>
      </c>
      <c r="D3562" s="21"/>
      <c r="E3562" s="32" t="s">
        <v>11216</v>
      </c>
      <c r="F3562" s="22" t="str">
        <f>VLOOKUP(Table8[[#This Row],[Mã khách hàng]],code_khach_hang[],2,0)</f>
        <v>CHI NHÁNH HƯNG YÊN - CÔNG TY CỔ PHẦN DỊCH VỤ THƯƠNG MẠI TỔNG HỢP WINCOMMERCE</v>
      </c>
      <c r="G3562" s="16"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c r="A3563" s="14" t="s">
        <v>12358</v>
      </c>
      <c r="B3563" s="15" t="s">
        <v>5</v>
      </c>
      <c r="C3563" s="16" t="s">
        <v>12375</v>
      </c>
      <c r="D3563" s="21"/>
      <c r="E3563" s="32" t="s">
        <v>11203</v>
      </c>
      <c r="F3563" s="22" t="str">
        <f>VLOOKUP(Table8[[#This Row],[Mã khách hàng]],code_khach_hang[],2,0)</f>
        <v>CHI NHÁNH THANH HÓA - CÔNG TY CỔ PHẦN DỊCH VỤ THƯƠNG MẠI TỔNG HỢP WINCOMMERCE</v>
      </c>
      <c r="G3563" s="16"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c r="A3564" s="14" t="s">
        <v>12359</v>
      </c>
      <c r="B3564" s="15" t="s">
        <v>5</v>
      </c>
      <c r="C3564" s="16" t="s">
        <v>12376</v>
      </c>
      <c r="D3564" s="21"/>
      <c r="E3564" s="32" t="s">
        <v>11216</v>
      </c>
      <c r="F3564" s="22" t="str">
        <f>VLOOKUP(Table8[[#This Row],[Mã khách hàng]],code_khach_hang[],2,0)</f>
        <v>CHI NHÁNH HƯNG YÊN - CÔNG TY CỔ PHẦN DỊCH VỤ THƯƠNG MẠI TỔNG HỢP WINCOMMERCE</v>
      </c>
      <c r="G3564" s="16"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c r="A3565" s="14" t="s">
        <v>12360</v>
      </c>
      <c r="B3565" s="15" t="s">
        <v>5</v>
      </c>
      <c r="C3565" s="16" t="s">
        <v>12377</v>
      </c>
      <c r="D3565" s="21"/>
      <c r="E3565" s="32" t="s">
        <v>11196</v>
      </c>
      <c r="F3565" s="22" t="str">
        <f>VLOOKUP(Table8[[#This Row],[Mã khách hàng]],code_khach_hang[],2,0)</f>
        <v>CHI NHÁNH NINH BÌNH - CÔNG TY CỔ PHẦN DỊCH VỤ THƯƠNG MẠI TỔNG HỢP WINCOMMERCE</v>
      </c>
      <c r="G3565" s="16"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c r="A3566" s="14" t="s">
        <v>12361</v>
      </c>
      <c r="B3566" s="15" t="s">
        <v>5</v>
      </c>
      <c r="C3566" s="16" t="s">
        <v>12378</v>
      </c>
      <c r="D3566" s="21"/>
      <c r="E3566" s="32" t="s">
        <v>11198</v>
      </c>
      <c r="F3566" s="22" t="str">
        <f>VLOOKUP(Table8[[#This Row],[Mã khách hàng]],code_khach_hang[],2,0)</f>
        <v>CHI NHÁNH HẢI PHÒNG - CÔNG TY CỔ PHẦN DỊCH VỤ THƯƠNG MẠI TỔNG HỢP WINCOMMERCE</v>
      </c>
      <c r="G3566" s="16"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c r="A3567" s="14" t="s">
        <v>12362</v>
      </c>
      <c r="B3567" s="15" t="s">
        <v>5</v>
      </c>
      <c r="C3567" s="16" t="s">
        <v>12379</v>
      </c>
      <c r="D3567" s="21"/>
      <c r="E3567" s="32" t="s">
        <v>11198</v>
      </c>
      <c r="F3567" s="22" t="str">
        <f>VLOOKUP(Table8[[#This Row],[Mã khách hàng]],code_khach_hang[],2,0)</f>
        <v>CHI NHÁNH HẢI PHÒNG - CÔNG TY CỔ PHẦN DỊCH VỤ THƯƠNG MẠI TỔNG HỢP WINCOMMERCE</v>
      </c>
      <c r="G3567" s="16"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c r="A3568" s="11" t="s">
        <v>12380</v>
      </c>
      <c r="B3568" s="9" t="s">
        <v>5</v>
      </c>
      <c r="C3568" s="10"/>
      <c r="D3568" s="21"/>
      <c r="E3568" s="32" t="s">
        <v>11211</v>
      </c>
      <c r="F3568" s="22" t="str">
        <f>VLOOKUP(Table8[[#This Row],[Mã khách hàng]],code_khach_hang[],2,0)</f>
        <v>CHI NHÁNH NGHỆ AN - CÔNG TY CỔ PHẦN DỊCH VỤ THƯƠNG MẠI TỔNG HỢP WINCOMMERCE</v>
      </c>
      <c r="G3568" s="10"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c r="A3569" s="14" t="s">
        <v>12381</v>
      </c>
      <c r="B3569" s="9" t="s">
        <v>5</v>
      </c>
      <c r="C3569" s="16"/>
      <c r="D3569" s="21"/>
      <c r="E3569" s="32" t="s">
        <v>11203</v>
      </c>
      <c r="F3569" s="22" t="str">
        <f>VLOOKUP(Table8[[#This Row],[Mã khách hàng]],code_khach_hang[],2,0)</f>
        <v>CHI NHÁNH THANH HÓA - CÔNG TY CỔ PHẦN DỊCH VỤ THƯƠNG MẠI TỔNG HỢP WINCOMMERCE</v>
      </c>
      <c r="G3569" s="16"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c r="A3570" s="14" t="s">
        <v>12382</v>
      </c>
      <c r="B3570" s="9" t="s">
        <v>5</v>
      </c>
      <c r="C3570" s="16"/>
      <c r="D3570" s="21"/>
      <c r="E3570" s="32" t="s">
        <v>11203</v>
      </c>
      <c r="F3570" s="22" t="str">
        <f>VLOOKUP(Table8[[#This Row],[Mã khách hàng]],code_khach_hang[],2,0)</f>
        <v>CHI NHÁNH THANH HÓA - CÔNG TY CỔ PHẦN DỊCH VỤ THƯƠNG MẠI TỔNG HỢP WINCOMMERCE</v>
      </c>
      <c r="G3570" s="16"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c r="A3571" s="14" t="s">
        <v>12383</v>
      </c>
      <c r="B3571" s="9" t="s">
        <v>5</v>
      </c>
      <c r="C3571" s="16"/>
      <c r="D3571" s="21"/>
      <c r="E3571" s="32" t="s">
        <v>11203</v>
      </c>
      <c r="F3571" s="22" t="str">
        <f>VLOOKUP(Table8[[#This Row],[Mã khách hàng]],code_khach_hang[],2,0)</f>
        <v>CHI NHÁNH THANH HÓA - CÔNG TY CỔ PHẦN DỊCH VỤ THƯƠNG MẠI TỔNG HỢP WINCOMMERCE</v>
      </c>
      <c r="G3571" s="16"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c r="A3572" s="14" t="s">
        <v>12384</v>
      </c>
      <c r="B3572" s="9" t="s">
        <v>5</v>
      </c>
      <c r="C3572" s="16"/>
      <c r="D3572" s="21"/>
      <c r="E3572" s="32" t="s">
        <v>11211</v>
      </c>
      <c r="F3572" s="22" t="str">
        <f>VLOOKUP(Table8[[#This Row],[Mã khách hàng]],code_khach_hang[],2,0)</f>
        <v>CHI NHÁNH NGHỆ AN - CÔNG TY CỔ PHẦN DỊCH VỤ THƯƠNG MẠI TỔNG HỢP WINCOMMERCE</v>
      </c>
      <c r="G3572" s="16"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c r="A3573" s="14" t="s">
        <v>12385</v>
      </c>
      <c r="B3573" s="9" t="s">
        <v>5</v>
      </c>
      <c r="C3573" s="16"/>
      <c r="D3573" s="21"/>
      <c r="E3573" s="32" t="s">
        <v>11205</v>
      </c>
      <c r="F3573" s="22" t="str">
        <f>VLOOKUP(Table8[[#This Row],[Mã khách hàng]],code_khach_hang[],2,0)</f>
        <v>CHI NHÁNH HÀ TĨNH - CÔNG TY CỔ PHẦN DỊCH VỤ THƯƠNG MẠI TỔNG HỢP WINCOMMERCE</v>
      </c>
      <c r="G3573" s="16"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c r="A3574" s="14" t="s">
        <v>12386</v>
      </c>
      <c r="B3574" s="9" t="s">
        <v>5</v>
      </c>
      <c r="C3574" s="16"/>
      <c r="D3574" s="21"/>
      <c r="E3574" s="32" t="s">
        <v>11216</v>
      </c>
      <c r="F3574" s="22" t="str">
        <f>VLOOKUP(Table8[[#This Row],[Mã khách hàng]],code_khach_hang[],2,0)</f>
        <v>CHI NHÁNH HƯNG YÊN - CÔNG TY CỔ PHẦN DỊCH VỤ THƯƠNG MẠI TỔNG HỢP WINCOMMERCE</v>
      </c>
      <c r="G3574" s="16"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c r="A3575" s="14" t="s">
        <v>12387</v>
      </c>
      <c r="B3575" s="9" t="s">
        <v>5</v>
      </c>
      <c r="C3575" s="16"/>
      <c r="D3575" s="21"/>
      <c r="E3575" s="32" t="s">
        <v>11196</v>
      </c>
      <c r="F3575" s="22" t="str">
        <f>VLOOKUP(Table8[[#This Row],[Mã khách hàng]],code_khach_hang[],2,0)</f>
        <v>CHI NHÁNH NINH BÌNH - CÔNG TY CỔ PHẦN DỊCH VỤ THƯƠNG MẠI TỔNG HỢP WINCOMMERCE</v>
      </c>
      <c r="G3575" s="16"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c r="A3576" s="14" t="s">
        <v>12388</v>
      </c>
      <c r="B3576" s="9" t="s">
        <v>5</v>
      </c>
      <c r="C3576" s="16"/>
      <c r="D3576" s="21"/>
      <c r="E3576" s="32" t="s">
        <v>11198</v>
      </c>
      <c r="F3576" s="22" t="str">
        <f>VLOOKUP(Table8[[#This Row],[Mã khách hàng]],code_khach_hang[],2,0)</f>
        <v>CHI NHÁNH HẢI PHÒNG - CÔNG TY CỔ PHẦN DỊCH VỤ THƯƠNG MẠI TỔNG HỢP WINCOMMERCE</v>
      </c>
      <c r="G3576" s="16"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c r="A3577" s="14" t="s">
        <v>12389</v>
      </c>
      <c r="B3577" s="9" t="s">
        <v>5</v>
      </c>
      <c r="C3577" s="16"/>
      <c r="D3577" s="21"/>
      <c r="E3577" s="32" t="s">
        <v>11207</v>
      </c>
      <c r="F3577" s="22" t="str">
        <f>VLOOKUP(Table8[[#This Row],[Mã khách hàng]],code_khach_hang[],2,0)</f>
        <v>CHI NHÁNH THÁI NGUYÊN - CÔNG TY CỔ PHẦN DỊCH VỤ THƯƠNG MẠI TỔNG HỢP WINCOMMERCE</v>
      </c>
      <c r="G3577" s="16"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c r="A3578" s="14" t="s">
        <v>12390</v>
      </c>
      <c r="B3578" s="9" t="s">
        <v>5</v>
      </c>
      <c r="C3578" s="16"/>
      <c r="D3578" s="21"/>
      <c r="E3578" s="32" t="s">
        <v>11196</v>
      </c>
      <c r="F3578" s="22" t="str">
        <f>VLOOKUP(Table8[[#This Row],[Mã khách hàng]],code_khach_hang[],2,0)</f>
        <v>CHI NHÁNH NINH BÌNH - CÔNG TY CỔ PHẦN DỊCH VỤ THƯƠNG MẠI TỔNG HỢP WINCOMMERCE</v>
      </c>
      <c r="G3578" s="16"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c r="A3579" s="14" t="s">
        <v>12391</v>
      </c>
      <c r="B3579" s="9" t="s">
        <v>5</v>
      </c>
      <c r="C3579" s="16"/>
      <c r="D3579" s="21"/>
      <c r="E3579" s="32" t="s">
        <v>11196</v>
      </c>
      <c r="F3579" s="22" t="str">
        <f>VLOOKUP(Table8[[#This Row],[Mã khách hàng]],code_khach_hang[],2,0)</f>
        <v>CHI NHÁNH NINH BÌNH - CÔNG TY CỔ PHẦN DỊCH VỤ THƯƠNG MẠI TỔNG HỢP WINCOMMERCE</v>
      </c>
      <c r="G3579" s="16"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c r="A3580" s="14" t="s">
        <v>12392</v>
      </c>
      <c r="B3580" s="9" t="s">
        <v>5</v>
      </c>
      <c r="C3580" s="16"/>
      <c r="D3580" s="21"/>
      <c r="E3580" s="32" t="s">
        <v>11199</v>
      </c>
      <c r="F3580" s="22" t="str">
        <f>VLOOKUP(Table8[[#This Row],[Mã khách hàng]],code_khach_hang[],2,0)</f>
        <v>CHI NHÁNH PHÚ THỌ - CÔNG TY CỔ PHẦN DỊCH VỤ THƯƠNG MẠI TỔNG HỢP WINCOMMERCE</v>
      </c>
      <c r="G3580" s="16"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c r="A3581" s="14" t="s">
        <v>12393</v>
      </c>
      <c r="B3581" s="9" t="s">
        <v>5</v>
      </c>
      <c r="C3581" s="16"/>
      <c r="D3581" s="21"/>
      <c r="E3581" s="32" t="s">
        <v>11198</v>
      </c>
      <c r="F3581" s="22" t="str">
        <f>VLOOKUP(Table8[[#This Row],[Mã khách hàng]],code_khach_hang[],2,0)</f>
        <v>CHI NHÁNH HẢI PHÒNG - CÔNG TY CỔ PHẦN DỊCH VỤ THƯƠNG MẠI TỔNG HỢP WINCOMMERCE</v>
      </c>
      <c r="G3581" s="16"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c r="A3582" s="14" t="s">
        <v>12394</v>
      </c>
      <c r="B3582" s="9" t="s">
        <v>5</v>
      </c>
      <c r="C3582" s="16"/>
      <c r="D3582" s="21"/>
      <c r="E3582" s="32" t="s">
        <v>11196</v>
      </c>
      <c r="F3582" s="22" t="str">
        <f>VLOOKUP(Table8[[#This Row],[Mã khách hàng]],code_khach_hang[],2,0)</f>
        <v>CHI NHÁNH NINH BÌNH - CÔNG TY CỔ PHẦN DỊCH VỤ THƯƠNG MẠI TỔNG HỢP WINCOMMERCE</v>
      </c>
      <c r="G3582" s="16"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c r="A3583" s="14" t="s">
        <v>12395</v>
      </c>
      <c r="B3583" s="9" t="s">
        <v>5</v>
      </c>
      <c r="C3583" s="16"/>
      <c r="D3583" s="21"/>
      <c r="E3583" s="32" t="s">
        <v>11215</v>
      </c>
      <c r="F3583" s="22" t="str">
        <f>VLOOKUP(Table8[[#This Row],[Mã khách hàng]],code_khach_hang[],2,0)</f>
        <v>CHI NHÁNH HÀ NỘI - CÔNG TY CỔ PHẦN DỊCH VỤ THƯƠNG MẠI TỔNG HỢP WINCOMMERCE</v>
      </c>
      <c r="G3583" s="16"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c r="A3584" s="14" t="s">
        <v>12396</v>
      </c>
      <c r="B3584" s="9" t="s">
        <v>5</v>
      </c>
      <c r="C3584" s="16"/>
      <c r="D3584" s="21"/>
      <c r="E3584" s="32" t="s">
        <v>11193</v>
      </c>
      <c r="F3584" s="22" t="str">
        <f>VLOOKUP(Table8[[#This Row],[Mã khách hàng]],code_khach_hang[],2,0)</f>
        <v>CHI NHÁNH BẮC NINH - CÔNG TY CỔ PHẦN DỊCH VỤ THƯƠNG MẠI TỔNG HỢP WINCOMMERCE</v>
      </c>
      <c r="G3584" s="16"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c r="A3585" s="14" t="s">
        <v>12397</v>
      </c>
      <c r="B3585" s="9" t="s">
        <v>5</v>
      </c>
      <c r="C3585" s="16"/>
      <c r="D3585" s="21"/>
      <c r="E3585" s="32" t="s">
        <v>11193</v>
      </c>
      <c r="F3585" s="22" t="str">
        <f>VLOOKUP(Table8[[#This Row],[Mã khách hàng]],code_khach_hang[],2,0)</f>
        <v>CHI NHÁNH BẮC NINH - CÔNG TY CỔ PHẦN DỊCH VỤ THƯƠNG MẠI TỔNG HỢP WINCOMMERCE</v>
      </c>
      <c r="G3585" s="16"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c r="A3586" s="14" t="s">
        <v>12398</v>
      </c>
      <c r="B3586" s="9" t="s">
        <v>5</v>
      </c>
      <c r="C3586" s="16"/>
      <c r="D3586" s="21"/>
      <c r="E3586" s="32" t="s">
        <v>11196</v>
      </c>
      <c r="F3586" s="22" t="str">
        <f>VLOOKUP(Table8[[#This Row],[Mã khách hàng]],code_khach_hang[],2,0)</f>
        <v>CHI NHÁNH NINH BÌNH - CÔNG TY CỔ PHẦN DỊCH VỤ THƯƠNG MẠI TỔNG HỢP WINCOMMERCE</v>
      </c>
      <c r="G3586" s="16"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c r="A3587" s="14" t="s">
        <v>12399</v>
      </c>
      <c r="B3587" s="9" t="s">
        <v>5</v>
      </c>
      <c r="C3587" s="16"/>
      <c r="D3587" s="21"/>
      <c r="E3587" s="32" t="s">
        <v>11216</v>
      </c>
      <c r="F3587" s="22" t="str">
        <f>VLOOKUP(Table8[[#This Row],[Mã khách hàng]],code_khach_hang[],2,0)</f>
        <v>CHI NHÁNH HƯNG YÊN - CÔNG TY CỔ PHẦN DỊCH VỤ THƯƠNG MẠI TỔNG HỢP WINCOMMERCE</v>
      </c>
      <c r="G3587" s="16"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c r="A3588" s="14" t="s">
        <v>12400</v>
      </c>
      <c r="B3588" s="9" t="s">
        <v>5</v>
      </c>
      <c r="C3588" s="16"/>
      <c r="D3588" s="21"/>
      <c r="E3588" s="32" t="s">
        <v>11198</v>
      </c>
      <c r="F3588" s="22" t="str">
        <f>VLOOKUP(Table8[[#This Row],[Mã khách hàng]],code_khach_hang[],2,0)</f>
        <v>CHI NHÁNH HẢI PHÒNG - CÔNG TY CỔ PHẦN DỊCH VỤ THƯƠNG MẠI TỔNG HỢP WINCOMMERCE</v>
      </c>
      <c r="G3588" s="16"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c r="A3589" s="14" t="s">
        <v>12401</v>
      </c>
      <c r="B3589" s="9" t="s">
        <v>5</v>
      </c>
      <c r="C3589" s="16"/>
      <c r="D3589" s="21"/>
      <c r="E3589" s="32" t="s">
        <v>11216</v>
      </c>
      <c r="F3589" s="22" t="str">
        <f>VLOOKUP(Table8[[#This Row],[Mã khách hàng]],code_khach_hang[],2,0)</f>
        <v>CHI NHÁNH HƯNG YÊN - CÔNG TY CỔ PHẦN DỊCH VỤ THƯƠNG MẠI TỔNG HỢP WINCOMMERCE</v>
      </c>
      <c r="G3589" s="16"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c r="A3590" s="14" t="s">
        <v>12402</v>
      </c>
      <c r="B3590" s="9" t="s">
        <v>5</v>
      </c>
      <c r="C3590" s="16"/>
      <c r="D3590" s="21"/>
      <c r="E3590" s="32" t="s">
        <v>11211</v>
      </c>
      <c r="F3590" s="22" t="str">
        <f>VLOOKUP(Table8[[#This Row],[Mã khách hàng]],code_khach_hang[],2,0)</f>
        <v>CHI NHÁNH NGHỆ AN - CÔNG TY CỔ PHẦN DỊCH VỤ THƯƠNG MẠI TỔNG HỢP WINCOMMERCE</v>
      </c>
      <c r="G3590" s="16"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c r="A3591" s="14" t="s">
        <v>12403</v>
      </c>
      <c r="B3591" s="9" t="s">
        <v>5</v>
      </c>
      <c r="C3591" s="16"/>
      <c r="D3591" s="21"/>
      <c r="E3591" s="32" t="s">
        <v>11196</v>
      </c>
      <c r="F3591" s="22" t="str">
        <f>VLOOKUP(Table8[[#This Row],[Mã khách hàng]],code_khach_hang[],2,0)</f>
        <v>CHI NHÁNH NINH BÌNH - CÔNG TY CỔ PHẦN DỊCH VỤ THƯƠNG MẠI TỔNG HỢP WINCOMMERCE</v>
      </c>
      <c r="G3591" s="16"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c r="A3592" s="14" t="s">
        <v>12404</v>
      </c>
      <c r="B3592" s="9" t="s">
        <v>5</v>
      </c>
      <c r="C3592" s="16"/>
      <c r="D3592" s="21"/>
      <c r="E3592" s="32" t="s">
        <v>11216</v>
      </c>
      <c r="F3592" s="22" t="str">
        <f>VLOOKUP(Table8[[#This Row],[Mã khách hàng]],code_khach_hang[],2,0)</f>
        <v>CHI NHÁNH HƯNG YÊN - CÔNG TY CỔ PHẦN DỊCH VỤ THƯƠNG MẠI TỔNG HỢP WINCOMMERCE</v>
      </c>
      <c r="G3592" s="16"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c r="A3593" s="14" t="s">
        <v>12405</v>
      </c>
      <c r="B3593" s="9" t="s">
        <v>5</v>
      </c>
      <c r="C3593" s="16"/>
      <c r="D3593" s="21"/>
      <c r="E3593" s="32" t="s">
        <v>11215</v>
      </c>
      <c r="F3593" s="22" t="str">
        <f>VLOOKUP(Table8[[#This Row],[Mã khách hàng]],code_khach_hang[],2,0)</f>
        <v>CHI NHÁNH HÀ NỘI - CÔNG TY CỔ PHẦN DỊCH VỤ THƯƠNG MẠI TỔNG HỢP WINCOMMERCE</v>
      </c>
      <c r="G3593" s="16"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c r="A3594" s="14" t="s">
        <v>12406</v>
      </c>
      <c r="B3594" s="9" t="s">
        <v>5</v>
      </c>
      <c r="C3594" s="16"/>
      <c r="D3594" s="21"/>
      <c r="E3594" s="32" t="s">
        <v>11215</v>
      </c>
      <c r="F3594" s="22" t="str">
        <f>VLOOKUP(Table8[[#This Row],[Mã khách hàng]],code_khach_hang[],2,0)</f>
        <v>CHI NHÁNH HÀ NỘI - CÔNG TY CỔ PHẦN DỊCH VỤ THƯƠNG MẠI TỔNG HỢP WINCOMMERCE</v>
      </c>
      <c r="G3594" s="16"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c r="A3595" s="14" t="s">
        <v>12407</v>
      </c>
      <c r="B3595" s="9" t="s">
        <v>5</v>
      </c>
      <c r="C3595" s="16"/>
      <c r="D3595" s="21"/>
      <c r="E3595" s="32" t="s">
        <v>11215</v>
      </c>
      <c r="F3595" s="22" t="str">
        <f>VLOOKUP(Table8[[#This Row],[Mã khách hàng]],code_khach_hang[],2,0)</f>
        <v>CHI NHÁNH HÀ NỘI - CÔNG TY CỔ PHẦN DỊCH VỤ THƯƠNG MẠI TỔNG HỢP WINCOMMERCE</v>
      </c>
      <c r="G3595" s="16"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c r="A3596" s="14" t="s">
        <v>12408</v>
      </c>
      <c r="B3596" s="9" t="s">
        <v>5</v>
      </c>
      <c r="C3596" s="16"/>
      <c r="D3596" s="21"/>
      <c r="E3596" s="32" t="s">
        <v>11198</v>
      </c>
      <c r="F3596" s="22" t="str">
        <f>VLOOKUP(Table8[[#This Row],[Mã khách hàng]],code_khach_hang[],2,0)</f>
        <v>CHI NHÁNH HẢI PHÒNG - CÔNG TY CỔ PHẦN DỊCH VỤ THƯƠNG MẠI TỔNG HỢP WINCOMMERCE</v>
      </c>
      <c r="G3596" s="16"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c r="A3597" s="14" t="s">
        <v>12409</v>
      </c>
      <c r="B3597" s="9" t="s">
        <v>5</v>
      </c>
      <c r="C3597" s="16"/>
      <c r="D3597" s="21"/>
      <c r="E3597" s="32" t="s">
        <v>11215</v>
      </c>
      <c r="F3597" s="22" t="str">
        <f>VLOOKUP(Table8[[#This Row],[Mã khách hàng]],code_khach_hang[],2,0)</f>
        <v>CHI NHÁNH HÀ NỘI - CÔNG TY CỔ PHẦN DỊCH VỤ THƯƠNG MẠI TỔNG HỢP WINCOMMERCE</v>
      </c>
      <c r="G3597" s="16"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c r="A3598" s="14" t="s">
        <v>12410</v>
      </c>
      <c r="B3598" s="9" t="s">
        <v>5</v>
      </c>
      <c r="C3598" s="16"/>
      <c r="D3598" s="21"/>
      <c r="E3598" s="33" t="s">
        <v>11207</v>
      </c>
      <c r="F3598" s="22" t="str">
        <f>VLOOKUP(Table8[[#This Row],[Mã khách hàng]],code_khach_hang[],2,0)</f>
        <v>CHI NHÁNH THÁI NGUYÊN - CÔNG TY CỔ PHẦN DỊCH VỤ THƯƠNG MẠI TỔNG HỢP WINCOMMERCE</v>
      </c>
      <c r="G3598" s="16"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c r="A3599" s="14" t="s">
        <v>12411</v>
      </c>
      <c r="B3599" s="9" t="s">
        <v>5</v>
      </c>
      <c r="C3599" s="16"/>
      <c r="D3599" s="21"/>
      <c r="E3599" s="32" t="s">
        <v>11216</v>
      </c>
      <c r="F3599" s="22" t="str">
        <f>VLOOKUP(Table8[[#This Row],[Mã khách hàng]],code_khach_hang[],2,0)</f>
        <v>CHI NHÁNH HƯNG YÊN - CÔNG TY CỔ PHẦN DỊCH VỤ THƯƠNG MẠI TỔNG HỢP WINCOMMERCE</v>
      </c>
      <c r="G3599" s="16"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c r="A3600" s="14" t="s">
        <v>12412</v>
      </c>
      <c r="B3600" s="9" t="s">
        <v>5</v>
      </c>
      <c r="C3600" s="16"/>
      <c r="D3600" s="21"/>
      <c r="E3600" s="32" t="s">
        <v>11216</v>
      </c>
      <c r="F3600" s="22" t="str">
        <f>VLOOKUP(Table8[[#This Row],[Mã khách hàng]],code_khach_hang[],2,0)</f>
        <v>CHI NHÁNH HƯNG YÊN - CÔNG TY CỔ PHẦN DỊCH VỤ THƯƠNG MẠI TỔNG HỢP WINCOMMERCE</v>
      </c>
      <c r="G3600" s="16"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c r="A3601" s="14" t="s">
        <v>12413</v>
      </c>
      <c r="B3601" s="9" t="s">
        <v>5</v>
      </c>
      <c r="C3601" s="16"/>
      <c r="D3601" s="21"/>
      <c r="E3601" s="32" t="s">
        <v>11196</v>
      </c>
      <c r="F3601" s="22" t="str">
        <f>VLOOKUP(Table8[[#This Row],[Mã khách hàng]],code_khach_hang[],2,0)</f>
        <v>CHI NHÁNH NINH BÌNH - CÔNG TY CỔ PHẦN DỊCH VỤ THƯƠNG MẠI TỔNG HỢP WINCOMMERCE</v>
      </c>
      <c r="G3601" s="16"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c r="A3602" s="14" t="s">
        <v>12414</v>
      </c>
      <c r="B3602" s="9" t="s">
        <v>5</v>
      </c>
      <c r="C3602" s="16"/>
      <c r="D3602" s="21"/>
      <c r="E3602" s="15" t="s">
        <v>11199</v>
      </c>
      <c r="F3602" s="22" t="str">
        <f>VLOOKUP(Table8[[#This Row],[Mã khách hàng]],code_khach_hang[],2,0)</f>
        <v>CHI NHÁNH PHÚ THỌ - CÔNG TY CỔ PHẦN DỊCH VỤ THƯƠNG MẠI TỔNG HỢP WINCOMMERCE</v>
      </c>
      <c r="G3602" s="16"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c r="A3603" s="14" t="s">
        <v>12415</v>
      </c>
      <c r="B3603" s="9" t="s">
        <v>5</v>
      </c>
      <c r="C3603" s="16"/>
      <c r="D3603" s="21"/>
      <c r="E3603" s="32" t="s">
        <v>11198</v>
      </c>
      <c r="F3603" s="22" t="str">
        <f>VLOOKUP(Table8[[#This Row],[Mã khách hàng]],code_khach_hang[],2,0)</f>
        <v>CHI NHÁNH HẢI PHÒNG - CÔNG TY CỔ PHẦN DỊCH VỤ THƯƠNG MẠI TỔNG HỢP WINCOMMERCE</v>
      </c>
      <c r="G3603" s="16"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c r="A3604" s="14" t="s">
        <v>12416</v>
      </c>
      <c r="B3604" s="9" t="s">
        <v>5</v>
      </c>
      <c r="C3604" s="16"/>
      <c r="D3604" s="21"/>
      <c r="E3604" s="32" t="s">
        <v>11196</v>
      </c>
      <c r="F3604" s="22" t="str">
        <f>VLOOKUP(Table8[[#This Row],[Mã khách hàng]],code_khach_hang[],2,0)</f>
        <v>CHI NHÁNH NINH BÌNH - CÔNG TY CỔ PHẦN DỊCH VỤ THƯƠNG MẠI TỔNG HỢP WINCOMMERCE</v>
      </c>
      <c r="G3604" s="16"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c r="A3605" s="14" t="s">
        <v>12417</v>
      </c>
      <c r="B3605" s="9" t="s">
        <v>5</v>
      </c>
      <c r="C3605" s="16"/>
      <c r="D3605" s="21"/>
      <c r="E3605" s="32" t="s">
        <v>11196</v>
      </c>
      <c r="F3605" s="22" t="str">
        <f>VLOOKUP(Table8[[#This Row],[Mã khách hàng]],code_khach_hang[],2,0)</f>
        <v>CHI NHÁNH NINH BÌNH - CÔNG TY CỔ PHẦN DỊCH VỤ THƯƠNG MẠI TỔNG HỢP WINCOMMERCE</v>
      </c>
      <c r="G3605" s="16"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c r="A3606" s="14" t="s">
        <v>12418</v>
      </c>
      <c r="B3606" s="9" t="s">
        <v>5</v>
      </c>
      <c r="C3606" s="16"/>
      <c r="D3606" s="21"/>
      <c r="E3606" s="32" t="s">
        <v>11206</v>
      </c>
      <c r="F3606" s="22" t="str">
        <f>VLOOKUP(Table8[[#This Row],[Mã khách hàng]],code_khach_hang[],2,0)</f>
        <v>CHI NHÁNH SƠN LA - CÔNG TY CỔ PHẦN DỊCH VỤ THƯƠNG MẠI TỔNG HỢP WINCOMMERCE</v>
      </c>
      <c r="G3606" s="16"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c r="A3607" s="14" t="s">
        <v>12419</v>
      </c>
      <c r="B3607" s="9" t="s">
        <v>5</v>
      </c>
      <c r="C3607" s="16"/>
      <c r="D3607" s="21"/>
      <c r="E3607" s="32" t="s">
        <v>11204</v>
      </c>
      <c r="F3607" s="22" t="str">
        <f>VLOOKUP(Table8[[#This Row],[Mã khách hàng]],code_khach_hang[],2,0)</f>
        <v>CHI NHÁNH TUYÊN QUANG - CÔNG TY CỔ PHẦN DỊCH VỤ THƯƠNG MẠI TỔNG HỢP WINCOMMERCE</v>
      </c>
      <c r="G3607" s="16"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c r="A3608" s="14" t="s">
        <v>12420</v>
      </c>
      <c r="B3608" s="9" t="s">
        <v>5</v>
      </c>
      <c r="C3608" s="16"/>
      <c r="D3608" s="21"/>
      <c r="E3608" s="32" t="s">
        <v>11211</v>
      </c>
      <c r="F3608" s="22" t="str">
        <f>VLOOKUP(Table8[[#This Row],[Mã khách hàng]],code_khach_hang[],2,0)</f>
        <v>CHI NHÁNH NGHỆ AN - CÔNG TY CỔ PHẦN DỊCH VỤ THƯƠNG MẠI TỔNG HỢP WINCOMMERCE</v>
      </c>
      <c r="G3608" s="16"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c r="A3609" s="14" t="s">
        <v>12421</v>
      </c>
      <c r="B3609" s="9" t="s">
        <v>5</v>
      </c>
      <c r="C3609" s="16"/>
      <c r="D3609" s="21"/>
      <c r="E3609" s="32" t="s">
        <v>11196</v>
      </c>
      <c r="F3609" s="22" t="str">
        <f>VLOOKUP(Table8[[#This Row],[Mã khách hàng]],code_khach_hang[],2,0)</f>
        <v>CHI NHÁNH NINH BÌNH - CÔNG TY CỔ PHẦN DỊCH VỤ THƯƠNG MẠI TỔNG HỢP WINCOMMERCE</v>
      </c>
      <c r="G3609" s="16"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c r="A3610" s="14" t="s">
        <v>12422</v>
      </c>
      <c r="B3610" s="9" t="s">
        <v>5</v>
      </c>
      <c r="C3610" s="16"/>
      <c r="D3610" s="21"/>
      <c r="E3610" s="32" t="s">
        <v>11197</v>
      </c>
      <c r="F3610" s="22" t="str">
        <f>VLOOKUP(Table8[[#This Row],[Mã khách hàng]],code_khach_hang[],2,0)</f>
        <v>CHI NHÁNH QUẢNG NINH - CÔNG TY CỔ PHẦN DỊCH VỤ THƯƠNG MẠI TỔNG HỢP WINCOMMERCE</v>
      </c>
      <c r="G3610" s="16"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c r="A3611" s="14" t="s">
        <v>12423</v>
      </c>
      <c r="B3611" s="9" t="s">
        <v>5</v>
      </c>
      <c r="C3611" s="16"/>
      <c r="D3611" s="21"/>
      <c r="E3611" s="32" t="s">
        <v>11215</v>
      </c>
      <c r="F3611" s="22" t="str">
        <f>VLOOKUP(Table8[[#This Row],[Mã khách hàng]],code_khach_hang[],2,0)</f>
        <v>CHI NHÁNH HÀ NỘI - CÔNG TY CỔ PHẦN DỊCH VỤ THƯƠNG MẠI TỔNG HỢP WINCOMMERCE</v>
      </c>
      <c r="G3611" s="16"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c r="A3612" s="14" t="s">
        <v>12424</v>
      </c>
      <c r="B3612" s="9" t="s">
        <v>5</v>
      </c>
      <c r="C3612" s="16"/>
      <c r="D3612" s="21"/>
      <c r="E3612" s="32" t="s">
        <v>11215</v>
      </c>
      <c r="F3612" s="22" t="str">
        <f>VLOOKUP(Table8[[#This Row],[Mã khách hàng]],code_khach_hang[],2,0)</f>
        <v>CHI NHÁNH HÀ NỘI - CÔNG TY CỔ PHẦN DỊCH VỤ THƯƠNG MẠI TỔNG HỢP WINCOMMERCE</v>
      </c>
      <c r="G3612" s="16"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c r="A3613" s="14" t="s">
        <v>12425</v>
      </c>
      <c r="B3613" s="9" t="s">
        <v>5</v>
      </c>
      <c r="C3613" s="16"/>
      <c r="D3613" s="21"/>
      <c r="E3613" s="32" t="s">
        <v>11215</v>
      </c>
      <c r="F3613" s="22" t="str">
        <f>VLOOKUP(Table8[[#This Row],[Mã khách hàng]],code_khach_hang[],2,0)</f>
        <v>CHI NHÁNH HÀ NỘI - CÔNG TY CỔ PHẦN DỊCH VỤ THƯƠNG MẠI TỔNG HỢP WINCOMMERCE</v>
      </c>
      <c r="G3613" s="16"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c r="A3614" s="14" t="s">
        <v>12426</v>
      </c>
      <c r="B3614" s="9" t="s">
        <v>5</v>
      </c>
      <c r="C3614" s="16"/>
      <c r="D3614" s="21"/>
      <c r="E3614" s="32" t="s">
        <v>11196</v>
      </c>
      <c r="F3614" s="22" t="str">
        <f>VLOOKUP(Table8[[#This Row],[Mã khách hàng]],code_khach_hang[],2,0)</f>
        <v>CHI NHÁNH NINH BÌNH - CÔNG TY CỔ PHẦN DỊCH VỤ THƯƠNG MẠI TỔNG HỢP WINCOMMERCE</v>
      </c>
      <c r="G3614" s="16"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c r="A3615" s="14" t="s">
        <v>12427</v>
      </c>
      <c r="B3615" s="9" t="s">
        <v>5</v>
      </c>
      <c r="C3615" s="16"/>
      <c r="D3615" s="21"/>
      <c r="E3615" s="32" t="s">
        <v>11216</v>
      </c>
      <c r="F3615" s="22" t="str">
        <f>VLOOKUP(Table8[[#This Row],[Mã khách hàng]],code_khach_hang[],2,0)</f>
        <v>CHI NHÁNH HƯNG YÊN - CÔNG TY CỔ PHẦN DỊCH VỤ THƯƠNG MẠI TỔNG HỢP WINCOMMERCE</v>
      </c>
      <c r="G3615" s="16"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c r="A3616" s="14" t="s">
        <v>12428</v>
      </c>
      <c r="B3616" s="9" t="s">
        <v>5</v>
      </c>
      <c r="C3616" s="16"/>
      <c r="D3616" s="21"/>
      <c r="E3616" s="32" t="s">
        <v>11216</v>
      </c>
      <c r="F3616" s="22" t="str">
        <f>VLOOKUP(Table8[[#This Row],[Mã khách hàng]],code_khach_hang[],2,0)</f>
        <v>CHI NHÁNH HƯNG YÊN - CÔNG TY CỔ PHẦN DỊCH VỤ THƯƠNG MẠI TỔNG HỢP WINCOMMERCE</v>
      </c>
      <c r="G3616" s="16"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c r="A3617" s="14" t="s">
        <v>12429</v>
      </c>
      <c r="B3617" s="9" t="s">
        <v>5</v>
      </c>
      <c r="C3617" s="16"/>
      <c r="D3617" s="21"/>
      <c r="E3617" s="32" t="s">
        <v>11198</v>
      </c>
      <c r="F3617" s="22" t="str">
        <f>VLOOKUP(Table8[[#This Row],[Mã khách hàng]],code_khach_hang[],2,0)</f>
        <v>CHI NHÁNH HẢI PHÒNG - CÔNG TY CỔ PHẦN DỊCH VỤ THƯƠNG MẠI TỔNG HỢP WINCOMMERCE</v>
      </c>
      <c r="G3617" s="16"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c r="A3618" s="14" t="s">
        <v>12430</v>
      </c>
      <c r="B3618" s="9" t="s">
        <v>5</v>
      </c>
      <c r="C3618" s="16"/>
      <c r="D3618" s="21"/>
      <c r="E3618" s="32" t="s">
        <v>11193</v>
      </c>
      <c r="F3618" s="22" t="str">
        <f>VLOOKUP(Table8[[#This Row],[Mã khách hàng]],code_khach_hang[],2,0)</f>
        <v>CHI NHÁNH BẮC NINH - CÔNG TY CỔ PHẦN DỊCH VỤ THƯƠNG MẠI TỔNG HỢP WINCOMMERCE</v>
      </c>
      <c r="G3618" s="16"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c r="A3619" s="14" t="s">
        <v>12431</v>
      </c>
      <c r="B3619" s="9" t="s">
        <v>5</v>
      </c>
      <c r="C3619" s="16"/>
      <c r="D3619" s="21"/>
      <c r="E3619" s="32" t="s">
        <v>11193</v>
      </c>
      <c r="F3619" s="22" t="str">
        <f>VLOOKUP(Table8[[#This Row],[Mã khách hàng]],code_khach_hang[],2,0)</f>
        <v>CHI NHÁNH BẮC NINH - CÔNG TY CỔ PHẦN DỊCH VỤ THƯƠNG MẠI TỔNG HỢP WINCOMMERCE</v>
      </c>
      <c r="G3619" s="16"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c r="A3620" s="11" t="s">
        <v>12432</v>
      </c>
      <c r="B3620" s="9" t="s">
        <v>5</v>
      </c>
      <c r="C3620" s="10"/>
      <c r="D3620" s="21"/>
      <c r="E3620" s="31" t="s">
        <v>11211</v>
      </c>
      <c r="F3620" s="22" t="str">
        <f>VLOOKUP(Table8[[#This Row],[Mã khách hàng]],code_khach_hang[],2,0)</f>
        <v>CHI NHÁNH NGHỆ AN - CÔNG TY CỔ PHẦN DỊCH VỤ THƯƠNG MẠI TỔNG HỢP WINCOMMERCE</v>
      </c>
      <c r="G3620" s="10"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c r="A3621" s="14" t="s">
        <v>12433</v>
      </c>
      <c r="B3621" s="9" t="s">
        <v>5</v>
      </c>
      <c r="C3621" s="16"/>
      <c r="D3621" s="21"/>
      <c r="E3621" s="32" t="s">
        <v>11193</v>
      </c>
      <c r="F3621" s="22" t="str">
        <f>VLOOKUP(Table8[[#This Row],[Mã khách hàng]],code_khach_hang[],2,0)</f>
        <v>CHI NHÁNH BẮC NINH - CÔNG TY CỔ PHẦN DỊCH VỤ THƯƠNG MẠI TỔNG HỢP WINCOMMERCE</v>
      </c>
      <c r="G3621" s="16"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c r="A3622" s="14" t="s">
        <v>12434</v>
      </c>
      <c r="B3622" s="9" t="s">
        <v>5</v>
      </c>
      <c r="C3622" s="16"/>
      <c r="D3622" s="21"/>
      <c r="E3622" s="32" t="s">
        <v>11193</v>
      </c>
      <c r="F3622" s="22" t="str">
        <f>VLOOKUP(Table8[[#This Row],[Mã khách hàng]],code_khach_hang[],2,0)</f>
        <v>CHI NHÁNH BẮC NINH - CÔNG TY CỔ PHẦN DỊCH VỤ THƯƠNG MẠI TỔNG HỢP WINCOMMERCE</v>
      </c>
      <c r="G3622" s="16"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c r="A3623" s="14" t="s">
        <v>12435</v>
      </c>
      <c r="B3623" s="9" t="s">
        <v>5</v>
      </c>
      <c r="C3623" s="16"/>
      <c r="D3623" s="21"/>
      <c r="E3623" s="32" t="s">
        <v>11196</v>
      </c>
      <c r="F3623" s="22" t="str">
        <f>VLOOKUP(Table8[[#This Row],[Mã khách hàng]],code_khach_hang[],2,0)</f>
        <v>CHI NHÁNH NINH BÌNH - CÔNG TY CỔ PHẦN DỊCH VỤ THƯƠNG MẠI TỔNG HỢP WINCOMMERCE</v>
      </c>
      <c r="G3623" s="16"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c r="A3624" s="14" t="s">
        <v>12436</v>
      </c>
      <c r="B3624" s="9" t="s">
        <v>5</v>
      </c>
      <c r="C3624" s="16"/>
      <c r="D3624" s="21"/>
      <c r="E3624" s="32" t="s">
        <v>11199</v>
      </c>
      <c r="F3624" s="22" t="str">
        <f>VLOOKUP(Table8[[#This Row],[Mã khách hàng]],code_khach_hang[],2,0)</f>
        <v>CHI NHÁNH PHÚ THỌ - CÔNG TY CỔ PHẦN DỊCH VỤ THƯƠNG MẠI TỔNG HỢP WINCOMMERCE</v>
      </c>
      <c r="G3624" s="16"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c r="A3625" s="14" t="s">
        <v>12437</v>
      </c>
      <c r="B3625" s="9" t="s">
        <v>5</v>
      </c>
      <c r="C3625" s="16"/>
      <c r="D3625" s="21"/>
      <c r="E3625" s="32" t="s">
        <v>11196</v>
      </c>
      <c r="F3625" s="22" t="str">
        <f>VLOOKUP(Table8[[#This Row],[Mã khách hàng]],code_khach_hang[],2,0)</f>
        <v>CHI NHÁNH NINH BÌNH - CÔNG TY CỔ PHẦN DỊCH VỤ THƯƠNG MẠI TỔNG HỢP WINCOMMERCE</v>
      </c>
      <c r="G3625" s="16"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c r="A3626" s="11" t="s">
        <v>12441</v>
      </c>
      <c r="B3626" s="9" t="s">
        <v>5</v>
      </c>
      <c r="C3626" s="10"/>
      <c r="D3626" s="21"/>
      <c r="E3626" s="31" t="s">
        <v>11211</v>
      </c>
      <c r="F3626" s="22" t="str">
        <f>VLOOKUP(Table8[[#This Row],[Mã khách hàng]],code_khach_hang[],2,0)</f>
        <v>CHI NHÁNH NGHỆ AN - CÔNG TY CỔ PHẦN DỊCH VỤ THƯƠNG MẠI TỔNG HỢP WINCOMMERCE</v>
      </c>
      <c r="G3626" s="10"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c r="A3627" s="14" t="s">
        <v>12442</v>
      </c>
      <c r="B3627" s="9" t="s">
        <v>5</v>
      </c>
      <c r="C3627" s="16"/>
      <c r="D3627" s="21"/>
      <c r="E3627" s="32" t="s">
        <v>11193</v>
      </c>
      <c r="F3627" s="22" t="str">
        <f>VLOOKUP(Table8[[#This Row],[Mã khách hàng]],code_khach_hang[],2,0)</f>
        <v>CHI NHÁNH BẮC NINH - CÔNG TY CỔ PHẦN DỊCH VỤ THƯƠNG MẠI TỔNG HỢP WINCOMMERCE</v>
      </c>
      <c r="G3627" s="16"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c r="A3628" s="14" t="s">
        <v>12443</v>
      </c>
      <c r="B3628" s="9" t="s">
        <v>5</v>
      </c>
      <c r="C3628" s="16"/>
      <c r="D3628" s="21"/>
      <c r="E3628" s="32" t="s">
        <v>11215</v>
      </c>
      <c r="F3628" s="22" t="str">
        <f>VLOOKUP(Table8[[#This Row],[Mã khách hàng]],code_khach_hang[],2,0)</f>
        <v>CHI NHÁNH HÀ NỘI - CÔNG TY CỔ PHẦN DỊCH VỤ THƯƠNG MẠI TỔNG HỢP WINCOMMERCE</v>
      </c>
      <c r="G3628" s="16"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c r="A3629" s="14" t="s">
        <v>12444</v>
      </c>
      <c r="B3629" s="9" t="s">
        <v>5</v>
      </c>
      <c r="C3629" s="16"/>
      <c r="D3629" s="21"/>
      <c r="E3629" s="32" t="s">
        <v>11198</v>
      </c>
      <c r="F3629" s="22" t="str">
        <f>VLOOKUP(Table8[[#This Row],[Mã khách hàng]],code_khach_hang[],2,0)</f>
        <v>CHI NHÁNH HẢI PHÒNG - CÔNG TY CỔ PHẦN DỊCH VỤ THƯƠNG MẠI TỔNG HỢP WINCOMMERCE</v>
      </c>
      <c r="G3629" s="16"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c r="A3630" s="14" t="s">
        <v>12445</v>
      </c>
      <c r="B3630" s="9" t="s">
        <v>5</v>
      </c>
      <c r="C3630" s="16"/>
      <c r="D3630" s="21"/>
      <c r="E3630" s="32" t="s">
        <v>11211</v>
      </c>
      <c r="F3630" s="22" t="str">
        <f>VLOOKUP(Table8[[#This Row],[Mã khách hàng]],code_khach_hang[],2,0)</f>
        <v>CHI NHÁNH NGHỆ AN - CÔNG TY CỔ PHẦN DỊCH VỤ THƯƠNG MẠI TỔNG HỢP WINCOMMERCE</v>
      </c>
      <c r="G3630" s="16"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c r="A3631" s="14" t="s">
        <v>12446</v>
      </c>
      <c r="B3631" s="9" t="s">
        <v>5</v>
      </c>
      <c r="C3631" s="16"/>
      <c r="D3631" s="21"/>
      <c r="E3631" s="32" t="s">
        <v>11203</v>
      </c>
      <c r="F3631" s="22" t="str">
        <f>VLOOKUP(Table8[[#This Row],[Mã khách hàng]],code_khach_hang[],2,0)</f>
        <v>CHI NHÁNH THANH HÓA - CÔNG TY CỔ PHẦN DỊCH VỤ THƯƠNG MẠI TỔNG HỢP WINCOMMERCE</v>
      </c>
      <c r="G3631" s="16"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c r="A3632" s="14" t="s">
        <v>12447</v>
      </c>
      <c r="B3632" s="9" t="s">
        <v>5</v>
      </c>
      <c r="C3632" s="16"/>
      <c r="D3632" s="21"/>
      <c r="E3632" s="32" t="s">
        <v>11193</v>
      </c>
      <c r="F3632" s="22" t="str">
        <f>VLOOKUP(Table8[[#This Row],[Mã khách hàng]],code_khach_hang[],2,0)</f>
        <v>CHI NHÁNH BẮC NINH - CÔNG TY CỔ PHẦN DỊCH VỤ THƯƠNG MẠI TỔNG HỢP WINCOMMERCE</v>
      </c>
      <c r="G3632" s="16"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c r="A3633" s="14" t="s">
        <v>12448</v>
      </c>
      <c r="B3633" s="9" t="s">
        <v>5</v>
      </c>
      <c r="C3633" s="16"/>
      <c r="D3633" s="21"/>
      <c r="E3633" s="32" t="s">
        <v>11199</v>
      </c>
      <c r="F3633" s="22" t="str">
        <f>VLOOKUP(Table8[[#This Row],[Mã khách hàng]],code_khach_hang[],2,0)</f>
        <v>CHI NHÁNH PHÚ THỌ - CÔNG TY CỔ PHẦN DỊCH VỤ THƯƠNG MẠI TỔNG HỢP WINCOMMERCE</v>
      </c>
      <c r="G3633" s="16"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c r="A3634" s="14" t="s">
        <v>12449</v>
      </c>
      <c r="B3634" s="9" t="s">
        <v>5</v>
      </c>
      <c r="C3634" s="16"/>
      <c r="D3634" s="21"/>
      <c r="E3634" s="32" t="s">
        <v>11215</v>
      </c>
      <c r="F3634" s="22" t="str">
        <f>VLOOKUP(Table8[[#This Row],[Mã khách hàng]],code_khach_hang[],2,0)</f>
        <v>CHI NHÁNH HÀ NỘI - CÔNG TY CỔ PHẦN DỊCH VỤ THƯƠNG MẠI TỔNG HỢP WINCOMMERCE</v>
      </c>
      <c r="G3634" s="16"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c r="A3635" s="14" t="s">
        <v>12450</v>
      </c>
      <c r="B3635" s="9" t="s">
        <v>5</v>
      </c>
      <c r="C3635" s="16"/>
      <c r="D3635" s="21"/>
      <c r="E3635" s="32" t="s">
        <v>11199</v>
      </c>
      <c r="F3635" s="22" t="str">
        <f>VLOOKUP(Table8[[#This Row],[Mã khách hàng]],code_khach_hang[],2,0)</f>
        <v>CHI NHÁNH PHÚ THỌ - CÔNG TY CỔ PHẦN DỊCH VỤ THƯƠNG MẠI TỔNG HỢP WINCOMMERCE</v>
      </c>
      <c r="G3635" s="16"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c r="A3636" s="14" t="s">
        <v>12451</v>
      </c>
      <c r="B3636" s="9" t="s">
        <v>5</v>
      </c>
      <c r="C3636" s="16"/>
      <c r="D3636" s="21"/>
      <c r="E3636" s="32" t="s">
        <v>11193</v>
      </c>
      <c r="F3636" s="22" t="str">
        <f>VLOOKUP(Table8[[#This Row],[Mã khách hàng]],code_khach_hang[],2,0)</f>
        <v>CHI NHÁNH BẮC NINH - CÔNG TY CỔ PHẦN DỊCH VỤ THƯƠNG MẠI TỔNG HỢP WINCOMMERCE</v>
      </c>
      <c r="G3636" s="16"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c r="A3637" s="14" t="s">
        <v>12452</v>
      </c>
      <c r="B3637" s="9" t="s">
        <v>5</v>
      </c>
      <c r="C3637" s="16"/>
      <c r="D3637" s="21"/>
      <c r="E3637" s="32" t="s">
        <v>11196</v>
      </c>
      <c r="F3637" s="22" t="str">
        <f>VLOOKUP(Table8[[#This Row],[Mã khách hàng]],code_khach_hang[],2,0)</f>
        <v>CHI NHÁNH NINH BÌNH - CÔNG TY CỔ PHẦN DỊCH VỤ THƯƠNG MẠI TỔNG HỢP WINCOMMERCE</v>
      </c>
      <c r="G3637" s="16"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c r="A3638" s="14" t="s">
        <v>12453</v>
      </c>
      <c r="B3638" s="9" t="s">
        <v>5</v>
      </c>
      <c r="C3638" s="16"/>
      <c r="D3638" s="21"/>
      <c r="E3638" s="32" t="s">
        <v>11218</v>
      </c>
      <c r="F3638" s="22" t="str">
        <f>VLOOKUP(Table8[[#This Row],[Mã khách hàng]],code_khach_hang[],2,0)</f>
        <v>CHI NHÁNH LÀO CAI - CÔNG TY CỔ PHẦN DỊCH VỤ THƯƠNG MẠI TỔNG HỢP WINCOMMERCE</v>
      </c>
      <c r="G3638" s="16"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c r="A3639" s="14" t="s">
        <v>12454</v>
      </c>
      <c r="B3639" s="9" t="s">
        <v>5</v>
      </c>
      <c r="C3639" s="16"/>
      <c r="D3639" s="21"/>
      <c r="E3639" s="32" t="s">
        <v>11203</v>
      </c>
      <c r="F3639" s="22" t="str">
        <f>VLOOKUP(Table8[[#This Row],[Mã khách hàng]],code_khach_hang[],2,0)</f>
        <v>CHI NHÁNH THANH HÓA - CÔNG TY CỔ PHẦN DỊCH VỤ THƯƠNG MẠI TỔNG HỢP WINCOMMERCE</v>
      </c>
      <c r="G3639" s="16"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c r="A3640" s="11" t="s">
        <v>12477</v>
      </c>
      <c r="B3640" s="9" t="s">
        <v>5</v>
      </c>
      <c r="C3640" s="10"/>
      <c r="D3640" s="21"/>
      <c r="E3640" s="31" t="s">
        <v>11207</v>
      </c>
      <c r="F3640" s="22" t="str">
        <f>VLOOKUP(Table8[[#This Row],[Mã khách hàng]],code_khach_hang[],2,0)</f>
        <v>CHI NHÁNH THÁI NGUYÊN - CÔNG TY CỔ PHẦN DỊCH VỤ THƯƠNG MẠI TỔNG HỢP WINCOMMERCE</v>
      </c>
      <c r="G3640" s="10"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c r="A3641" s="14" t="s">
        <v>12478</v>
      </c>
      <c r="B3641" s="9" t="s">
        <v>5</v>
      </c>
      <c r="C3641" s="16"/>
      <c r="D3641" s="21"/>
      <c r="E3641" s="32" t="s">
        <v>11215</v>
      </c>
      <c r="F3641" s="22" t="str">
        <f>VLOOKUP(Table8[[#This Row],[Mã khách hàng]],code_khach_hang[],2,0)</f>
        <v>CHI NHÁNH HÀ NỘI - CÔNG TY CỔ PHẦN DỊCH VỤ THƯƠNG MẠI TỔNG HỢP WINCOMMERCE</v>
      </c>
      <c r="G3641" s="16"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c r="A3642" s="14" t="s">
        <v>12479</v>
      </c>
      <c r="B3642" s="9" t="s">
        <v>5</v>
      </c>
      <c r="C3642" s="16"/>
      <c r="D3642" s="21"/>
      <c r="E3642" s="32" t="s">
        <v>11193</v>
      </c>
      <c r="F3642" s="22" t="str">
        <f>VLOOKUP(Table8[[#This Row],[Mã khách hàng]],code_khach_hang[],2,0)</f>
        <v>CHI NHÁNH BẮC NINH - CÔNG TY CỔ PHẦN DỊCH VỤ THƯƠNG MẠI TỔNG HỢP WINCOMMERCE</v>
      </c>
      <c r="G3642" s="16"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c r="A3643" s="14" t="s">
        <v>12480</v>
      </c>
      <c r="B3643" s="9" t="s">
        <v>5</v>
      </c>
      <c r="C3643" s="16"/>
      <c r="D3643" s="21"/>
      <c r="E3643" s="32" t="s">
        <v>11216</v>
      </c>
      <c r="F3643" s="22" t="str">
        <f>VLOOKUP(Table8[[#This Row],[Mã khách hàng]],code_khach_hang[],2,0)</f>
        <v>CHI NHÁNH HƯNG YÊN - CÔNG TY CỔ PHẦN DỊCH VỤ THƯƠNG MẠI TỔNG HỢP WINCOMMERCE</v>
      </c>
      <c r="G3643" s="16"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c r="A3644" s="14" t="s">
        <v>12481</v>
      </c>
      <c r="B3644" s="9" t="s">
        <v>5</v>
      </c>
      <c r="C3644" s="16"/>
      <c r="D3644" s="21"/>
      <c r="E3644" s="32" t="s">
        <v>11203</v>
      </c>
      <c r="F3644" s="22" t="str">
        <f>VLOOKUP(Table8[[#This Row],[Mã khách hàng]],code_khach_hang[],2,0)</f>
        <v>CHI NHÁNH THANH HÓA - CÔNG TY CỔ PHẦN DỊCH VỤ THƯƠNG MẠI TỔNG HỢP WINCOMMERCE</v>
      </c>
      <c r="G3644" s="16"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c r="A3645" s="14" t="s">
        <v>12482</v>
      </c>
      <c r="B3645" s="9" t="s">
        <v>5</v>
      </c>
      <c r="C3645" s="16"/>
      <c r="D3645" s="21"/>
      <c r="E3645" s="32" t="s">
        <v>11197</v>
      </c>
      <c r="F3645" s="22" t="str">
        <f>VLOOKUP(Table8[[#This Row],[Mã khách hàng]],code_khach_hang[],2,0)</f>
        <v>CHI NHÁNH QUẢNG NINH - CÔNG TY CỔ PHẦN DỊCH VỤ THƯƠNG MẠI TỔNG HỢP WINCOMMERCE</v>
      </c>
      <c r="G3645" s="16"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c r="A3646" s="14" t="s">
        <v>12483</v>
      </c>
      <c r="B3646" s="9" t="s">
        <v>5</v>
      </c>
      <c r="C3646" s="16"/>
      <c r="D3646" s="21"/>
      <c r="E3646" s="32" t="s">
        <v>11193</v>
      </c>
      <c r="F3646" s="22" t="str">
        <f>VLOOKUP(Table8[[#This Row],[Mã khách hàng]],code_khach_hang[],2,0)</f>
        <v>CHI NHÁNH BẮC NINH - CÔNG TY CỔ PHẦN DỊCH VỤ THƯƠNG MẠI TỔNG HỢP WINCOMMERCE</v>
      </c>
      <c r="G3646" s="16"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c r="A3647" s="14" t="s">
        <v>12484</v>
      </c>
      <c r="B3647" s="9" t="s">
        <v>5</v>
      </c>
      <c r="C3647" s="16"/>
      <c r="D3647" s="21"/>
      <c r="E3647" s="32" t="s">
        <v>11196</v>
      </c>
      <c r="F3647" s="22" t="str">
        <f>VLOOKUP(Table8[[#This Row],[Mã khách hàng]],code_khach_hang[],2,0)</f>
        <v>CHI NHÁNH NINH BÌNH - CÔNG TY CỔ PHẦN DỊCH VỤ THƯƠNG MẠI TỔNG HỢP WINCOMMERCE</v>
      </c>
      <c r="G3647" s="16"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c r="A3648" s="14" t="s">
        <v>12485</v>
      </c>
      <c r="B3648" s="9" t="s">
        <v>5</v>
      </c>
      <c r="C3648" s="16"/>
      <c r="D3648" s="21"/>
      <c r="E3648" s="32" t="s">
        <v>11197</v>
      </c>
      <c r="F3648" s="22" t="str">
        <f>VLOOKUP(Table8[[#This Row],[Mã khách hàng]],code_khach_hang[],2,0)</f>
        <v>CHI NHÁNH QUẢNG NINH - CÔNG TY CỔ PHẦN DỊCH VỤ THƯƠNG MẠI TỔNG HỢP WINCOMMERCE</v>
      </c>
      <c r="G3648" s="16"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c r="A3649" s="14" t="s">
        <v>12486</v>
      </c>
      <c r="B3649" s="9" t="s">
        <v>5</v>
      </c>
      <c r="C3649" s="16"/>
      <c r="D3649" s="21"/>
      <c r="E3649" s="32" t="s">
        <v>11215</v>
      </c>
      <c r="F3649" s="22" t="str">
        <f>VLOOKUP(Table8[[#This Row],[Mã khách hàng]],code_khach_hang[],2,0)</f>
        <v>CHI NHÁNH HÀ NỘI - CÔNG TY CỔ PHẦN DỊCH VỤ THƯƠNG MẠI TỔNG HỢP WINCOMMERCE</v>
      </c>
      <c r="G3649" s="16"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c r="A3650" s="14" t="s">
        <v>12487</v>
      </c>
      <c r="B3650" s="9" t="s">
        <v>5</v>
      </c>
      <c r="C3650" s="16"/>
      <c r="D3650" s="21"/>
      <c r="E3650" s="32" t="s">
        <v>11196</v>
      </c>
      <c r="F3650" s="22" t="str">
        <f>VLOOKUP(Table8[[#This Row],[Mã khách hàng]],code_khach_hang[],2,0)</f>
        <v>CHI NHÁNH NINH BÌNH - CÔNG TY CỔ PHẦN DỊCH VỤ THƯƠNG MẠI TỔNG HỢP WINCOMMERCE</v>
      </c>
      <c r="G3650" s="16"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c r="A3651" s="14" t="s">
        <v>12488</v>
      </c>
      <c r="B3651" s="9" t="s">
        <v>5</v>
      </c>
      <c r="C3651" s="16"/>
      <c r="D3651" s="21"/>
      <c r="E3651" s="32" t="s">
        <v>11199</v>
      </c>
      <c r="F3651" s="22" t="str">
        <f>VLOOKUP(Table8[[#This Row],[Mã khách hàng]],code_khach_hang[],2,0)</f>
        <v>CHI NHÁNH PHÚ THỌ - CÔNG TY CỔ PHẦN DỊCH VỤ THƯƠNG MẠI TỔNG HỢP WINCOMMERCE</v>
      </c>
      <c r="G3651" s="16"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c r="A3652" s="14" t="s">
        <v>12489</v>
      </c>
      <c r="B3652" s="9" t="s">
        <v>5</v>
      </c>
      <c r="C3652" s="16"/>
      <c r="D3652" s="21"/>
      <c r="E3652" s="32" t="s">
        <v>11216</v>
      </c>
      <c r="F3652" s="22" t="str">
        <f>VLOOKUP(Table8[[#This Row],[Mã khách hàng]],code_khach_hang[],2,0)</f>
        <v>CHI NHÁNH HƯNG YÊN - CÔNG TY CỔ PHẦN DỊCH VỤ THƯƠNG MẠI TỔNG HỢP WINCOMMERCE</v>
      </c>
      <c r="G3652" s="16"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c r="A3653" s="14" t="s">
        <v>12490</v>
      </c>
      <c r="B3653" s="9" t="s">
        <v>5</v>
      </c>
      <c r="C3653" s="16"/>
      <c r="D3653" s="21"/>
      <c r="E3653" s="32" t="s">
        <v>11198</v>
      </c>
      <c r="F3653" s="22" t="str">
        <f>VLOOKUP(Table8[[#This Row],[Mã khách hàng]],code_khach_hang[],2,0)</f>
        <v>CHI NHÁNH HẢI PHÒNG - CÔNG TY CỔ PHẦN DỊCH VỤ THƯƠNG MẠI TỔNG HỢP WINCOMMERCE</v>
      </c>
      <c r="G3653" s="16"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c r="A3654" s="14" t="s">
        <v>12491</v>
      </c>
      <c r="B3654" s="9" t="s">
        <v>5</v>
      </c>
      <c r="C3654" s="16"/>
      <c r="D3654" s="21"/>
      <c r="E3654" s="32" t="s">
        <v>11204</v>
      </c>
      <c r="F3654" s="22" t="str">
        <f>VLOOKUP(Table8[[#This Row],[Mã khách hàng]],code_khach_hang[],2,0)</f>
        <v>CHI NHÁNH TUYÊN QUANG - CÔNG TY CỔ PHẦN DỊCH VỤ THƯƠNG MẠI TỔNG HỢP WINCOMMERCE</v>
      </c>
      <c r="G3654" s="16"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c r="A3655" s="14" t="s">
        <v>12492</v>
      </c>
      <c r="B3655" s="9" t="s">
        <v>5</v>
      </c>
      <c r="C3655" s="16"/>
      <c r="D3655" s="21"/>
      <c r="E3655" s="32" t="s">
        <v>11216</v>
      </c>
      <c r="F3655" s="22" t="str">
        <f>VLOOKUP(Table8[[#This Row],[Mã khách hàng]],code_khach_hang[],2,0)</f>
        <v>CHI NHÁNH HƯNG YÊN - CÔNG TY CỔ PHẦN DỊCH VỤ THƯƠNG MẠI TỔNG HỢP WINCOMMERCE</v>
      </c>
      <c r="G3655" s="16"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c r="A3656" s="14" t="s">
        <v>12493</v>
      </c>
      <c r="B3656" s="9" t="s">
        <v>5</v>
      </c>
      <c r="C3656" s="16"/>
      <c r="D3656" s="21"/>
      <c r="E3656" s="32" t="s">
        <v>11215</v>
      </c>
      <c r="F3656" s="22" t="str">
        <f>VLOOKUP(Table8[[#This Row],[Mã khách hàng]],code_khach_hang[],2,0)</f>
        <v>CHI NHÁNH HÀ NỘI - CÔNG TY CỔ PHẦN DỊCH VỤ THƯƠNG MẠI TỔNG HỢP WINCOMMERCE</v>
      </c>
      <c r="G3656" s="16"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c r="A3657" s="14" t="s">
        <v>12494</v>
      </c>
      <c r="B3657" s="9" t="s">
        <v>5</v>
      </c>
      <c r="C3657" s="16"/>
      <c r="D3657" s="21"/>
      <c r="E3657" s="32" t="s">
        <v>11204</v>
      </c>
      <c r="F3657" s="22" t="str">
        <f>VLOOKUP(Table8[[#This Row],[Mã khách hàng]],code_khach_hang[],2,0)</f>
        <v>CHI NHÁNH TUYÊN QUANG - CÔNG TY CỔ PHẦN DỊCH VỤ THƯƠNG MẠI TỔNG HỢP WINCOMMERCE</v>
      </c>
      <c r="G3657" s="16"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c r="A3658" s="14" t="s">
        <v>12495</v>
      </c>
      <c r="B3658" s="9" t="s">
        <v>5</v>
      </c>
      <c r="C3658" s="16"/>
      <c r="D3658" s="21"/>
      <c r="E3658" s="32" t="s">
        <v>11193</v>
      </c>
      <c r="F3658" s="22" t="str">
        <f>VLOOKUP(Table8[[#This Row],[Mã khách hàng]],code_khach_hang[],2,0)</f>
        <v>CHI NHÁNH BẮC NINH - CÔNG TY CỔ PHẦN DỊCH VỤ THƯƠNG MẠI TỔNG HỢP WINCOMMERCE</v>
      </c>
      <c r="G3658" s="16"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c r="A3659" s="14" t="s">
        <v>12496</v>
      </c>
      <c r="B3659" s="9" t="s">
        <v>5</v>
      </c>
      <c r="C3659" s="16" t="s">
        <v>12527</v>
      </c>
      <c r="D3659" s="21"/>
      <c r="E3659" s="32" t="s">
        <v>11199</v>
      </c>
      <c r="F3659" s="22" t="str">
        <f>VLOOKUP(Table8[[#This Row],[Mã khách hàng]],code_khach_hang[],2,0)</f>
        <v>CHI NHÁNH PHÚ THỌ - CÔNG TY CỔ PHẦN DỊCH VỤ THƯƠNG MẠI TỔNG HỢP WINCOMMERCE</v>
      </c>
      <c r="G3659" s="16"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c r="A3660" s="14" t="s">
        <v>12497</v>
      </c>
      <c r="B3660" s="9" t="s">
        <v>5</v>
      </c>
      <c r="C3660" s="16" t="s">
        <v>12528</v>
      </c>
      <c r="D3660" s="21"/>
      <c r="E3660" s="32" t="s">
        <v>11199</v>
      </c>
      <c r="F3660" s="22" t="str">
        <f>VLOOKUP(Table8[[#This Row],[Mã khách hàng]],code_khach_hang[],2,0)</f>
        <v>CHI NHÁNH PHÚ THỌ - CÔNG TY CỔ PHẦN DỊCH VỤ THƯƠNG MẠI TỔNG HỢP WINCOMMERCE</v>
      </c>
      <c r="G3660" s="16"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c r="A3661" s="14" t="s">
        <v>12498</v>
      </c>
      <c r="B3661" s="9" t="s">
        <v>5</v>
      </c>
      <c r="C3661" s="16" t="s">
        <v>12529</v>
      </c>
      <c r="D3661" s="21"/>
      <c r="E3661" s="32" t="s">
        <v>11196</v>
      </c>
      <c r="F3661" s="22" t="str">
        <f>VLOOKUP(Table8[[#This Row],[Mã khách hàng]],code_khach_hang[],2,0)</f>
        <v>CHI NHÁNH NINH BÌNH - CÔNG TY CỔ PHẦN DỊCH VỤ THƯƠNG MẠI TỔNG HỢP WINCOMMERCE</v>
      </c>
      <c r="G3661" s="16"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c r="A3662" s="14" t="s">
        <v>12499</v>
      </c>
      <c r="B3662" s="9" t="s">
        <v>5</v>
      </c>
      <c r="C3662" s="16" t="s">
        <v>12530</v>
      </c>
      <c r="D3662" s="21"/>
      <c r="E3662" s="32" t="s">
        <v>11215</v>
      </c>
      <c r="F3662" s="22" t="str">
        <f>VLOOKUP(Table8[[#This Row],[Mã khách hàng]],code_khach_hang[],2,0)</f>
        <v>CHI NHÁNH HÀ NỘI - CÔNG TY CỔ PHẦN DỊCH VỤ THƯƠNG MẠI TỔNG HỢP WINCOMMERCE</v>
      </c>
      <c r="G3662" s="16"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c r="A3663" s="14" t="s">
        <v>12500</v>
      </c>
      <c r="B3663" s="9" t="s">
        <v>5</v>
      </c>
      <c r="C3663" s="16" t="s">
        <v>12531</v>
      </c>
      <c r="D3663" s="21"/>
      <c r="E3663" s="32" t="s">
        <v>11215</v>
      </c>
      <c r="F3663" s="22" t="str">
        <f>VLOOKUP(Table8[[#This Row],[Mã khách hàng]],code_khach_hang[],2,0)</f>
        <v>CHI NHÁNH HÀ NỘI - CÔNG TY CỔ PHẦN DỊCH VỤ THƯƠNG MẠI TỔNG HỢP WINCOMMERCE</v>
      </c>
      <c r="G3663" s="16"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c r="A3664" s="14" t="s">
        <v>12501</v>
      </c>
      <c r="B3664" s="9" t="s">
        <v>5</v>
      </c>
      <c r="C3664" s="16" t="s">
        <v>12532</v>
      </c>
      <c r="D3664" s="21"/>
      <c r="E3664" s="32" t="s">
        <v>11215</v>
      </c>
      <c r="F3664" s="22" t="str">
        <f>VLOOKUP(Table8[[#This Row],[Mã khách hàng]],code_khach_hang[],2,0)</f>
        <v>CHI NHÁNH HÀ NỘI - CÔNG TY CỔ PHẦN DỊCH VỤ THƯƠNG MẠI TỔNG HỢP WINCOMMERCE</v>
      </c>
      <c r="G3664" s="16"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c r="A3665" s="14" t="s">
        <v>12502</v>
      </c>
      <c r="B3665" s="9" t="s">
        <v>5</v>
      </c>
      <c r="C3665" s="16" t="s">
        <v>12533</v>
      </c>
      <c r="D3665" s="21"/>
      <c r="E3665" s="32" t="s">
        <v>11196</v>
      </c>
      <c r="F3665" s="22" t="str">
        <f>VLOOKUP(Table8[[#This Row],[Mã khách hàng]],code_khach_hang[],2,0)</f>
        <v>CHI NHÁNH NINH BÌNH - CÔNG TY CỔ PHẦN DỊCH VỤ THƯƠNG MẠI TỔNG HỢP WINCOMMERCE</v>
      </c>
      <c r="G3665" s="16"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c r="A3666" s="14" t="s">
        <v>12503</v>
      </c>
      <c r="B3666" s="9" t="s">
        <v>5</v>
      </c>
      <c r="C3666" s="16" t="s">
        <v>12534</v>
      </c>
      <c r="D3666" s="21"/>
      <c r="E3666" s="32" t="s">
        <v>11204</v>
      </c>
      <c r="F3666" s="22" t="str">
        <f>VLOOKUP(Table8[[#This Row],[Mã khách hàng]],code_khach_hang[],2,0)</f>
        <v>CHI NHÁNH TUYÊN QUANG - CÔNG TY CỔ PHẦN DỊCH VỤ THƯƠNG MẠI TỔNG HỢP WINCOMMERCE</v>
      </c>
      <c r="G3666" s="16"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c r="A3667" s="14" t="s">
        <v>12504</v>
      </c>
      <c r="B3667" s="9" t="s">
        <v>5</v>
      </c>
      <c r="C3667" s="16" t="s">
        <v>12535</v>
      </c>
      <c r="D3667" s="21"/>
      <c r="E3667" s="32" t="s">
        <v>11215</v>
      </c>
      <c r="F3667" s="22" t="str">
        <f>VLOOKUP(Table8[[#This Row],[Mã khách hàng]],code_khach_hang[],2,0)</f>
        <v>CHI NHÁNH HÀ NỘI - CÔNG TY CỔ PHẦN DỊCH VỤ THƯƠNG MẠI TỔNG HỢP WINCOMMERCE</v>
      </c>
      <c r="G3667" s="16"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c r="A3668" s="14" t="s">
        <v>12505</v>
      </c>
      <c r="B3668" s="9" t="s">
        <v>5</v>
      </c>
      <c r="C3668" s="16" t="s">
        <v>12536</v>
      </c>
      <c r="D3668" s="21"/>
      <c r="E3668" s="32" t="s">
        <v>11199</v>
      </c>
      <c r="F3668" s="22" t="str">
        <f>VLOOKUP(Table8[[#This Row],[Mã khách hàng]],code_khach_hang[],2,0)</f>
        <v>CHI NHÁNH PHÚ THỌ - CÔNG TY CỔ PHẦN DỊCH VỤ THƯƠNG MẠI TỔNG HỢP WINCOMMERCE</v>
      </c>
      <c r="G3668" s="16"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c r="A3669" s="14" t="s">
        <v>12506</v>
      </c>
      <c r="B3669" s="9" t="s">
        <v>5</v>
      </c>
      <c r="C3669" s="16" t="s">
        <v>12537</v>
      </c>
      <c r="D3669" s="21"/>
      <c r="E3669" s="32" t="s">
        <v>11204</v>
      </c>
      <c r="F3669" s="22" t="str">
        <f>VLOOKUP(Table8[[#This Row],[Mã khách hàng]],code_khach_hang[],2,0)</f>
        <v>CHI NHÁNH TUYÊN QUANG - CÔNG TY CỔ PHẦN DỊCH VỤ THƯƠNG MẠI TỔNG HỢP WINCOMMERCE</v>
      </c>
      <c r="G3669" s="16"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c r="A3670" s="14" t="s">
        <v>12507</v>
      </c>
      <c r="B3670" s="9" t="s">
        <v>5</v>
      </c>
      <c r="C3670" s="16" t="s">
        <v>12538</v>
      </c>
      <c r="D3670" s="21"/>
      <c r="E3670" s="32" t="s">
        <v>11196</v>
      </c>
      <c r="F3670" s="22" t="str">
        <f>VLOOKUP(Table8[[#This Row],[Mã khách hàng]],code_khach_hang[],2,0)</f>
        <v>CHI NHÁNH NINH BÌNH - CÔNG TY CỔ PHẦN DỊCH VỤ THƯƠNG MẠI TỔNG HỢP WINCOMMERCE</v>
      </c>
      <c r="G3670" s="16"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c r="A3671" s="14" t="s">
        <v>12508</v>
      </c>
      <c r="B3671" s="9" t="s">
        <v>5</v>
      </c>
      <c r="C3671" s="16" t="s">
        <v>12539</v>
      </c>
      <c r="D3671" s="21"/>
      <c r="E3671" s="32" t="s">
        <v>11197</v>
      </c>
      <c r="F3671" s="22" t="str">
        <f>VLOOKUP(Table8[[#This Row],[Mã khách hàng]],code_khach_hang[],2,0)</f>
        <v>CHI NHÁNH QUẢNG NINH - CÔNG TY CỔ PHẦN DỊCH VỤ THƯƠNG MẠI TỔNG HỢP WINCOMMERCE</v>
      </c>
      <c r="G3671" s="16"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c r="A3672" s="14" t="s">
        <v>12509</v>
      </c>
      <c r="B3672" s="9" t="s">
        <v>5</v>
      </c>
      <c r="C3672" s="16" t="s">
        <v>12540</v>
      </c>
      <c r="D3672" s="21"/>
      <c r="E3672" s="32" t="s">
        <v>11197</v>
      </c>
      <c r="F3672" s="22" t="str">
        <f>VLOOKUP(Table8[[#This Row],[Mã khách hàng]],code_khach_hang[],2,0)</f>
        <v>CHI NHÁNH QUẢNG NINH - CÔNG TY CỔ PHẦN DỊCH VỤ THƯƠNG MẠI TỔNG HỢP WINCOMMERCE</v>
      </c>
      <c r="G3672" s="16"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c r="A3673" s="14" t="s">
        <v>12510</v>
      </c>
      <c r="B3673" s="9" t="s">
        <v>5</v>
      </c>
      <c r="C3673" s="16" t="s">
        <v>12541</v>
      </c>
      <c r="D3673" s="21"/>
      <c r="E3673" s="32" t="s">
        <v>11206</v>
      </c>
      <c r="F3673" s="22" t="str">
        <f>VLOOKUP(Table8[[#This Row],[Mã khách hàng]],code_khach_hang[],2,0)</f>
        <v>CHI NHÁNH SƠN LA - CÔNG TY CỔ PHẦN DỊCH VỤ THƯƠNG MẠI TỔNG HỢP WINCOMMERCE</v>
      </c>
      <c r="G3673" s="16"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c r="A3674" s="14" t="s">
        <v>12511</v>
      </c>
      <c r="B3674" s="9" t="s">
        <v>5</v>
      </c>
      <c r="C3674" s="16" t="s">
        <v>12542</v>
      </c>
      <c r="D3674" s="21"/>
      <c r="E3674" s="32" t="s">
        <v>11216</v>
      </c>
      <c r="F3674" s="22" t="str">
        <f>VLOOKUP(Table8[[#This Row],[Mã khách hàng]],code_khach_hang[],2,0)</f>
        <v>CHI NHÁNH HƯNG YÊN - CÔNG TY CỔ PHẦN DỊCH VỤ THƯƠNG MẠI TỔNG HỢP WINCOMMERCE</v>
      </c>
      <c r="G3674" s="16"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c r="A3675" s="14" t="s">
        <v>12512</v>
      </c>
      <c r="B3675" s="9" t="s">
        <v>5</v>
      </c>
      <c r="C3675" s="16" t="s">
        <v>12543</v>
      </c>
      <c r="D3675" s="21"/>
      <c r="E3675" s="32" t="s">
        <v>11216</v>
      </c>
      <c r="F3675" s="22" t="str">
        <f>VLOOKUP(Table8[[#This Row],[Mã khách hàng]],code_khach_hang[],2,0)</f>
        <v>CHI NHÁNH HƯNG YÊN - CÔNG TY CỔ PHẦN DỊCH VỤ THƯƠNG MẠI TỔNG HỢP WINCOMMERCE</v>
      </c>
      <c r="G3675" s="16"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c r="A3676" s="14" t="s">
        <v>12513</v>
      </c>
      <c r="B3676" s="9" t="s">
        <v>5</v>
      </c>
      <c r="C3676" s="16" t="s">
        <v>12544</v>
      </c>
      <c r="D3676" s="21"/>
      <c r="E3676" s="32" t="s">
        <v>11199</v>
      </c>
      <c r="F3676" s="22" t="str">
        <f>VLOOKUP(Table8[[#This Row],[Mã khách hàng]],code_khach_hang[],2,0)</f>
        <v>CHI NHÁNH PHÚ THỌ - CÔNG TY CỔ PHẦN DỊCH VỤ THƯƠNG MẠI TỔNG HỢP WINCOMMERCE</v>
      </c>
      <c r="G3676" s="16"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c r="A3677" s="14" t="s">
        <v>12514</v>
      </c>
      <c r="B3677" s="9" t="s">
        <v>5</v>
      </c>
      <c r="C3677" s="16" t="s">
        <v>12545</v>
      </c>
      <c r="D3677" s="21"/>
      <c r="E3677" s="32" t="s">
        <v>11193</v>
      </c>
      <c r="F3677" s="22" t="str">
        <f>VLOOKUP(Table8[[#This Row],[Mã khách hàng]],code_khach_hang[],2,0)</f>
        <v>CHI NHÁNH BẮC NINH - CÔNG TY CỔ PHẦN DỊCH VỤ THƯƠNG MẠI TỔNG HỢP WINCOMMERCE</v>
      </c>
      <c r="G3677" s="16"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c r="A3678" s="14" t="s">
        <v>12515</v>
      </c>
      <c r="B3678" s="9" t="s">
        <v>5</v>
      </c>
      <c r="C3678" s="16" t="s">
        <v>12546</v>
      </c>
      <c r="D3678" s="21"/>
      <c r="E3678" s="32" t="s">
        <v>11198</v>
      </c>
      <c r="F3678" s="22" t="str">
        <f>VLOOKUP(Table8[[#This Row],[Mã khách hàng]],code_khach_hang[],2,0)</f>
        <v>CHI NHÁNH HẢI PHÒNG - CÔNG TY CỔ PHẦN DỊCH VỤ THƯƠNG MẠI TỔNG HỢP WINCOMMERCE</v>
      </c>
      <c r="G3678" s="16"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c r="A3679" s="14" t="s">
        <v>12516</v>
      </c>
      <c r="B3679" s="9" t="s">
        <v>5</v>
      </c>
      <c r="C3679" s="16" t="s">
        <v>12547</v>
      </c>
      <c r="D3679" s="21"/>
      <c r="E3679" s="32" t="s">
        <v>11215</v>
      </c>
      <c r="F3679" s="22" t="str">
        <f>VLOOKUP(Table8[[#This Row],[Mã khách hàng]],code_khach_hang[],2,0)</f>
        <v>CHI NHÁNH HÀ NỘI - CÔNG TY CỔ PHẦN DỊCH VỤ THƯƠNG MẠI TỔNG HỢP WINCOMMERCE</v>
      </c>
      <c r="G3679" s="16"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c r="A3680" s="14" t="s">
        <v>12517</v>
      </c>
      <c r="B3680" s="9" t="s">
        <v>5</v>
      </c>
      <c r="C3680" s="16" t="s">
        <v>12548</v>
      </c>
      <c r="D3680" s="21"/>
      <c r="E3680" s="32" t="s">
        <v>11196</v>
      </c>
      <c r="F3680" s="22" t="str">
        <f>VLOOKUP(Table8[[#This Row],[Mã khách hàng]],code_khach_hang[],2,0)</f>
        <v>CHI NHÁNH NINH BÌNH - CÔNG TY CỔ PHẦN DỊCH VỤ THƯƠNG MẠI TỔNG HỢP WINCOMMERCE</v>
      </c>
      <c r="G3680" s="16"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c r="A3681" s="14" t="s">
        <v>12518</v>
      </c>
      <c r="B3681" s="9" t="s">
        <v>5</v>
      </c>
      <c r="C3681" s="16" t="s">
        <v>12549</v>
      </c>
      <c r="D3681" s="21"/>
      <c r="E3681" s="32" t="s">
        <v>11216</v>
      </c>
      <c r="F3681" s="22" t="str">
        <f>VLOOKUP(Table8[[#This Row],[Mã khách hàng]],code_khach_hang[],2,0)</f>
        <v>CHI NHÁNH HƯNG YÊN - CÔNG TY CỔ PHẦN DỊCH VỤ THƯƠNG MẠI TỔNG HỢP WINCOMMERCE</v>
      </c>
      <c r="G3681" s="16"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c r="A3682" s="14" t="s">
        <v>12519</v>
      </c>
      <c r="B3682" s="9" t="s">
        <v>5</v>
      </c>
      <c r="C3682" s="16" t="s">
        <v>12550</v>
      </c>
      <c r="D3682" s="21"/>
      <c r="E3682" s="32" t="s">
        <v>11199</v>
      </c>
      <c r="F3682" s="22" t="str">
        <f>VLOOKUP(Table8[[#This Row],[Mã khách hàng]],code_khach_hang[],2,0)</f>
        <v>CHI NHÁNH PHÚ THỌ - CÔNG TY CỔ PHẦN DỊCH VỤ THƯƠNG MẠI TỔNG HỢP WINCOMMERCE</v>
      </c>
      <c r="G3682" s="16"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c r="A3683" s="14" t="s">
        <v>12520</v>
      </c>
      <c r="B3683" s="9" t="s">
        <v>5</v>
      </c>
      <c r="C3683" s="16" t="s">
        <v>12551</v>
      </c>
      <c r="D3683" s="21"/>
      <c r="E3683" s="32" t="s">
        <v>11215</v>
      </c>
      <c r="F3683" s="22" t="str">
        <f>VLOOKUP(Table8[[#This Row],[Mã khách hàng]],code_khach_hang[],2,0)</f>
        <v>CHI NHÁNH HÀ NỘI - CÔNG TY CỔ PHẦN DỊCH VỤ THƯƠNG MẠI TỔNG HỢP WINCOMMERCE</v>
      </c>
      <c r="G3683" s="16"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c r="A3684" s="14" t="s">
        <v>12521</v>
      </c>
      <c r="B3684" s="9" t="s">
        <v>5</v>
      </c>
      <c r="C3684" s="16" t="s">
        <v>12552</v>
      </c>
      <c r="D3684" s="21"/>
      <c r="E3684" s="32" t="s">
        <v>11215</v>
      </c>
      <c r="F3684" s="22" t="str">
        <f>VLOOKUP(Table8[[#This Row],[Mã khách hàng]],code_khach_hang[],2,0)</f>
        <v>CHI NHÁNH HÀ NỘI - CÔNG TY CỔ PHẦN DỊCH VỤ THƯƠNG MẠI TỔNG HỢP WINCOMMERCE</v>
      </c>
      <c r="G3684" s="16"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c r="A3685" s="14" t="s">
        <v>12522</v>
      </c>
      <c r="B3685" s="9" t="s">
        <v>5</v>
      </c>
      <c r="C3685" s="16" t="s">
        <v>12553</v>
      </c>
      <c r="D3685" s="21"/>
      <c r="E3685" s="32" t="s">
        <v>11193</v>
      </c>
      <c r="F3685" s="22" t="str">
        <f>VLOOKUP(Table8[[#This Row],[Mã khách hàng]],code_khach_hang[],2,0)</f>
        <v>CHI NHÁNH BẮC NINH - CÔNG TY CỔ PHẦN DỊCH VỤ THƯƠNG MẠI TỔNG HỢP WINCOMMERCE</v>
      </c>
      <c r="G3685" s="16"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c r="A3686" s="14" t="s">
        <v>12523</v>
      </c>
      <c r="B3686" s="9" t="s">
        <v>5</v>
      </c>
      <c r="C3686" s="16" t="s">
        <v>12554</v>
      </c>
      <c r="D3686" s="21"/>
      <c r="E3686" s="32" t="s">
        <v>11218</v>
      </c>
      <c r="F3686" s="22" t="str">
        <f>VLOOKUP(Table8[[#This Row],[Mã khách hàng]],code_khach_hang[],2,0)</f>
        <v>CHI NHÁNH LÀO CAI - CÔNG TY CỔ PHẦN DỊCH VỤ THƯƠNG MẠI TỔNG HỢP WINCOMMERCE</v>
      </c>
      <c r="G3686" s="16"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c r="A3687" s="14" t="s">
        <v>12524</v>
      </c>
      <c r="B3687" s="9" t="s">
        <v>5</v>
      </c>
      <c r="C3687" s="16" t="s">
        <v>12555</v>
      </c>
      <c r="D3687" s="21"/>
      <c r="E3687" s="32" t="s">
        <v>11198</v>
      </c>
      <c r="F3687" s="22" t="str">
        <f>VLOOKUP(Table8[[#This Row],[Mã khách hàng]],code_khach_hang[],2,0)</f>
        <v>CHI NHÁNH HẢI PHÒNG - CÔNG TY CỔ PHẦN DỊCH VỤ THƯƠNG MẠI TỔNG HỢP WINCOMMERCE</v>
      </c>
      <c r="G3687" s="16"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c r="A3688" s="14" t="s">
        <v>12525</v>
      </c>
      <c r="B3688" s="9" t="s">
        <v>5</v>
      </c>
      <c r="C3688" s="16" t="s">
        <v>12556</v>
      </c>
      <c r="D3688" s="21"/>
      <c r="E3688" s="32" t="s">
        <v>11193</v>
      </c>
      <c r="F3688" s="22" t="str">
        <f>VLOOKUP(Table8[[#This Row],[Mã khách hàng]],code_khach_hang[],2,0)</f>
        <v>CHI NHÁNH BẮC NINH - CÔNG TY CỔ PHẦN DỊCH VỤ THƯƠNG MẠI TỔNG HỢP WINCOMMERCE</v>
      </c>
      <c r="G3688" s="16"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c r="A3689" s="14" t="s">
        <v>12526</v>
      </c>
      <c r="B3689" s="9" t="s">
        <v>5</v>
      </c>
      <c r="C3689" s="16" t="s">
        <v>12557</v>
      </c>
      <c r="D3689" s="21"/>
      <c r="E3689" s="32" t="s">
        <v>11215</v>
      </c>
      <c r="F3689" s="22" t="str">
        <f>VLOOKUP(Table8[[#This Row],[Mã khách hàng]],code_khach_hang[],2,0)</f>
        <v>CHI NHÁNH HÀ NỘI - CÔNG TY CỔ PHẦN DỊCH VỤ THƯƠNG MẠI TỔNG HỢP WINCOMMERCE</v>
      </c>
      <c r="G3689" s="16"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c r="A3690" s="11" t="s">
        <v>12558</v>
      </c>
      <c r="B3690" s="9" t="s">
        <v>5</v>
      </c>
      <c r="C3690" s="10" t="s">
        <v>12593</v>
      </c>
      <c r="D3690" s="21"/>
      <c r="E3690" s="31" t="s">
        <v>11203</v>
      </c>
      <c r="F3690" s="22" t="str">
        <f>VLOOKUP(Table8[[#This Row],[Mã khách hàng]],code_khach_hang[],2,0)</f>
        <v>CHI NHÁNH THANH HÓA - CÔNG TY CỔ PHẦN DỊCH VỤ THƯƠNG MẠI TỔNG HỢP WINCOMMERCE</v>
      </c>
      <c r="G3690" s="10"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c r="A3691" s="14" t="s">
        <v>12559</v>
      </c>
      <c r="B3691" s="9" t="s">
        <v>5</v>
      </c>
      <c r="C3691" s="16" t="s">
        <v>12594</v>
      </c>
      <c r="D3691" s="21"/>
      <c r="E3691" s="32" t="s">
        <v>11204</v>
      </c>
      <c r="F3691" s="22" t="str">
        <f>VLOOKUP(Table8[[#This Row],[Mã khách hàng]],code_khach_hang[],2,0)</f>
        <v>CHI NHÁNH TUYÊN QUANG - CÔNG TY CỔ PHẦN DỊCH VỤ THƯƠNG MẠI TỔNG HỢP WINCOMMERCE</v>
      </c>
      <c r="G3691" s="16"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c r="A3692" s="14" t="s">
        <v>12560</v>
      </c>
      <c r="B3692" s="9" t="s">
        <v>5</v>
      </c>
      <c r="C3692" s="16" t="s">
        <v>12595</v>
      </c>
      <c r="D3692" s="21"/>
      <c r="E3692" s="32" t="s">
        <v>11205</v>
      </c>
      <c r="F3692" s="22" t="str">
        <f>VLOOKUP(Table8[[#This Row],[Mã khách hàng]],code_khach_hang[],2,0)</f>
        <v>CHI NHÁNH HÀ TĨNH - CÔNG TY CỔ PHẦN DỊCH VỤ THƯƠNG MẠI TỔNG HỢP WINCOMMERCE</v>
      </c>
      <c r="G3692" s="16"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c r="A3693" s="14" t="s">
        <v>12561</v>
      </c>
      <c r="B3693" s="9" t="s">
        <v>5</v>
      </c>
      <c r="C3693" s="16" t="s">
        <v>12596</v>
      </c>
      <c r="D3693" s="21"/>
      <c r="E3693" s="32" t="s">
        <v>11193</v>
      </c>
      <c r="F3693" s="22" t="str">
        <f>VLOOKUP(Table8[[#This Row],[Mã khách hàng]],code_khach_hang[],2,0)</f>
        <v>CHI NHÁNH BẮC NINH - CÔNG TY CỔ PHẦN DỊCH VỤ THƯƠNG MẠI TỔNG HỢP WINCOMMERCE</v>
      </c>
      <c r="G3693" s="16"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c r="A3694" s="14" t="s">
        <v>12562</v>
      </c>
      <c r="B3694" s="9" t="s">
        <v>5</v>
      </c>
      <c r="C3694" s="16" t="s">
        <v>12597</v>
      </c>
      <c r="D3694" s="21"/>
      <c r="E3694" s="32" t="s">
        <v>11215</v>
      </c>
      <c r="F3694" s="22" t="str">
        <f>VLOOKUP(Table8[[#This Row],[Mã khách hàng]],code_khach_hang[],2,0)</f>
        <v>CHI NHÁNH HÀ NỘI - CÔNG TY CỔ PHẦN DỊCH VỤ THƯƠNG MẠI TỔNG HỢP WINCOMMERCE</v>
      </c>
      <c r="G3694" s="16"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c r="A3695" s="14" t="s">
        <v>12563</v>
      </c>
      <c r="B3695" s="9" t="s">
        <v>5</v>
      </c>
      <c r="C3695" s="16" t="s">
        <v>12598</v>
      </c>
      <c r="D3695" s="21"/>
      <c r="E3695" s="32" t="s">
        <v>11215</v>
      </c>
      <c r="F3695" s="22" t="str">
        <f>VLOOKUP(Table8[[#This Row],[Mã khách hàng]],code_khach_hang[],2,0)</f>
        <v>CHI NHÁNH HÀ NỘI - CÔNG TY CỔ PHẦN DỊCH VỤ THƯƠNG MẠI TỔNG HỢP WINCOMMERCE</v>
      </c>
      <c r="G3695" s="16"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c r="A3696" s="14" t="s">
        <v>12564</v>
      </c>
      <c r="B3696" s="9" t="s">
        <v>5</v>
      </c>
      <c r="C3696" s="16" t="s">
        <v>12599</v>
      </c>
      <c r="D3696" s="21"/>
      <c r="E3696" s="32" t="s">
        <v>11203</v>
      </c>
      <c r="F3696" s="22" t="str">
        <f>VLOOKUP(Table8[[#This Row],[Mã khách hàng]],code_khach_hang[],2,0)</f>
        <v>CHI NHÁNH THANH HÓA - CÔNG TY CỔ PHẦN DỊCH VỤ THƯƠNG MẠI TỔNG HỢP WINCOMMERCE</v>
      </c>
      <c r="G3696" s="16"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c r="A3697" s="14" t="s">
        <v>12565</v>
      </c>
      <c r="B3697" s="9" t="s">
        <v>5</v>
      </c>
      <c r="C3697" s="16" t="s">
        <v>12600</v>
      </c>
      <c r="D3697" s="21"/>
      <c r="E3697" s="32" t="s">
        <v>11205</v>
      </c>
      <c r="F3697" s="22" t="str">
        <f>VLOOKUP(Table8[[#This Row],[Mã khách hàng]],code_khach_hang[],2,0)</f>
        <v>CHI NHÁNH HÀ TĨNH - CÔNG TY CỔ PHẦN DỊCH VỤ THƯƠNG MẠI TỔNG HỢP WINCOMMERCE</v>
      </c>
      <c r="G3697" s="16"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c r="A3698" s="14" t="s">
        <v>12566</v>
      </c>
      <c r="B3698" s="9" t="s">
        <v>5</v>
      </c>
      <c r="C3698" s="16" t="s">
        <v>12601</v>
      </c>
      <c r="D3698" s="21"/>
      <c r="E3698" s="32" t="s">
        <v>11203</v>
      </c>
      <c r="F3698" s="22" t="str">
        <f>VLOOKUP(Table8[[#This Row],[Mã khách hàng]],code_khach_hang[],2,0)</f>
        <v>CHI NHÁNH THANH HÓA - CÔNG TY CỔ PHẦN DỊCH VỤ THƯƠNG MẠI TỔNG HỢP WINCOMMERCE</v>
      </c>
      <c r="G3698" s="16"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c r="A3699" s="14" t="s">
        <v>12567</v>
      </c>
      <c r="B3699" s="9" t="s">
        <v>5</v>
      </c>
      <c r="C3699" s="16" t="s">
        <v>12602</v>
      </c>
      <c r="D3699" s="21"/>
      <c r="E3699" s="32" t="s">
        <v>11199</v>
      </c>
      <c r="F3699" s="22" t="str">
        <f>VLOOKUP(Table8[[#This Row],[Mã khách hàng]],code_khach_hang[],2,0)</f>
        <v>CHI NHÁNH PHÚ THỌ - CÔNG TY CỔ PHẦN DỊCH VỤ THƯƠNG MẠI TỔNG HỢP WINCOMMERCE</v>
      </c>
      <c r="G3699" s="16"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c r="A3700" s="14" t="s">
        <v>12568</v>
      </c>
      <c r="B3700" s="9" t="s">
        <v>5</v>
      </c>
      <c r="C3700" s="16" t="s">
        <v>12603</v>
      </c>
      <c r="D3700" s="21"/>
      <c r="E3700" s="32" t="s">
        <v>11207</v>
      </c>
      <c r="F3700" s="22" t="str">
        <f>VLOOKUP(Table8[[#This Row],[Mã khách hàng]],code_khach_hang[],2,0)</f>
        <v>CHI NHÁNH THÁI NGUYÊN - CÔNG TY CỔ PHẦN DỊCH VỤ THƯƠNG MẠI TỔNG HỢP WINCOMMERCE</v>
      </c>
      <c r="G3700" s="16"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c r="A3701" s="14" t="s">
        <v>12569</v>
      </c>
      <c r="B3701" s="9" t="s">
        <v>5</v>
      </c>
      <c r="C3701" s="16" t="s">
        <v>12604</v>
      </c>
      <c r="D3701" s="21"/>
      <c r="E3701" s="32" t="s">
        <v>11196</v>
      </c>
      <c r="F3701" s="22" t="str">
        <f>VLOOKUP(Table8[[#This Row],[Mã khách hàng]],code_khach_hang[],2,0)</f>
        <v>CHI NHÁNH NINH BÌNH - CÔNG TY CỔ PHẦN DỊCH VỤ THƯƠNG MẠI TỔNG HỢP WINCOMMERCE</v>
      </c>
      <c r="G3701" s="16"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c r="A3702" s="14" t="s">
        <v>12570</v>
      </c>
      <c r="B3702" s="9" t="s">
        <v>5</v>
      </c>
      <c r="C3702" s="16" t="s">
        <v>12605</v>
      </c>
      <c r="D3702" s="21"/>
      <c r="E3702" s="32" t="s">
        <v>11196</v>
      </c>
      <c r="F3702" s="22" t="str">
        <f>VLOOKUP(Table8[[#This Row],[Mã khách hàng]],code_khach_hang[],2,0)</f>
        <v>CHI NHÁNH NINH BÌNH - CÔNG TY CỔ PHẦN DỊCH VỤ THƯƠNG MẠI TỔNG HỢP WINCOMMERCE</v>
      </c>
      <c r="G3702" s="16"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c r="A3703" s="14" t="s">
        <v>12571</v>
      </c>
      <c r="B3703" s="9" t="s">
        <v>5</v>
      </c>
      <c r="C3703" s="16" t="s">
        <v>12606</v>
      </c>
      <c r="D3703" s="21"/>
      <c r="E3703" s="32" t="s">
        <v>11211</v>
      </c>
      <c r="F3703" s="22" t="str">
        <f>VLOOKUP(Table8[[#This Row],[Mã khách hàng]],code_khach_hang[],2,0)</f>
        <v>CHI NHÁNH NGHỆ AN - CÔNG TY CỔ PHẦN DỊCH VỤ THƯƠNG MẠI TỔNG HỢP WINCOMMERCE</v>
      </c>
      <c r="G3703" s="16"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c r="A3704" s="14" t="s">
        <v>12572</v>
      </c>
      <c r="B3704" s="9" t="s">
        <v>5</v>
      </c>
      <c r="C3704" s="16" t="s">
        <v>12607</v>
      </c>
      <c r="D3704" s="21"/>
      <c r="E3704" s="32" t="s">
        <v>11198</v>
      </c>
      <c r="F3704" s="22" t="str">
        <f>VLOOKUP(Table8[[#This Row],[Mã khách hàng]],code_khach_hang[],2,0)</f>
        <v>CHI NHÁNH HẢI PHÒNG - CÔNG TY CỔ PHẦN DỊCH VỤ THƯƠNG MẠI TỔNG HỢP WINCOMMERCE</v>
      </c>
      <c r="G3704" s="16"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c r="A3705" s="14" t="s">
        <v>12573</v>
      </c>
      <c r="B3705" s="9" t="s">
        <v>5</v>
      </c>
      <c r="C3705" s="16" t="s">
        <v>12608</v>
      </c>
      <c r="D3705" s="21"/>
      <c r="E3705" s="32" t="s">
        <v>11199</v>
      </c>
      <c r="F3705" s="22" t="str">
        <f>VLOOKUP(Table8[[#This Row],[Mã khách hàng]],code_khach_hang[],2,0)</f>
        <v>CHI NHÁNH PHÚ THỌ - CÔNG TY CỔ PHẦN DỊCH VỤ THƯƠNG MẠI TỔNG HỢP WINCOMMERCE</v>
      </c>
      <c r="G3705" s="16"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c r="A3706" s="14" t="s">
        <v>12574</v>
      </c>
      <c r="B3706" s="9" t="s">
        <v>5</v>
      </c>
      <c r="C3706" s="16" t="s">
        <v>12609</v>
      </c>
      <c r="D3706" s="21"/>
      <c r="E3706" s="32" t="s">
        <v>11196</v>
      </c>
      <c r="F3706" s="22" t="str">
        <f>VLOOKUP(Table8[[#This Row],[Mã khách hàng]],code_khach_hang[],2,0)</f>
        <v>CHI NHÁNH NINH BÌNH - CÔNG TY CỔ PHẦN DỊCH VỤ THƯƠNG MẠI TỔNG HỢP WINCOMMERCE</v>
      </c>
      <c r="G3706" s="16"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c r="A3707" s="14" t="s">
        <v>12575</v>
      </c>
      <c r="B3707" s="9" t="s">
        <v>5</v>
      </c>
      <c r="C3707" s="16" t="s">
        <v>12610</v>
      </c>
      <c r="D3707" s="21"/>
      <c r="E3707" s="32" t="s">
        <v>11203</v>
      </c>
      <c r="F3707" s="22" t="str">
        <f>VLOOKUP(Table8[[#This Row],[Mã khách hàng]],code_khach_hang[],2,0)</f>
        <v>CHI NHÁNH THANH HÓA - CÔNG TY CỔ PHẦN DỊCH VỤ THƯƠNG MẠI TỔNG HỢP WINCOMMERCE</v>
      </c>
      <c r="G3707" s="16"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c r="A3708" s="14" t="s">
        <v>12576</v>
      </c>
      <c r="B3708" s="9" t="s">
        <v>5</v>
      </c>
      <c r="C3708" s="16" t="s">
        <v>12611</v>
      </c>
      <c r="D3708" s="21"/>
      <c r="E3708" s="32" t="s">
        <v>11196</v>
      </c>
      <c r="F3708" s="22" t="str">
        <f>VLOOKUP(Table8[[#This Row],[Mã khách hàng]],code_khach_hang[],2,0)</f>
        <v>CHI NHÁNH NINH BÌNH - CÔNG TY CỔ PHẦN DỊCH VỤ THƯƠNG MẠI TỔNG HỢP WINCOMMERCE</v>
      </c>
      <c r="G3708" s="16"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c r="A3709" s="14" t="s">
        <v>12577</v>
      </c>
      <c r="B3709" s="9" t="s">
        <v>5</v>
      </c>
      <c r="C3709" s="16" t="s">
        <v>12612</v>
      </c>
      <c r="D3709" s="21"/>
      <c r="E3709" s="32" t="s">
        <v>11215</v>
      </c>
      <c r="F3709" s="22" t="str">
        <f>VLOOKUP(Table8[[#This Row],[Mã khách hàng]],code_khach_hang[],2,0)</f>
        <v>CHI NHÁNH HÀ NỘI - CÔNG TY CỔ PHẦN DỊCH VỤ THƯƠNG MẠI TỔNG HỢP WINCOMMERCE</v>
      </c>
      <c r="G3709" s="16"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c r="A3710" s="14" t="s">
        <v>12578</v>
      </c>
      <c r="B3710" s="9" t="s">
        <v>5</v>
      </c>
      <c r="C3710" s="16" t="s">
        <v>12613</v>
      </c>
      <c r="D3710" s="21"/>
      <c r="E3710" s="32" t="s">
        <v>11205</v>
      </c>
      <c r="F3710" s="22" t="str">
        <f>VLOOKUP(Table8[[#This Row],[Mã khách hàng]],code_khach_hang[],2,0)</f>
        <v>CHI NHÁNH HÀ TĨNH - CÔNG TY CỔ PHẦN DỊCH VỤ THƯƠNG MẠI TỔNG HỢP WINCOMMERCE</v>
      </c>
      <c r="G3710" s="16"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c r="A3711" s="14" t="s">
        <v>12579</v>
      </c>
      <c r="B3711" s="9" t="s">
        <v>5</v>
      </c>
      <c r="C3711" s="16" t="s">
        <v>12614</v>
      </c>
      <c r="D3711" s="21"/>
      <c r="E3711" s="32" t="s">
        <v>11197</v>
      </c>
      <c r="F3711" s="22" t="str">
        <f>VLOOKUP(Table8[[#This Row],[Mã khách hàng]],code_khach_hang[],2,0)</f>
        <v>CHI NHÁNH QUẢNG NINH - CÔNG TY CỔ PHẦN DỊCH VỤ THƯƠNG MẠI TỔNG HỢP WINCOMMERCE</v>
      </c>
      <c r="G3711" s="16"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c r="A3712" s="14" t="s">
        <v>12580</v>
      </c>
      <c r="B3712" s="9" t="s">
        <v>5</v>
      </c>
      <c r="C3712" s="16" t="s">
        <v>12615</v>
      </c>
      <c r="D3712" s="21"/>
      <c r="E3712" s="32" t="s">
        <v>11204</v>
      </c>
      <c r="F3712" s="22" t="str">
        <f>VLOOKUP(Table8[[#This Row],[Mã khách hàng]],code_khach_hang[],2,0)</f>
        <v>CHI NHÁNH TUYÊN QUANG - CÔNG TY CỔ PHẦN DỊCH VỤ THƯƠNG MẠI TỔNG HỢP WINCOMMERCE</v>
      </c>
      <c r="G3712" s="16"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c r="A3713" s="14" t="s">
        <v>12581</v>
      </c>
      <c r="B3713" s="9" t="s">
        <v>5</v>
      </c>
      <c r="C3713" s="16" t="s">
        <v>12616</v>
      </c>
      <c r="D3713" s="21"/>
      <c r="E3713" s="32" t="s">
        <v>11203</v>
      </c>
      <c r="F3713" s="22" t="str">
        <f>VLOOKUP(Table8[[#This Row],[Mã khách hàng]],code_khach_hang[],2,0)</f>
        <v>CHI NHÁNH THANH HÓA - CÔNG TY CỔ PHẦN DỊCH VỤ THƯƠNG MẠI TỔNG HỢP WINCOMMERCE</v>
      </c>
      <c r="G3713" s="16"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c r="A3714" s="14" t="s">
        <v>12582</v>
      </c>
      <c r="B3714" s="9" t="s">
        <v>5</v>
      </c>
      <c r="C3714" s="16" t="s">
        <v>12617</v>
      </c>
      <c r="D3714" s="21"/>
      <c r="E3714" s="32" t="s">
        <v>11203</v>
      </c>
      <c r="F3714" s="22" t="str">
        <f>VLOOKUP(Table8[[#This Row],[Mã khách hàng]],code_khach_hang[],2,0)</f>
        <v>CHI NHÁNH THANH HÓA - CÔNG TY CỔ PHẦN DỊCH VỤ THƯƠNG MẠI TỔNG HỢP WINCOMMERCE</v>
      </c>
      <c r="G3714" s="16"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c r="A3715" s="14" t="s">
        <v>12583</v>
      </c>
      <c r="B3715" s="9" t="s">
        <v>5</v>
      </c>
      <c r="C3715" s="16" t="s">
        <v>12618</v>
      </c>
      <c r="D3715" s="21"/>
      <c r="E3715" s="32" t="s">
        <v>11198</v>
      </c>
      <c r="F3715" s="22" t="str">
        <f>VLOOKUP(Table8[[#This Row],[Mã khách hàng]],code_khach_hang[],2,0)</f>
        <v>CHI NHÁNH HẢI PHÒNG - CÔNG TY CỔ PHẦN DỊCH VỤ THƯƠNG MẠI TỔNG HỢP WINCOMMERCE</v>
      </c>
      <c r="G3715" s="16"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c r="A3716" s="14" t="s">
        <v>12584</v>
      </c>
      <c r="B3716" s="9" t="s">
        <v>5</v>
      </c>
      <c r="C3716" s="16" t="s">
        <v>12619</v>
      </c>
      <c r="D3716" s="21"/>
      <c r="E3716" s="32" t="s">
        <v>11204</v>
      </c>
      <c r="F3716" s="22" t="str">
        <f>VLOOKUP(Table8[[#This Row],[Mã khách hàng]],code_khach_hang[],2,0)</f>
        <v>CHI NHÁNH TUYÊN QUANG - CÔNG TY CỔ PHẦN DỊCH VỤ THƯƠNG MẠI TỔNG HỢP WINCOMMERCE</v>
      </c>
      <c r="G3716" s="16"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c r="A3717" s="14" t="s">
        <v>12585</v>
      </c>
      <c r="B3717" s="9" t="s">
        <v>5</v>
      </c>
      <c r="C3717" s="16" t="s">
        <v>12620</v>
      </c>
      <c r="D3717" s="21"/>
      <c r="E3717" s="32" t="s">
        <v>11196</v>
      </c>
      <c r="F3717" s="22" t="str">
        <f>VLOOKUP(Table8[[#This Row],[Mã khách hàng]],code_khach_hang[],2,0)</f>
        <v>CHI NHÁNH NINH BÌNH - CÔNG TY CỔ PHẦN DỊCH VỤ THƯƠNG MẠI TỔNG HỢP WINCOMMERCE</v>
      </c>
      <c r="G3717" s="16"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c r="A3718" s="14" t="s">
        <v>12586</v>
      </c>
      <c r="B3718" s="9" t="s">
        <v>5</v>
      </c>
      <c r="C3718" s="16" t="s">
        <v>12621</v>
      </c>
      <c r="D3718" s="21"/>
      <c r="E3718" s="32" t="s">
        <v>11197</v>
      </c>
      <c r="F3718" s="22" t="str">
        <f>VLOOKUP(Table8[[#This Row],[Mã khách hàng]],code_khach_hang[],2,0)</f>
        <v>CHI NHÁNH QUẢNG NINH - CÔNG TY CỔ PHẦN DỊCH VỤ THƯƠNG MẠI TỔNG HỢP WINCOMMERCE</v>
      </c>
      <c r="G3718" s="16"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c r="A3719" s="14" t="s">
        <v>12587</v>
      </c>
      <c r="B3719" s="9" t="s">
        <v>5</v>
      </c>
      <c r="C3719" s="16" t="s">
        <v>12622</v>
      </c>
      <c r="D3719" s="21"/>
      <c r="E3719" s="32" t="s">
        <v>11216</v>
      </c>
      <c r="F3719" s="22" t="str">
        <f>VLOOKUP(Table8[[#This Row],[Mã khách hàng]],code_khach_hang[],2,0)</f>
        <v>CHI NHÁNH HƯNG YÊN - CÔNG TY CỔ PHẦN DỊCH VỤ THƯƠNG MẠI TỔNG HỢP WINCOMMERCE</v>
      </c>
      <c r="G3719" s="16"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c r="A3720" s="14" t="s">
        <v>12588</v>
      </c>
      <c r="B3720" s="9" t="s">
        <v>5</v>
      </c>
      <c r="C3720" s="16" t="s">
        <v>12623</v>
      </c>
      <c r="D3720" s="21"/>
      <c r="E3720" s="32" t="s">
        <v>11216</v>
      </c>
      <c r="F3720" s="22" t="str">
        <f>VLOOKUP(Table8[[#This Row],[Mã khách hàng]],code_khach_hang[],2,0)</f>
        <v>CHI NHÁNH HƯNG YÊN - CÔNG TY CỔ PHẦN DỊCH VỤ THƯƠNG MẠI TỔNG HỢP WINCOMMERCE</v>
      </c>
      <c r="G3720" s="16"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c r="A3721" s="14" t="s">
        <v>12589</v>
      </c>
      <c r="B3721" s="9" t="s">
        <v>5</v>
      </c>
      <c r="C3721" s="16" t="s">
        <v>12624</v>
      </c>
      <c r="D3721" s="21"/>
      <c r="E3721" s="32" t="s">
        <v>11205</v>
      </c>
      <c r="F3721" s="22" t="str">
        <f>VLOOKUP(Table8[[#This Row],[Mã khách hàng]],code_khach_hang[],2,0)</f>
        <v>CHI NHÁNH HÀ TĨNH - CÔNG TY CỔ PHẦN DỊCH VỤ THƯƠNG MẠI TỔNG HỢP WINCOMMERCE</v>
      </c>
      <c r="G3721" s="16"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c r="A3722" s="14" t="s">
        <v>12590</v>
      </c>
      <c r="B3722" s="9" t="s">
        <v>5</v>
      </c>
      <c r="C3722" s="16" t="s">
        <v>12625</v>
      </c>
      <c r="D3722" s="21"/>
      <c r="E3722" s="32" t="s">
        <v>11218</v>
      </c>
      <c r="F3722" s="22" t="str">
        <f>VLOOKUP(Table8[[#This Row],[Mã khách hàng]],code_khach_hang[],2,0)</f>
        <v>CHI NHÁNH LÀO CAI - CÔNG TY CỔ PHẦN DỊCH VỤ THƯƠNG MẠI TỔNG HỢP WINCOMMERCE</v>
      </c>
      <c r="G3722" s="16"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c r="A3723" s="14" t="s">
        <v>12591</v>
      </c>
      <c r="B3723" s="9" t="s">
        <v>5</v>
      </c>
      <c r="C3723" s="16" t="s">
        <v>12626</v>
      </c>
      <c r="D3723" s="21"/>
      <c r="E3723" s="32" t="s">
        <v>11216</v>
      </c>
      <c r="F3723" s="22" t="str">
        <f>VLOOKUP(Table8[[#This Row],[Mã khách hàng]],code_khach_hang[],2,0)</f>
        <v>CHI NHÁNH HƯNG YÊN - CÔNG TY CỔ PHẦN DỊCH VỤ THƯƠNG MẠI TỔNG HỢP WINCOMMERCE</v>
      </c>
      <c r="G3723" s="16"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c r="A3724" s="14" t="s">
        <v>12592</v>
      </c>
      <c r="B3724" s="9" t="s">
        <v>5</v>
      </c>
      <c r="C3724" s="16" t="s">
        <v>12627</v>
      </c>
      <c r="D3724" s="21"/>
      <c r="E3724" s="32" t="s">
        <v>11211</v>
      </c>
      <c r="F3724" s="22" t="str">
        <f>VLOOKUP(Table8[[#This Row],[Mã khách hàng]],code_khach_hang[],2,0)</f>
        <v>CHI NHÁNH NGHỆ AN - CÔNG TY CỔ PHẦN DỊCH VỤ THƯƠNG MẠI TỔNG HỢP WINCOMMERCE</v>
      </c>
      <c r="G3724" s="16"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c r="A3725" s="11" t="s">
        <v>12634</v>
      </c>
      <c r="B3725" s="9" t="s">
        <v>5</v>
      </c>
      <c r="C3725" s="10" t="s">
        <v>12675</v>
      </c>
      <c r="D3725" s="21"/>
      <c r="E3725" s="31" t="s">
        <v>11203</v>
      </c>
      <c r="F3725" s="22" t="str">
        <f>VLOOKUP(Table8[[#This Row],[Mã khách hàng]],code_khach_hang[],2,0)</f>
        <v>CHI NHÁNH THANH HÓA - CÔNG TY CỔ PHẦN DỊCH VỤ THƯƠNG MẠI TỔNG HỢP WINCOMMERCE</v>
      </c>
      <c r="G3725" s="10"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c r="A3726" s="11" t="s">
        <v>12635</v>
      </c>
      <c r="B3726" s="9" t="s">
        <v>5</v>
      </c>
      <c r="C3726" s="10" t="s">
        <v>12676</v>
      </c>
      <c r="D3726" s="21"/>
      <c r="E3726" s="31" t="s">
        <v>11203</v>
      </c>
      <c r="F3726" s="22" t="str">
        <f>VLOOKUP(Table8[[#This Row],[Mã khách hàng]],code_khach_hang[],2,0)</f>
        <v>CHI NHÁNH THANH HÓA - CÔNG TY CỔ PHẦN DỊCH VỤ THƯƠNG MẠI TỔNG HỢP WINCOMMERCE</v>
      </c>
      <c r="G3726" s="10"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c r="A3727" s="11" t="s">
        <v>12636</v>
      </c>
      <c r="B3727" s="9" t="s">
        <v>5</v>
      </c>
      <c r="C3727" s="10" t="s">
        <v>12677</v>
      </c>
      <c r="D3727" s="21"/>
      <c r="E3727" s="31" t="s">
        <v>11203</v>
      </c>
      <c r="F3727" s="22" t="str">
        <f>VLOOKUP(Table8[[#This Row],[Mã khách hàng]],code_khach_hang[],2,0)</f>
        <v>CHI NHÁNH THANH HÓA - CÔNG TY CỔ PHẦN DỊCH VỤ THƯƠNG MẠI TỔNG HỢP WINCOMMERCE</v>
      </c>
      <c r="G3727" s="10"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c r="A3728" s="14" t="s">
        <v>12637</v>
      </c>
      <c r="B3728" s="9" t="s">
        <v>5</v>
      </c>
      <c r="C3728" s="16" t="s">
        <v>12678</v>
      </c>
      <c r="D3728" s="21"/>
      <c r="E3728" s="32" t="s">
        <v>11211</v>
      </c>
      <c r="F3728" s="22" t="str">
        <f>VLOOKUP(Table8[[#This Row],[Mã khách hàng]],code_khach_hang[],2,0)</f>
        <v>CHI NHÁNH NGHỆ AN - CÔNG TY CỔ PHẦN DỊCH VỤ THƯƠNG MẠI TỔNG HỢP WINCOMMERCE</v>
      </c>
      <c r="G3728" s="16"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c r="A3729" s="11" t="s">
        <v>12638</v>
      </c>
      <c r="B3729" s="9" t="s">
        <v>5</v>
      </c>
      <c r="C3729" s="10" t="s">
        <v>12679</v>
      </c>
      <c r="D3729" s="21"/>
      <c r="E3729" s="31" t="s">
        <v>11211</v>
      </c>
      <c r="F3729" s="22" t="str">
        <f>VLOOKUP(Table8[[#This Row],[Mã khách hàng]],code_khach_hang[],2,0)</f>
        <v>CHI NHÁNH NGHỆ AN - CÔNG TY CỔ PHẦN DỊCH VỤ THƯƠNG MẠI TỔNG HỢP WINCOMMERCE</v>
      </c>
      <c r="G3729" s="10"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c r="A3730" s="11" t="s">
        <v>12639</v>
      </c>
      <c r="B3730" s="9" t="s">
        <v>5</v>
      </c>
      <c r="C3730" s="10" t="s">
        <v>12680</v>
      </c>
      <c r="D3730" s="21"/>
      <c r="E3730" s="31" t="s">
        <v>11205</v>
      </c>
      <c r="F3730" s="22" t="str">
        <f>VLOOKUP(Table8[[#This Row],[Mã khách hàng]],code_khach_hang[],2,0)</f>
        <v>CHI NHÁNH HÀ TĨNH - CÔNG TY CỔ PHẦN DỊCH VỤ THƯƠNG MẠI TỔNG HỢP WINCOMMERCE</v>
      </c>
      <c r="G3730" s="10"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c r="A3731" s="11" t="s">
        <v>12640</v>
      </c>
      <c r="B3731" s="9" t="s">
        <v>5</v>
      </c>
      <c r="C3731" s="10" t="s">
        <v>12681</v>
      </c>
      <c r="D3731" s="21"/>
      <c r="E3731" s="31" t="s">
        <v>11197</v>
      </c>
      <c r="F3731" s="22" t="str">
        <f>VLOOKUP(Table8[[#This Row],[Mã khách hàng]],code_khach_hang[],2,0)</f>
        <v>CHI NHÁNH QUẢNG NINH - CÔNG TY CỔ PHẦN DỊCH VỤ THƯƠNG MẠI TỔNG HỢP WINCOMMERCE</v>
      </c>
      <c r="G3731" s="10"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c r="A3732" s="14" t="s">
        <v>12641</v>
      </c>
      <c r="B3732" s="9" t="s">
        <v>5</v>
      </c>
      <c r="C3732" s="16" t="s">
        <v>12682</v>
      </c>
      <c r="D3732" s="21"/>
      <c r="E3732" s="32" t="s">
        <v>11193</v>
      </c>
      <c r="F3732" s="22" t="str">
        <f>VLOOKUP(Table8[[#This Row],[Mã khách hàng]],code_khach_hang[],2,0)</f>
        <v>CHI NHÁNH BẮC NINH - CÔNG TY CỔ PHẦN DỊCH VỤ THƯƠNG MẠI TỔNG HỢP WINCOMMERCE</v>
      </c>
      <c r="G3732" s="16"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c r="A3733" s="14" t="s">
        <v>12642</v>
      </c>
      <c r="B3733" s="9" t="s">
        <v>5</v>
      </c>
      <c r="C3733" s="16" t="s">
        <v>12683</v>
      </c>
      <c r="D3733" s="21"/>
      <c r="E3733" s="32" t="s">
        <v>11211</v>
      </c>
      <c r="F3733" s="22" t="str">
        <f>VLOOKUP(Table8[[#This Row],[Mã khách hàng]],code_khach_hang[],2,0)</f>
        <v>CHI NHÁNH NGHỆ AN - CÔNG TY CỔ PHẦN DỊCH VỤ THƯƠNG MẠI TỔNG HỢP WINCOMMERCE</v>
      </c>
      <c r="G3733" s="16"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c r="A3734" s="14" t="s">
        <v>12643</v>
      </c>
      <c r="B3734" s="9" t="s">
        <v>5</v>
      </c>
      <c r="C3734" s="16" t="s">
        <v>12684</v>
      </c>
      <c r="D3734" s="21"/>
      <c r="E3734" s="32" t="s">
        <v>11193</v>
      </c>
      <c r="F3734" s="22" t="str">
        <f>VLOOKUP(Table8[[#This Row],[Mã khách hàng]],code_khach_hang[],2,0)</f>
        <v>CHI NHÁNH BẮC NINH - CÔNG TY CỔ PHẦN DỊCH VỤ THƯƠNG MẠI TỔNG HỢP WINCOMMERCE</v>
      </c>
      <c r="G3734" s="16"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c r="A3735" s="14" t="s">
        <v>12644</v>
      </c>
      <c r="B3735" s="9" t="s">
        <v>5</v>
      </c>
      <c r="C3735" s="16" t="s">
        <v>12685</v>
      </c>
      <c r="D3735" s="21"/>
      <c r="E3735" s="32" t="s">
        <v>11215</v>
      </c>
      <c r="F3735" s="22" t="str">
        <f>VLOOKUP(Table8[[#This Row],[Mã khách hàng]],code_khach_hang[],2,0)</f>
        <v>CHI NHÁNH HÀ NỘI - CÔNG TY CỔ PHẦN DỊCH VỤ THƯƠNG MẠI TỔNG HỢP WINCOMMERCE</v>
      </c>
      <c r="G3735" s="16"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c r="A3736" s="14" t="s">
        <v>12645</v>
      </c>
      <c r="B3736" s="9" t="s">
        <v>5</v>
      </c>
      <c r="C3736" s="16" t="s">
        <v>12686</v>
      </c>
      <c r="D3736" s="21"/>
      <c r="E3736" s="32" t="s">
        <v>11197</v>
      </c>
      <c r="F3736" s="22" t="str">
        <f>VLOOKUP(Table8[[#This Row],[Mã khách hàng]],code_khach_hang[],2,0)</f>
        <v>CHI NHÁNH QUẢNG NINH - CÔNG TY CỔ PHẦN DỊCH VỤ THƯƠNG MẠI TỔNG HỢP WINCOMMERCE</v>
      </c>
      <c r="G3736" s="16"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c r="A3737" s="14" t="s">
        <v>12646</v>
      </c>
      <c r="B3737" s="9" t="s">
        <v>5</v>
      </c>
      <c r="C3737" s="16" t="s">
        <v>12687</v>
      </c>
      <c r="D3737" s="21"/>
      <c r="E3737" s="32" t="s">
        <v>11206</v>
      </c>
      <c r="F3737" s="22" t="str">
        <f>VLOOKUP(Table8[[#This Row],[Mã khách hàng]],code_khach_hang[],2,0)</f>
        <v>CHI NHÁNH SƠN LA - CÔNG TY CỔ PHẦN DỊCH VỤ THƯƠNG MẠI TỔNG HỢP WINCOMMERCE</v>
      </c>
      <c r="G3737" s="16"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c r="A3738" s="14" t="s">
        <v>12647</v>
      </c>
      <c r="B3738" s="9" t="s">
        <v>5</v>
      </c>
      <c r="C3738" s="16" t="s">
        <v>12688</v>
      </c>
      <c r="D3738" s="21"/>
      <c r="E3738" s="32" t="s">
        <v>11193</v>
      </c>
      <c r="F3738" s="22" t="str">
        <f>VLOOKUP(Table8[[#This Row],[Mã khách hàng]],code_khach_hang[],2,0)</f>
        <v>CHI NHÁNH BẮC NINH - CÔNG TY CỔ PHẦN DỊCH VỤ THƯƠNG MẠI TỔNG HỢP WINCOMMERCE</v>
      </c>
      <c r="G3738" s="16"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c r="A3739" s="14" t="s">
        <v>12648</v>
      </c>
      <c r="B3739" s="9" t="s">
        <v>5</v>
      </c>
      <c r="C3739" s="16" t="s">
        <v>12689</v>
      </c>
      <c r="D3739" s="21"/>
      <c r="E3739" s="32" t="s">
        <v>11199</v>
      </c>
      <c r="F3739" s="22" t="str">
        <f>VLOOKUP(Table8[[#This Row],[Mã khách hàng]],code_khach_hang[],2,0)</f>
        <v>CHI NHÁNH PHÚ THỌ - CÔNG TY CỔ PHẦN DỊCH VỤ THƯƠNG MẠI TỔNG HỢP WINCOMMERCE</v>
      </c>
      <c r="G3739" s="16"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c r="A3740" s="14" t="s">
        <v>12649</v>
      </c>
      <c r="B3740" s="9" t="s">
        <v>5</v>
      </c>
      <c r="C3740" s="16" t="s">
        <v>12690</v>
      </c>
      <c r="D3740" s="21"/>
      <c r="E3740" s="32" t="s">
        <v>11205</v>
      </c>
      <c r="F3740" s="22" t="str">
        <f>VLOOKUP(Table8[[#This Row],[Mã khách hàng]],code_khach_hang[],2,0)</f>
        <v>CHI NHÁNH HÀ TĨNH - CÔNG TY CỔ PHẦN DỊCH VỤ THƯƠNG MẠI TỔNG HỢP WINCOMMERCE</v>
      </c>
      <c r="G3740" s="16"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c r="A3741" s="14" t="s">
        <v>12650</v>
      </c>
      <c r="B3741" s="9" t="s">
        <v>5</v>
      </c>
      <c r="C3741" s="16" t="s">
        <v>12691</v>
      </c>
      <c r="D3741" s="21"/>
      <c r="E3741" s="32" t="s">
        <v>11215</v>
      </c>
      <c r="F3741" s="22" t="str">
        <f>VLOOKUP(Table8[[#This Row],[Mã khách hàng]],code_khach_hang[],2,0)</f>
        <v>CHI NHÁNH HÀ NỘI - CÔNG TY CỔ PHẦN DỊCH VỤ THƯƠNG MẠI TỔNG HỢP WINCOMMERCE</v>
      </c>
      <c r="G3741" s="16"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c r="A3742" s="14" t="s">
        <v>12651</v>
      </c>
      <c r="B3742" s="9" t="s">
        <v>5</v>
      </c>
      <c r="C3742" s="16" t="s">
        <v>12692</v>
      </c>
      <c r="D3742" s="21"/>
      <c r="E3742" s="32" t="s">
        <v>11196</v>
      </c>
      <c r="F3742" s="22" t="str">
        <f>VLOOKUP(Table8[[#This Row],[Mã khách hàng]],code_khach_hang[],2,0)</f>
        <v>CHI NHÁNH NINH BÌNH - CÔNG TY CỔ PHẦN DỊCH VỤ THƯƠNG MẠI TỔNG HỢP WINCOMMERCE</v>
      </c>
      <c r="G3742" s="16"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c r="A3743" s="14" t="s">
        <v>12652</v>
      </c>
      <c r="B3743" s="9" t="s">
        <v>5</v>
      </c>
      <c r="C3743" s="16" t="s">
        <v>12693</v>
      </c>
      <c r="D3743" s="21"/>
      <c r="E3743" s="32" t="s">
        <v>11211</v>
      </c>
      <c r="F3743" s="22" t="str">
        <f>VLOOKUP(Table8[[#This Row],[Mã khách hàng]],code_khach_hang[],2,0)</f>
        <v>CHI NHÁNH NGHỆ AN - CÔNG TY CỔ PHẦN DỊCH VỤ THƯƠNG MẠI TỔNG HỢP WINCOMMERCE</v>
      </c>
      <c r="G3743" s="16"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c r="A3744" s="14" t="s">
        <v>12653</v>
      </c>
      <c r="B3744" s="9" t="s">
        <v>5</v>
      </c>
      <c r="C3744" s="16" t="s">
        <v>12694</v>
      </c>
      <c r="D3744" s="21"/>
      <c r="E3744" s="32" t="s">
        <v>11203</v>
      </c>
      <c r="F3744" s="22" t="str">
        <f>VLOOKUP(Table8[[#This Row],[Mã khách hàng]],code_khach_hang[],2,0)</f>
        <v>CHI NHÁNH THANH HÓA - CÔNG TY CỔ PHẦN DỊCH VỤ THƯƠNG MẠI TỔNG HỢP WINCOMMERCE</v>
      </c>
      <c r="G3744" s="16"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c r="A3745" s="14" t="s">
        <v>12654</v>
      </c>
      <c r="B3745" s="9" t="s">
        <v>5</v>
      </c>
      <c r="C3745" s="16" t="s">
        <v>12695</v>
      </c>
      <c r="D3745" s="21"/>
      <c r="E3745" s="32" t="s">
        <v>11193</v>
      </c>
      <c r="F3745" s="22" t="str">
        <f>VLOOKUP(Table8[[#This Row],[Mã khách hàng]],code_khach_hang[],2,0)</f>
        <v>CHI NHÁNH BẮC NINH - CÔNG TY CỔ PHẦN DỊCH VỤ THƯƠNG MẠI TỔNG HỢP WINCOMMERCE</v>
      </c>
      <c r="G3745" s="16"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c r="A3746" s="14" t="s">
        <v>12655</v>
      </c>
      <c r="B3746" s="9" t="s">
        <v>5</v>
      </c>
      <c r="C3746" s="16" t="s">
        <v>12696</v>
      </c>
      <c r="D3746" s="21"/>
      <c r="E3746" s="32" t="s">
        <v>11199</v>
      </c>
      <c r="F3746" s="22" t="str">
        <f>VLOOKUP(Table8[[#This Row],[Mã khách hàng]],code_khach_hang[],2,0)</f>
        <v>CHI NHÁNH PHÚ THỌ - CÔNG TY CỔ PHẦN DỊCH VỤ THƯƠNG MẠI TỔNG HỢP WINCOMMERCE</v>
      </c>
      <c r="G3746" s="16"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c r="A3747" s="14" t="s">
        <v>12656</v>
      </c>
      <c r="B3747" s="9" t="s">
        <v>5</v>
      </c>
      <c r="C3747" s="16" t="s">
        <v>12697</v>
      </c>
      <c r="D3747" s="21"/>
      <c r="E3747" s="32" t="s">
        <v>11196</v>
      </c>
      <c r="F3747" s="22" t="str">
        <f>VLOOKUP(Table8[[#This Row],[Mã khách hàng]],code_khach_hang[],2,0)</f>
        <v>CHI NHÁNH NINH BÌNH - CÔNG TY CỔ PHẦN DỊCH VỤ THƯƠNG MẠI TỔNG HỢP WINCOMMERCE</v>
      </c>
      <c r="G3747" s="16"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c r="A3748" s="14" t="s">
        <v>12657</v>
      </c>
      <c r="B3748" s="9" t="s">
        <v>5</v>
      </c>
      <c r="C3748" s="16" t="s">
        <v>12698</v>
      </c>
      <c r="D3748" s="21"/>
      <c r="E3748" s="32" t="s">
        <v>11198</v>
      </c>
      <c r="F3748" s="22" t="str">
        <f>VLOOKUP(Table8[[#This Row],[Mã khách hàng]],code_khach_hang[],2,0)</f>
        <v>CHI NHÁNH HẢI PHÒNG - CÔNG TY CỔ PHẦN DỊCH VỤ THƯƠNG MẠI TỔNG HỢP WINCOMMERCE</v>
      </c>
      <c r="G3748" s="16"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c r="A3749" s="14" t="s">
        <v>12658</v>
      </c>
      <c r="B3749" s="9" t="s">
        <v>5</v>
      </c>
      <c r="C3749" s="16" t="s">
        <v>12699</v>
      </c>
      <c r="D3749" s="21"/>
      <c r="E3749" s="32" t="s">
        <v>11211</v>
      </c>
      <c r="F3749" s="22" t="str">
        <f>VLOOKUP(Table8[[#This Row],[Mã khách hàng]],code_khach_hang[],2,0)</f>
        <v>CHI NHÁNH NGHỆ AN - CÔNG TY CỔ PHẦN DỊCH VỤ THƯƠNG MẠI TỔNG HỢP WINCOMMERCE</v>
      </c>
      <c r="G3749" s="16"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c r="A3750" s="14" t="s">
        <v>12659</v>
      </c>
      <c r="B3750" s="9" t="s">
        <v>5</v>
      </c>
      <c r="C3750" s="16" t="s">
        <v>12700</v>
      </c>
      <c r="D3750" s="21"/>
      <c r="E3750" s="32" t="s">
        <v>11196</v>
      </c>
      <c r="F3750" s="22" t="str">
        <f>VLOOKUP(Table8[[#This Row],[Mã khách hàng]],code_khach_hang[],2,0)</f>
        <v>CHI NHÁNH NINH BÌNH - CÔNG TY CỔ PHẦN DỊCH VỤ THƯƠNG MẠI TỔNG HỢP WINCOMMERCE</v>
      </c>
      <c r="G3750" s="16"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c r="A3751" s="14" t="s">
        <v>12660</v>
      </c>
      <c r="B3751" s="9" t="s">
        <v>5</v>
      </c>
      <c r="C3751" s="16" t="s">
        <v>12701</v>
      </c>
      <c r="D3751" s="21"/>
      <c r="E3751" s="32" t="s">
        <v>11203</v>
      </c>
      <c r="F3751" s="22" t="str">
        <f>VLOOKUP(Table8[[#This Row],[Mã khách hàng]],code_khach_hang[],2,0)</f>
        <v>CHI NHÁNH THANH HÓA - CÔNG TY CỔ PHẦN DỊCH VỤ THƯƠNG MẠI TỔNG HỢP WINCOMMERCE</v>
      </c>
      <c r="G3751" s="16"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c r="A3752" s="14" t="s">
        <v>12661</v>
      </c>
      <c r="B3752" s="9" t="s">
        <v>5</v>
      </c>
      <c r="C3752" s="16" t="s">
        <v>12702</v>
      </c>
      <c r="D3752" s="21"/>
      <c r="E3752" s="32" t="s">
        <v>11197</v>
      </c>
      <c r="F3752" s="22" t="str">
        <f>VLOOKUP(Table8[[#This Row],[Mã khách hàng]],code_khach_hang[],2,0)</f>
        <v>CHI NHÁNH QUẢNG NINH - CÔNG TY CỔ PHẦN DỊCH VỤ THƯƠNG MẠI TỔNG HỢP WINCOMMERCE</v>
      </c>
      <c r="G3752" s="16"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c r="A3753" s="14" t="s">
        <v>12662</v>
      </c>
      <c r="B3753" s="9" t="s">
        <v>5</v>
      </c>
      <c r="C3753" s="16" t="s">
        <v>12703</v>
      </c>
      <c r="D3753" s="21"/>
      <c r="E3753" s="32" t="s">
        <v>11216</v>
      </c>
      <c r="F3753" s="22" t="str">
        <f>VLOOKUP(Table8[[#This Row],[Mã khách hàng]],code_khach_hang[],2,0)</f>
        <v>CHI NHÁNH HƯNG YÊN - CÔNG TY CỔ PHẦN DỊCH VỤ THƯƠNG MẠI TỔNG HỢP WINCOMMERCE</v>
      </c>
      <c r="G3753" s="16"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c r="A3754" s="14" t="s">
        <v>12663</v>
      </c>
      <c r="B3754" s="9" t="s">
        <v>5</v>
      </c>
      <c r="C3754" s="16" t="s">
        <v>12704</v>
      </c>
      <c r="D3754" s="21"/>
      <c r="E3754" s="32" t="s">
        <v>11199</v>
      </c>
      <c r="F3754" s="22" t="str">
        <f>VLOOKUP(Table8[[#This Row],[Mã khách hàng]],code_khach_hang[],2,0)</f>
        <v>CHI NHÁNH PHÚ THỌ - CÔNG TY CỔ PHẦN DỊCH VỤ THƯƠNG MẠI TỔNG HỢP WINCOMMERCE</v>
      </c>
      <c r="G3754" s="16"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c r="A3755" s="14" t="s">
        <v>12664</v>
      </c>
      <c r="B3755" s="9" t="s">
        <v>5</v>
      </c>
      <c r="C3755" s="16" t="s">
        <v>12705</v>
      </c>
      <c r="D3755" s="21"/>
      <c r="E3755" s="32" t="s">
        <v>11198</v>
      </c>
      <c r="F3755" s="22" t="str">
        <f>VLOOKUP(Table8[[#This Row],[Mã khách hàng]],code_khach_hang[],2,0)</f>
        <v>CHI NHÁNH HẢI PHÒNG - CÔNG TY CỔ PHẦN DỊCH VỤ THƯƠNG MẠI TỔNG HỢP WINCOMMERCE</v>
      </c>
      <c r="G3755" s="16"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c r="A3756" s="14" t="s">
        <v>12665</v>
      </c>
      <c r="B3756" s="9" t="s">
        <v>5</v>
      </c>
      <c r="C3756" s="16" t="s">
        <v>12706</v>
      </c>
      <c r="D3756" s="21"/>
      <c r="E3756" s="32" t="s">
        <v>11216</v>
      </c>
      <c r="F3756" s="22" t="str">
        <f>VLOOKUP(Table8[[#This Row],[Mã khách hàng]],code_khach_hang[],2,0)</f>
        <v>CHI NHÁNH HƯNG YÊN - CÔNG TY CỔ PHẦN DỊCH VỤ THƯƠNG MẠI TỔNG HỢP WINCOMMERCE</v>
      </c>
      <c r="G3756" s="16"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c r="A3757" s="14" t="s">
        <v>12666</v>
      </c>
      <c r="B3757" s="9" t="s">
        <v>5</v>
      </c>
      <c r="C3757" s="16" t="s">
        <v>12707</v>
      </c>
      <c r="D3757" s="21"/>
      <c r="E3757" s="32" t="s">
        <v>11196</v>
      </c>
      <c r="F3757" s="22" t="str">
        <f>VLOOKUP(Table8[[#This Row],[Mã khách hàng]],code_khach_hang[],2,0)</f>
        <v>CHI NHÁNH NINH BÌNH - CÔNG TY CỔ PHẦN DỊCH VỤ THƯƠNG MẠI TỔNG HỢP WINCOMMERCE</v>
      </c>
      <c r="G3757" s="16"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c r="A3758" s="14" t="s">
        <v>12667</v>
      </c>
      <c r="B3758" s="9" t="s">
        <v>5</v>
      </c>
      <c r="C3758" s="16" t="s">
        <v>12708</v>
      </c>
      <c r="D3758" s="21"/>
      <c r="E3758" s="32" t="s">
        <v>11218</v>
      </c>
      <c r="F3758" s="22" t="str">
        <f>VLOOKUP(Table8[[#This Row],[Mã khách hàng]],code_khach_hang[],2,0)</f>
        <v>CHI NHÁNH LÀO CAI - CÔNG TY CỔ PHẦN DỊCH VỤ THƯƠNG MẠI TỔNG HỢP WINCOMMERCE</v>
      </c>
      <c r="G3758" s="16"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c r="A3759" s="14" t="s">
        <v>12668</v>
      </c>
      <c r="B3759" s="9" t="s">
        <v>5</v>
      </c>
      <c r="C3759" s="16" t="s">
        <v>12709</v>
      </c>
      <c r="D3759" s="21"/>
      <c r="E3759" s="32" t="s">
        <v>11206</v>
      </c>
      <c r="F3759" s="22" t="str">
        <f>VLOOKUP(Table8[[#This Row],[Mã khách hàng]],code_khach_hang[],2,0)</f>
        <v>CHI NHÁNH SƠN LA - CÔNG TY CỔ PHẦN DỊCH VỤ THƯƠNG MẠI TỔNG HỢP WINCOMMERCE</v>
      </c>
      <c r="G3759" s="16"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c r="A3760" s="14" t="s">
        <v>12669</v>
      </c>
      <c r="B3760" s="9" t="s">
        <v>5</v>
      </c>
      <c r="C3760" s="16" t="s">
        <v>12710</v>
      </c>
      <c r="D3760" s="21"/>
      <c r="E3760" s="32" t="s">
        <v>11203</v>
      </c>
      <c r="F3760" s="22" t="str">
        <f>VLOOKUP(Table8[[#This Row],[Mã khách hàng]],code_khach_hang[],2,0)</f>
        <v>CHI NHÁNH THANH HÓA - CÔNG TY CỔ PHẦN DỊCH VỤ THƯƠNG MẠI TỔNG HỢP WINCOMMERCE</v>
      </c>
      <c r="G3760" s="16"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c r="A3761" s="14" t="s">
        <v>12670</v>
      </c>
      <c r="B3761" s="9" t="s">
        <v>5</v>
      </c>
      <c r="C3761" s="16" t="s">
        <v>12711</v>
      </c>
      <c r="D3761" s="21"/>
      <c r="E3761" s="32" t="s">
        <v>11204</v>
      </c>
      <c r="F3761" s="22" t="str">
        <f>VLOOKUP(Table8[[#This Row],[Mã khách hàng]],code_khach_hang[],2,0)</f>
        <v>CHI NHÁNH TUYÊN QUANG - CÔNG TY CỔ PHẦN DỊCH VỤ THƯƠNG MẠI TỔNG HỢP WINCOMMERCE</v>
      </c>
      <c r="G3761" s="16"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c r="A3762" s="14" t="s">
        <v>12671</v>
      </c>
      <c r="B3762" s="9" t="s">
        <v>5</v>
      </c>
      <c r="C3762" s="16" t="s">
        <v>12712</v>
      </c>
      <c r="D3762" s="21"/>
      <c r="E3762" s="32" t="s">
        <v>11218</v>
      </c>
      <c r="F3762" s="22" t="str">
        <f>VLOOKUP(Table8[[#This Row],[Mã khách hàng]],code_khach_hang[],2,0)</f>
        <v>CHI NHÁNH LÀO CAI - CÔNG TY CỔ PHẦN DỊCH VỤ THƯƠNG MẠI TỔNG HỢP WINCOMMERCE</v>
      </c>
      <c r="G3762" s="16"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c r="A3763" s="14" t="s">
        <v>12672</v>
      </c>
      <c r="B3763" s="9" t="s">
        <v>5</v>
      </c>
      <c r="C3763" s="16" t="s">
        <v>12713</v>
      </c>
      <c r="D3763" s="21"/>
      <c r="E3763" s="32" t="s">
        <v>11199</v>
      </c>
      <c r="F3763" s="22" t="str">
        <f>VLOOKUP(Table8[[#This Row],[Mã khách hàng]],code_khach_hang[],2,0)</f>
        <v>CHI NHÁNH PHÚ THỌ - CÔNG TY CỔ PHẦN DỊCH VỤ THƯƠNG MẠI TỔNG HỢP WINCOMMERCE</v>
      </c>
      <c r="G3763" s="16"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c r="A3764" s="14" t="s">
        <v>12673</v>
      </c>
      <c r="B3764" s="9" t="s">
        <v>5</v>
      </c>
      <c r="C3764" s="16" t="s">
        <v>12714</v>
      </c>
      <c r="D3764" s="21"/>
      <c r="E3764" s="32" t="s">
        <v>11216</v>
      </c>
      <c r="F3764" s="22" t="str">
        <f>VLOOKUP(Table8[[#This Row],[Mã khách hàng]],code_khach_hang[],2,0)</f>
        <v>CHI NHÁNH HƯNG YÊN - CÔNG TY CỔ PHẦN DỊCH VỤ THƯƠNG MẠI TỔNG HỢP WINCOMMERCE</v>
      </c>
      <c r="G3764" s="16"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c r="A3765" s="14" t="s">
        <v>12674</v>
      </c>
      <c r="B3765" s="9" t="s">
        <v>5</v>
      </c>
      <c r="C3765" s="16" t="s">
        <v>12715</v>
      </c>
      <c r="D3765" s="21"/>
      <c r="E3765" s="32" t="s">
        <v>11193</v>
      </c>
      <c r="F3765" s="22" t="str">
        <f>VLOOKUP(Table8[[#This Row],[Mã khách hàng]],code_khach_hang[],2,0)</f>
        <v>CHI NHÁNH BẮC NINH - CÔNG TY CỔ PHẦN DỊCH VỤ THƯƠNG MẠI TỔNG HỢP WINCOMMERCE</v>
      </c>
      <c r="G3765" s="16" t="str">
        <f>VLOOKUP(Table8[[#This Row],[Mã khách hàng]],code_khach_hang[],3,0)</f>
        <v>Miền Bắc đặc biệt 2</v>
      </c>
      <c r="H3765" t="str">
        <f>VLOOKUP(Table8[[#This Row],[Mã khách hàng]],'Khách hàng'!A:D,4,0)</f>
        <v>Food Đức Việt</v>
      </c>
      <c r="I3765" t="str">
        <f>VLOOKUP(Table8[[#This Row],[Mã khách hàng]],'Khách hàng'!A:E,5,0)</f>
        <v>HN0040</v>
      </c>
    </row>
    <row r="3766" spans="1:9">
      <c r="A3766" s="11" t="s">
        <v>12723</v>
      </c>
      <c r="B3766" s="9" t="s">
        <v>5</v>
      </c>
      <c r="C3766" s="10" t="s">
        <v>12738</v>
      </c>
      <c r="D3766" s="21"/>
      <c r="E3766" s="31" t="s">
        <v>11204</v>
      </c>
      <c r="F3766" s="22" t="str">
        <f>VLOOKUP(Table8[[#This Row],[Mã khách hàng]],code_khach_hang[],2,0)</f>
        <v>CHI NHÁNH TUYÊN QUANG - CÔNG TY CỔ PHẦN DỊCH VỤ THƯƠNG MẠI TỔNG HỢP WINCOMMERCE</v>
      </c>
      <c r="G3766" s="10" t="str">
        <f>VLOOKUP(Table8[[#This Row],[Mã khách hàng]],code_khach_hang[],3,0)</f>
        <v>Miền Bắc đặc biệt 2</v>
      </c>
      <c r="H3766" t="str">
        <f>VLOOKUP(Table8[[#This Row],[Mã khách hàng]],'Khách hàng'!A:D,4,0)</f>
        <v>Food Đức Việt</v>
      </c>
      <c r="I3766" t="str">
        <f>VLOOKUP(Table8[[#This Row],[Mã khách hàng]],'Khách hàng'!A:E,5,0)</f>
        <v>HN0040</v>
      </c>
    </row>
    <row r="3767" spans="1:9">
      <c r="A3767" s="14" t="s">
        <v>12724</v>
      </c>
      <c r="B3767" s="9" t="s">
        <v>5</v>
      </c>
      <c r="C3767" s="16" t="s">
        <v>12739</v>
      </c>
      <c r="D3767" s="21"/>
      <c r="E3767" s="32" t="s">
        <v>11204</v>
      </c>
      <c r="F3767" s="22" t="str">
        <f>VLOOKUP(Table8[[#This Row],[Mã khách hàng]],code_khach_hang[],2,0)</f>
        <v>CHI NHÁNH TUYÊN QUANG - CÔNG TY CỔ PHẦN DỊCH VỤ THƯƠNG MẠI TỔNG HỢP WINCOMMERCE</v>
      </c>
      <c r="G3767" s="16" t="str">
        <f>VLOOKUP(Table8[[#This Row],[Mã khách hàng]],code_khach_hang[],3,0)</f>
        <v>Miền Bắc đặc biệt 2</v>
      </c>
      <c r="H3767" t="str">
        <f>VLOOKUP(Table8[[#This Row],[Mã khách hàng]],'Khách hàng'!A:D,4,0)</f>
        <v>Food Đức Việt</v>
      </c>
      <c r="I3767" t="str">
        <f>VLOOKUP(Table8[[#This Row],[Mã khách hàng]],'Khách hàng'!A:E,5,0)</f>
        <v>HN0040</v>
      </c>
    </row>
    <row r="3768" spans="1:9">
      <c r="A3768" s="14" t="s">
        <v>12725</v>
      </c>
      <c r="B3768" s="9" t="s">
        <v>5</v>
      </c>
      <c r="C3768" s="16" t="s">
        <v>12740</v>
      </c>
      <c r="D3768" s="21"/>
      <c r="E3768" s="32" t="s">
        <v>11205</v>
      </c>
      <c r="F3768" s="22" t="str">
        <f>VLOOKUP(Table8[[#This Row],[Mã khách hàng]],code_khach_hang[],2,0)</f>
        <v>CHI NHÁNH HÀ TĨNH - CÔNG TY CỔ PHẦN DỊCH VỤ THƯƠNG MẠI TỔNG HỢP WINCOMMERCE</v>
      </c>
      <c r="G3768" s="16" t="str">
        <f>VLOOKUP(Table8[[#This Row],[Mã khách hàng]],code_khach_hang[],3,0)</f>
        <v>Miền Trung đặc biệt 1</v>
      </c>
      <c r="H3768" t="str">
        <f>VLOOKUP(Table8[[#This Row],[Mã khách hàng]],'Khách hàng'!A:D,4,0)</f>
        <v>Food Đức Việt</v>
      </c>
      <c r="I3768" t="str">
        <f>VLOOKUP(Table8[[#This Row],[Mã khách hàng]],'Khách hàng'!A:E,5,0)</f>
        <v>HN0040</v>
      </c>
    </row>
    <row r="3769" spans="1:9">
      <c r="A3769" s="14" t="s">
        <v>12726</v>
      </c>
      <c r="B3769" s="9" t="s">
        <v>5</v>
      </c>
      <c r="C3769" s="16" t="s">
        <v>12741</v>
      </c>
      <c r="D3769" s="21"/>
      <c r="E3769" s="32" t="s">
        <v>11216</v>
      </c>
      <c r="F3769" s="22" t="str">
        <f>VLOOKUP(Table8[[#This Row],[Mã khách hàng]],code_khach_hang[],2,0)</f>
        <v>CHI NHÁNH HƯNG YÊN - CÔNG TY CỔ PHẦN DỊCH VỤ THƯƠNG MẠI TỔNG HỢP WINCOMMERCE</v>
      </c>
      <c r="G3769" s="16" t="str">
        <f>VLOOKUP(Table8[[#This Row],[Mã khách hàng]],code_khach_hang[],3,0)</f>
        <v>Miền Bắc đặc biệt 1</v>
      </c>
      <c r="H3769" t="str">
        <f>VLOOKUP(Table8[[#This Row],[Mã khách hàng]],'Khách hàng'!A:D,4,0)</f>
        <v>Food Đức Việt</v>
      </c>
      <c r="I3769" t="str">
        <f>VLOOKUP(Table8[[#This Row],[Mã khách hàng]],'Khách hàng'!A:E,5,0)</f>
        <v>HN0040</v>
      </c>
    </row>
    <row r="3770" spans="1:9">
      <c r="A3770" s="14" t="s">
        <v>12727</v>
      </c>
      <c r="B3770" s="9" t="s">
        <v>5</v>
      </c>
      <c r="C3770" s="16" t="s">
        <v>12742</v>
      </c>
      <c r="D3770" s="21"/>
      <c r="E3770" s="32" t="s">
        <v>11193</v>
      </c>
      <c r="F3770" s="22" t="str">
        <f>VLOOKUP(Table8[[#This Row],[Mã khách hàng]],code_khach_hang[],2,0)</f>
        <v>CHI NHÁNH BẮC NINH - CÔNG TY CỔ PHẦN DỊCH VỤ THƯƠNG MẠI TỔNG HỢP WINCOMMERCE</v>
      </c>
      <c r="G3770" s="16" t="str">
        <f>VLOOKUP(Table8[[#This Row],[Mã khách hàng]],code_khach_hang[],3,0)</f>
        <v>Miền Bắc đặc biệt 2</v>
      </c>
      <c r="H3770" t="str">
        <f>VLOOKUP(Table8[[#This Row],[Mã khách hàng]],'Khách hàng'!A:D,4,0)</f>
        <v>Food Đức Việt</v>
      </c>
      <c r="I3770" t="str">
        <f>VLOOKUP(Table8[[#This Row],[Mã khách hàng]],'Khách hàng'!A:E,5,0)</f>
        <v>HN0040</v>
      </c>
    </row>
    <row r="3771" spans="1:9">
      <c r="A3771" s="14" t="s">
        <v>12728</v>
      </c>
      <c r="B3771" s="9" t="s">
        <v>5</v>
      </c>
      <c r="C3771" s="16" t="s">
        <v>12743</v>
      </c>
      <c r="D3771" s="21"/>
      <c r="E3771" s="32" t="s">
        <v>11203</v>
      </c>
      <c r="F3771" s="22" t="str">
        <f>VLOOKUP(Table8[[#This Row],[Mã khách hàng]],code_khach_hang[],2,0)</f>
        <v>CHI NHÁNH THANH HÓA - CÔNG TY CỔ PHẦN DỊCH VỤ THƯƠNG MẠI TỔNG HỢP WINCOMMERCE</v>
      </c>
      <c r="G3771" s="16" t="str">
        <f>VLOOKUP(Table8[[#This Row],[Mã khách hàng]],code_khach_hang[],3,0)</f>
        <v>Miền Trung đặc biệt 1</v>
      </c>
      <c r="H3771" t="str">
        <f>VLOOKUP(Table8[[#This Row],[Mã khách hàng]],'Khách hàng'!A:D,4,0)</f>
        <v>Food Đức Việt</v>
      </c>
      <c r="I3771" t="str">
        <f>VLOOKUP(Table8[[#This Row],[Mã khách hàng]],'Khách hàng'!A:E,5,0)</f>
        <v>HN0040</v>
      </c>
    </row>
    <row r="3772" spans="1:9">
      <c r="A3772" s="14" t="s">
        <v>12729</v>
      </c>
      <c r="B3772" s="9" t="s">
        <v>5</v>
      </c>
      <c r="C3772" s="16" t="s">
        <v>12744</v>
      </c>
      <c r="D3772" s="21"/>
      <c r="E3772" s="32" t="s">
        <v>11211</v>
      </c>
      <c r="F3772" s="22" t="str">
        <f>VLOOKUP(Table8[[#This Row],[Mã khách hàng]],code_khach_hang[],2,0)</f>
        <v>CHI NHÁNH NGHỆ AN - CÔNG TY CỔ PHẦN DỊCH VỤ THƯƠNG MẠI TỔNG HỢP WINCOMMERCE</v>
      </c>
      <c r="G3772" s="16" t="str">
        <f>VLOOKUP(Table8[[#This Row],[Mã khách hàng]],code_khach_hang[],3,0)</f>
        <v>Miền Trung đặc biệt 1</v>
      </c>
      <c r="H3772" t="str">
        <f>VLOOKUP(Table8[[#This Row],[Mã khách hàng]],'Khách hàng'!A:D,4,0)</f>
        <v>Food Đức Việt</v>
      </c>
      <c r="I3772" t="str">
        <f>VLOOKUP(Table8[[#This Row],[Mã khách hàng]],'Khách hàng'!A:E,5,0)</f>
        <v>HN0040</v>
      </c>
    </row>
    <row r="3773" spans="1:9">
      <c r="A3773" s="14" t="s">
        <v>12730</v>
      </c>
      <c r="B3773" s="9" t="s">
        <v>5</v>
      </c>
      <c r="C3773" s="16" t="s">
        <v>12745</v>
      </c>
      <c r="D3773" s="21"/>
      <c r="E3773" s="32" t="s">
        <v>11211</v>
      </c>
      <c r="F3773" s="22" t="str">
        <f>VLOOKUP(Table8[[#This Row],[Mã khách hàng]],code_khach_hang[],2,0)</f>
        <v>CHI NHÁNH NGHỆ AN - CÔNG TY CỔ PHẦN DỊCH VỤ THƯƠNG MẠI TỔNG HỢP WINCOMMERCE</v>
      </c>
      <c r="G3773" s="16" t="str">
        <f>VLOOKUP(Table8[[#This Row],[Mã khách hàng]],code_khach_hang[],3,0)</f>
        <v>Miền Trung đặc biệt 1</v>
      </c>
      <c r="H3773" t="str">
        <f>VLOOKUP(Table8[[#This Row],[Mã khách hàng]],'Khách hàng'!A:D,4,0)</f>
        <v>Food Đức Việt</v>
      </c>
      <c r="I3773" t="str">
        <f>VLOOKUP(Table8[[#This Row],[Mã khách hàng]],'Khách hàng'!A:E,5,0)</f>
        <v>HN0040</v>
      </c>
    </row>
    <row r="3774" spans="1:9">
      <c r="A3774" s="14" t="s">
        <v>12731</v>
      </c>
      <c r="B3774" s="9" t="s">
        <v>5</v>
      </c>
      <c r="C3774" s="16" t="s">
        <v>12746</v>
      </c>
      <c r="D3774" s="21"/>
      <c r="E3774" s="32" t="s">
        <v>11199</v>
      </c>
      <c r="F3774" s="22" t="str">
        <f>VLOOKUP(Table8[[#This Row],[Mã khách hàng]],code_khach_hang[],2,0)</f>
        <v>CHI NHÁNH PHÚ THỌ - CÔNG TY CỔ PHẦN DỊCH VỤ THƯƠNG MẠI TỔNG HỢP WINCOMMERCE</v>
      </c>
      <c r="G3774" s="16" t="str">
        <f>VLOOKUP(Table8[[#This Row],[Mã khách hàng]],code_khach_hang[],3,0)</f>
        <v>Miền Bắc đặc biệt 1</v>
      </c>
      <c r="H3774" t="str">
        <f>VLOOKUP(Table8[[#This Row],[Mã khách hàng]],'Khách hàng'!A:D,4,0)</f>
        <v>Food Đức Việt</v>
      </c>
      <c r="I3774" t="str">
        <f>VLOOKUP(Table8[[#This Row],[Mã khách hàng]],'Khách hàng'!A:E,5,0)</f>
        <v>HN0040</v>
      </c>
    </row>
    <row r="3775" spans="1:9">
      <c r="A3775" s="14" t="s">
        <v>12732</v>
      </c>
      <c r="B3775" s="9" t="s">
        <v>5</v>
      </c>
      <c r="C3775" s="16" t="s">
        <v>12747</v>
      </c>
      <c r="D3775" s="21"/>
      <c r="E3775" s="32" t="s">
        <v>11211</v>
      </c>
      <c r="F3775" s="22" t="str">
        <f>VLOOKUP(Table8[[#This Row],[Mã khách hàng]],code_khach_hang[],2,0)</f>
        <v>CHI NHÁNH NGHỆ AN - CÔNG TY CỔ PHẦN DỊCH VỤ THƯƠNG MẠI TỔNG HỢP WINCOMMERCE</v>
      </c>
      <c r="G3775" s="16" t="str">
        <f>VLOOKUP(Table8[[#This Row],[Mã khách hàng]],code_khach_hang[],3,0)</f>
        <v>Miền Trung đặc biệt 1</v>
      </c>
      <c r="H3775" t="str">
        <f>VLOOKUP(Table8[[#This Row],[Mã khách hàng]],'Khách hàng'!A:D,4,0)</f>
        <v>Food Đức Việt</v>
      </c>
      <c r="I3775" t="str">
        <f>VLOOKUP(Table8[[#This Row],[Mã khách hàng]],'Khách hàng'!A:E,5,0)</f>
        <v>HN0040</v>
      </c>
    </row>
    <row r="3776" spans="1:9">
      <c r="A3776" s="14" t="s">
        <v>12733</v>
      </c>
      <c r="B3776" s="9" t="s">
        <v>5</v>
      </c>
      <c r="C3776" s="16" t="s">
        <v>12748</v>
      </c>
      <c r="D3776" s="21"/>
      <c r="E3776" s="32" t="s">
        <v>11198</v>
      </c>
      <c r="F3776" s="22" t="str">
        <f>VLOOKUP(Table8[[#This Row],[Mã khách hàng]],code_khach_hang[],2,0)</f>
        <v>CHI NHÁNH HẢI PHÒNG - CÔNG TY CỔ PHẦN DỊCH VỤ THƯƠNG MẠI TỔNG HỢP WINCOMMERCE</v>
      </c>
      <c r="G3776" s="16" t="str">
        <f>VLOOKUP(Table8[[#This Row],[Mã khách hàng]],code_khach_hang[],3,0)</f>
        <v>Miền Bắc đặc biệt 3</v>
      </c>
      <c r="H3776" t="str">
        <f>VLOOKUP(Table8[[#This Row],[Mã khách hàng]],'Khách hàng'!A:D,4,0)</f>
        <v>Food Đức Việt</v>
      </c>
      <c r="I3776" t="str">
        <f>VLOOKUP(Table8[[#This Row],[Mã khách hàng]],'Khách hàng'!A:E,5,0)</f>
        <v>HN0040</v>
      </c>
    </row>
    <row r="3777" spans="1:9">
      <c r="A3777" s="14" t="s">
        <v>12734</v>
      </c>
      <c r="B3777" s="9" t="s">
        <v>5</v>
      </c>
      <c r="C3777" s="16" t="s">
        <v>12749</v>
      </c>
      <c r="D3777" s="21"/>
      <c r="E3777" s="32" t="s">
        <v>11198</v>
      </c>
      <c r="F3777" s="22" t="str">
        <f>VLOOKUP(Table8[[#This Row],[Mã khách hàng]],code_khach_hang[],2,0)</f>
        <v>CHI NHÁNH HẢI PHÒNG - CÔNG TY CỔ PHẦN DỊCH VỤ THƯƠNG MẠI TỔNG HỢP WINCOMMERCE</v>
      </c>
      <c r="G3777" s="16" t="str">
        <f>VLOOKUP(Table8[[#This Row],[Mã khách hàng]],code_khach_hang[],3,0)</f>
        <v>Miền Bắc đặc biệt 3</v>
      </c>
      <c r="H3777" t="str">
        <f>VLOOKUP(Table8[[#This Row],[Mã khách hàng]],'Khách hàng'!A:D,4,0)</f>
        <v>Food Đức Việt</v>
      </c>
      <c r="I3777" t="str">
        <f>VLOOKUP(Table8[[#This Row],[Mã khách hàng]],'Khách hàng'!A:E,5,0)</f>
        <v>HN0040</v>
      </c>
    </row>
    <row r="3778" spans="1:9">
      <c r="A3778" s="14" t="s">
        <v>12735</v>
      </c>
      <c r="B3778" s="9" t="s">
        <v>5</v>
      </c>
      <c r="C3778" s="16" t="s">
        <v>12750</v>
      </c>
      <c r="D3778" s="21"/>
      <c r="E3778" s="32" t="s">
        <v>11197</v>
      </c>
      <c r="F3778" s="22" t="str">
        <f>VLOOKUP(Table8[[#This Row],[Mã khách hàng]],code_khach_hang[],2,0)</f>
        <v>CHI NHÁNH QUẢNG NINH - CÔNG TY CỔ PHẦN DỊCH VỤ THƯƠNG MẠI TỔNG HỢP WINCOMMERCE</v>
      </c>
      <c r="G3778" s="16" t="str">
        <f>VLOOKUP(Table8[[#This Row],[Mã khách hàng]],code_khach_hang[],3,0)</f>
        <v>Miền Bắc đặc biệt 3</v>
      </c>
      <c r="H3778" t="str">
        <f>VLOOKUP(Table8[[#This Row],[Mã khách hàng]],'Khách hàng'!A:D,4,0)</f>
        <v>Food Đức Việt</v>
      </c>
      <c r="I3778" t="str">
        <f>VLOOKUP(Table8[[#This Row],[Mã khách hàng]],'Khách hàng'!A:E,5,0)</f>
        <v>HN0040</v>
      </c>
    </row>
    <row r="3779" spans="1:9">
      <c r="A3779" s="14" t="s">
        <v>12736</v>
      </c>
      <c r="B3779" s="9" t="s">
        <v>5</v>
      </c>
      <c r="C3779" s="16" t="s">
        <v>12751</v>
      </c>
      <c r="D3779" s="21"/>
      <c r="E3779" s="32" t="s">
        <v>11211</v>
      </c>
      <c r="F3779" s="22" t="str">
        <f>VLOOKUP(Table8[[#This Row],[Mã khách hàng]],code_khach_hang[],2,0)</f>
        <v>CHI NHÁNH NGHỆ AN - CÔNG TY CỔ PHẦN DỊCH VỤ THƯƠNG MẠI TỔNG HỢP WINCOMMERCE</v>
      </c>
      <c r="G3779" s="16" t="str">
        <f>VLOOKUP(Table8[[#This Row],[Mã khách hàng]],code_khach_hang[],3,0)</f>
        <v>Miền Trung đặc biệt 1</v>
      </c>
      <c r="H3779" t="str">
        <f>VLOOKUP(Table8[[#This Row],[Mã khách hàng]],'Khách hàng'!A:D,4,0)</f>
        <v>Food Đức Việt</v>
      </c>
      <c r="I3779" t="str">
        <f>VLOOKUP(Table8[[#This Row],[Mã khách hàng]],'Khách hàng'!A:E,5,0)</f>
        <v>HN0040</v>
      </c>
    </row>
    <row r="3780" spans="1:9">
      <c r="A3780" s="14" t="s">
        <v>12737</v>
      </c>
      <c r="B3780" s="9" t="s">
        <v>5</v>
      </c>
      <c r="C3780" s="16" t="s">
        <v>12752</v>
      </c>
      <c r="D3780" s="21"/>
      <c r="E3780" s="32" t="s">
        <v>11198</v>
      </c>
      <c r="F3780" s="22" t="str">
        <f>VLOOKUP(Table8[[#This Row],[Mã khách hàng]],code_khach_hang[],2,0)</f>
        <v>CHI NHÁNH HẢI PHÒNG - CÔNG TY CỔ PHẦN DỊCH VỤ THƯƠNG MẠI TỔNG HỢP WINCOMMERCE</v>
      </c>
      <c r="G3780" s="16" t="str">
        <f>VLOOKUP(Table8[[#This Row],[Mã khách hàng]],code_khach_hang[],3,0)</f>
        <v>Miền Bắc đặc biệt 3</v>
      </c>
      <c r="H3780" t="str">
        <f>VLOOKUP(Table8[[#This Row],[Mã khách hàng]],'Khách hàng'!A:D,4,0)</f>
        <v>Food Đức Việt</v>
      </c>
      <c r="I3780" t="str">
        <f>VLOOKUP(Table8[[#This Row],[Mã khách hàng]],'Khách hàng'!A:E,5,0)</f>
        <v>HN0040</v>
      </c>
    </row>
    <row r="3781" spans="1:9">
      <c r="A3781" s="11" t="s">
        <v>12754</v>
      </c>
      <c r="B3781" s="9" t="s">
        <v>5</v>
      </c>
      <c r="C3781" s="10" t="s">
        <v>12788</v>
      </c>
      <c r="D3781" s="21"/>
      <c r="E3781" s="31" t="s">
        <v>11221</v>
      </c>
      <c r="F3781" s="22" t="str">
        <f>VLOOKUP(Table8[[#This Row],[Mã khách hàng]],code_khach_hang[],2,0)</f>
        <v>CHI NHÁNH ĐIỆN BIÊN - CÔNG TY CỔ PHẦN DỊCH VỤ THƯƠNG MẠI TỔNG HỢP WINCOMMERCE</v>
      </c>
      <c r="G3781" s="10" t="str">
        <f>VLOOKUP(Table8[[#This Row],[Mã khách hàng]],code_khach_hang[],3,0)</f>
        <v>Miền Bắc đặc biệt 1</v>
      </c>
      <c r="H3781" t="str">
        <f>VLOOKUP(Table8[[#This Row],[Mã khách hàng]],'Khách hàng'!A:D,4,0)</f>
        <v>Food Đức Việt</v>
      </c>
      <c r="I3781" t="str">
        <f>VLOOKUP(Table8[[#This Row],[Mã khách hàng]],'Khách hàng'!A:E,5,0)</f>
        <v>HN0040</v>
      </c>
    </row>
    <row r="3782" spans="1:9">
      <c r="A3782" s="14" t="s">
        <v>12755</v>
      </c>
      <c r="B3782" s="9" t="s">
        <v>5</v>
      </c>
      <c r="C3782" s="16" t="s">
        <v>12789</v>
      </c>
      <c r="D3782" s="21"/>
      <c r="E3782" s="32" t="s">
        <v>11215</v>
      </c>
      <c r="F3782" s="22" t="str">
        <f>VLOOKUP(Table8[[#This Row],[Mã khách hàng]],code_khach_hang[],2,0)</f>
        <v>CHI NHÁNH HÀ NỘI - CÔNG TY CỔ PHẦN DỊCH VỤ THƯƠNG MẠI TỔNG HỢP WINCOMMERCE</v>
      </c>
      <c r="G3782" s="16" t="str">
        <f>VLOOKUP(Table8[[#This Row],[Mã khách hàng]],code_khach_hang[],3,0)</f>
        <v>Miền Bắc đặc biệt 1</v>
      </c>
      <c r="H3782" t="str">
        <f>VLOOKUP(Table8[[#This Row],[Mã khách hàng]],'Khách hàng'!A:D,4,0)</f>
        <v>Food Đức Việt</v>
      </c>
      <c r="I3782" t="str">
        <f>VLOOKUP(Table8[[#This Row],[Mã khách hàng]],'Khách hàng'!A:E,5,0)</f>
        <v>HN0040</v>
      </c>
    </row>
    <row r="3783" spans="1:9">
      <c r="A3783" s="14" t="s">
        <v>12756</v>
      </c>
      <c r="B3783" s="9" t="s">
        <v>5</v>
      </c>
      <c r="C3783" s="16" t="s">
        <v>12790</v>
      </c>
      <c r="D3783" s="21"/>
      <c r="E3783" s="32" t="s">
        <v>11207</v>
      </c>
      <c r="F3783" s="22" t="str">
        <f>VLOOKUP(Table8[[#This Row],[Mã khách hàng]],code_khach_hang[],2,0)</f>
        <v>CHI NHÁNH THÁI NGUYÊN - CÔNG TY CỔ PHẦN DỊCH VỤ THƯƠNG MẠI TỔNG HỢP WINCOMMERCE</v>
      </c>
      <c r="G3783" s="16" t="str">
        <f>VLOOKUP(Table8[[#This Row],[Mã khách hàng]],code_khach_hang[],3,0)</f>
        <v>Miền Bắc đặc biệt 2</v>
      </c>
      <c r="H3783" t="str">
        <f>VLOOKUP(Table8[[#This Row],[Mã khách hàng]],'Khách hàng'!A:D,4,0)</f>
        <v>Food Đức Việt</v>
      </c>
      <c r="I3783" t="str">
        <f>VLOOKUP(Table8[[#This Row],[Mã khách hàng]],'Khách hàng'!A:E,5,0)</f>
        <v>HN0040</v>
      </c>
    </row>
    <row r="3784" spans="1:9">
      <c r="A3784" s="14" t="s">
        <v>12757</v>
      </c>
      <c r="B3784" s="9" t="s">
        <v>5</v>
      </c>
      <c r="C3784" s="16" t="s">
        <v>12791</v>
      </c>
      <c r="D3784" s="21"/>
      <c r="E3784" s="32" t="s">
        <v>11215</v>
      </c>
      <c r="F3784" s="22" t="str">
        <f>VLOOKUP(Table8[[#This Row],[Mã khách hàng]],code_khach_hang[],2,0)</f>
        <v>CHI NHÁNH HÀ NỘI - CÔNG TY CỔ PHẦN DỊCH VỤ THƯƠNG MẠI TỔNG HỢP WINCOMMERCE</v>
      </c>
      <c r="G3784" s="16" t="str">
        <f>VLOOKUP(Table8[[#This Row],[Mã khách hàng]],code_khach_hang[],3,0)</f>
        <v>Miền Bắc đặc biệt 1</v>
      </c>
      <c r="H3784" t="str">
        <f>VLOOKUP(Table8[[#This Row],[Mã khách hàng]],'Khách hàng'!A:D,4,0)</f>
        <v>Food Đức Việt</v>
      </c>
      <c r="I3784" t="str">
        <f>VLOOKUP(Table8[[#This Row],[Mã khách hàng]],'Khách hàng'!A:E,5,0)</f>
        <v>HN0040</v>
      </c>
    </row>
    <row r="3785" spans="1:9">
      <c r="A3785" s="14" t="s">
        <v>12758</v>
      </c>
      <c r="B3785" s="9" t="s">
        <v>5</v>
      </c>
      <c r="C3785" s="16" t="s">
        <v>12792</v>
      </c>
      <c r="D3785" s="21"/>
      <c r="E3785" s="32" t="s">
        <v>11199</v>
      </c>
      <c r="F3785" s="22" t="str">
        <f>VLOOKUP(Table8[[#This Row],[Mã khách hàng]],code_khach_hang[],2,0)</f>
        <v>CHI NHÁNH PHÚ THỌ - CÔNG TY CỔ PHẦN DỊCH VỤ THƯƠNG MẠI TỔNG HỢP WINCOMMERCE</v>
      </c>
      <c r="G3785" s="16" t="str">
        <f>VLOOKUP(Table8[[#This Row],[Mã khách hàng]],code_khach_hang[],3,0)</f>
        <v>Miền Bắc đặc biệt 1</v>
      </c>
      <c r="H3785" t="str">
        <f>VLOOKUP(Table8[[#This Row],[Mã khách hàng]],'Khách hàng'!A:D,4,0)</f>
        <v>Food Đức Việt</v>
      </c>
      <c r="I3785" t="str">
        <f>VLOOKUP(Table8[[#This Row],[Mã khách hàng]],'Khách hàng'!A:E,5,0)</f>
        <v>HN0040</v>
      </c>
    </row>
    <row r="3786" spans="1:9">
      <c r="A3786" s="14" t="s">
        <v>12759</v>
      </c>
      <c r="B3786" s="9" t="s">
        <v>5</v>
      </c>
      <c r="C3786" s="16" t="s">
        <v>12793</v>
      </c>
      <c r="D3786" s="21"/>
      <c r="E3786" s="32" t="s">
        <v>11215</v>
      </c>
      <c r="F3786" s="22" t="str">
        <f>VLOOKUP(Table8[[#This Row],[Mã khách hàng]],code_khach_hang[],2,0)</f>
        <v>CHI NHÁNH HÀ NỘI - CÔNG TY CỔ PHẦN DỊCH VỤ THƯƠNG MẠI TỔNG HỢP WINCOMMERCE</v>
      </c>
      <c r="G3786" s="16" t="str">
        <f>VLOOKUP(Table8[[#This Row],[Mã khách hàng]],code_khach_hang[],3,0)</f>
        <v>Miền Bắc đặc biệt 1</v>
      </c>
      <c r="H3786" t="str">
        <f>VLOOKUP(Table8[[#This Row],[Mã khách hàng]],'Khách hàng'!A:D,4,0)</f>
        <v>Food Đức Việt</v>
      </c>
      <c r="I3786" t="str">
        <f>VLOOKUP(Table8[[#This Row],[Mã khách hàng]],'Khách hàng'!A:E,5,0)</f>
        <v>HN0040</v>
      </c>
    </row>
    <row r="3787" spans="1:9">
      <c r="A3787" s="14" t="s">
        <v>12760</v>
      </c>
      <c r="B3787" s="9" t="s">
        <v>5</v>
      </c>
      <c r="C3787" s="16" t="s">
        <v>12794</v>
      </c>
      <c r="D3787" s="21"/>
      <c r="E3787" s="32" t="s">
        <v>11216</v>
      </c>
      <c r="F3787" s="22" t="str">
        <f>VLOOKUP(Table8[[#This Row],[Mã khách hàng]],code_khach_hang[],2,0)</f>
        <v>CHI NHÁNH HƯNG YÊN - CÔNG TY CỔ PHẦN DỊCH VỤ THƯƠNG MẠI TỔNG HỢP WINCOMMERCE</v>
      </c>
      <c r="G3787" s="16" t="str">
        <f>VLOOKUP(Table8[[#This Row],[Mã khách hàng]],code_khach_hang[],3,0)</f>
        <v>Miền Bắc đặc biệt 1</v>
      </c>
      <c r="H3787" t="str">
        <f>VLOOKUP(Table8[[#This Row],[Mã khách hàng]],'Khách hàng'!A:D,4,0)</f>
        <v>Food Đức Việt</v>
      </c>
      <c r="I3787" t="str">
        <f>VLOOKUP(Table8[[#This Row],[Mã khách hàng]],'Khách hàng'!A:E,5,0)</f>
        <v>HN0040</v>
      </c>
    </row>
    <row r="3788" spans="1:9">
      <c r="A3788" s="14" t="s">
        <v>12761</v>
      </c>
      <c r="B3788" s="9" t="s">
        <v>5</v>
      </c>
      <c r="C3788" s="16" t="s">
        <v>12795</v>
      </c>
      <c r="D3788" s="21"/>
      <c r="E3788" s="32" t="s">
        <v>11198</v>
      </c>
      <c r="F3788" s="22" t="str">
        <f>VLOOKUP(Table8[[#This Row],[Mã khách hàng]],code_khach_hang[],2,0)</f>
        <v>CHI NHÁNH HẢI PHÒNG - CÔNG TY CỔ PHẦN DỊCH VỤ THƯƠNG MẠI TỔNG HỢP WINCOMMERCE</v>
      </c>
      <c r="G3788" s="16" t="str">
        <f>VLOOKUP(Table8[[#This Row],[Mã khách hàng]],code_khach_hang[],3,0)</f>
        <v>Miền Bắc đặc biệt 3</v>
      </c>
      <c r="H3788" t="str">
        <f>VLOOKUP(Table8[[#This Row],[Mã khách hàng]],'Khách hàng'!A:D,4,0)</f>
        <v>Food Đức Việt</v>
      </c>
      <c r="I3788" t="str">
        <f>VLOOKUP(Table8[[#This Row],[Mã khách hàng]],'Khách hàng'!A:E,5,0)</f>
        <v>HN0040</v>
      </c>
    </row>
    <row r="3789" spans="1:9">
      <c r="A3789" s="14" t="s">
        <v>12762</v>
      </c>
      <c r="B3789" s="9" t="s">
        <v>5</v>
      </c>
      <c r="C3789" s="16" t="s">
        <v>12796</v>
      </c>
      <c r="D3789" s="21"/>
      <c r="E3789" s="32" t="s">
        <v>11216</v>
      </c>
      <c r="F3789" s="22" t="str">
        <f>VLOOKUP(Table8[[#This Row],[Mã khách hàng]],code_khach_hang[],2,0)</f>
        <v>CHI NHÁNH HƯNG YÊN - CÔNG TY CỔ PHẦN DỊCH VỤ THƯƠNG MẠI TỔNG HỢP WINCOMMERCE</v>
      </c>
      <c r="G3789" s="16" t="str">
        <f>VLOOKUP(Table8[[#This Row],[Mã khách hàng]],code_khach_hang[],3,0)</f>
        <v>Miền Bắc đặc biệt 1</v>
      </c>
      <c r="H3789" t="str">
        <f>VLOOKUP(Table8[[#This Row],[Mã khách hàng]],'Khách hàng'!A:D,4,0)</f>
        <v>Food Đức Việt</v>
      </c>
      <c r="I3789" t="str">
        <f>VLOOKUP(Table8[[#This Row],[Mã khách hàng]],'Khách hàng'!A:E,5,0)</f>
        <v>HN0040</v>
      </c>
    </row>
    <row r="3790" spans="1:9">
      <c r="A3790" s="14" t="s">
        <v>12763</v>
      </c>
      <c r="B3790" s="9" t="s">
        <v>5</v>
      </c>
      <c r="C3790" s="16" t="s">
        <v>12797</v>
      </c>
      <c r="D3790" s="21"/>
      <c r="E3790" s="32" t="s">
        <v>11216</v>
      </c>
      <c r="F3790" s="22" t="str">
        <f>VLOOKUP(Table8[[#This Row],[Mã khách hàng]],code_khach_hang[],2,0)</f>
        <v>CHI NHÁNH HƯNG YÊN - CÔNG TY CỔ PHẦN DỊCH VỤ THƯƠNG MẠI TỔNG HỢP WINCOMMERCE</v>
      </c>
      <c r="G3790" s="16" t="str">
        <f>VLOOKUP(Table8[[#This Row],[Mã khách hàng]],code_khach_hang[],3,0)</f>
        <v>Miền Bắc đặc biệt 1</v>
      </c>
      <c r="H3790" t="str">
        <f>VLOOKUP(Table8[[#This Row],[Mã khách hàng]],'Khách hàng'!A:D,4,0)</f>
        <v>Food Đức Việt</v>
      </c>
      <c r="I3790" t="str">
        <f>VLOOKUP(Table8[[#This Row],[Mã khách hàng]],'Khách hàng'!A:E,5,0)</f>
        <v>HN0040</v>
      </c>
    </row>
    <row r="3791" spans="1:9">
      <c r="A3791" s="14" t="s">
        <v>12764</v>
      </c>
      <c r="B3791" s="9" t="s">
        <v>5</v>
      </c>
      <c r="C3791" s="16" t="s">
        <v>12798</v>
      </c>
      <c r="D3791" s="21"/>
      <c r="E3791" s="32" t="s">
        <v>11199</v>
      </c>
      <c r="F3791" s="22" t="str">
        <f>VLOOKUP(Table8[[#This Row],[Mã khách hàng]],code_khach_hang[],2,0)</f>
        <v>CHI NHÁNH PHÚ THỌ - CÔNG TY CỔ PHẦN DỊCH VỤ THƯƠNG MẠI TỔNG HỢP WINCOMMERCE</v>
      </c>
      <c r="G3791" s="16" t="str">
        <f>VLOOKUP(Table8[[#This Row],[Mã khách hàng]],code_khach_hang[],3,0)</f>
        <v>Miền Bắc đặc biệt 1</v>
      </c>
      <c r="H3791" t="str">
        <f>VLOOKUP(Table8[[#This Row],[Mã khách hàng]],'Khách hàng'!A:D,4,0)</f>
        <v>Food Đức Việt</v>
      </c>
      <c r="I3791" t="str">
        <f>VLOOKUP(Table8[[#This Row],[Mã khách hàng]],'Khách hàng'!A:E,5,0)</f>
        <v>HN0040</v>
      </c>
    </row>
    <row r="3792" spans="1:9">
      <c r="A3792" s="14" t="s">
        <v>12765</v>
      </c>
      <c r="B3792" s="9" t="s">
        <v>5</v>
      </c>
      <c r="C3792" s="16" t="s">
        <v>12799</v>
      </c>
      <c r="D3792" s="21"/>
      <c r="E3792" s="32" t="s">
        <v>11196</v>
      </c>
      <c r="F3792" s="22" t="str">
        <f>VLOOKUP(Table8[[#This Row],[Mã khách hàng]],code_khach_hang[],2,0)</f>
        <v>CHI NHÁNH NINH BÌNH - CÔNG TY CỔ PHẦN DỊCH VỤ THƯƠNG MẠI TỔNG HỢP WINCOMMERCE</v>
      </c>
      <c r="G3792" s="16" t="str">
        <f>VLOOKUP(Table8[[#This Row],[Mã khách hàng]],code_khach_hang[],3,0)</f>
        <v>Miền Bắc đặc biệt 3</v>
      </c>
      <c r="H3792" t="str">
        <f>VLOOKUP(Table8[[#This Row],[Mã khách hàng]],'Khách hàng'!A:D,4,0)</f>
        <v>Food Đức Việt</v>
      </c>
      <c r="I3792" t="str">
        <f>VLOOKUP(Table8[[#This Row],[Mã khách hàng]],'Khách hàng'!A:E,5,0)</f>
        <v>HN0040</v>
      </c>
    </row>
    <row r="3793" spans="1:9">
      <c r="A3793" s="14" t="s">
        <v>12766</v>
      </c>
      <c r="B3793" s="9" t="s">
        <v>5</v>
      </c>
      <c r="C3793" s="16" t="s">
        <v>12800</v>
      </c>
      <c r="D3793" s="21"/>
      <c r="E3793" s="32" t="s">
        <v>11199</v>
      </c>
      <c r="F3793" s="22" t="str">
        <f>VLOOKUP(Table8[[#This Row],[Mã khách hàng]],code_khach_hang[],2,0)</f>
        <v>CHI NHÁNH PHÚ THỌ - CÔNG TY CỔ PHẦN DỊCH VỤ THƯƠNG MẠI TỔNG HỢP WINCOMMERCE</v>
      </c>
      <c r="G3793" s="16" t="str">
        <f>VLOOKUP(Table8[[#This Row],[Mã khách hàng]],code_khach_hang[],3,0)</f>
        <v>Miền Bắc đặc biệt 1</v>
      </c>
      <c r="H3793" t="str">
        <f>VLOOKUP(Table8[[#This Row],[Mã khách hàng]],'Khách hàng'!A:D,4,0)</f>
        <v>Food Đức Việt</v>
      </c>
      <c r="I3793" t="str">
        <f>VLOOKUP(Table8[[#This Row],[Mã khách hàng]],'Khách hàng'!A:E,5,0)</f>
        <v>HN0040</v>
      </c>
    </row>
    <row r="3794" spans="1:9">
      <c r="A3794" s="14" t="s">
        <v>12767</v>
      </c>
      <c r="B3794" s="9" t="s">
        <v>5</v>
      </c>
      <c r="C3794" s="16" t="s">
        <v>12801</v>
      </c>
      <c r="D3794" s="21"/>
      <c r="E3794" s="32" t="s">
        <v>11215</v>
      </c>
      <c r="F3794" s="22" t="str">
        <f>VLOOKUP(Table8[[#This Row],[Mã khách hàng]],code_khach_hang[],2,0)</f>
        <v>CHI NHÁNH HÀ NỘI - CÔNG TY CỔ PHẦN DỊCH VỤ THƯƠNG MẠI TỔNG HỢP WINCOMMERCE</v>
      </c>
      <c r="G3794" s="16" t="str">
        <f>VLOOKUP(Table8[[#This Row],[Mã khách hàng]],code_khach_hang[],3,0)</f>
        <v>Miền Bắc đặc biệt 1</v>
      </c>
      <c r="H3794" t="str">
        <f>VLOOKUP(Table8[[#This Row],[Mã khách hàng]],'Khách hàng'!A:D,4,0)</f>
        <v>Food Đức Việt</v>
      </c>
      <c r="I3794" t="str">
        <f>VLOOKUP(Table8[[#This Row],[Mã khách hàng]],'Khách hàng'!A:E,5,0)</f>
        <v>HN0040</v>
      </c>
    </row>
    <row r="3795" spans="1:9">
      <c r="A3795" s="14" t="s">
        <v>12768</v>
      </c>
      <c r="B3795" s="9" t="s">
        <v>5</v>
      </c>
      <c r="C3795" s="16" t="s">
        <v>12802</v>
      </c>
      <c r="D3795" s="21"/>
      <c r="E3795" s="32" t="s">
        <v>11216</v>
      </c>
      <c r="F3795" s="22" t="str">
        <f>VLOOKUP(Table8[[#This Row],[Mã khách hàng]],code_khach_hang[],2,0)</f>
        <v>CHI NHÁNH HƯNG YÊN - CÔNG TY CỔ PHẦN DỊCH VỤ THƯƠNG MẠI TỔNG HỢP WINCOMMERCE</v>
      </c>
      <c r="G3795" s="16" t="str">
        <f>VLOOKUP(Table8[[#This Row],[Mã khách hàng]],code_khach_hang[],3,0)</f>
        <v>Miền Bắc đặc biệt 1</v>
      </c>
      <c r="H3795" t="str">
        <f>VLOOKUP(Table8[[#This Row],[Mã khách hàng]],'Khách hàng'!A:D,4,0)</f>
        <v>Food Đức Việt</v>
      </c>
      <c r="I3795" t="str">
        <f>VLOOKUP(Table8[[#This Row],[Mã khách hàng]],'Khách hàng'!A:E,5,0)</f>
        <v>HN0040</v>
      </c>
    </row>
    <row r="3796" spans="1:9">
      <c r="A3796" s="14" t="s">
        <v>12769</v>
      </c>
      <c r="B3796" s="9" t="s">
        <v>5</v>
      </c>
      <c r="C3796" s="16" t="s">
        <v>12803</v>
      </c>
      <c r="D3796" s="21"/>
      <c r="E3796" s="32" t="s">
        <v>11196</v>
      </c>
      <c r="F3796" s="22" t="str">
        <f>VLOOKUP(Table8[[#This Row],[Mã khách hàng]],code_khach_hang[],2,0)</f>
        <v>CHI NHÁNH NINH BÌNH - CÔNG TY CỔ PHẦN DỊCH VỤ THƯƠNG MẠI TỔNG HỢP WINCOMMERCE</v>
      </c>
      <c r="G3796" s="16" t="str">
        <f>VLOOKUP(Table8[[#This Row],[Mã khách hàng]],code_khach_hang[],3,0)</f>
        <v>Miền Bắc đặc biệt 3</v>
      </c>
      <c r="H3796" t="str">
        <f>VLOOKUP(Table8[[#This Row],[Mã khách hàng]],'Khách hàng'!A:D,4,0)</f>
        <v>Food Đức Việt</v>
      </c>
      <c r="I3796" t="str">
        <f>VLOOKUP(Table8[[#This Row],[Mã khách hàng]],'Khách hàng'!A:E,5,0)</f>
        <v>HN0040</v>
      </c>
    </row>
    <row r="3797" spans="1:9">
      <c r="A3797" s="14" t="s">
        <v>12770</v>
      </c>
      <c r="B3797" s="9" t="s">
        <v>5</v>
      </c>
      <c r="C3797" s="16" t="s">
        <v>12804</v>
      </c>
      <c r="D3797" s="21"/>
      <c r="E3797" s="32" t="s">
        <v>11196</v>
      </c>
      <c r="F3797" s="22" t="str">
        <f>VLOOKUP(Table8[[#This Row],[Mã khách hàng]],code_khach_hang[],2,0)</f>
        <v>CHI NHÁNH NINH BÌNH - CÔNG TY CỔ PHẦN DỊCH VỤ THƯƠNG MẠI TỔNG HỢP WINCOMMERCE</v>
      </c>
      <c r="G3797" s="16" t="str">
        <f>VLOOKUP(Table8[[#This Row],[Mã khách hàng]],code_khach_hang[],3,0)</f>
        <v>Miền Bắc đặc biệt 3</v>
      </c>
      <c r="H3797" t="str">
        <f>VLOOKUP(Table8[[#This Row],[Mã khách hàng]],'Khách hàng'!A:D,4,0)</f>
        <v>Food Đức Việt</v>
      </c>
      <c r="I3797" t="str">
        <f>VLOOKUP(Table8[[#This Row],[Mã khách hàng]],'Khách hàng'!A:E,5,0)</f>
        <v>HN0040</v>
      </c>
    </row>
    <row r="3798" spans="1:9">
      <c r="A3798" s="14" t="s">
        <v>12771</v>
      </c>
      <c r="B3798" s="9" t="s">
        <v>5</v>
      </c>
      <c r="C3798" s="16" t="s">
        <v>12805</v>
      </c>
      <c r="D3798" s="21"/>
      <c r="E3798" s="32" t="s">
        <v>11207</v>
      </c>
      <c r="F3798" s="22" t="str">
        <f>VLOOKUP(Table8[[#This Row],[Mã khách hàng]],code_khach_hang[],2,0)</f>
        <v>CHI NHÁNH THÁI NGUYÊN - CÔNG TY CỔ PHẦN DỊCH VỤ THƯƠNG MẠI TỔNG HỢP WINCOMMERCE</v>
      </c>
      <c r="G3798" s="16" t="str">
        <f>VLOOKUP(Table8[[#This Row],[Mã khách hàng]],code_khach_hang[],3,0)</f>
        <v>Miền Bắc đặc biệt 2</v>
      </c>
      <c r="H3798" t="str">
        <f>VLOOKUP(Table8[[#This Row],[Mã khách hàng]],'Khách hàng'!A:D,4,0)</f>
        <v>Food Đức Việt</v>
      </c>
      <c r="I3798" t="str">
        <f>VLOOKUP(Table8[[#This Row],[Mã khách hàng]],'Khách hàng'!A:E,5,0)</f>
        <v>HN0040</v>
      </c>
    </row>
    <row r="3799" spans="1:9">
      <c r="A3799" s="14" t="s">
        <v>12772</v>
      </c>
      <c r="B3799" s="9" t="s">
        <v>5</v>
      </c>
      <c r="C3799" s="16" t="s">
        <v>12806</v>
      </c>
      <c r="D3799" s="21"/>
      <c r="E3799" s="32" t="s">
        <v>11215</v>
      </c>
      <c r="F3799" s="22" t="str">
        <f>VLOOKUP(Table8[[#This Row],[Mã khách hàng]],code_khach_hang[],2,0)</f>
        <v>CHI NHÁNH HÀ NỘI - CÔNG TY CỔ PHẦN DỊCH VỤ THƯƠNG MẠI TỔNG HỢP WINCOMMERCE</v>
      </c>
      <c r="G3799" s="16" t="str">
        <f>VLOOKUP(Table8[[#This Row],[Mã khách hàng]],code_khach_hang[],3,0)</f>
        <v>Miền Bắc đặc biệt 1</v>
      </c>
      <c r="H3799" t="str">
        <f>VLOOKUP(Table8[[#This Row],[Mã khách hàng]],'Khách hàng'!A:D,4,0)</f>
        <v>Food Đức Việt</v>
      </c>
      <c r="I3799" t="str">
        <f>VLOOKUP(Table8[[#This Row],[Mã khách hàng]],'Khách hàng'!A:E,5,0)</f>
        <v>HN0040</v>
      </c>
    </row>
    <row r="3800" spans="1:9">
      <c r="A3800" s="14" t="s">
        <v>12773</v>
      </c>
      <c r="B3800" s="9" t="s">
        <v>5</v>
      </c>
      <c r="C3800" s="16" t="s">
        <v>12807</v>
      </c>
      <c r="D3800" s="21"/>
      <c r="E3800" s="32" t="s">
        <v>11199</v>
      </c>
      <c r="F3800" s="22" t="str">
        <f>VLOOKUP(Table8[[#This Row],[Mã khách hàng]],code_khach_hang[],2,0)</f>
        <v>CHI NHÁNH PHÚ THỌ - CÔNG TY CỔ PHẦN DỊCH VỤ THƯƠNG MẠI TỔNG HỢP WINCOMMERCE</v>
      </c>
      <c r="G3800" s="16" t="str">
        <f>VLOOKUP(Table8[[#This Row],[Mã khách hàng]],code_khach_hang[],3,0)</f>
        <v>Miền Bắc đặc biệt 1</v>
      </c>
      <c r="H3800" t="str">
        <f>VLOOKUP(Table8[[#This Row],[Mã khách hàng]],'Khách hàng'!A:D,4,0)</f>
        <v>Food Đức Việt</v>
      </c>
      <c r="I3800" t="str">
        <f>VLOOKUP(Table8[[#This Row],[Mã khách hàng]],'Khách hàng'!A:E,5,0)</f>
        <v>HN0040</v>
      </c>
    </row>
    <row r="3801" spans="1:9">
      <c r="A3801" s="14" t="s">
        <v>12774</v>
      </c>
      <c r="B3801" s="9" t="s">
        <v>5</v>
      </c>
      <c r="C3801" s="16" t="s">
        <v>12808</v>
      </c>
      <c r="D3801" s="21"/>
      <c r="E3801" s="32" t="s">
        <v>11196</v>
      </c>
      <c r="F3801" s="22" t="str">
        <f>VLOOKUP(Table8[[#This Row],[Mã khách hàng]],code_khach_hang[],2,0)</f>
        <v>CHI NHÁNH NINH BÌNH - CÔNG TY CỔ PHẦN DỊCH VỤ THƯƠNG MẠI TỔNG HỢP WINCOMMERCE</v>
      </c>
      <c r="G3801" s="16" t="str">
        <f>VLOOKUP(Table8[[#This Row],[Mã khách hàng]],code_khach_hang[],3,0)</f>
        <v>Miền Bắc đặc biệt 3</v>
      </c>
      <c r="H3801" t="str">
        <f>VLOOKUP(Table8[[#This Row],[Mã khách hàng]],'Khách hàng'!A:D,4,0)</f>
        <v>Food Đức Việt</v>
      </c>
      <c r="I3801" t="str">
        <f>VLOOKUP(Table8[[#This Row],[Mã khách hàng]],'Khách hàng'!A:E,5,0)</f>
        <v>HN0040</v>
      </c>
    </row>
    <row r="3802" spans="1:9">
      <c r="A3802" s="14" t="s">
        <v>12775</v>
      </c>
      <c r="B3802" s="9" t="s">
        <v>5</v>
      </c>
      <c r="C3802" s="16" t="s">
        <v>12809</v>
      </c>
      <c r="D3802" s="21"/>
      <c r="E3802" s="32" t="s">
        <v>11215</v>
      </c>
      <c r="F3802" s="22" t="str">
        <f>VLOOKUP(Table8[[#This Row],[Mã khách hàng]],code_khach_hang[],2,0)</f>
        <v>CHI NHÁNH HÀ NỘI - CÔNG TY CỔ PHẦN DỊCH VỤ THƯƠNG MẠI TỔNG HỢP WINCOMMERCE</v>
      </c>
      <c r="G3802" s="16" t="str">
        <f>VLOOKUP(Table8[[#This Row],[Mã khách hàng]],code_khach_hang[],3,0)</f>
        <v>Miền Bắc đặc biệt 1</v>
      </c>
      <c r="H3802" t="str">
        <f>VLOOKUP(Table8[[#This Row],[Mã khách hàng]],'Khách hàng'!A:D,4,0)</f>
        <v>Food Đức Việt</v>
      </c>
      <c r="I3802" t="str">
        <f>VLOOKUP(Table8[[#This Row],[Mã khách hàng]],'Khách hàng'!A:E,5,0)</f>
        <v>HN0040</v>
      </c>
    </row>
    <row r="3803" spans="1:9">
      <c r="A3803" s="14" t="s">
        <v>12776</v>
      </c>
      <c r="B3803" s="9" t="s">
        <v>5</v>
      </c>
      <c r="C3803" s="16" t="s">
        <v>12810</v>
      </c>
      <c r="D3803" s="21"/>
      <c r="E3803" s="32" t="s">
        <v>11199</v>
      </c>
      <c r="F3803" s="22" t="str">
        <f>VLOOKUP(Table8[[#This Row],[Mã khách hàng]],code_khach_hang[],2,0)</f>
        <v>CHI NHÁNH PHÚ THỌ - CÔNG TY CỔ PHẦN DỊCH VỤ THƯƠNG MẠI TỔNG HỢP WINCOMMERCE</v>
      </c>
      <c r="G3803" s="16" t="str">
        <f>VLOOKUP(Table8[[#This Row],[Mã khách hàng]],code_khach_hang[],3,0)</f>
        <v>Miền Bắc đặc biệt 1</v>
      </c>
      <c r="H3803" t="str">
        <f>VLOOKUP(Table8[[#This Row],[Mã khách hàng]],'Khách hàng'!A:D,4,0)</f>
        <v>Food Đức Việt</v>
      </c>
      <c r="I3803" t="str">
        <f>VLOOKUP(Table8[[#This Row],[Mã khách hàng]],'Khách hàng'!A:E,5,0)</f>
        <v>HN0040</v>
      </c>
    </row>
    <row r="3804" spans="1:9">
      <c r="A3804" s="14" t="s">
        <v>12777</v>
      </c>
      <c r="B3804" s="9" t="s">
        <v>5</v>
      </c>
      <c r="C3804" s="16" t="s">
        <v>12811</v>
      </c>
      <c r="D3804" s="21"/>
      <c r="E3804" s="32" t="s">
        <v>11193</v>
      </c>
      <c r="F3804" s="22" t="str">
        <f>VLOOKUP(Table8[[#This Row],[Mã khách hàng]],code_khach_hang[],2,0)</f>
        <v>CHI NHÁNH BẮC NINH - CÔNG TY CỔ PHẦN DỊCH VỤ THƯƠNG MẠI TỔNG HỢP WINCOMMERCE</v>
      </c>
      <c r="G3804" s="16" t="str">
        <f>VLOOKUP(Table8[[#This Row],[Mã khách hàng]],code_khach_hang[],3,0)</f>
        <v>Miền Bắc đặc biệt 2</v>
      </c>
      <c r="H3804" t="str">
        <f>VLOOKUP(Table8[[#This Row],[Mã khách hàng]],'Khách hàng'!A:D,4,0)</f>
        <v>Food Đức Việt</v>
      </c>
      <c r="I3804" t="str">
        <f>VLOOKUP(Table8[[#This Row],[Mã khách hàng]],'Khách hàng'!A:E,5,0)</f>
        <v>HN0040</v>
      </c>
    </row>
    <row r="3805" spans="1:9">
      <c r="A3805" s="14" t="s">
        <v>12778</v>
      </c>
      <c r="B3805" s="9" t="s">
        <v>5</v>
      </c>
      <c r="C3805" s="16" t="s">
        <v>12812</v>
      </c>
      <c r="D3805" s="21"/>
      <c r="E3805" s="32" t="s">
        <v>11215</v>
      </c>
      <c r="F3805" s="22" t="str">
        <f>VLOOKUP(Table8[[#This Row],[Mã khách hàng]],code_khach_hang[],2,0)</f>
        <v>CHI NHÁNH HÀ NỘI - CÔNG TY CỔ PHẦN DỊCH VỤ THƯƠNG MẠI TỔNG HỢP WINCOMMERCE</v>
      </c>
      <c r="G3805" s="16" t="str">
        <f>VLOOKUP(Table8[[#This Row],[Mã khách hàng]],code_khach_hang[],3,0)</f>
        <v>Miền Bắc đặc biệt 1</v>
      </c>
      <c r="H3805" t="str">
        <f>VLOOKUP(Table8[[#This Row],[Mã khách hàng]],'Khách hàng'!A:D,4,0)</f>
        <v>Food Đức Việt</v>
      </c>
      <c r="I3805" t="str">
        <f>VLOOKUP(Table8[[#This Row],[Mã khách hàng]],'Khách hàng'!A:E,5,0)</f>
        <v>HN0040</v>
      </c>
    </row>
    <row r="3806" spans="1:9">
      <c r="A3806" s="14" t="s">
        <v>12779</v>
      </c>
      <c r="B3806" s="9" t="s">
        <v>5</v>
      </c>
      <c r="C3806" s="16" t="s">
        <v>12813</v>
      </c>
      <c r="D3806" s="21"/>
      <c r="E3806" s="32" t="s">
        <v>11208</v>
      </c>
      <c r="F3806" s="22" t="str">
        <f>VLOOKUP(Table8[[#This Row],[Mã khách hàng]],code_khach_hang[],2,0)</f>
        <v>CHI NHÁNH LẠNG SƠN - CÔNG TY CỔ PHẦN DỊCH VỤ THƯƠNG MẠI TỔNG HỢP WINCOMMERCE</v>
      </c>
      <c r="G3806" s="16" t="str">
        <f>VLOOKUP(Table8[[#This Row],[Mã khách hàng]],code_khach_hang[],3,0)</f>
        <v>Miền Bắc đặc biệt 2</v>
      </c>
      <c r="H3806" t="str">
        <f>VLOOKUP(Table8[[#This Row],[Mã khách hàng]],'Khách hàng'!A:D,4,0)</f>
        <v>Food Đức Việt</v>
      </c>
      <c r="I3806" t="str">
        <f>VLOOKUP(Table8[[#This Row],[Mã khách hàng]],'Khách hàng'!A:E,5,0)</f>
        <v>HN0040</v>
      </c>
    </row>
    <row r="3807" spans="1:9">
      <c r="A3807" s="14" t="s">
        <v>12780</v>
      </c>
      <c r="B3807" s="9" t="s">
        <v>5</v>
      </c>
      <c r="C3807" s="16" t="s">
        <v>12814</v>
      </c>
      <c r="D3807" s="21"/>
      <c r="E3807" s="32" t="s">
        <v>11199</v>
      </c>
      <c r="F3807" s="22" t="str">
        <f>VLOOKUP(Table8[[#This Row],[Mã khách hàng]],code_khach_hang[],2,0)</f>
        <v>CHI NHÁNH PHÚ THỌ - CÔNG TY CỔ PHẦN DỊCH VỤ THƯƠNG MẠI TỔNG HỢP WINCOMMERCE</v>
      </c>
      <c r="G3807" s="16" t="str">
        <f>VLOOKUP(Table8[[#This Row],[Mã khách hàng]],code_khach_hang[],3,0)</f>
        <v>Miền Bắc đặc biệt 1</v>
      </c>
      <c r="H3807" t="str">
        <f>VLOOKUP(Table8[[#This Row],[Mã khách hàng]],'Khách hàng'!A:D,4,0)</f>
        <v>Food Đức Việt</v>
      </c>
      <c r="I3807" t="str">
        <f>VLOOKUP(Table8[[#This Row],[Mã khách hàng]],'Khách hàng'!A:E,5,0)</f>
        <v>HN0040</v>
      </c>
    </row>
    <row r="3808" spans="1:9">
      <c r="A3808" s="14" t="s">
        <v>12781</v>
      </c>
      <c r="B3808" s="9" t="s">
        <v>5</v>
      </c>
      <c r="C3808" s="16" t="s">
        <v>12815</v>
      </c>
      <c r="D3808" s="21"/>
      <c r="E3808" s="32" t="s">
        <v>11207</v>
      </c>
      <c r="F3808" s="22" t="str">
        <f>VLOOKUP(Table8[[#This Row],[Mã khách hàng]],code_khach_hang[],2,0)</f>
        <v>CHI NHÁNH THÁI NGUYÊN - CÔNG TY CỔ PHẦN DỊCH VỤ THƯƠNG MẠI TỔNG HỢP WINCOMMERCE</v>
      </c>
      <c r="G3808" s="16" t="str">
        <f>VLOOKUP(Table8[[#This Row],[Mã khách hàng]],code_khach_hang[],3,0)</f>
        <v>Miền Bắc đặc biệt 2</v>
      </c>
      <c r="H3808" t="str">
        <f>VLOOKUP(Table8[[#This Row],[Mã khách hàng]],'Khách hàng'!A:D,4,0)</f>
        <v>Food Đức Việt</v>
      </c>
      <c r="I3808" t="str">
        <f>VLOOKUP(Table8[[#This Row],[Mã khách hàng]],'Khách hàng'!A:E,5,0)</f>
        <v>HN0040</v>
      </c>
    </row>
    <row r="3809" spans="1:9">
      <c r="A3809" s="14" t="s">
        <v>12782</v>
      </c>
      <c r="B3809" s="9" t="s">
        <v>5</v>
      </c>
      <c r="C3809" s="16" t="s">
        <v>12816</v>
      </c>
      <c r="D3809" s="21"/>
      <c r="E3809" s="32" t="s">
        <v>11193</v>
      </c>
      <c r="F3809" s="22" t="str">
        <f>VLOOKUP(Table8[[#This Row],[Mã khách hàng]],code_khach_hang[],2,0)</f>
        <v>CHI NHÁNH BẮC NINH - CÔNG TY CỔ PHẦN DỊCH VỤ THƯƠNG MẠI TỔNG HỢP WINCOMMERCE</v>
      </c>
      <c r="G3809" s="16" t="str">
        <f>VLOOKUP(Table8[[#This Row],[Mã khách hàng]],code_khach_hang[],3,0)</f>
        <v>Miền Bắc đặc biệt 2</v>
      </c>
      <c r="H3809" t="str">
        <f>VLOOKUP(Table8[[#This Row],[Mã khách hàng]],'Khách hàng'!A:D,4,0)</f>
        <v>Food Đức Việt</v>
      </c>
      <c r="I3809" t="str">
        <f>VLOOKUP(Table8[[#This Row],[Mã khách hàng]],'Khách hàng'!A:E,5,0)</f>
        <v>HN0040</v>
      </c>
    </row>
    <row r="3810" spans="1:9">
      <c r="A3810" s="14" t="s">
        <v>12783</v>
      </c>
      <c r="B3810" s="9" t="s">
        <v>5</v>
      </c>
      <c r="C3810" s="16" t="s">
        <v>12817</v>
      </c>
      <c r="D3810" s="21"/>
      <c r="E3810" s="32" t="s">
        <v>11216</v>
      </c>
      <c r="F3810" s="22" t="str">
        <f>VLOOKUP(Table8[[#This Row],[Mã khách hàng]],code_khach_hang[],2,0)</f>
        <v>CHI NHÁNH HƯNG YÊN - CÔNG TY CỔ PHẦN DỊCH VỤ THƯƠNG MẠI TỔNG HỢP WINCOMMERCE</v>
      </c>
      <c r="G3810" s="16" t="str">
        <f>VLOOKUP(Table8[[#This Row],[Mã khách hàng]],code_khach_hang[],3,0)</f>
        <v>Miền Bắc đặc biệt 1</v>
      </c>
      <c r="H3810" t="str">
        <f>VLOOKUP(Table8[[#This Row],[Mã khách hàng]],'Khách hàng'!A:D,4,0)</f>
        <v>Food Đức Việt</v>
      </c>
      <c r="I3810" t="str">
        <f>VLOOKUP(Table8[[#This Row],[Mã khách hàng]],'Khách hàng'!A:E,5,0)</f>
        <v>HN0040</v>
      </c>
    </row>
    <row r="3811" spans="1:9">
      <c r="A3811" s="14" t="s">
        <v>12784</v>
      </c>
      <c r="B3811" s="9" t="s">
        <v>5</v>
      </c>
      <c r="C3811" s="16" t="s">
        <v>12818</v>
      </c>
      <c r="D3811" s="21"/>
      <c r="E3811" s="32" t="s">
        <v>11197</v>
      </c>
      <c r="F3811" s="22" t="str">
        <f>VLOOKUP(Table8[[#This Row],[Mã khách hàng]],code_khach_hang[],2,0)</f>
        <v>CHI NHÁNH QUẢNG NINH - CÔNG TY CỔ PHẦN DỊCH VỤ THƯƠNG MẠI TỔNG HỢP WINCOMMERCE</v>
      </c>
      <c r="G3811" s="16" t="str">
        <f>VLOOKUP(Table8[[#This Row],[Mã khách hàng]],code_khach_hang[],3,0)</f>
        <v>Miền Bắc đặc biệt 3</v>
      </c>
      <c r="H3811" t="str">
        <f>VLOOKUP(Table8[[#This Row],[Mã khách hàng]],'Khách hàng'!A:D,4,0)</f>
        <v>Food Đức Việt</v>
      </c>
      <c r="I3811" t="str">
        <f>VLOOKUP(Table8[[#This Row],[Mã khách hàng]],'Khách hàng'!A:E,5,0)</f>
        <v>HN0040</v>
      </c>
    </row>
    <row r="3812" spans="1:9">
      <c r="A3812" s="14" t="s">
        <v>12785</v>
      </c>
      <c r="B3812" s="9" t="s">
        <v>5</v>
      </c>
      <c r="C3812" s="16" t="s">
        <v>12819</v>
      </c>
      <c r="D3812" s="21"/>
      <c r="E3812" s="32" t="s">
        <v>11199</v>
      </c>
      <c r="F3812" s="22" t="str">
        <f>VLOOKUP(Table8[[#This Row],[Mã khách hàng]],code_khach_hang[],2,0)</f>
        <v>CHI NHÁNH PHÚ THỌ - CÔNG TY CỔ PHẦN DỊCH VỤ THƯƠNG MẠI TỔNG HỢP WINCOMMERCE</v>
      </c>
      <c r="G3812" s="16" t="str">
        <f>VLOOKUP(Table8[[#This Row],[Mã khách hàng]],code_khach_hang[],3,0)</f>
        <v>Miền Bắc đặc biệt 1</v>
      </c>
      <c r="H3812" t="str">
        <f>VLOOKUP(Table8[[#This Row],[Mã khách hàng]],'Khách hàng'!A:D,4,0)</f>
        <v>Food Đức Việt</v>
      </c>
      <c r="I3812" t="str">
        <f>VLOOKUP(Table8[[#This Row],[Mã khách hàng]],'Khách hàng'!A:E,5,0)</f>
        <v>HN0040</v>
      </c>
    </row>
    <row r="3813" spans="1:9">
      <c r="A3813" s="14" t="s">
        <v>12786</v>
      </c>
      <c r="B3813" s="9" t="s">
        <v>5</v>
      </c>
      <c r="C3813" s="16" t="s">
        <v>12820</v>
      </c>
      <c r="D3813" s="21"/>
      <c r="E3813" s="32" t="s">
        <v>11215</v>
      </c>
      <c r="F3813" s="22" t="str">
        <f>VLOOKUP(Table8[[#This Row],[Mã khách hàng]],code_khach_hang[],2,0)</f>
        <v>CHI NHÁNH HÀ NỘI - CÔNG TY CỔ PHẦN DỊCH VỤ THƯƠNG MẠI TỔNG HỢP WINCOMMERCE</v>
      </c>
      <c r="G3813" s="16" t="str">
        <f>VLOOKUP(Table8[[#This Row],[Mã khách hàng]],code_khach_hang[],3,0)</f>
        <v>Miền Bắc đặc biệt 1</v>
      </c>
      <c r="H3813" t="str">
        <f>VLOOKUP(Table8[[#This Row],[Mã khách hàng]],'Khách hàng'!A:D,4,0)</f>
        <v>Food Đức Việt</v>
      </c>
      <c r="I3813" t="str">
        <f>VLOOKUP(Table8[[#This Row],[Mã khách hàng]],'Khách hàng'!A:E,5,0)</f>
        <v>HN0040</v>
      </c>
    </row>
    <row r="3814" spans="1:9">
      <c r="A3814" s="14" t="s">
        <v>12787</v>
      </c>
      <c r="B3814" s="9" t="s">
        <v>5</v>
      </c>
      <c r="C3814" s="16" t="s">
        <v>12821</v>
      </c>
      <c r="D3814" s="21"/>
      <c r="E3814" s="32" t="s">
        <v>11193</v>
      </c>
      <c r="F3814" s="22" t="str">
        <f>VLOOKUP(Table8[[#This Row],[Mã khách hàng]],code_khach_hang[],2,0)</f>
        <v>CHI NHÁNH BẮC NINH - CÔNG TY CỔ PHẦN DỊCH VỤ THƯƠNG MẠI TỔNG HỢP WINCOMMERCE</v>
      </c>
      <c r="G3814" s="16" t="str">
        <f>VLOOKUP(Table8[[#This Row],[Mã khách hàng]],code_khach_hang[],3,0)</f>
        <v>Miền Bắc đặc biệt 2</v>
      </c>
      <c r="H3814" t="str">
        <f>VLOOKUP(Table8[[#This Row],[Mã khách hàng]],'Khách hàng'!A:D,4,0)</f>
        <v>Food Đức Việt</v>
      </c>
      <c r="I3814" t="str">
        <f>VLOOKUP(Table8[[#This Row],[Mã khách hàng]],'Khách hàng'!A:E,5,0)</f>
        <v>HN0040</v>
      </c>
    </row>
    <row r="3815" spans="1:9">
      <c r="A3815" s="14" t="s">
        <v>12829</v>
      </c>
      <c r="B3815" s="9" t="s">
        <v>5</v>
      </c>
      <c r="C3815" s="36" t="s">
        <v>12834</v>
      </c>
      <c r="D3815" s="21"/>
      <c r="E3815" s="37" t="s">
        <v>11198</v>
      </c>
      <c r="F3815" s="22" t="str">
        <f>VLOOKUP(Table8[[#This Row],[Mã khách hàng]],code_khach_hang[],2,0)</f>
        <v>CHI NHÁNH HẢI PHÒNG - CÔNG TY CỔ PHẦN DỊCH VỤ THƯƠNG MẠI TỔNG HỢP WINCOMMERCE</v>
      </c>
      <c r="G3815" s="16" t="str">
        <f>VLOOKUP(Table8[[#This Row],[Mã khách hàng]],code_khach_hang[],3,0)</f>
        <v>Miền Bắc đặc biệt 3</v>
      </c>
      <c r="H3815" t="str">
        <f>VLOOKUP(Table8[[#This Row],[Mã khách hàng]],'Khách hàng'!A:D,4,0)</f>
        <v>Food Đức Việt</v>
      </c>
      <c r="I3815" t="str">
        <f>VLOOKUP(Table8[[#This Row],[Mã khách hàng]],'Khách hàng'!A:E,5,0)</f>
        <v>HN0040</v>
      </c>
    </row>
    <row r="3816" spans="1:9">
      <c r="A3816" s="14" t="s">
        <v>12830</v>
      </c>
      <c r="B3816" s="9" t="s">
        <v>5</v>
      </c>
      <c r="C3816" s="36" t="s">
        <v>12835</v>
      </c>
      <c r="D3816" s="21"/>
      <c r="E3816" s="37" t="s">
        <v>11196</v>
      </c>
      <c r="F3816" s="22" t="str">
        <f>VLOOKUP(Table8[[#This Row],[Mã khách hàng]],code_khach_hang[],2,0)</f>
        <v>CHI NHÁNH NINH BÌNH - CÔNG TY CỔ PHẦN DỊCH VỤ THƯƠNG MẠI TỔNG HỢP WINCOMMERCE</v>
      </c>
      <c r="G3816" s="16" t="str">
        <f>VLOOKUP(Table8[[#This Row],[Mã khách hàng]],code_khach_hang[],3,0)</f>
        <v>Miền Bắc đặc biệt 3</v>
      </c>
      <c r="H3816" t="str">
        <f>VLOOKUP(Table8[[#This Row],[Mã khách hàng]],'Khách hàng'!A:D,4,0)</f>
        <v>Food Đức Việt</v>
      </c>
      <c r="I3816" t="str">
        <f>VLOOKUP(Table8[[#This Row],[Mã khách hàng]],'Khách hàng'!A:E,5,0)</f>
        <v>HN0040</v>
      </c>
    </row>
    <row r="3817" spans="1:9">
      <c r="A3817" s="14" t="s">
        <v>12831</v>
      </c>
      <c r="B3817" s="9" t="s">
        <v>5</v>
      </c>
      <c r="C3817" s="36" t="s">
        <v>12836</v>
      </c>
      <c r="D3817" s="21"/>
      <c r="E3817" s="37" t="s">
        <v>11198</v>
      </c>
      <c r="F3817" s="22" t="str">
        <f>VLOOKUP(Table8[[#This Row],[Mã khách hàng]],code_khach_hang[],2,0)</f>
        <v>CHI NHÁNH HẢI PHÒNG - CÔNG TY CỔ PHẦN DỊCH VỤ THƯƠNG MẠI TỔNG HỢP WINCOMMERCE</v>
      </c>
      <c r="G3817" s="16" t="str">
        <f>VLOOKUP(Table8[[#This Row],[Mã khách hàng]],code_khach_hang[],3,0)</f>
        <v>Miền Bắc đặc biệt 3</v>
      </c>
      <c r="H3817" t="str">
        <f>VLOOKUP(Table8[[#This Row],[Mã khách hàng]],'Khách hàng'!A:D,4,0)</f>
        <v>Food Đức Việt</v>
      </c>
      <c r="I3817" t="str">
        <f>VLOOKUP(Table8[[#This Row],[Mã khách hàng]],'Khách hàng'!A:E,5,0)</f>
        <v>HN0040</v>
      </c>
    </row>
    <row r="3818" spans="1:9">
      <c r="A3818" s="14" t="s">
        <v>12832</v>
      </c>
      <c r="B3818" s="9" t="s">
        <v>5</v>
      </c>
      <c r="C3818" s="36" t="s">
        <v>12837</v>
      </c>
      <c r="D3818" s="21"/>
      <c r="E3818" s="37" t="s">
        <v>11215</v>
      </c>
      <c r="F3818" s="22" t="str">
        <f>VLOOKUP(Table8[[#This Row],[Mã khách hàng]],code_khach_hang[],2,0)</f>
        <v>CHI NHÁNH HÀ NỘI - CÔNG TY CỔ PHẦN DỊCH VỤ THƯƠNG MẠI TỔNG HỢP WINCOMMERCE</v>
      </c>
      <c r="G3818" s="16" t="str">
        <f>VLOOKUP(Table8[[#This Row],[Mã khách hàng]],code_khach_hang[],3,0)</f>
        <v>Miền Bắc đặc biệt 1</v>
      </c>
      <c r="H3818" t="str">
        <f>VLOOKUP(Table8[[#This Row],[Mã khách hàng]],'Khách hàng'!A:D,4,0)</f>
        <v>Food Đức Việt</v>
      </c>
      <c r="I3818" t="str">
        <f>VLOOKUP(Table8[[#This Row],[Mã khách hàng]],'Khách hàng'!A:E,5,0)</f>
        <v>HN0040</v>
      </c>
    </row>
    <row r="3819" spans="1:9">
      <c r="A3819" s="14" t="s">
        <v>12833</v>
      </c>
      <c r="B3819" s="9" t="s">
        <v>5</v>
      </c>
      <c r="C3819" s="36" t="s">
        <v>12838</v>
      </c>
      <c r="D3819" s="21"/>
      <c r="E3819" s="37" t="s">
        <v>11196</v>
      </c>
      <c r="F3819" s="22" t="str">
        <f>VLOOKUP(Table8[[#This Row],[Mã khách hàng]],code_khach_hang[],2,0)</f>
        <v>CHI NHÁNH NINH BÌNH - CÔNG TY CỔ PHẦN DỊCH VỤ THƯƠNG MẠI TỔNG HỢP WINCOMMERCE</v>
      </c>
      <c r="G3819" s="16" t="str">
        <f>VLOOKUP(Table8[[#This Row],[Mã khách hàng]],code_khach_hang[],3,0)</f>
        <v>Miền Bắc đặc biệt 3</v>
      </c>
      <c r="H3819" t="str">
        <f>VLOOKUP(Table8[[#This Row],[Mã khách hàng]],'Khách hàng'!A:D,4,0)</f>
        <v>Food Đức Việt</v>
      </c>
      <c r="I3819" t="str">
        <f>VLOOKUP(Table8[[#This Row],[Mã khách hàng]],'Khách hàng'!A:E,5,0)</f>
        <v>HN0040</v>
      </c>
    </row>
    <row r="3820" spans="1:9">
      <c r="A3820" s="11" t="s">
        <v>12843</v>
      </c>
      <c r="B3820" s="9" t="s">
        <v>5</v>
      </c>
      <c r="C3820" s="10" t="s">
        <v>12858</v>
      </c>
      <c r="D3820" s="21"/>
      <c r="E3820" s="31" t="s">
        <v>11205</v>
      </c>
      <c r="F3820" s="22" t="str">
        <f>VLOOKUP(Table8[[#This Row],[Mã khách hàng]],code_khach_hang[],2,0)</f>
        <v>CHI NHÁNH HÀ TĨNH - CÔNG TY CỔ PHẦN DỊCH VỤ THƯƠNG MẠI TỔNG HỢP WINCOMMERCE</v>
      </c>
      <c r="G3820" s="10" t="str">
        <f>VLOOKUP(Table8[[#This Row],[Mã khách hàng]],code_khach_hang[],3,0)</f>
        <v>Miền Trung đặc biệt 1</v>
      </c>
      <c r="H3820" t="str">
        <f>VLOOKUP(Table8[[#This Row],[Mã khách hàng]],'Khách hàng'!A:D,4,0)</f>
        <v>Food Đức Việt</v>
      </c>
      <c r="I3820" t="str">
        <f>VLOOKUP(Table8[[#This Row],[Mã khách hàng]],'Khách hàng'!A:E,5,0)</f>
        <v>HN0040</v>
      </c>
    </row>
    <row r="3821" spans="1:9">
      <c r="A3821" s="14" t="s">
        <v>12844</v>
      </c>
      <c r="B3821" s="9" t="s">
        <v>5</v>
      </c>
      <c r="C3821" s="16" t="s">
        <v>12859</v>
      </c>
      <c r="D3821" s="21"/>
      <c r="E3821" s="32" t="s">
        <v>11203</v>
      </c>
      <c r="F3821" s="22" t="str">
        <f>VLOOKUP(Table8[[#This Row],[Mã khách hàng]],code_khach_hang[],2,0)</f>
        <v>CHI NHÁNH THANH HÓA - CÔNG TY CỔ PHẦN DỊCH VỤ THƯƠNG MẠI TỔNG HỢP WINCOMMERCE</v>
      </c>
      <c r="G3821" s="16" t="str">
        <f>VLOOKUP(Table8[[#This Row],[Mã khách hàng]],code_khach_hang[],3,0)</f>
        <v>Miền Trung đặc biệt 1</v>
      </c>
      <c r="H3821" t="str">
        <f>VLOOKUP(Table8[[#This Row],[Mã khách hàng]],'Khách hàng'!A:D,4,0)</f>
        <v>Food Đức Việt</v>
      </c>
      <c r="I3821" t="str">
        <f>VLOOKUP(Table8[[#This Row],[Mã khách hàng]],'Khách hàng'!A:E,5,0)</f>
        <v>HN0040</v>
      </c>
    </row>
    <row r="3822" spans="1:9">
      <c r="A3822" s="14" t="s">
        <v>12845</v>
      </c>
      <c r="B3822" s="9" t="s">
        <v>5</v>
      </c>
      <c r="C3822" s="16" t="s">
        <v>12860</v>
      </c>
      <c r="D3822" s="21"/>
      <c r="E3822" s="32" t="s">
        <v>11214</v>
      </c>
      <c r="F3822" s="22" t="str">
        <f>VLOOKUP(Table8[[#This Row],[Mã khách hàng]],code_khach_hang[],2,0)</f>
        <v>CHI NHÁNH LAI CHÂU - CÔNG TY CỔ PHẦN DỊCH VỤ THƯƠNG MẠI TỔNG HỢP WINCOMMERCE</v>
      </c>
      <c r="G3822" s="16" t="str">
        <f>VLOOKUP(Table8[[#This Row],[Mã khách hàng]],code_khach_hang[],3,0)</f>
        <v>Miền Bắc đặc biệt 1</v>
      </c>
      <c r="H3822" t="str">
        <f>VLOOKUP(Table8[[#This Row],[Mã khách hàng]],'Khách hàng'!A:D,4,0)</f>
        <v>Food Đức Việt</v>
      </c>
      <c r="I3822" t="str">
        <f>VLOOKUP(Table8[[#This Row],[Mã khách hàng]],'Khách hàng'!A:E,5,0)</f>
        <v>HN0040</v>
      </c>
    </row>
    <row r="3823" spans="1:9">
      <c r="A3823" s="14" t="s">
        <v>12846</v>
      </c>
      <c r="B3823" s="9" t="s">
        <v>5</v>
      </c>
      <c r="C3823" s="16" t="s">
        <v>12861</v>
      </c>
      <c r="D3823" s="21"/>
      <c r="E3823" s="32" t="s">
        <v>11199</v>
      </c>
      <c r="F3823" s="22" t="str">
        <f>VLOOKUP(Table8[[#This Row],[Mã khách hàng]],code_khach_hang[],2,0)</f>
        <v>CHI NHÁNH PHÚ THỌ - CÔNG TY CỔ PHẦN DỊCH VỤ THƯƠNG MẠI TỔNG HỢP WINCOMMERCE</v>
      </c>
      <c r="G3823" s="16" t="str">
        <f>VLOOKUP(Table8[[#This Row],[Mã khách hàng]],code_khach_hang[],3,0)</f>
        <v>Miền Bắc đặc biệt 1</v>
      </c>
      <c r="H3823" t="str">
        <f>VLOOKUP(Table8[[#This Row],[Mã khách hàng]],'Khách hàng'!A:D,4,0)</f>
        <v>Food Đức Việt</v>
      </c>
      <c r="I3823" t="str">
        <f>VLOOKUP(Table8[[#This Row],[Mã khách hàng]],'Khách hàng'!A:E,5,0)</f>
        <v>HN0040</v>
      </c>
    </row>
    <row r="3824" spans="1:9">
      <c r="A3824" s="14" t="s">
        <v>12847</v>
      </c>
      <c r="B3824" s="9" t="s">
        <v>5</v>
      </c>
      <c r="C3824" s="16" t="s">
        <v>12862</v>
      </c>
      <c r="D3824" s="21"/>
      <c r="E3824" s="32" t="s">
        <v>11203</v>
      </c>
      <c r="F3824" s="22" t="str">
        <f>VLOOKUP(Table8[[#This Row],[Mã khách hàng]],code_khach_hang[],2,0)</f>
        <v>CHI NHÁNH THANH HÓA - CÔNG TY CỔ PHẦN DỊCH VỤ THƯƠNG MẠI TỔNG HỢP WINCOMMERCE</v>
      </c>
      <c r="G3824" s="16" t="str">
        <f>VLOOKUP(Table8[[#This Row],[Mã khách hàng]],code_khach_hang[],3,0)</f>
        <v>Miền Trung đặc biệt 1</v>
      </c>
      <c r="H3824" t="str">
        <f>VLOOKUP(Table8[[#This Row],[Mã khách hàng]],'Khách hàng'!A:D,4,0)</f>
        <v>Food Đức Việt</v>
      </c>
      <c r="I3824" t="str">
        <f>VLOOKUP(Table8[[#This Row],[Mã khách hàng]],'Khách hàng'!A:E,5,0)</f>
        <v>HN0040</v>
      </c>
    </row>
    <row r="3825" spans="1:9">
      <c r="A3825" s="14" t="s">
        <v>12848</v>
      </c>
      <c r="B3825" s="9" t="s">
        <v>5</v>
      </c>
      <c r="C3825" s="16" t="s">
        <v>12863</v>
      </c>
      <c r="D3825" s="21"/>
      <c r="E3825" s="32" t="s">
        <v>11215</v>
      </c>
      <c r="F3825" s="22" t="str">
        <f>VLOOKUP(Table8[[#This Row],[Mã khách hàng]],code_khach_hang[],2,0)</f>
        <v>CHI NHÁNH HÀ NỘI - CÔNG TY CỔ PHẦN DỊCH VỤ THƯƠNG MẠI TỔNG HỢP WINCOMMERCE</v>
      </c>
      <c r="G3825" s="16" t="str">
        <f>VLOOKUP(Table8[[#This Row],[Mã khách hàng]],code_khach_hang[],3,0)</f>
        <v>Miền Bắc đặc biệt 1</v>
      </c>
      <c r="H3825" t="str">
        <f>VLOOKUP(Table8[[#This Row],[Mã khách hàng]],'Khách hàng'!A:D,4,0)</f>
        <v>Food Đức Việt</v>
      </c>
      <c r="I3825" t="str">
        <f>VLOOKUP(Table8[[#This Row],[Mã khách hàng]],'Khách hàng'!A:E,5,0)</f>
        <v>HN0040</v>
      </c>
    </row>
    <row r="3826" spans="1:9">
      <c r="A3826" s="14" t="s">
        <v>12849</v>
      </c>
      <c r="B3826" s="9" t="s">
        <v>5</v>
      </c>
      <c r="C3826" s="16" t="s">
        <v>12864</v>
      </c>
      <c r="D3826" s="21"/>
      <c r="E3826" s="32" t="s">
        <v>11198</v>
      </c>
      <c r="F3826" s="22" t="str">
        <f>VLOOKUP(Table8[[#This Row],[Mã khách hàng]],code_khach_hang[],2,0)</f>
        <v>CHI NHÁNH HẢI PHÒNG - CÔNG TY CỔ PHẦN DỊCH VỤ THƯƠNG MẠI TỔNG HỢP WINCOMMERCE</v>
      </c>
      <c r="G3826" s="16" t="str">
        <f>VLOOKUP(Table8[[#This Row],[Mã khách hàng]],code_khach_hang[],3,0)</f>
        <v>Miền Bắc đặc biệt 3</v>
      </c>
      <c r="H3826" t="str">
        <f>VLOOKUP(Table8[[#This Row],[Mã khách hàng]],'Khách hàng'!A:D,4,0)</f>
        <v>Food Đức Việt</v>
      </c>
      <c r="I3826" t="str">
        <f>VLOOKUP(Table8[[#This Row],[Mã khách hàng]],'Khách hàng'!A:E,5,0)</f>
        <v>HN0040</v>
      </c>
    </row>
    <row r="3827" spans="1:9">
      <c r="A3827" s="14" t="s">
        <v>12850</v>
      </c>
      <c r="B3827" s="9" t="s">
        <v>5</v>
      </c>
      <c r="C3827" s="16" t="s">
        <v>12865</v>
      </c>
      <c r="D3827" s="21"/>
      <c r="E3827" s="32" t="s">
        <v>11215</v>
      </c>
      <c r="F3827" s="22" t="str">
        <f>VLOOKUP(Table8[[#This Row],[Mã khách hàng]],code_khach_hang[],2,0)</f>
        <v>CHI NHÁNH HÀ NỘI - CÔNG TY CỔ PHẦN DỊCH VỤ THƯƠNG MẠI TỔNG HỢP WINCOMMERCE</v>
      </c>
      <c r="G3827" s="16" t="str">
        <f>VLOOKUP(Table8[[#This Row],[Mã khách hàng]],code_khach_hang[],3,0)</f>
        <v>Miền Bắc đặc biệt 1</v>
      </c>
      <c r="H3827" t="str">
        <f>VLOOKUP(Table8[[#This Row],[Mã khách hàng]],'Khách hàng'!A:D,4,0)</f>
        <v>Food Đức Việt</v>
      </c>
      <c r="I3827" t="str">
        <f>VLOOKUP(Table8[[#This Row],[Mã khách hàng]],'Khách hàng'!A:E,5,0)</f>
        <v>HN0040</v>
      </c>
    </row>
    <row r="3828" spans="1:9">
      <c r="A3828" s="14" t="s">
        <v>12851</v>
      </c>
      <c r="B3828" s="9" t="s">
        <v>5</v>
      </c>
      <c r="C3828" s="16" t="s">
        <v>12866</v>
      </c>
      <c r="D3828" s="21"/>
      <c r="E3828" s="32" t="s">
        <v>11197</v>
      </c>
      <c r="F3828" s="22" t="str">
        <f>VLOOKUP(Table8[[#This Row],[Mã khách hàng]],code_khach_hang[],2,0)</f>
        <v>CHI NHÁNH QUẢNG NINH - CÔNG TY CỔ PHẦN DỊCH VỤ THƯƠNG MẠI TỔNG HỢP WINCOMMERCE</v>
      </c>
      <c r="G3828" s="16" t="str">
        <f>VLOOKUP(Table8[[#This Row],[Mã khách hàng]],code_khach_hang[],3,0)</f>
        <v>Miền Bắc đặc biệt 3</v>
      </c>
      <c r="H3828" t="str">
        <f>VLOOKUP(Table8[[#This Row],[Mã khách hàng]],'Khách hàng'!A:D,4,0)</f>
        <v>Food Đức Việt</v>
      </c>
      <c r="I3828" t="str">
        <f>VLOOKUP(Table8[[#This Row],[Mã khách hàng]],'Khách hàng'!A:E,5,0)</f>
        <v>HN0040</v>
      </c>
    </row>
    <row r="3829" spans="1:9">
      <c r="A3829" s="14" t="s">
        <v>12852</v>
      </c>
      <c r="B3829" s="9" t="s">
        <v>5</v>
      </c>
      <c r="C3829" s="16" t="s">
        <v>12867</v>
      </c>
      <c r="D3829" s="21"/>
      <c r="E3829" s="32" t="s">
        <v>11205</v>
      </c>
      <c r="F3829" s="22" t="str">
        <f>VLOOKUP(Table8[[#This Row],[Mã khách hàng]],code_khach_hang[],2,0)</f>
        <v>CHI NHÁNH HÀ TĨNH - CÔNG TY CỔ PHẦN DỊCH VỤ THƯƠNG MẠI TỔNG HỢP WINCOMMERCE</v>
      </c>
      <c r="G3829" s="16" t="str">
        <f>VLOOKUP(Table8[[#This Row],[Mã khách hàng]],code_khach_hang[],3,0)</f>
        <v>Miền Trung đặc biệt 1</v>
      </c>
      <c r="H3829" t="str">
        <f>VLOOKUP(Table8[[#This Row],[Mã khách hàng]],'Khách hàng'!A:D,4,0)</f>
        <v>Food Đức Việt</v>
      </c>
      <c r="I3829" t="str">
        <f>VLOOKUP(Table8[[#This Row],[Mã khách hàng]],'Khách hàng'!A:E,5,0)</f>
        <v>HN0040</v>
      </c>
    </row>
    <row r="3830" spans="1:9">
      <c r="A3830" s="14" t="s">
        <v>12853</v>
      </c>
      <c r="B3830" s="9" t="s">
        <v>5</v>
      </c>
      <c r="C3830" s="16" t="s">
        <v>12868</v>
      </c>
      <c r="D3830" s="21"/>
      <c r="E3830" s="32" t="s">
        <v>11205</v>
      </c>
      <c r="F3830" s="22" t="str">
        <f>VLOOKUP(Table8[[#This Row],[Mã khách hàng]],code_khach_hang[],2,0)</f>
        <v>CHI NHÁNH HÀ TĨNH - CÔNG TY CỔ PHẦN DỊCH VỤ THƯƠNG MẠI TỔNG HỢP WINCOMMERCE</v>
      </c>
      <c r="G3830" s="16" t="str">
        <f>VLOOKUP(Table8[[#This Row],[Mã khách hàng]],code_khach_hang[],3,0)</f>
        <v>Miền Trung đặc biệt 1</v>
      </c>
      <c r="H3830" t="str">
        <f>VLOOKUP(Table8[[#This Row],[Mã khách hàng]],'Khách hàng'!A:D,4,0)</f>
        <v>Food Đức Việt</v>
      </c>
      <c r="I3830" t="str">
        <f>VLOOKUP(Table8[[#This Row],[Mã khách hàng]],'Khách hàng'!A:E,5,0)</f>
        <v>HN0040</v>
      </c>
    </row>
    <row r="3831" spans="1:9">
      <c r="A3831" s="14" t="s">
        <v>12854</v>
      </c>
      <c r="B3831" s="9" t="s">
        <v>5</v>
      </c>
      <c r="C3831" s="16" t="s">
        <v>12869</v>
      </c>
      <c r="D3831" s="21"/>
      <c r="E3831" s="32" t="s">
        <v>11216</v>
      </c>
      <c r="F3831" s="22" t="str">
        <f>VLOOKUP(Table8[[#This Row],[Mã khách hàng]],code_khach_hang[],2,0)</f>
        <v>CHI NHÁNH HƯNG YÊN - CÔNG TY CỔ PHẦN DỊCH VỤ THƯƠNG MẠI TỔNG HỢP WINCOMMERCE</v>
      </c>
      <c r="G3831" s="16" t="str">
        <f>VLOOKUP(Table8[[#This Row],[Mã khách hàng]],code_khach_hang[],3,0)</f>
        <v>Miền Bắc đặc biệt 1</v>
      </c>
      <c r="H3831" t="str">
        <f>VLOOKUP(Table8[[#This Row],[Mã khách hàng]],'Khách hàng'!A:D,4,0)</f>
        <v>Food Đức Việt</v>
      </c>
      <c r="I3831" t="str">
        <f>VLOOKUP(Table8[[#This Row],[Mã khách hàng]],'Khách hàng'!A:E,5,0)</f>
        <v>HN0040</v>
      </c>
    </row>
    <row r="3832" spans="1:9">
      <c r="A3832" s="14" t="s">
        <v>12855</v>
      </c>
      <c r="B3832" s="9" t="s">
        <v>5</v>
      </c>
      <c r="C3832" s="16" t="s">
        <v>12870</v>
      </c>
      <c r="D3832" s="21"/>
      <c r="E3832" s="32" t="s">
        <v>11196</v>
      </c>
      <c r="F3832" s="22" t="str">
        <f>VLOOKUP(Table8[[#This Row],[Mã khách hàng]],code_khach_hang[],2,0)</f>
        <v>CHI NHÁNH NINH BÌNH - CÔNG TY CỔ PHẦN DỊCH VỤ THƯƠNG MẠI TỔNG HỢP WINCOMMERCE</v>
      </c>
      <c r="G3832" s="16" t="str">
        <f>VLOOKUP(Table8[[#This Row],[Mã khách hàng]],code_khach_hang[],3,0)</f>
        <v>Miền Bắc đặc biệt 3</v>
      </c>
      <c r="H3832" t="str">
        <f>VLOOKUP(Table8[[#This Row],[Mã khách hàng]],'Khách hàng'!A:D,4,0)</f>
        <v>Food Đức Việt</v>
      </c>
      <c r="I3832" t="str">
        <f>VLOOKUP(Table8[[#This Row],[Mã khách hàng]],'Khách hàng'!A:E,5,0)</f>
        <v>HN0040</v>
      </c>
    </row>
    <row r="3833" spans="1:9">
      <c r="A3833" s="14" t="s">
        <v>12856</v>
      </c>
      <c r="B3833" s="9" t="s">
        <v>5</v>
      </c>
      <c r="C3833" s="16" t="s">
        <v>12871</v>
      </c>
      <c r="D3833" s="21"/>
      <c r="E3833" s="32" t="s">
        <v>11193</v>
      </c>
      <c r="F3833" s="22" t="str">
        <f>VLOOKUP(Table8[[#This Row],[Mã khách hàng]],code_khach_hang[],2,0)</f>
        <v>CHI NHÁNH BẮC NINH - CÔNG TY CỔ PHẦN DỊCH VỤ THƯƠNG MẠI TỔNG HỢP WINCOMMERCE</v>
      </c>
      <c r="G3833" s="16" t="str">
        <f>VLOOKUP(Table8[[#This Row],[Mã khách hàng]],code_khach_hang[],3,0)</f>
        <v>Miền Bắc đặc biệt 2</v>
      </c>
      <c r="H3833" t="str">
        <f>VLOOKUP(Table8[[#This Row],[Mã khách hàng]],'Khách hàng'!A:D,4,0)</f>
        <v>Food Đức Việt</v>
      </c>
      <c r="I3833" t="str">
        <f>VLOOKUP(Table8[[#This Row],[Mã khách hàng]],'Khách hàng'!A:E,5,0)</f>
        <v>HN0040</v>
      </c>
    </row>
    <row r="3834" spans="1:9">
      <c r="A3834" s="14" t="s">
        <v>12857</v>
      </c>
      <c r="B3834" s="9" t="s">
        <v>5</v>
      </c>
      <c r="C3834" s="16" t="s">
        <v>12872</v>
      </c>
      <c r="D3834" s="21"/>
      <c r="E3834" s="32" t="s">
        <v>11199</v>
      </c>
      <c r="F3834" s="22" t="str">
        <f>VLOOKUP(Table8[[#This Row],[Mã khách hàng]],code_khach_hang[],2,0)</f>
        <v>CHI NHÁNH PHÚ THỌ - CÔNG TY CỔ PHẦN DỊCH VỤ THƯƠNG MẠI TỔNG HỢP WINCOMMERCE</v>
      </c>
      <c r="G3834" s="16" t="str">
        <f>VLOOKUP(Table8[[#This Row],[Mã khách hàng]],code_khach_hang[],3,0)</f>
        <v>Miền Bắc đặc biệt 1</v>
      </c>
      <c r="H3834" t="str">
        <f>VLOOKUP(Table8[[#This Row],[Mã khách hàng]],'Khách hàng'!A:D,4,0)</f>
        <v>Food Đức Việt</v>
      </c>
      <c r="I3834" t="str">
        <f>VLOOKUP(Table8[[#This Row],[Mã khách hàng]],'Khách hàng'!A:E,5,0)</f>
        <v>HN0040</v>
      </c>
    </row>
    <row r="3835" spans="1:9">
      <c r="A3835" s="11" t="s">
        <v>12873</v>
      </c>
      <c r="B3835" s="9" t="s">
        <v>5</v>
      </c>
      <c r="C3835" s="10" t="s">
        <v>12879</v>
      </c>
      <c r="D3835" s="21"/>
      <c r="E3835" s="31" t="s">
        <v>11193</v>
      </c>
      <c r="F3835" s="22" t="str">
        <f>VLOOKUP(Table8[[#This Row],[Mã khách hàng]],code_khach_hang[],2,0)</f>
        <v>CHI NHÁNH BẮC NINH - CÔNG TY CỔ PHẦN DỊCH VỤ THƯƠNG MẠI TỔNG HỢP WINCOMMERCE</v>
      </c>
      <c r="G3835" s="10" t="str">
        <f>VLOOKUP(Table8[[#This Row],[Mã khách hàng]],code_khach_hang[],3,0)</f>
        <v>Miền Bắc đặc biệt 2</v>
      </c>
      <c r="H3835" t="str">
        <f>VLOOKUP(Table8[[#This Row],[Mã khách hàng]],'Khách hàng'!A:D,4,0)</f>
        <v>Food Đức Việt</v>
      </c>
      <c r="I3835" t="str">
        <f>VLOOKUP(Table8[[#This Row],[Mã khách hàng]],'Khách hàng'!A:E,5,0)</f>
        <v>HN0040</v>
      </c>
    </row>
    <row r="3836" spans="1:9">
      <c r="A3836" s="14" t="s">
        <v>12874</v>
      </c>
      <c r="B3836" s="9" t="s">
        <v>5</v>
      </c>
      <c r="C3836" s="16" t="s">
        <v>12880</v>
      </c>
      <c r="D3836" s="21"/>
      <c r="E3836" s="32" t="s">
        <v>11193</v>
      </c>
      <c r="F3836" s="22" t="str">
        <f>VLOOKUP(Table8[[#This Row],[Mã khách hàng]],code_khach_hang[],2,0)</f>
        <v>CHI NHÁNH BẮC NINH - CÔNG TY CỔ PHẦN DỊCH VỤ THƯƠNG MẠI TỔNG HỢP WINCOMMERCE</v>
      </c>
      <c r="G3836" s="16" t="str">
        <f>VLOOKUP(Table8[[#This Row],[Mã khách hàng]],code_khach_hang[],3,0)</f>
        <v>Miền Bắc đặc biệt 2</v>
      </c>
      <c r="H3836" t="str">
        <f>VLOOKUP(Table8[[#This Row],[Mã khách hàng]],'Khách hàng'!A:D,4,0)</f>
        <v>Food Đức Việt</v>
      </c>
      <c r="I3836" t="str">
        <f>VLOOKUP(Table8[[#This Row],[Mã khách hàng]],'Khách hàng'!A:E,5,0)</f>
        <v>HN0040</v>
      </c>
    </row>
    <row r="3837" spans="1:9">
      <c r="A3837" s="14" t="s">
        <v>12875</v>
      </c>
      <c r="B3837" s="9" t="s">
        <v>5</v>
      </c>
      <c r="C3837" s="16" t="s">
        <v>12881</v>
      </c>
      <c r="D3837" s="21"/>
      <c r="E3837" s="32" t="s">
        <v>11196</v>
      </c>
      <c r="F3837" s="22" t="str">
        <f>VLOOKUP(Table8[[#This Row],[Mã khách hàng]],code_khach_hang[],2,0)</f>
        <v>CHI NHÁNH NINH BÌNH - CÔNG TY CỔ PHẦN DỊCH VỤ THƯƠNG MẠI TỔNG HỢP WINCOMMERCE</v>
      </c>
      <c r="G3837" s="16" t="str">
        <f>VLOOKUP(Table8[[#This Row],[Mã khách hàng]],code_khach_hang[],3,0)</f>
        <v>Miền Bắc đặc biệt 3</v>
      </c>
      <c r="H3837" t="str">
        <f>VLOOKUP(Table8[[#This Row],[Mã khách hàng]],'Khách hàng'!A:D,4,0)</f>
        <v>Food Đức Việt</v>
      </c>
      <c r="I3837" t="str">
        <f>VLOOKUP(Table8[[#This Row],[Mã khách hàng]],'Khách hàng'!A:E,5,0)</f>
        <v>HN0040</v>
      </c>
    </row>
    <row r="3838" spans="1:9">
      <c r="A3838" s="14" t="s">
        <v>12876</v>
      </c>
      <c r="B3838" s="9" t="s">
        <v>5</v>
      </c>
      <c r="C3838" s="16" t="s">
        <v>12882</v>
      </c>
      <c r="D3838" s="21"/>
      <c r="E3838" s="32" t="s">
        <v>11199</v>
      </c>
      <c r="F3838" s="22" t="str">
        <f>VLOOKUP(Table8[[#This Row],[Mã khách hàng]],code_khach_hang[],2,0)</f>
        <v>CHI NHÁNH PHÚ THỌ - CÔNG TY CỔ PHẦN DỊCH VỤ THƯƠNG MẠI TỔNG HỢP WINCOMMERCE</v>
      </c>
      <c r="G3838" s="16" t="str">
        <f>VLOOKUP(Table8[[#This Row],[Mã khách hàng]],code_khach_hang[],3,0)</f>
        <v>Miền Bắc đặc biệt 1</v>
      </c>
      <c r="H3838" t="str">
        <f>VLOOKUP(Table8[[#This Row],[Mã khách hàng]],'Khách hàng'!A:D,4,0)</f>
        <v>Food Đức Việt</v>
      </c>
      <c r="I3838" t="str">
        <f>VLOOKUP(Table8[[#This Row],[Mã khách hàng]],'Khách hàng'!A:E,5,0)</f>
        <v>HN0040</v>
      </c>
    </row>
    <row r="3839" spans="1:9">
      <c r="A3839" s="14" t="s">
        <v>12877</v>
      </c>
      <c r="B3839" s="9" t="s">
        <v>5</v>
      </c>
      <c r="C3839" s="16" t="s">
        <v>12883</v>
      </c>
      <c r="D3839" s="21"/>
      <c r="E3839" s="32" t="s">
        <v>11204</v>
      </c>
      <c r="F3839" s="22" t="str">
        <f>VLOOKUP(Table8[[#This Row],[Mã khách hàng]],code_khach_hang[],2,0)</f>
        <v>CHI NHÁNH TUYÊN QUANG - CÔNG TY CỔ PHẦN DỊCH VỤ THƯƠNG MẠI TỔNG HỢP WINCOMMERCE</v>
      </c>
      <c r="G3839" s="16" t="str">
        <f>VLOOKUP(Table8[[#This Row],[Mã khách hàng]],code_khach_hang[],3,0)</f>
        <v>Miền Bắc đặc biệt 2</v>
      </c>
      <c r="H3839" t="str">
        <f>VLOOKUP(Table8[[#This Row],[Mã khách hàng]],'Khách hàng'!A:D,4,0)</f>
        <v>Food Đức Việt</v>
      </c>
      <c r="I3839" t="str">
        <f>VLOOKUP(Table8[[#This Row],[Mã khách hàng]],'Khách hàng'!A:E,5,0)</f>
        <v>HN0040</v>
      </c>
    </row>
    <row r="3840" spans="1:9">
      <c r="A3840" s="14" t="s">
        <v>12878</v>
      </c>
      <c r="B3840" s="9" t="s">
        <v>5</v>
      </c>
      <c r="C3840" s="16" t="s">
        <v>12884</v>
      </c>
      <c r="D3840" s="21"/>
      <c r="E3840" s="32" t="s">
        <v>11208</v>
      </c>
      <c r="F3840" s="22" t="str">
        <f>VLOOKUP(Table8[[#This Row],[Mã khách hàng]],code_khach_hang[],2,0)</f>
        <v>CHI NHÁNH LẠNG SƠN - CÔNG TY CỔ PHẦN DỊCH VỤ THƯƠNG MẠI TỔNG HỢP WINCOMMERCE</v>
      </c>
      <c r="G3840" s="16" t="str">
        <f>VLOOKUP(Table8[[#This Row],[Mã khách hàng]],code_khach_hang[],3,0)</f>
        <v>Miền Bắc đặc biệt 2</v>
      </c>
      <c r="H3840" t="str">
        <f>VLOOKUP(Table8[[#This Row],[Mã khách hàng]],'Khách hàng'!A:D,4,0)</f>
        <v>Food Đức Việt</v>
      </c>
      <c r="I3840" t="str">
        <f>VLOOKUP(Table8[[#This Row],[Mã khách hàng]],'Khách hàng'!A:E,5,0)</f>
        <v>HN0040</v>
      </c>
    </row>
    <row r="3841" spans="1:9">
      <c r="A3841" s="46" t="s">
        <v>12885</v>
      </c>
      <c r="B3841" s="9" t="s">
        <v>5</v>
      </c>
      <c r="C3841" s="48" t="s">
        <v>12887</v>
      </c>
      <c r="D3841" s="21"/>
      <c r="E3841" s="37" t="s">
        <v>11215</v>
      </c>
      <c r="F3841" s="22" t="str">
        <f>VLOOKUP(Table8[[#This Row],[Mã khách hàng]],code_khach_hang[],2,0)</f>
        <v>CHI NHÁNH HÀ NỘI - CÔNG TY CỔ PHẦN DỊCH VỤ THƯƠNG MẠI TỔNG HỢP WINCOMMERCE</v>
      </c>
      <c r="G3841" s="10" t="str">
        <f>VLOOKUP(Table8[[#This Row],[Mã khách hàng]],code_khach_hang[],3,0)</f>
        <v>Miền Bắc đặc biệt 1</v>
      </c>
      <c r="H3841" t="str">
        <f>VLOOKUP(Table8[[#This Row],[Mã khách hàng]],'Khách hàng'!A:D,4,0)</f>
        <v>Food Đức Việt</v>
      </c>
      <c r="I3841" t="str">
        <f>VLOOKUP(Table8[[#This Row],[Mã khách hàng]],'Khách hàng'!A:E,5,0)</f>
        <v>HN0040</v>
      </c>
    </row>
    <row r="3842" spans="1:9">
      <c r="A3842" s="47" t="s">
        <v>12886</v>
      </c>
      <c r="B3842" s="9" t="s">
        <v>5</v>
      </c>
      <c r="C3842" s="48" t="s">
        <v>12888</v>
      </c>
      <c r="D3842" s="21"/>
      <c r="E3842" s="37" t="s">
        <v>11204</v>
      </c>
      <c r="F3842" s="22" t="str">
        <f>VLOOKUP(Table8[[#This Row],[Mã khách hàng]],code_khach_hang[],2,0)</f>
        <v>CHI NHÁNH TUYÊN QUANG - CÔNG TY CỔ PHẦN DỊCH VỤ THƯƠNG MẠI TỔNG HỢP WINCOMMERCE</v>
      </c>
      <c r="G3842" s="16" t="str">
        <f>VLOOKUP(Table8[[#This Row],[Mã khách hàng]],code_khach_hang[],3,0)</f>
        <v>Miền Bắc đặc biệt 2</v>
      </c>
      <c r="H3842" t="str">
        <f>VLOOKUP(Table8[[#This Row],[Mã khách hàng]],'Khách hàng'!A:D,4,0)</f>
        <v>Food Đức Việt</v>
      </c>
      <c r="I3842" t="str">
        <f>VLOOKUP(Table8[[#This Row],[Mã khách hàng]],'Khách hàng'!A:E,5,0)</f>
        <v>HN0040</v>
      </c>
    </row>
    <row r="3843" spans="1:9">
      <c r="A3843" s="46" t="s">
        <v>12889</v>
      </c>
      <c r="B3843" s="9" t="s">
        <v>5</v>
      </c>
      <c r="C3843" s="48" t="s">
        <v>12891</v>
      </c>
      <c r="D3843" s="21"/>
      <c r="E3843" s="37" t="s">
        <v>11193</v>
      </c>
      <c r="F3843" s="22" t="str">
        <f>VLOOKUP(Table8[[#This Row],[Mã khách hàng]],code_khach_hang[],2,0)</f>
        <v>CHI NHÁNH BẮC NINH - CÔNG TY CỔ PHẦN DỊCH VỤ THƯƠNG MẠI TỔNG HỢP WINCOMMERCE</v>
      </c>
      <c r="G3843" s="10" t="str">
        <f>VLOOKUP(Table8[[#This Row],[Mã khách hàng]],code_khach_hang[],3,0)</f>
        <v>Miền Bắc đặc biệt 2</v>
      </c>
      <c r="H3843" t="str">
        <f>VLOOKUP(Table8[[#This Row],[Mã khách hàng]],'Khách hàng'!A:D,4,0)</f>
        <v>Food Đức Việt</v>
      </c>
      <c r="I3843" t="str">
        <f>VLOOKUP(Table8[[#This Row],[Mã khách hàng]],'Khách hàng'!A:E,5,0)</f>
        <v>HN0040</v>
      </c>
    </row>
    <row r="3844" spans="1:9">
      <c r="A3844" s="47" t="s">
        <v>12890</v>
      </c>
      <c r="B3844" s="9" t="s">
        <v>5</v>
      </c>
      <c r="C3844" s="48" t="s">
        <v>12892</v>
      </c>
      <c r="D3844" s="21"/>
      <c r="E3844" s="37" t="s">
        <v>11207</v>
      </c>
      <c r="F3844" s="22" t="str">
        <f>VLOOKUP(Table8[[#This Row],[Mã khách hàng]],code_khach_hang[],2,0)</f>
        <v>CHI NHÁNH THÁI NGUYÊN - CÔNG TY CỔ PHẦN DỊCH VỤ THƯƠNG MẠI TỔNG HỢP WINCOMMERCE</v>
      </c>
      <c r="G3844" s="16" t="str">
        <f>VLOOKUP(Table8[[#This Row],[Mã khách hàng]],code_khach_hang[],3,0)</f>
        <v>Miền Bắc đặc biệt 2</v>
      </c>
      <c r="H3844" t="str">
        <f>VLOOKUP(Table8[[#This Row],[Mã khách hàng]],'Khách hàng'!A:D,4,0)</f>
        <v>Food Đức Việt</v>
      </c>
      <c r="I3844" t="str">
        <f>VLOOKUP(Table8[[#This Row],[Mã khách hàng]],'Khách hàng'!A:E,5,0)</f>
        <v>HN0040</v>
      </c>
    </row>
    <row r="3845" spans="1:9">
      <c r="A3845" s="46" t="s">
        <v>12893</v>
      </c>
      <c r="B3845" s="9" t="s">
        <v>5</v>
      </c>
      <c r="C3845" s="48" t="s">
        <v>12912</v>
      </c>
      <c r="D3845" s="21"/>
      <c r="E3845" s="37" t="s">
        <v>11208</v>
      </c>
      <c r="F3845" s="22" t="str">
        <f>VLOOKUP(Table8[[#This Row],[Mã khách hàng]],code_khach_hang[],2,0)</f>
        <v>CHI NHÁNH LẠNG SƠN - CÔNG TY CỔ PHẦN DỊCH VỤ THƯƠNG MẠI TỔNG HỢP WINCOMMERCE</v>
      </c>
      <c r="G3845" s="10" t="str">
        <f>VLOOKUP(Table8[[#This Row],[Mã khách hàng]],code_khach_hang[],3,0)</f>
        <v>Miền Bắc đặc biệt 2</v>
      </c>
      <c r="H3845" t="str">
        <f>VLOOKUP(Table8[[#This Row],[Mã khách hàng]],'Khách hàng'!A:D,4,0)</f>
        <v>Food Đức Việt</v>
      </c>
      <c r="I3845" t="str">
        <f>VLOOKUP(Table8[[#This Row],[Mã khách hàng]],'Khách hàng'!A:E,5,0)</f>
        <v>HN0040</v>
      </c>
    </row>
    <row r="3846" spans="1:9">
      <c r="A3846" s="47" t="s">
        <v>12894</v>
      </c>
      <c r="B3846" s="9" t="s">
        <v>5</v>
      </c>
      <c r="C3846" s="36" t="s">
        <v>12913</v>
      </c>
      <c r="D3846" s="21"/>
      <c r="E3846" s="37" t="s">
        <v>11215</v>
      </c>
      <c r="F3846" s="22" t="str">
        <f>VLOOKUP(Table8[[#This Row],[Mã khách hàng]],code_khach_hang[],2,0)</f>
        <v>CHI NHÁNH HÀ NỘI - CÔNG TY CỔ PHẦN DỊCH VỤ THƯƠNG MẠI TỔNG HỢP WINCOMMERCE</v>
      </c>
      <c r="G3846" s="16" t="str">
        <f>VLOOKUP(Table8[[#This Row],[Mã khách hàng]],code_khach_hang[],3,0)</f>
        <v>Miền Bắc đặc biệt 1</v>
      </c>
      <c r="H3846" t="str">
        <f>VLOOKUP(Table8[[#This Row],[Mã khách hàng]],'Khách hàng'!A:D,4,0)</f>
        <v>Food Đức Việt</v>
      </c>
      <c r="I3846" t="str">
        <f>VLOOKUP(Table8[[#This Row],[Mã khách hàng]],'Khách hàng'!A:E,5,0)</f>
        <v>HN0040</v>
      </c>
    </row>
    <row r="3847" spans="1:9">
      <c r="A3847" s="47" t="s">
        <v>12895</v>
      </c>
      <c r="B3847" s="9" t="s">
        <v>5</v>
      </c>
      <c r="C3847" s="36" t="s">
        <v>12914</v>
      </c>
      <c r="D3847" s="21"/>
      <c r="E3847" s="37" t="s">
        <v>11215</v>
      </c>
      <c r="F3847" s="22" t="str">
        <f>VLOOKUP(Table8[[#This Row],[Mã khách hàng]],code_khach_hang[],2,0)</f>
        <v>CHI NHÁNH HÀ NỘI - CÔNG TY CỔ PHẦN DỊCH VỤ THƯƠNG MẠI TỔNG HỢP WINCOMMERCE</v>
      </c>
      <c r="G3847" s="16" t="str">
        <f>VLOOKUP(Table8[[#This Row],[Mã khách hàng]],code_khach_hang[],3,0)</f>
        <v>Miền Bắc đặc biệt 1</v>
      </c>
      <c r="H3847" t="str">
        <f>VLOOKUP(Table8[[#This Row],[Mã khách hàng]],'Khách hàng'!A:D,4,0)</f>
        <v>Food Đức Việt</v>
      </c>
      <c r="I3847" t="str">
        <f>VLOOKUP(Table8[[#This Row],[Mã khách hàng]],'Khách hàng'!A:E,5,0)</f>
        <v>HN0040</v>
      </c>
    </row>
    <row r="3848" spans="1:9">
      <c r="A3848" s="47" t="s">
        <v>12896</v>
      </c>
      <c r="B3848" s="9" t="s">
        <v>5</v>
      </c>
      <c r="C3848" s="36" t="s">
        <v>12915</v>
      </c>
      <c r="D3848" s="21"/>
      <c r="E3848" s="37" t="s">
        <v>11207</v>
      </c>
      <c r="F3848" s="22" t="str">
        <f>VLOOKUP(Table8[[#This Row],[Mã khách hàng]],code_khach_hang[],2,0)</f>
        <v>CHI NHÁNH THÁI NGUYÊN - CÔNG TY CỔ PHẦN DỊCH VỤ THƯƠNG MẠI TỔNG HỢP WINCOMMERCE</v>
      </c>
      <c r="G3848" s="16" t="str">
        <f>VLOOKUP(Table8[[#This Row],[Mã khách hàng]],code_khach_hang[],3,0)</f>
        <v>Miền Bắc đặc biệt 2</v>
      </c>
      <c r="H3848" t="str">
        <f>VLOOKUP(Table8[[#This Row],[Mã khách hàng]],'Khách hàng'!A:D,4,0)</f>
        <v>Food Đức Việt</v>
      </c>
      <c r="I3848" t="str">
        <f>VLOOKUP(Table8[[#This Row],[Mã khách hàng]],'Khách hàng'!A:E,5,0)</f>
        <v>HN0040</v>
      </c>
    </row>
    <row r="3849" spans="1:9">
      <c r="A3849" s="47" t="s">
        <v>12897</v>
      </c>
      <c r="B3849" s="9" t="s">
        <v>5</v>
      </c>
      <c r="C3849" s="36" t="s">
        <v>12916</v>
      </c>
      <c r="D3849" s="21"/>
      <c r="E3849" s="37" t="s">
        <v>11193</v>
      </c>
      <c r="F3849" s="22" t="str">
        <f>VLOOKUP(Table8[[#This Row],[Mã khách hàng]],code_khach_hang[],2,0)</f>
        <v>CHI NHÁNH BẮC NINH - CÔNG TY CỔ PHẦN DỊCH VỤ THƯƠNG MẠI TỔNG HỢP WINCOMMERCE</v>
      </c>
      <c r="G3849" s="16" t="str">
        <f>VLOOKUP(Table8[[#This Row],[Mã khách hàng]],code_khach_hang[],3,0)</f>
        <v>Miền Bắc đặc biệt 2</v>
      </c>
      <c r="H3849" t="str">
        <f>VLOOKUP(Table8[[#This Row],[Mã khách hàng]],'Khách hàng'!A:D,4,0)</f>
        <v>Food Đức Việt</v>
      </c>
      <c r="I3849" t="str">
        <f>VLOOKUP(Table8[[#This Row],[Mã khách hàng]],'Khách hàng'!A:E,5,0)</f>
        <v>HN0040</v>
      </c>
    </row>
    <row r="3850" spans="1:9">
      <c r="A3850" s="47" t="s">
        <v>12898</v>
      </c>
      <c r="B3850" s="9" t="s">
        <v>5</v>
      </c>
      <c r="C3850" s="36" t="s">
        <v>12917</v>
      </c>
      <c r="D3850" s="21"/>
      <c r="E3850" s="37" t="s">
        <v>11206</v>
      </c>
      <c r="F3850" s="22" t="str">
        <f>VLOOKUP(Table8[[#This Row],[Mã khách hàng]],code_khach_hang[],2,0)</f>
        <v>CHI NHÁNH SƠN LA - CÔNG TY CỔ PHẦN DỊCH VỤ THƯƠNG MẠI TỔNG HỢP WINCOMMERCE</v>
      </c>
      <c r="G3850" s="16" t="str">
        <f>VLOOKUP(Table8[[#This Row],[Mã khách hàng]],code_khach_hang[],3,0)</f>
        <v>Miền Bắc đặc biệt 1</v>
      </c>
      <c r="H3850" t="str">
        <f>VLOOKUP(Table8[[#This Row],[Mã khách hàng]],'Khách hàng'!A:D,4,0)</f>
        <v>Food Đức Việt</v>
      </c>
      <c r="I3850" t="str">
        <f>VLOOKUP(Table8[[#This Row],[Mã khách hàng]],'Khách hàng'!A:E,5,0)</f>
        <v>HN0040</v>
      </c>
    </row>
    <row r="3851" spans="1:9">
      <c r="A3851" s="47" t="s">
        <v>12899</v>
      </c>
      <c r="B3851" s="9" t="s">
        <v>5</v>
      </c>
      <c r="C3851" s="36" t="s">
        <v>12918</v>
      </c>
      <c r="D3851" s="21"/>
      <c r="E3851" s="37" t="s">
        <v>11215</v>
      </c>
      <c r="F3851" s="22" t="str">
        <f>VLOOKUP(Table8[[#This Row],[Mã khách hàng]],code_khach_hang[],2,0)</f>
        <v>CHI NHÁNH HÀ NỘI - CÔNG TY CỔ PHẦN DỊCH VỤ THƯƠNG MẠI TỔNG HỢP WINCOMMERCE</v>
      </c>
      <c r="G3851" s="16" t="str">
        <f>VLOOKUP(Table8[[#This Row],[Mã khách hàng]],code_khach_hang[],3,0)</f>
        <v>Miền Bắc đặc biệt 1</v>
      </c>
      <c r="H3851" t="str">
        <f>VLOOKUP(Table8[[#This Row],[Mã khách hàng]],'Khách hàng'!A:D,4,0)</f>
        <v>Food Đức Việt</v>
      </c>
      <c r="I3851" t="str">
        <f>VLOOKUP(Table8[[#This Row],[Mã khách hàng]],'Khách hàng'!A:E,5,0)</f>
        <v>HN0040</v>
      </c>
    </row>
    <row r="3852" spans="1:9">
      <c r="A3852" s="47" t="s">
        <v>12900</v>
      </c>
      <c r="B3852" s="9" t="s">
        <v>5</v>
      </c>
      <c r="C3852" s="36" t="s">
        <v>12919</v>
      </c>
      <c r="D3852" s="21"/>
      <c r="E3852" s="37" t="s">
        <v>11193</v>
      </c>
      <c r="F3852" s="22" t="str">
        <f>VLOOKUP(Table8[[#This Row],[Mã khách hàng]],code_khach_hang[],2,0)</f>
        <v>CHI NHÁNH BẮC NINH - CÔNG TY CỔ PHẦN DỊCH VỤ THƯƠNG MẠI TỔNG HỢP WINCOMMERCE</v>
      </c>
      <c r="G3852" s="16" t="str">
        <f>VLOOKUP(Table8[[#This Row],[Mã khách hàng]],code_khach_hang[],3,0)</f>
        <v>Miền Bắc đặc biệt 2</v>
      </c>
      <c r="H3852" t="str">
        <f>VLOOKUP(Table8[[#This Row],[Mã khách hàng]],'Khách hàng'!A:D,4,0)</f>
        <v>Food Đức Việt</v>
      </c>
      <c r="I3852" t="str">
        <f>VLOOKUP(Table8[[#This Row],[Mã khách hàng]],'Khách hàng'!A:E,5,0)</f>
        <v>HN0040</v>
      </c>
    </row>
    <row r="3853" spans="1:9">
      <c r="A3853" s="47" t="s">
        <v>12901</v>
      </c>
      <c r="B3853" s="9" t="s">
        <v>5</v>
      </c>
      <c r="C3853" s="36" t="s">
        <v>12920</v>
      </c>
      <c r="D3853" s="21"/>
      <c r="E3853" s="37" t="s">
        <v>11193</v>
      </c>
      <c r="F3853" s="22" t="str">
        <f>VLOOKUP(Table8[[#This Row],[Mã khách hàng]],code_khach_hang[],2,0)</f>
        <v>CHI NHÁNH BẮC NINH - CÔNG TY CỔ PHẦN DỊCH VỤ THƯƠNG MẠI TỔNG HỢP WINCOMMERCE</v>
      </c>
      <c r="G3853" s="16" t="str">
        <f>VLOOKUP(Table8[[#This Row],[Mã khách hàng]],code_khach_hang[],3,0)</f>
        <v>Miền Bắc đặc biệt 2</v>
      </c>
      <c r="H3853" t="str">
        <f>VLOOKUP(Table8[[#This Row],[Mã khách hàng]],'Khách hàng'!A:D,4,0)</f>
        <v>Food Đức Việt</v>
      </c>
      <c r="I3853" t="str">
        <f>VLOOKUP(Table8[[#This Row],[Mã khách hàng]],'Khách hàng'!A:E,5,0)</f>
        <v>HN0040</v>
      </c>
    </row>
    <row r="3854" spans="1:9">
      <c r="A3854" s="47" t="s">
        <v>12902</v>
      </c>
      <c r="B3854" s="9" t="s">
        <v>5</v>
      </c>
      <c r="C3854" s="36" t="s">
        <v>12921</v>
      </c>
      <c r="D3854" s="21"/>
      <c r="E3854" s="37" t="s">
        <v>11198</v>
      </c>
      <c r="F3854" s="22" t="str">
        <f>VLOOKUP(Table8[[#This Row],[Mã khách hàng]],code_khach_hang[],2,0)</f>
        <v>CHI NHÁNH HẢI PHÒNG - CÔNG TY CỔ PHẦN DỊCH VỤ THƯƠNG MẠI TỔNG HỢP WINCOMMERCE</v>
      </c>
      <c r="G3854" s="16" t="str">
        <f>VLOOKUP(Table8[[#This Row],[Mã khách hàng]],code_khach_hang[],3,0)</f>
        <v>Miền Bắc đặc biệt 3</v>
      </c>
      <c r="H3854" t="str">
        <f>VLOOKUP(Table8[[#This Row],[Mã khách hàng]],'Khách hàng'!A:D,4,0)</f>
        <v>Food Đức Việt</v>
      </c>
      <c r="I3854" t="str">
        <f>VLOOKUP(Table8[[#This Row],[Mã khách hàng]],'Khách hàng'!A:E,5,0)</f>
        <v>HN0040</v>
      </c>
    </row>
    <row r="3855" spans="1:9">
      <c r="A3855" s="47" t="s">
        <v>12903</v>
      </c>
      <c r="B3855" s="9" t="s">
        <v>5</v>
      </c>
      <c r="C3855" s="36" t="s">
        <v>12922</v>
      </c>
      <c r="D3855" s="21"/>
      <c r="E3855" s="37" t="s">
        <v>11193</v>
      </c>
      <c r="F3855" s="22" t="str">
        <f>VLOOKUP(Table8[[#This Row],[Mã khách hàng]],code_khach_hang[],2,0)</f>
        <v>CHI NHÁNH BẮC NINH - CÔNG TY CỔ PHẦN DỊCH VỤ THƯƠNG MẠI TỔNG HỢP WINCOMMERCE</v>
      </c>
      <c r="G3855" s="16" t="str">
        <f>VLOOKUP(Table8[[#This Row],[Mã khách hàng]],code_khach_hang[],3,0)</f>
        <v>Miền Bắc đặc biệt 2</v>
      </c>
      <c r="H3855" t="str">
        <f>VLOOKUP(Table8[[#This Row],[Mã khách hàng]],'Khách hàng'!A:D,4,0)</f>
        <v>Food Đức Việt</v>
      </c>
      <c r="I3855" t="str">
        <f>VLOOKUP(Table8[[#This Row],[Mã khách hàng]],'Khách hàng'!A:E,5,0)</f>
        <v>HN0040</v>
      </c>
    </row>
    <row r="3856" spans="1:9">
      <c r="A3856" s="47" t="s">
        <v>12904</v>
      </c>
      <c r="B3856" s="9" t="s">
        <v>5</v>
      </c>
      <c r="C3856" s="36" t="s">
        <v>12923</v>
      </c>
      <c r="D3856" s="21"/>
      <c r="E3856" s="37" t="s">
        <v>11199</v>
      </c>
      <c r="F3856" s="22" t="str">
        <f>VLOOKUP(Table8[[#This Row],[Mã khách hàng]],code_khach_hang[],2,0)</f>
        <v>CHI NHÁNH PHÚ THỌ - CÔNG TY CỔ PHẦN DỊCH VỤ THƯƠNG MẠI TỔNG HỢP WINCOMMERCE</v>
      </c>
      <c r="G3856" s="16" t="str">
        <f>VLOOKUP(Table8[[#This Row],[Mã khách hàng]],code_khach_hang[],3,0)</f>
        <v>Miền Bắc đặc biệt 1</v>
      </c>
      <c r="H3856" t="str">
        <f>VLOOKUP(Table8[[#This Row],[Mã khách hàng]],'Khách hàng'!A:D,4,0)</f>
        <v>Food Đức Việt</v>
      </c>
      <c r="I3856" t="str">
        <f>VLOOKUP(Table8[[#This Row],[Mã khách hàng]],'Khách hàng'!A:E,5,0)</f>
        <v>HN0040</v>
      </c>
    </row>
    <row r="3857" spans="1:9">
      <c r="A3857" s="47" t="s">
        <v>12905</v>
      </c>
      <c r="B3857" s="9" t="s">
        <v>5</v>
      </c>
      <c r="C3857" s="36" t="s">
        <v>12924</v>
      </c>
      <c r="D3857" s="21"/>
      <c r="E3857" s="37" t="s">
        <v>11199</v>
      </c>
      <c r="F3857" s="22" t="str">
        <f>VLOOKUP(Table8[[#This Row],[Mã khách hàng]],code_khach_hang[],2,0)</f>
        <v>CHI NHÁNH PHÚ THỌ - CÔNG TY CỔ PHẦN DỊCH VỤ THƯƠNG MẠI TỔNG HỢP WINCOMMERCE</v>
      </c>
      <c r="G3857" s="16" t="str">
        <f>VLOOKUP(Table8[[#This Row],[Mã khách hàng]],code_khach_hang[],3,0)</f>
        <v>Miền Bắc đặc biệt 1</v>
      </c>
      <c r="H3857" t="str">
        <f>VLOOKUP(Table8[[#This Row],[Mã khách hàng]],'Khách hàng'!A:D,4,0)</f>
        <v>Food Đức Việt</v>
      </c>
      <c r="I3857" t="str">
        <f>VLOOKUP(Table8[[#This Row],[Mã khách hàng]],'Khách hàng'!A:E,5,0)</f>
        <v>HN0040</v>
      </c>
    </row>
    <row r="3858" spans="1:9">
      <c r="A3858" s="47" t="s">
        <v>12906</v>
      </c>
      <c r="B3858" s="9" t="s">
        <v>5</v>
      </c>
      <c r="C3858" s="36" t="s">
        <v>12925</v>
      </c>
      <c r="D3858" s="21"/>
      <c r="E3858" s="37" t="s">
        <v>11204</v>
      </c>
      <c r="F3858" s="22" t="str">
        <f>VLOOKUP(Table8[[#This Row],[Mã khách hàng]],code_khach_hang[],2,0)</f>
        <v>CHI NHÁNH TUYÊN QUANG - CÔNG TY CỔ PHẦN DỊCH VỤ THƯƠNG MẠI TỔNG HỢP WINCOMMERCE</v>
      </c>
      <c r="G3858" s="16" t="str">
        <f>VLOOKUP(Table8[[#This Row],[Mã khách hàng]],code_khach_hang[],3,0)</f>
        <v>Miền Bắc đặc biệt 2</v>
      </c>
      <c r="H3858" t="str">
        <f>VLOOKUP(Table8[[#This Row],[Mã khách hàng]],'Khách hàng'!A:D,4,0)</f>
        <v>Food Đức Việt</v>
      </c>
      <c r="I3858" t="str">
        <f>VLOOKUP(Table8[[#This Row],[Mã khách hàng]],'Khách hàng'!A:E,5,0)</f>
        <v>HN0040</v>
      </c>
    </row>
    <row r="3859" spans="1:9">
      <c r="A3859" s="47" t="s">
        <v>12907</v>
      </c>
      <c r="B3859" s="9" t="s">
        <v>5</v>
      </c>
      <c r="C3859" s="36" t="s">
        <v>12926</v>
      </c>
      <c r="D3859" s="21"/>
      <c r="E3859" s="37" t="s">
        <v>11193</v>
      </c>
      <c r="F3859" s="22" t="str">
        <f>VLOOKUP(Table8[[#This Row],[Mã khách hàng]],code_khach_hang[],2,0)</f>
        <v>CHI NHÁNH BẮC NINH - CÔNG TY CỔ PHẦN DỊCH VỤ THƯƠNG MẠI TỔNG HỢP WINCOMMERCE</v>
      </c>
      <c r="G3859" s="16" t="str">
        <f>VLOOKUP(Table8[[#This Row],[Mã khách hàng]],code_khach_hang[],3,0)</f>
        <v>Miền Bắc đặc biệt 2</v>
      </c>
      <c r="H3859" t="str">
        <f>VLOOKUP(Table8[[#This Row],[Mã khách hàng]],'Khách hàng'!A:D,4,0)</f>
        <v>Food Đức Việt</v>
      </c>
      <c r="I3859" t="str">
        <f>VLOOKUP(Table8[[#This Row],[Mã khách hàng]],'Khách hàng'!A:E,5,0)</f>
        <v>HN0040</v>
      </c>
    </row>
    <row r="3860" spans="1:9">
      <c r="A3860" s="47" t="s">
        <v>12908</v>
      </c>
      <c r="B3860" s="9" t="s">
        <v>5</v>
      </c>
      <c r="C3860" s="36" t="s">
        <v>12927</v>
      </c>
      <c r="D3860" s="21"/>
      <c r="E3860" s="37" t="s">
        <v>11207</v>
      </c>
      <c r="F3860" s="22" t="str">
        <f>VLOOKUP(Table8[[#This Row],[Mã khách hàng]],code_khach_hang[],2,0)</f>
        <v>CHI NHÁNH THÁI NGUYÊN - CÔNG TY CỔ PHẦN DỊCH VỤ THƯƠNG MẠI TỔNG HỢP WINCOMMERCE</v>
      </c>
      <c r="G3860" s="16" t="str">
        <f>VLOOKUP(Table8[[#This Row],[Mã khách hàng]],code_khach_hang[],3,0)</f>
        <v>Miền Bắc đặc biệt 2</v>
      </c>
      <c r="H3860" t="str">
        <f>VLOOKUP(Table8[[#This Row],[Mã khách hàng]],'Khách hàng'!A:D,4,0)</f>
        <v>Food Đức Việt</v>
      </c>
      <c r="I3860" t="str">
        <f>VLOOKUP(Table8[[#This Row],[Mã khách hàng]],'Khách hàng'!A:E,5,0)</f>
        <v>HN0040</v>
      </c>
    </row>
    <row r="3861" spans="1:9">
      <c r="A3861" s="47" t="s">
        <v>12909</v>
      </c>
      <c r="B3861" s="9" t="s">
        <v>5</v>
      </c>
      <c r="C3861" s="36" t="s">
        <v>12928</v>
      </c>
      <c r="D3861" s="21"/>
      <c r="E3861" s="37" t="s">
        <v>11193</v>
      </c>
      <c r="F3861" s="22" t="str">
        <f>VLOOKUP(Table8[[#This Row],[Mã khách hàng]],code_khach_hang[],2,0)</f>
        <v>CHI NHÁNH BẮC NINH - CÔNG TY CỔ PHẦN DỊCH VỤ THƯƠNG MẠI TỔNG HỢP WINCOMMERCE</v>
      </c>
      <c r="G3861" s="16" t="str">
        <f>VLOOKUP(Table8[[#This Row],[Mã khách hàng]],code_khach_hang[],3,0)</f>
        <v>Miền Bắc đặc biệt 2</v>
      </c>
      <c r="H3861" t="str">
        <f>VLOOKUP(Table8[[#This Row],[Mã khách hàng]],'Khách hàng'!A:D,4,0)</f>
        <v>Food Đức Việt</v>
      </c>
      <c r="I3861" t="str">
        <f>VLOOKUP(Table8[[#This Row],[Mã khách hàng]],'Khách hàng'!A:E,5,0)</f>
        <v>HN0040</v>
      </c>
    </row>
    <row r="3862" spans="1:9">
      <c r="A3862" s="47" t="s">
        <v>12910</v>
      </c>
      <c r="B3862" s="9" t="s">
        <v>5</v>
      </c>
      <c r="C3862" s="36" t="s">
        <v>12929</v>
      </c>
      <c r="D3862" s="21"/>
      <c r="E3862" s="37" t="s">
        <v>11208</v>
      </c>
      <c r="F3862" s="22" t="str">
        <f>VLOOKUP(Table8[[#This Row],[Mã khách hàng]],code_khach_hang[],2,0)</f>
        <v>CHI NHÁNH LẠNG SƠN - CÔNG TY CỔ PHẦN DỊCH VỤ THƯƠNG MẠI TỔNG HỢP WINCOMMERCE</v>
      </c>
      <c r="G3862" s="16" t="str">
        <f>VLOOKUP(Table8[[#This Row],[Mã khách hàng]],code_khach_hang[],3,0)</f>
        <v>Miền Bắc đặc biệt 2</v>
      </c>
      <c r="H3862" t="str">
        <f>VLOOKUP(Table8[[#This Row],[Mã khách hàng]],'Khách hàng'!A:D,4,0)</f>
        <v>Food Đức Việt</v>
      </c>
      <c r="I3862" t="str">
        <f>VLOOKUP(Table8[[#This Row],[Mã khách hàng]],'Khách hàng'!A:E,5,0)</f>
        <v>HN0040</v>
      </c>
    </row>
    <row r="3863" spans="1:9">
      <c r="A3863" s="47" t="s">
        <v>12911</v>
      </c>
      <c r="B3863" s="9" t="s">
        <v>5</v>
      </c>
      <c r="C3863" s="36" t="s">
        <v>12930</v>
      </c>
      <c r="D3863" s="21"/>
      <c r="E3863" s="37" t="s">
        <v>11215</v>
      </c>
      <c r="F3863" s="22" t="str">
        <f>VLOOKUP(Table8[[#This Row],[Mã khách hàng]],code_khach_hang[],2,0)</f>
        <v>CHI NHÁNH HÀ NỘI - CÔNG TY CỔ PHẦN DỊCH VỤ THƯƠNG MẠI TỔNG HỢP WINCOMMERCE</v>
      </c>
      <c r="G3863" s="16" t="str">
        <f>VLOOKUP(Table8[[#This Row],[Mã khách hàng]],code_khach_hang[],3,0)</f>
        <v>Miền Bắc đặc biệt 1</v>
      </c>
      <c r="H3863" t="str">
        <f>VLOOKUP(Table8[[#This Row],[Mã khách hàng]],'Khách hàng'!A:D,4,0)</f>
        <v>Food Đức Việt</v>
      </c>
      <c r="I3863" t="str">
        <f>VLOOKUP(Table8[[#This Row],[Mã khách hàng]],'Khách hàng'!A:E,5,0)</f>
        <v>HN0040</v>
      </c>
    </row>
    <row r="3864" spans="1:9">
      <c r="A3864" s="46" t="s">
        <v>12931</v>
      </c>
      <c r="B3864" s="9" t="s">
        <v>5</v>
      </c>
      <c r="C3864" s="48" t="s">
        <v>12932</v>
      </c>
      <c r="D3864" s="21"/>
      <c r="E3864" s="37" t="s">
        <v>11218</v>
      </c>
      <c r="F3864" s="22" t="str">
        <f>VLOOKUP(Table8[[#This Row],[Mã khách hàng]],code_khach_hang[],2,0)</f>
        <v>CHI NHÁNH LÀO CAI - CÔNG TY CỔ PHẦN DỊCH VỤ THƯƠNG MẠI TỔNG HỢP WINCOMMERCE</v>
      </c>
      <c r="G3864" s="10" t="str">
        <f>VLOOKUP(Table8[[#This Row],[Mã khách hàng]],code_khach_hang[],3,0)</f>
        <v>Miền Bắc đặc biệt 1</v>
      </c>
      <c r="H3864" t="str">
        <f>VLOOKUP(Table8[[#This Row],[Mã khách hàng]],'Khách hàng'!A:D,4,0)</f>
        <v>Food Đức Việt</v>
      </c>
      <c r="I3864" t="str">
        <f>VLOOKUP(Table8[[#This Row],[Mã khách hàng]],'Khách hàng'!A:E,5,0)</f>
        <v>HN0040</v>
      </c>
    </row>
    <row r="3865" spans="1:9">
      <c r="A3865" s="46" t="s">
        <v>12937</v>
      </c>
      <c r="B3865" s="9" t="s">
        <v>5</v>
      </c>
      <c r="C3865" s="48" t="s">
        <v>12938</v>
      </c>
      <c r="D3865" s="21"/>
      <c r="E3865" s="37" t="s">
        <v>11215</v>
      </c>
      <c r="F3865" s="22" t="str">
        <f>VLOOKUP(Table8[[#This Row],[Mã khách hàng]],code_khach_hang[],2,0)</f>
        <v>CHI NHÁNH HÀ NỘI - CÔNG TY CỔ PHẦN DỊCH VỤ THƯƠNG MẠI TỔNG HỢP WINCOMMERCE</v>
      </c>
      <c r="G3865" s="10" t="str">
        <f>VLOOKUP(Table8[[#This Row],[Mã khách hàng]],code_khach_hang[],3,0)</f>
        <v>Miền Bắc đặc biệt 1</v>
      </c>
      <c r="H3865" t="str">
        <f>VLOOKUP(Table8[[#This Row],[Mã khách hàng]],'Khách hàng'!A:D,4,0)</f>
        <v>Food Đức Việt</v>
      </c>
      <c r="I3865" t="str">
        <f>VLOOKUP(Table8[[#This Row],[Mã khách hàng]],'Khách hàng'!A:E,5,0)</f>
        <v>HN0040</v>
      </c>
    </row>
    <row r="3866" spans="1:9">
      <c r="A3866" s="46" t="s">
        <v>12939</v>
      </c>
      <c r="B3866" s="9" t="s">
        <v>5</v>
      </c>
      <c r="C3866" s="48" t="s">
        <v>12941</v>
      </c>
      <c r="D3866" s="21"/>
      <c r="E3866" s="37" t="s">
        <v>11196</v>
      </c>
      <c r="F3866" s="22" t="str">
        <f>VLOOKUP(Table8[[#This Row],[Mã khách hàng]],code_khach_hang[],2,0)</f>
        <v>CHI NHÁNH NINH BÌNH - CÔNG TY CỔ PHẦN DỊCH VỤ THƯƠNG MẠI TỔNG HỢP WINCOMMERCE</v>
      </c>
      <c r="G3866" s="10" t="str">
        <f>VLOOKUP(Table8[[#This Row],[Mã khách hàng]],code_khach_hang[],3,0)</f>
        <v>Miền Bắc đặc biệt 3</v>
      </c>
      <c r="H3866" t="str">
        <f>VLOOKUP(Table8[[#This Row],[Mã khách hàng]],'Khách hàng'!A:D,4,0)</f>
        <v>Food Đức Việt</v>
      </c>
      <c r="I3866" t="str">
        <f>VLOOKUP(Table8[[#This Row],[Mã khách hàng]],'Khách hàng'!A:E,5,0)</f>
        <v>HN0040</v>
      </c>
    </row>
    <row r="3867" spans="1:9">
      <c r="A3867" s="47" t="s">
        <v>12940</v>
      </c>
      <c r="B3867" s="9" t="s">
        <v>5</v>
      </c>
      <c r="C3867" s="48" t="s">
        <v>12942</v>
      </c>
      <c r="D3867" s="21"/>
      <c r="E3867" s="37" t="s">
        <v>11196</v>
      </c>
      <c r="F3867" s="22" t="str">
        <f>VLOOKUP(Table8[[#This Row],[Mã khách hàng]],code_khach_hang[],2,0)</f>
        <v>CHI NHÁNH NINH BÌNH - CÔNG TY CỔ PHẦN DỊCH VỤ THƯƠNG MẠI TỔNG HỢP WINCOMMERCE</v>
      </c>
      <c r="G3867" s="16" t="str">
        <f>VLOOKUP(Table8[[#This Row],[Mã khách hàng]],code_khach_hang[],3,0)</f>
        <v>Miền Bắc đặc biệt 3</v>
      </c>
      <c r="H3867" t="str">
        <f>VLOOKUP(Table8[[#This Row],[Mã khách hàng]],'Khách hàng'!A:D,4,0)</f>
        <v>Food Đức Việt</v>
      </c>
      <c r="I3867" t="str">
        <f>VLOOKUP(Table8[[#This Row],[Mã khách hàng]],'Khách hàng'!A:E,5,0)</f>
        <v>HN0040</v>
      </c>
    </row>
    <row r="3868" spans="1:9">
      <c r="A3868" s="11" t="s">
        <v>12943</v>
      </c>
      <c r="B3868" s="9" t="s">
        <v>5</v>
      </c>
      <c r="C3868" t="s">
        <v>12945</v>
      </c>
      <c r="D3868" s="21"/>
      <c r="E3868" s="49" t="s">
        <v>11199</v>
      </c>
      <c r="F3868" s="22" t="str">
        <f>VLOOKUP(Table8[[#This Row],[Mã khách hàng]],code_khach_hang[],2,0)</f>
        <v>CHI NHÁNH PHÚ THỌ - CÔNG TY CỔ PHẦN DỊCH VỤ THƯƠNG MẠI TỔNG HỢP WINCOMMERCE</v>
      </c>
      <c r="G3868" s="10" t="str">
        <f>VLOOKUP(Table8[[#This Row],[Mã khách hàng]],code_khach_hang[],3,0)</f>
        <v>Miền Bắc đặc biệt 1</v>
      </c>
      <c r="H3868" t="str">
        <f>VLOOKUP(Table8[[#This Row],[Mã khách hàng]],'Khách hàng'!A:D,4,0)</f>
        <v>Food Đức Việt</v>
      </c>
      <c r="I3868" t="str">
        <f>VLOOKUP(Table8[[#This Row],[Mã khách hàng]],'Khách hàng'!A:E,5,0)</f>
        <v>HN0040</v>
      </c>
    </row>
    <row r="3869" spans="1:9">
      <c r="A3869" s="14" t="s">
        <v>12944</v>
      </c>
      <c r="B3869" s="9" t="s">
        <v>5</v>
      </c>
      <c r="C3869" t="s">
        <v>12946</v>
      </c>
      <c r="D3869" s="21"/>
      <c r="E3869" s="33" t="s">
        <v>11193</v>
      </c>
      <c r="F3869" s="22" t="str">
        <f>VLOOKUP(Table8[[#This Row],[Mã khách hàng]],code_khach_hang[],2,0)</f>
        <v>CHI NHÁNH BẮC NINH - CÔNG TY CỔ PHẦN DỊCH VỤ THƯƠNG MẠI TỔNG HỢP WINCOMMERCE</v>
      </c>
      <c r="G3869" s="16" t="str">
        <f>VLOOKUP(Table8[[#This Row],[Mã khách hàng]],code_khach_hang[],3,0)</f>
        <v>Miền Bắc đặc biệt 2</v>
      </c>
      <c r="H3869" t="str">
        <f>VLOOKUP(Table8[[#This Row],[Mã khách hàng]],'Khách hàng'!A:D,4,0)</f>
        <v>Food Đức Việt</v>
      </c>
      <c r="I3869" t="str">
        <f>VLOOKUP(Table8[[#This Row],[Mã khách hàng]],'Khách hàng'!A:E,5,0)</f>
        <v>HN0040</v>
      </c>
    </row>
    <row r="3870" spans="1:9">
      <c r="A3870" s="47" t="s">
        <v>12950</v>
      </c>
      <c r="B3870" s="9" t="s">
        <v>5</v>
      </c>
      <c r="C3870" s="36" t="s">
        <v>12951</v>
      </c>
      <c r="D3870" s="21"/>
      <c r="E3870" s="37" t="s">
        <v>11216</v>
      </c>
      <c r="F3870" s="22" t="str">
        <f>VLOOKUP(Table8[[#This Row],[Mã khách hàng]],code_khach_hang[],2,0)</f>
        <v>CHI NHÁNH HƯNG YÊN - CÔNG TY CỔ PHẦN DỊCH VỤ THƯƠNG MẠI TỔNG HỢP WINCOMMERCE</v>
      </c>
      <c r="G3870" s="16" t="str">
        <f>VLOOKUP(Table8[[#This Row],[Mã khách hàng]],code_khach_hang[],3,0)</f>
        <v>Miền Bắc đặc biệt 1</v>
      </c>
      <c r="H3870" t="str">
        <f>VLOOKUP(Table8[[#This Row],[Mã khách hàng]],'Khách hàng'!A:D,4,0)</f>
        <v>Food Đức Việt</v>
      </c>
      <c r="I3870" t="str">
        <f>VLOOKUP(Table8[[#This Row],[Mã khách hàng]],'Khách hàng'!A:E,5,0)</f>
        <v>HN0040</v>
      </c>
    </row>
    <row r="3871" spans="1:9">
      <c r="A3871" s="47" t="s">
        <v>12952</v>
      </c>
      <c r="B3871" s="9" t="s">
        <v>5</v>
      </c>
      <c r="C3871" s="36" t="s">
        <v>12953</v>
      </c>
      <c r="D3871" s="21"/>
      <c r="E3871" s="37" t="s">
        <v>11203</v>
      </c>
      <c r="F3871" s="22" t="str">
        <f>VLOOKUP(Table8[[#This Row],[Mã khách hàng]],code_khach_hang[],2,0)</f>
        <v>CHI NHÁNH THANH HÓA - CÔNG TY CỔ PHẦN DỊCH VỤ THƯƠNG MẠI TỔNG HỢP WINCOMMERCE</v>
      </c>
      <c r="G3871" s="16" t="str">
        <f>VLOOKUP(Table8[[#This Row],[Mã khách hàng]],code_khach_hang[],3,0)</f>
        <v>Miền Trung đặc biệt 1</v>
      </c>
      <c r="H3871" t="str">
        <f>VLOOKUP(Table8[[#This Row],[Mã khách hàng]],'Khách hàng'!A:D,4,0)</f>
        <v>Food Đức Việt</v>
      </c>
      <c r="I3871" t="str">
        <f>VLOOKUP(Table8[[#This Row],[Mã khách hàng]],'Khách hàng'!A:E,5,0)</f>
        <v>HN0040</v>
      </c>
    </row>
    <row r="3872" spans="1:9">
      <c r="A3872" s="47" t="s">
        <v>12954</v>
      </c>
      <c r="B3872" s="9" t="s">
        <v>5</v>
      </c>
      <c r="C3872" s="36" t="s">
        <v>12955</v>
      </c>
      <c r="D3872" s="21"/>
      <c r="E3872" s="37" t="s">
        <v>11218</v>
      </c>
      <c r="F3872" s="22" t="str">
        <f>VLOOKUP(Table8[[#This Row],[Mã khách hàng]],code_khach_hang[],2,0)</f>
        <v>CHI NHÁNH LÀO CAI - CÔNG TY CỔ PHẦN DỊCH VỤ THƯƠNG MẠI TỔNG HỢP WINCOMMERCE</v>
      </c>
      <c r="G3872" s="16" t="str">
        <f>VLOOKUP(Table8[[#This Row],[Mã khách hàng]],code_khach_hang[],3,0)</f>
        <v>Miền Bắc đặc biệt 1</v>
      </c>
      <c r="H3872" t="str">
        <f>VLOOKUP(Table8[[#This Row],[Mã khách hàng]],'Khách hàng'!A:D,4,0)</f>
        <v>Food Đức Việt</v>
      </c>
      <c r="I3872" t="str">
        <f>VLOOKUP(Table8[[#This Row],[Mã khách hàng]],'Khách hàng'!A:E,5,0)</f>
        <v>HN0040</v>
      </c>
    </row>
    <row r="3873" spans="1:9">
      <c r="A3873" s="47" t="s">
        <v>12956</v>
      </c>
      <c r="B3873" s="9" t="s">
        <v>5</v>
      </c>
      <c r="C3873" s="36" t="s">
        <v>12957</v>
      </c>
      <c r="D3873" s="21"/>
      <c r="E3873" s="37" t="s">
        <v>11218</v>
      </c>
      <c r="F3873" s="22" t="str">
        <f>VLOOKUP(Table8[[#This Row],[Mã khách hàng]],code_khach_hang[],2,0)</f>
        <v>CHI NHÁNH LÀO CAI - CÔNG TY CỔ PHẦN DỊCH VỤ THƯƠNG MẠI TỔNG HỢP WINCOMMERCE</v>
      </c>
      <c r="G3873" s="16" t="str">
        <f>VLOOKUP(Table8[[#This Row],[Mã khách hàng]],code_khach_hang[],3,0)</f>
        <v>Miền Bắc đặc biệt 1</v>
      </c>
      <c r="H3873" t="str">
        <f>VLOOKUP(Table8[[#This Row],[Mã khách hàng]],'Khách hàng'!A:D,4,0)</f>
        <v>Food Đức Việt</v>
      </c>
      <c r="I3873" t="str">
        <f>VLOOKUP(Table8[[#This Row],[Mã khách hàng]],'Khách hàng'!A:E,5,0)</f>
        <v>HN0040</v>
      </c>
    </row>
    <row r="3874" spans="1:9">
      <c r="A3874" s="47" t="s">
        <v>12958</v>
      </c>
      <c r="B3874" s="9" t="s">
        <v>5</v>
      </c>
      <c r="C3874" s="36" t="s">
        <v>12959</v>
      </c>
      <c r="D3874" s="21"/>
      <c r="E3874" s="37" t="s">
        <v>11193</v>
      </c>
      <c r="F3874" s="22" t="str">
        <f>VLOOKUP(Table8[[#This Row],[Mã khách hàng]],code_khach_hang[],2,0)</f>
        <v>CHI NHÁNH BẮC NINH - CÔNG TY CỔ PHẦN DỊCH VỤ THƯƠNG MẠI TỔNG HỢP WINCOMMERCE</v>
      </c>
      <c r="G3874" s="16" t="str">
        <f>VLOOKUP(Table8[[#This Row],[Mã khách hàng]],code_khach_hang[],3,0)</f>
        <v>Miền Bắc đặc biệt 2</v>
      </c>
      <c r="H3874" t="str">
        <f>VLOOKUP(Table8[[#This Row],[Mã khách hàng]],'Khách hàng'!A:D,4,0)</f>
        <v>Food Đức Việt</v>
      </c>
      <c r="I3874" t="str">
        <f>VLOOKUP(Table8[[#This Row],[Mã khách hàng]],'Khách hàng'!A:E,5,0)</f>
        <v>HN0040</v>
      </c>
    </row>
    <row r="3875" spans="1:9">
      <c r="A3875" s="47" t="s">
        <v>12960</v>
      </c>
      <c r="B3875" s="9" t="s">
        <v>5</v>
      </c>
      <c r="C3875" s="36" t="s">
        <v>12961</v>
      </c>
      <c r="D3875" s="21"/>
      <c r="E3875" s="37" t="s">
        <v>11215</v>
      </c>
      <c r="F3875" s="22" t="str">
        <f>VLOOKUP(Table8[[#This Row],[Mã khách hàng]],code_khach_hang[],2,0)</f>
        <v>CHI NHÁNH HÀ NỘI - CÔNG TY CỔ PHẦN DỊCH VỤ THƯƠNG MẠI TỔNG HỢP WINCOMMERCE</v>
      </c>
      <c r="G3875" s="16" t="str">
        <f>VLOOKUP(Table8[[#This Row],[Mã khách hàng]],code_khach_hang[],3,0)</f>
        <v>Miền Bắc đặc biệt 1</v>
      </c>
      <c r="H3875" t="str">
        <f>VLOOKUP(Table8[[#This Row],[Mã khách hàng]],'Khách hàng'!A:D,4,0)</f>
        <v>Food Đức Việt</v>
      </c>
      <c r="I3875" t="str">
        <f>VLOOKUP(Table8[[#This Row],[Mã khách hàng]],'Khách hàng'!A:E,5,0)</f>
        <v>HN0040</v>
      </c>
    </row>
    <row r="3876" spans="1:9">
      <c r="A3876" s="47" t="s">
        <v>12962</v>
      </c>
      <c r="B3876" s="9" t="s">
        <v>5</v>
      </c>
      <c r="C3876" s="36" t="s">
        <v>12963</v>
      </c>
      <c r="D3876" s="21"/>
      <c r="E3876" s="37" t="s">
        <v>11204</v>
      </c>
      <c r="F3876" s="22" t="str">
        <f>VLOOKUP(Table8[[#This Row],[Mã khách hàng]],code_khach_hang[],2,0)</f>
        <v>CHI NHÁNH TUYÊN QUANG - CÔNG TY CỔ PHẦN DỊCH VỤ THƯƠNG MẠI TỔNG HỢP WINCOMMERCE</v>
      </c>
      <c r="G3876" s="16" t="str">
        <f>VLOOKUP(Table8[[#This Row],[Mã khách hàng]],code_khach_hang[],3,0)</f>
        <v>Miền Bắc đặc biệt 2</v>
      </c>
      <c r="H3876" t="str">
        <f>VLOOKUP(Table8[[#This Row],[Mã khách hàng]],'Khách hàng'!A:D,4,0)</f>
        <v>Food Đức Việt</v>
      </c>
      <c r="I3876" t="str">
        <f>VLOOKUP(Table8[[#This Row],[Mã khách hàng]],'Khách hàng'!A:E,5,0)</f>
        <v>HN0040</v>
      </c>
    </row>
    <row r="3877" spans="1:9">
      <c r="A3877" s="47" t="s">
        <v>12964</v>
      </c>
      <c r="B3877" s="9" t="s">
        <v>5</v>
      </c>
      <c r="C3877" s="36" t="s">
        <v>12965</v>
      </c>
      <c r="D3877" s="21"/>
      <c r="E3877" s="37" t="s">
        <v>11197</v>
      </c>
      <c r="F3877" s="22" t="str">
        <f>VLOOKUP(Table8[[#This Row],[Mã khách hàng]],code_khach_hang[],2,0)</f>
        <v>CHI NHÁNH QUẢNG NINH - CÔNG TY CỔ PHẦN DỊCH VỤ THƯƠNG MẠI TỔNG HỢP WINCOMMERCE</v>
      </c>
      <c r="G3877" s="16" t="str">
        <f>VLOOKUP(Table8[[#This Row],[Mã khách hàng]],code_khach_hang[],3,0)</f>
        <v>Miền Bắc đặc biệt 3</v>
      </c>
      <c r="H3877" t="str">
        <f>VLOOKUP(Table8[[#This Row],[Mã khách hàng]],'Khách hàng'!A:D,4,0)</f>
        <v>Food Đức Việt</v>
      </c>
      <c r="I3877" t="str">
        <f>VLOOKUP(Table8[[#This Row],[Mã khách hàng]],'Khách hàng'!A:E,5,0)</f>
        <v>HN0040</v>
      </c>
    </row>
    <row r="3878" spans="1:9">
      <c r="A3878" s="47" t="s">
        <v>12966</v>
      </c>
      <c r="B3878" s="9" t="s">
        <v>5</v>
      </c>
      <c r="C3878" s="36" t="s">
        <v>12967</v>
      </c>
      <c r="D3878" s="21"/>
      <c r="E3878" s="37" t="s">
        <v>11193</v>
      </c>
      <c r="F3878" s="22" t="str">
        <f>VLOOKUP(Table8[[#This Row],[Mã khách hàng]],code_khach_hang[],2,0)</f>
        <v>CHI NHÁNH BẮC NINH - CÔNG TY CỔ PHẦN DỊCH VỤ THƯƠNG MẠI TỔNG HỢP WINCOMMERCE</v>
      </c>
      <c r="G3878" s="16" t="str">
        <f>VLOOKUP(Table8[[#This Row],[Mã khách hàng]],code_khach_hang[],3,0)</f>
        <v>Miền Bắc đặc biệt 2</v>
      </c>
      <c r="H3878" t="str">
        <f>VLOOKUP(Table8[[#This Row],[Mã khách hàng]],'Khách hàng'!A:D,4,0)</f>
        <v>Food Đức Việt</v>
      </c>
      <c r="I3878" t="str">
        <f>VLOOKUP(Table8[[#This Row],[Mã khách hàng]],'Khách hàng'!A:E,5,0)</f>
        <v>HN0040</v>
      </c>
    </row>
    <row r="3879" spans="1:9">
      <c r="A3879" s="47" t="s">
        <v>12968</v>
      </c>
      <c r="B3879" s="9" t="s">
        <v>5</v>
      </c>
      <c r="C3879" s="36" t="s">
        <v>12969</v>
      </c>
      <c r="D3879" s="21"/>
      <c r="E3879" s="37" t="s">
        <v>11215</v>
      </c>
      <c r="F3879" s="22" t="str">
        <f>VLOOKUP(Table8[[#This Row],[Mã khách hàng]],code_khach_hang[],2,0)</f>
        <v>CHI NHÁNH HÀ NỘI - CÔNG TY CỔ PHẦN DỊCH VỤ THƯƠNG MẠI TỔNG HỢP WINCOMMERCE</v>
      </c>
      <c r="G3879" s="16" t="str">
        <f>VLOOKUP(Table8[[#This Row],[Mã khách hàng]],code_khach_hang[],3,0)</f>
        <v>Miền Bắc đặc biệt 1</v>
      </c>
      <c r="H3879" t="str">
        <f>VLOOKUP(Table8[[#This Row],[Mã khách hàng]],'Khách hàng'!A:D,4,0)</f>
        <v>Food Đức Việt</v>
      </c>
      <c r="I3879" t="str">
        <f>VLOOKUP(Table8[[#This Row],[Mã khách hàng]],'Khách hàng'!A:E,5,0)</f>
        <v>HN0040</v>
      </c>
    </row>
    <row r="3880" spans="1:9">
      <c r="A3880" s="47" t="s">
        <v>12970</v>
      </c>
      <c r="B3880" s="9" t="s">
        <v>5</v>
      </c>
      <c r="C3880" s="36" t="s">
        <v>12971</v>
      </c>
      <c r="D3880" s="21"/>
      <c r="E3880" s="37" t="s">
        <v>11208</v>
      </c>
      <c r="F3880" s="22" t="str">
        <f>VLOOKUP(Table8[[#This Row],[Mã khách hàng]],code_khach_hang[],2,0)</f>
        <v>CHI NHÁNH LẠNG SƠN - CÔNG TY CỔ PHẦN DỊCH VỤ THƯƠNG MẠI TỔNG HỢP WINCOMMERCE</v>
      </c>
      <c r="G3880" s="16" t="str">
        <f>VLOOKUP(Table8[[#This Row],[Mã khách hàng]],code_khach_hang[],3,0)</f>
        <v>Miền Bắc đặc biệt 2</v>
      </c>
      <c r="H3880" t="str">
        <f>VLOOKUP(Table8[[#This Row],[Mã khách hàng]],'Khách hàng'!A:D,4,0)</f>
        <v>Food Đức Việt</v>
      </c>
      <c r="I3880" t="str">
        <f>VLOOKUP(Table8[[#This Row],[Mã khách hàng]],'Khách hàng'!A:E,5,0)</f>
        <v>HN0040</v>
      </c>
    </row>
    <row r="3881" spans="1:9">
      <c r="A3881" s="47" t="s">
        <v>12972</v>
      </c>
      <c r="B3881" s="9" t="s">
        <v>5</v>
      </c>
      <c r="C3881" s="36" t="s">
        <v>12973</v>
      </c>
      <c r="D3881" s="21"/>
      <c r="E3881" s="37" t="s">
        <v>11193</v>
      </c>
      <c r="F3881" s="22" t="str">
        <f>VLOOKUP(Table8[[#This Row],[Mã khách hàng]],code_khach_hang[],2,0)</f>
        <v>CHI NHÁNH BẮC NINH - CÔNG TY CỔ PHẦN DỊCH VỤ THƯƠNG MẠI TỔNG HỢP WINCOMMERCE</v>
      </c>
      <c r="G3881" s="16" t="str">
        <f>VLOOKUP(Table8[[#This Row],[Mã khách hàng]],code_khach_hang[],3,0)</f>
        <v>Miền Bắc đặc biệt 2</v>
      </c>
      <c r="H3881" t="str">
        <f>VLOOKUP(Table8[[#This Row],[Mã khách hàng]],'Khách hàng'!A:D,4,0)</f>
        <v>Food Đức Việt</v>
      </c>
      <c r="I3881" t="str">
        <f>VLOOKUP(Table8[[#This Row],[Mã khách hàng]],'Khách hàng'!A:E,5,0)</f>
        <v>HN0040</v>
      </c>
    </row>
    <row r="3882" spans="1:9">
      <c r="A3882" s="47" t="s">
        <v>12974</v>
      </c>
      <c r="B3882" s="9" t="s">
        <v>5</v>
      </c>
      <c r="C3882" s="36" t="s">
        <v>12975</v>
      </c>
      <c r="D3882" s="21"/>
      <c r="E3882" s="37" t="s">
        <v>11215</v>
      </c>
      <c r="F3882" s="22" t="str">
        <f>VLOOKUP(Table8[[#This Row],[Mã khách hàng]],code_khach_hang[],2,0)</f>
        <v>CHI NHÁNH HÀ NỘI - CÔNG TY CỔ PHẦN DỊCH VỤ THƯƠNG MẠI TỔNG HỢP WINCOMMERCE</v>
      </c>
      <c r="G3882" s="16" t="str">
        <f>VLOOKUP(Table8[[#This Row],[Mã khách hàng]],code_khach_hang[],3,0)</f>
        <v>Miền Bắc đặc biệt 1</v>
      </c>
      <c r="H3882" t="str">
        <f>VLOOKUP(Table8[[#This Row],[Mã khách hàng]],'Khách hàng'!A:D,4,0)</f>
        <v>Food Đức Việt</v>
      </c>
      <c r="I3882" t="str">
        <f>VLOOKUP(Table8[[#This Row],[Mã khách hàng]],'Khách hàng'!A:E,5,0)</f>
        <v>HN0040</v>
      </c>
    </row>
    <row r="3883" spans="1:9">
      <c r="A3883" s="47" t="s">
        <v>12976</v>
      </c>
      <c r="B3883" s="9" t="s">
        <v>5</v>
      </c>
      <c r="C3883" s="36" t="s">
        <v>12977</v>
      </c>
      <c r="D3883" s="21"/>
      <c r="E3883" s="37" t="s">
        <v>11193</v>
      </c>
      <c r="F3883" s="22" t="str">
        <f>VLOOKUP(Table8[[#This Row],[Mã khách hàng]],code_khach_hang[],2,0)</f>
        <v>CHI NHÁNH BẮC NINH - CÔNG TY CỔ PHẦN DỊCH VỤ THƯƠNG MẠI TỔNG HỢP WINCOMMERCE</v>
      </c>
      <c r="G3883" s="16" t="str">
        <f>VLOOKUP(Table8[[#This Row],[Mã khách hàng]],code_khach_hang[],3,0)</f>
        <v>Miền Bắc đặc biệt 2</v>
      </c>
      <c r="H3883" t="str">
        <f>VLOOKUP(Table8[[#This Row],[Mã khách hàng]],'Khách hàng'!A:D,4,0)</f>
        <v>Food Đức Việt</v>
      </c>
      <c r="I3883" t="str">
        <f>VLOOKUP(Table8[[#This Row],[Mã khách hàng]],'Khách hàng'!A:E,5,0)</f>
        <v>HN0040</v>
      </c>
    </row>
    <row r="3884" spans="1:9">
      <c r="A3884" s="47" t="s">
        <v>12978</v>
      </c>
      <c r="B3884" s="9" t="s">
        <v>5</v>
      </c>
      <c r="C3884" s="36" t="s">
        <v>12979</v>
      </c>
      <c r="D3884" s="21"/>
      <c r="E3884" s="37" t="s">
        <v>11199</v>
      </c>
      <c r="F3884" s="22" t="str">
        <f>VLOOKUP(Table8[[#This Row],[Mã khách hàng]],code_khach_hang[],2,0)</f>
        <v>CHI NHÁNH PHÚ THỌ - CÔNG TY CỔ PHẦN DỊCH VỤ THƯƠNG MẠI TỔNG HỢP WINCOMMERCE</v>
      </c>
      <c r="G3884" s="16" t="str">
        <f>VLOOKUP(Table8[[#This Row],[Mã khách hàng]],code_khach_hang[],3,0)</f>
        <v>Miền Bắc đặc biệt 1</v>
      </c>
      <c r="H3884" t="str">
        <f>VLOOKUP(Table8[[#This Row],[Mã khách hàng]],'Khách hàng'!A:D,4,0)</f>
        <v>Food Đức Việt</v>
      </c>
      <c r="I3884" t="str">
        <f>VLOOKUP(Table8[[#This Row],[Mã khách hàng]],'Khách hàng'!A:E,5,0)</f>
        <v>HN0040</v>
      </c>
    </row>
    <row r="3885" spans="1:9">
      <c r="A3885" s="47" t="s">
        <v>12980</v>
      </c>
      <c r="B3885" s="9" t="s">
        <v>5</v>
      </c>
      <c r="C3885" s="36" t="s">
        <v>12981</v>
      </c>
      <c r="D3885" s="21"/>
      <c r="E3885" s="37" t="s">
        <v>11199</v>
      </c>
      <c r="F3885" s="22" t="str">
        <f>VLOOKUP(Table8[[#This Row],[Mã khách hàng]],code_khach_hang[],2,0)</f>
        <v>CHI NHÁNH PHÚ THỌ - CÔNG TY CỔ PHẦN DỊCH VỤ THƯƠNG MẠI TỔNG HỢP WINCOMMERCE</v>
      </c>
      <c r="G3885" s="16" t="str">
        <f>VLOOKUP(Table8[[#This Row],[Mã khách hàng]],code_khach_hang[],3,0)</f>
        <v>Miền Bắc đặc biệt 1</v>
      </c>
      <c r="H3885" t="str">
        <f>VLOOKUP(Table8[[#This Row],[Mã khách hàng]],'Khách hàng'!A:D,4,0)</f>
        <v>Food Đức Việt</v>
      </c>
      <c r="I3885" t="str">
        <f>VLOOKUP(Table8[[#This Row],[Mã khách hàng]],'Khách hàng'!A:E,5,0)</f>
        <v>HN0040</v>
      </c>
    </row>
    <row r="3886" spans="1:9">
      <c r="A3886" s="47" t="s">
        <v>12982</v>
      </c>
      <c r="B3886" s="9" t="s">
        <v>5</v>
      </c>
      <c r="C3886" s="36" t="s">
        <v>12983</v>
      </c>
      <c r="D3886" s="21"/>
      <c r="E3886" s="37" t="s">
        <v>11203</v>
      </c>
      <c r="F3886" s="22" t="str">
        <f>VLOOKUP(Table8[[#This Row],[Mã khách hàng]],code_khach_hang[],2,0)</f>
        <v>CHI NHÁNH THANH HÓA - CÔNG TY CỔ PHẦN DỊCH VỤ THƯƠNG MẠI TỔNG HỢP WINCOMMERCE</v>
      </c>
      <c r="G3886" s="16" t="str">
        <f>VLOOKUP(Table8[[#This Row],[Mã khách hàng]],code_khach_hang[],3,0)</f>
        <v>Miền Trung đặc biệt 1</v>
      </c>
      <c r="H3886" t="str">
        <f>VLOOKUP(Table8[[#This Row],[Mã khách hàng]],'Khách hàng'!A:D,4,0)</f>
        <v>Food Đức Việt</v>
      </c>
      <c r="I3886" t="str">
        <f>VLOOKUP(Table8[[#This Row],[Mã khách hàng]],'Khách hàng'!A:E,5,0)</f>
        <v>HN0040</v>
      </c>
    </row>
    <row r="3887" spans="1:9">
      <c r="A3887" s="47" t="s">
        <v>12984</v>
      </c>
      <c r="B3887" s="9" t="s">
        <v>5</v>
      </c>
      <c r="C3887" s="36" t="s">
        <v>12985</v>
      </c>
      <c r="D3887" s="21"/>
      <c r="E3887" s="37" t="s">
        <v>11203</v>
      </c>
      <c r="F3887" s="22" t="str">
        <f>VLOOKUP(Table8[[#This Row],[Mã khách hàng]],code_khach_hang[],2,0)</f>
        <v>CHI NHÁNH THANH HÓA - CÔNG TY CỔ PHẦN DỊCH VỤ THƯƠNG MẠI TỔNG HỢP WINCOMMERCE</v>
      </c>
      <c r="G3887" s="16" t="str">
        <f>VLOOKUP(Table8[[#This Row],[Mã khách hàng]],code_khach_hang[],3,0)</f>
        <v>Miền Trung đặc biệt 1</v>
      </c>
      <c r="H3887" t="str">
        <f>VLOOKUP(Table8[[#This Row],[Mã khách hàng]],'Khách hàng'!A:D,4,0)</f>
        <v>Food Đức Việt</v>
      </c>
      <c r="I3887" t="str">
        <f>VLOOKUP(Table8[[#This Row],[Mã khách hàng]],'Khách hàng'!A:E,5,0)</f>
        <v>HN0040</v>
      </c>
    </row>
    <row r="3888" spans="1:9">
      <c r="A3888" s="47" t="s">
        <v>12986</v>
      </c>
      <c r="B3888" s="9" t="s">
        <v>5</v>
      </c>
      <c r="C3888" s="36" t="s">
        <v>12987</v>
      </c>
      <c r="D3888" s="21"/>
      <c r="E3888" s="37" t="s">
        <v>11216</v>
      </c>
      <c r="F3888" s="22" t="str">
        <f>VLOOKUP(Table8[[#This Row],[Mã khách hàng]],code_khach_hang[],2,0)</f>
        <v>CHI NHÁNH HƯNG YÊN - CÔNG TY CỔ PHẦN DỊCH VỤ THƯƠNG MẠI TỔNG HỢP WINCOMMERCE</v>
      </c>
      <c r="G3888" s="16" t="str">
        <f>VLOOKUP(Table8[[#This Row],[Mã khách hàng]],code_khach_hang[],3,0)</f>
        <v>Miền Bắc đặc biệt 1</v>
      </c>
      <c r="H3888" t="str">
        <f>VLOOKUP(Table8[[#This Row],[Mã khách hàng]],'Khách hàng'!A:D,4,0)</f>
        <v>Food Đức Việt</v>
      </c>
      <c r="I3888" t="str">
        <f>VLOOKUP(Table8[[#This Row],[Mã khách hàng]],'Khách hàng'!A:E,5,0)</f>
        <v>HN0040</v>
      </c>
    </row>
    <row r="3889" spans="1:9">
      <c r="A3889" s="47" t="s">
        <v>12988</v>
      </c>
      <c r="B3889" s="9" t="s">
        <v>5</v>
      </c>
      <c r="C3889" s="36" t="s">
        <v>12989</v>
      </c>
      <c r="D3889" s="21"/>
      <c r="E3889" s="37" t="s">
        <v>11207</v>
      </c>
      <c r="F3889" s="22" t="str">
        <f>VLOOKUP(Table8[[#This Row],[Mã khách hàng]],code_khach_hang[],2,0)</f>
        <v>CHI NHÁNH THÁI NGUYÊN - CÔNG TY CỔ PHẦN DỊCH VỤ THƯƠNG MẠI TỔNG HỢP WINCOMMERCE</v>
      </c>
      <c r="G3889" s="16" t="str">
        <f>VLOOKUP(Table8[[#This Row],[Mã khách hàng]],code_khach_hang[],3,0)</f>
        <v>Miền Bắc đặc biệt 2</v>
      </c>
      <c r="H3889" t="str">
        <f>VLOOKUP(Table8[[#This Row],[Mã khách hàng]],'Khách hàng'!A:D,4,0)</f>
        <v>Food Đức Việt</v>
      </c>
      <c r="I3889" t="str">
        <f>VLOOKUP(Table8[[#This Row],[Mã khách hàng]],'Khách hàng'!A:E,5,0)</f>
        <v>HN0040</v>
      </c>
    </row>
    <row r="3890" spans="1:9">
      <c r="A3890" s="47" t="s">
        <v>12990</v>
      </c>
      <c r="B3890" s="9" t="s">
        <v>5</v>
      </c>
      <c r="C3890" s="36" t="s">
        <v>12991</v>
      </c>
      <c r="D3890" s="21"/>
      <c r="E3890" s="37" t="s">
        <v>11207</v>
      </c>
      <c r="F3890" s="22" t="str">
        <f>VLOOKUP(Table8[[#This Row],[Mã khách hàng]],code_khach_hang[],2,0)</f>
        <v>CHI NHÁNH THÁI NGUYÊN - CÔNG TY CỔ PHẦN DỊCH VỤ THƯƠNG MẠI TỔNG HỢP WINCOMMERCE</v>
      </c>
      <c r="G3890" s="16" t="str">
        <f>VLOOKUP(Table8[[#This Row],[Mã khách hàng]],code_khach_hang[],3,0)</f>
        <v>Miền Bắc đặc biệt 2</v>
      </c>
      <c r="H3890" t="str">
        <f>VLOOKUP(Table8[[#This Row],[Mã khách hàng]],'Khách hàng'!A:D,4,0)</f>
        <v>Food Đức Việt</v>
      </c>
      <c r="I3890" t="str">
        <f>VLOOKUP(Table8[[#This Row],[Mã khách hàng]],'Khách hàng'!A:E,5,0)</f>
        <v>HN0040</v>
      </c>
    </row>
    <row r="3891" spans="1:9">
      <c r="A3891" s="47" t="s">
        <v>12992</v>
      </c>
      <c r="B3891" s="9" t="s">
        <v>5</v>
      </c>
      <c r="C3891" s="36" t="s">
        <v>12993</v>
      </c>
      <c r="D3891" s="21"/>
      <c r="E3891" s="37" t="s">
        <v>11215</v>
      </c>
      <c r="F3891" s="22" t="str">
        <f>VLOOKUP(Table8[[#This Row],[Mã khách hàng]],code_khach_hang[],2,0)</f>
        <v>CHI NHÁNH HÀ NỘI - CÔNG TY CỔ PHẦN DỊCH VỤ THƯƠNG MẠI TỔNG HỢP WINCOMMERCE</v>
      </c>
      <c r="G3891" s="16" t="str">
        <f>VLOOKUP(Table8[[#This Row],[Mã khách hàng]],code_khach_hang[],3,0)</f>
        <v>Miền Bắc đặc biệt 1</v>
      </c>
      <c r="H3891" t="str">
        <f>VLOOKUP(Table8[[#This Row],[Mã khách hàng]],'Khách hàng'!A:D,4,0)</f>
        <v>Food Đức Việt</v>
      </c>
      <c r="I3891" t="str">
        <f>VLOOKUP(Table8[[#This Row],[Mã khách hàng]],'Khách hàng'!A:E,5,0)</f>
        <v>HN0040</v>
      </c>
    </row>
    <row r="3892" spans="1:9">
      <c r="A3892" s="47" t="s">
        <v>12994</v>
      </c>
      <c r="B3892" s="9" t="s">
        <v>5</v>
      </c>
      <c r="C3892" s="36" t="s">
        <v>12995</v>
      </c>
      <c r="D3892" s="21"/>
      <c r="E3892" s="37" t="s">
        <v>11215</v>
      </c>
      <c r="F3892" s="22" t="str">
        <f>VLOOKUP(Table8[[#This Row],[Mã khách hàng]],code_khach_hang[],2,0)</f>
        <v>CHI NHÁNH HÀ NỘI - CÔNG TY CỔ PHẦN DỊCH VỤ THƯƠNG MẠI TỔNG HỢP WINCOMMERCE</v>
      </c>
      <c r="G3892" s="16" t="str">
        <f>VLOOKUP(Table8[[#This Row],[Mã khách hàng]],code_khach_hang[],3,0)</f>
        <v>Miền Bắc đặc biệt 1</v>
      </c>
      <c r="H3892" t="str">
        <f>VLOOKUP(Table8[[#This Row],[Mã khách hàng]],'Khách hàng'!A:D,4,0)</f>
        <v>Food Đức Việt</v>
      </c>
      <c r="I3892" t="str">
        <f>VLOOKUP(Table8[[#This Row],[Mã khách hàng]],'Khách hàng'!A:E,5,0)</f>
        <v>HN0040</v>
      </c>
    </row>
    <row r="3893" spans="1:9">
      <c r="A3893" s="47" t="s">
        <v>12996</v>
      </c>
      <c r="B3893" s="9" t="s">
        <v>5</v>
      </c>
      <c r="C3893" s="36" t="s">
        <v>12997</v>
      </c>
      <c r="D3893" s="21"/>
      <c r="E3893" s="37" t="s">
        <v>11196</v>
      </c>
      <c r="F3893" s="22" t="str">
        <f>VLOOKUP(Table8[[#This Row],[Mã khách hàng]],code_khach_hang[],2,0)</f>
        <v>CHI NHÁNH NINH BÌNH - CÔNG TY CỔ PHẦN DỊCH VỤ THƯƠNG MẠI TỔNG HỢP WINCOMMERCE</v>
      </c>
      <c r="G3893" s="16" t="str">
        <f>VLOOKUP(Table8[[#This Row],[Mã khách hàng]],code_khach_hang[],3,0)</f>
        <v>Miền Bắc đặc biệt 3</v>
      </c>
      <c r="H3893" t="str">
        <f>VLOOKUP(Table8[[#This Row],[Mã khách hàng]],'Khách hàng'!A:D,4,0)</f>
        <v>Food Đức Việt</v>
      </c>
      <c r="I3893" t="str">
        <f>VLOOKUP(Table8[[#This Row],[Mã khách hàng]],'Khách hàng'!A:E,5,0)</f>
        <v>HN0040</v>
      </c>
    </row>
    <row r="3894" spans="1:9">
      <c r="A3894" s="47" t="s">
        <v>12998</v>
      </c>
      <c r="B3894" s="9" t="s">
        <v>5</v>
      </c>
      <c r="C3894" s="36" t="s">
        <v>12999</v>
      </c>
      <c r="D3894" s="21"/>
      <c r="E3894" s="37" t="s">
        <v>11199</v>
      </c>
      <c r="F3894" s="22" t="str">
        <f>VLOOKUP(Table8[[#This Row],[Mã khách hàng]],code_khach_hang[],2,0)</f>
        <v>CHI NHÁNH PHÚ THỌ - CÔNG TY CỔ PHẦN DỊCH VỤ THƯƠNG MẠI TỔNG HỢP WINCOMMERCE</v>
      </c>
      <c r="G3894" s="16" t="str">
        <f>VLOOKUP(Table8[[#This Row],[Mã khách hàng]],code_khach_hang[],3,0)</f>
        <v>Miền Bắc đặc biệt 1</v>
      </c>
      <c r="H3894" t="str">
        <f>VLOOKUP(Table8[[#This Row],[Mã khách hàng]],'Khách hàng'!A:D,4,0)</f>
        <v>Food Đức Việt</v>
      </c>
      <c r="I3894" t="str">
        <f>VLOOKUP(Table8[[#This Row],[Mã khách hàng]],'Khách hàng'!A:E,5,0)</f>
        <v>HN0040</v>
      </c>
    </row>
    <row r="3895" spans="1:9">
      <c r="A3895" s="47" t="s">
        <v>13000</v>
      </c>
      <c r="B3895" s="9" t="s">
        <v>5</v>
      </c>
      <c r="C3895" s="36" t="s">
        <v>13001</v>
      </c>
      <c r="D3895" s="21"/>
      <c r="E3895" s="37" t="s">
        <v>11205</v>
      </c>
      <c r="F3895" s="22" t="str">
        <f>VLOOKUP(Table8[[#This Row],[Mã khách hàng]],code_khach_hang[],2,0)</f>
        <v>CHI NHÁNH HÀ TĨNH - CÔNG TY CỔ PHẦN DỊCH VỤ THƯƠNG MẠI TỔNG HỢP WINCOMMERCE</v>
      </c>
      <c r="G3895" s="16" t="str">
        <f>VLOOKUP(Table8[[#This Row],[Mã khách hàng]],code_khach_hang[],3,0)</f>
        <v>Miền Trung đặc biệt 1</v>
      </c>
      <c r="H3895" t="str">
        <f>VLOOKUP(Table8[[#This Row],[Mã khách hàng]],'Khách hàng'!A:D,4,0)</f>
        <v>Food Đức Việt</v>
      </c>
      <c r="I3895" t="str">
        <f>VLOOKUP(Table8[[#This Row],[Mã khách hàng]],'Khách hàng'!A:E,5,0)</f>
        <v>HN0040</v>
      </c>
    </row>
    <row r="3896" spans="1:9">
      <c r="A3896" s="47" t="s">
        <v>13002</v>
      </c>
      <c r="B3896" s="9" t="s">
        <v>5</v>
      </c>
      <c r="C3896" s="36" t="s">
        <v>13003</v>
      </c>
      <c r="D3896" s="21"/>
      <c r="E3896" s="37" t="s">
        <v>11203</v>
      </c>
      <c r="F3896" s="22" t="str">
        <f>VLOOKUP(Table8[[#This Row],[Mã khách hàng]],code_khach_hang[],2,0)</f>
        <v>CHI NHÁNH THANH HÓA - CÔNG TY CỔ PHẦN DỊCH VỤ THƯƠNG MẠI TỔNG HỢP WINCOMMERCE</v>
      </c>
      <c r="G3896" s="16" t="str">
        <f>VLOOKUP(Table8[[#This Row],[Mã khách hàng]],code_khach_hang[],3,0)</f>
        <v>Miền Trung đặc biệt 1</v>
      </c>
      <c r="H3896" t="str">
        <f>VLOOKUP(Table8[[#This Row],[Mã khách hàng]],'Khách hàng'!A:D,4,0)</f>
        <v>Food Đức Việt</v>
      </c>
      <c r="I3896" t="str">
        <f>VLOOKUP(Table8[[#This Row],[Mã khách hàng]],'Khách hàng'!A:E,5,0)</f>
        <v>HN0040</v>
      </c>
    </row>
    <row r="3897" spans="1:9">
      <c r="A3897" s="47" t="s">
        <v>13004</v>
      </c>
      <c r="B3897" s="9" t="s">
        <v>5</v>
      </c>
      <c r="C3897" s="36" t="s">
        <v>13005</v>
      </c>
      <c r="D3897" s="21"/>
      <c r="E3897" s="37" t="s">
        <v>11216</v>
      </c>
      <c r="F3897" s="22" t="str">
        <f>VLOOKUP(Table8[[#This Row],[Mã khách hàng]],code_khach_hang[],2,0)</f>
        <v>CHI NHÁNH HƯNG YÊN - CÔNG TY CỔ PHẦN DỊCH VỤ THƯƠNG MẠI TỔNG HỢP WINCOMMERCE</v>
      </c>
      <c r="G3897" s="16" t="str">
        <f>VLOOKUP(Table8[[#This Row],[Mã khách hàng]],code_khach_hang[],3,0)</f>
        <v>Miền Bắc đặc biệt 1</v>
      </c>
      <c r="H3897" t="str">
        <f>VLOOKUP(Table8[[#This Row],[Mã khách hàng]],'Khách hàng'!A:D,4,0)</f>
        <v>Food Đức Việt</v>
      </c>
      <c r="I3897" t="str">
        <f>VLOOKUP(Table8[[#This Row],[Mã khách hàng]],'Khách hàng'!A:E,5,0)</f>
        <v>HN0040</v>
      </c>
    </row>
    <row r="3898" spans="1:9">
      <c r="A3898" s="47" t="s">
        <v>13006</v>
      </c>
      <c r="B3898" s="9" t="s">
        <v>5</v>
      </c>
      <c r="C3898" s="36" t="s">
        <v>13007</v>
      </c>
      <c r="D3898" s="21"/>
      <c r="E3898" s="37" t="s">
        <v>11199</v>
      </c>
      <c r="F3898" s="22" t="str">
        <f>VLOOKUP(Table8[[#This Row],[Mã khách hàng]],code_khach_hang[],2,0)</f>
        <v>CHI NHÁNH PHÚ THỌ - CÔNG TY CỔ PHẦN DỊCH VỤ THƯƠNG MẠI TỔNG HỢP WINCOMMERCE</v>
      </c>
      <c r="G3898" s="16" t="str">
        <f>VLOOKUP(Table8[[#This Row],[Mã khách hàng]],code_khach_hang[],3,0)</f>
        <v>Miền Bắc đặc biệt 1</v>
      </c>
      <c r="H3898" t="str">
        <f>VLOOKUP(Table8[[#This Row],[Mã khách hàng]],'Khách hàng'!A:D,4,0)</f>
        <v>Food Đức Việt</v>
      </c>
      <c r="I3898" t="str">
        <f>VLOOKUP(Table8[[#This Row],[Mã khách hàng]],'Khách hàng'!A:E,5,0)</f>
        <v>HN0040</v>
      </c>
    </row>
    <row r="3899" spans="1:9">
      <c r="A3899" s="47" t="s">
        <v>13008</v>
      </c>
      <c r="B3899" s="9" t="s">
        <v>5</v>
      </c>
      <c r="C3899" s="36" t="s">
        <v>13009</v>
      </c>
      <c r="D3899" s="21"/>
      <c r="E3899" s="37" t="s">
        <v>11198</v>
      </c>
      <c r="F3899" s="22" t="str">
        <f>VLOOKUP(Table8[[#This Row],[Mã khách hàng]],code_khach_hang[],2,0)</f>
        <v>CHI NHÁNH HẢI PHÒNG - CÔNG TY CỔ PHẦN DỊCH VỤ THƯƠNG MẠI TỔNG HỢP WINCOMMERCE</v>
      </c>
      <c r="G3899" s="16" t="str">
        <f>VLOOKUP(Table8[[#This Row],[Mã khách hàng]],code_khach_hang[],3,0)</f>
        <v>Miền Bắc đặc biệt 3</v>
      </c>
      <c r="H3899" t="str">
        <f>VLOOKUP(Table8[[#This Row],[Mã khách hàng]],'Khách hàng'!A:D,4,0)</f>
        <v>Food Đức Việt</v>
      </c>
      <c r="I3899" t="str">
        <f>VLOOKUP(Table8[[#This Row],[Mã khách hàng]],'Khách hàng'!A:E,5,0)</f>
        <v>HN0040</v>
      </c>
    </row>
    <row r="3900" spans="1:9">
      <c r="A3900" s="47" t="s">
        <v>13010</v>
      </c>
      <c r="B3900" s="9" t="s">
        <v>5</v>
      </c>
      <c r="C3900" s="36" t="s">
        <v>13011</v>
      </c>
      <c r="D3900" s="21"/>
      <c r="E3900" s="37" t="s">
        <v>11193</v>
      </c>
      <c r="F3900" s="22" t="str">
        <f>VLOOKUP(Table8[[#This Row],[Mã khách hàng]],code_khach_hang[],2,0)</f>
        <v>CHI NHÁNH BẮC NINH - CÔNG TY CỔ PHẦN DỊCH VỤ THƯƠNG MẠI TỔNG HỢP WINCOMMERCE</v>
      </c>
      <c r="G3900" s="16" t="str">
        <f>VLOOKUP(Table8[[#This Row],[Mã khách hàng]],code_khach_hang[],3,0)</f>
        <v>Miền Bắc đặc biệt 2</v>
      </c>
      <c r="H3900" t="str">
        <f>VLOOKUP(Table8[[#This Row],[Mã khách hàng]],'Khách hàng'!A:D,4,0)</f>
        <v>Food Đức Việt</v>
      </c>
      <c r="I3900" t="str">
        <f>VLOOKUP(Table8[[#This Row],[Mã khách hàng]],'Khách hàng'!A:E,5,0)</f>
        <v>HN0040</v>
      </c>
    </row>
    <row r="3901" spans="1:9">
      <c r="A3901" s="47" t="s">
        <v>13012</v>
      </c>
      <c r="B3901" s="9" t="s">
        <v>5</v>
      </c>
      <c r="C3901" s="36" t="s">
        <v>13013</v>
      </c>
      <c r="D3901" s="21"/>
      <c r="E3901" s="37" t="s">
        <v>11215</v>
      </c>
      <c r="F3901" s="22" t="str">
        <f>VLOOKUP(Table8[[#This Row],[Mã khách hàng]],code_khach_hang[],2,0)</f>
        <v>CHI NHÁNH HÀ NỘI - CÔNG TY CỔ PHẦN DỊCH VỤ THƯƠNG MẠI TỔNG HỢP WINCOMMERCE</v>
      </c>
      <c r="G3901" s="16" t="str">
        <f>VLOOKUP(Table8[[#This Row],[Mã khách hàng]],code_khach_hang[],3,0)</f>
        <v>Miền Bắc đặc biệt 1</v>
      </c>
      <c r="H3901" t="str">
        <f>VLOOKUP(Table8[[#This Row],[Mã khách hàng]],'Khách hàng'!A:D,4,0)</f>
        <v>Food Đức Việt</v>
      </c>
      <c r="I3901" t="str">
        <f>VLOOKUP(Table8[[#This Row],[Mã khách hàng]],'Khách hàng'!A:E,5,0)</f>
        <v>HN0040</v>
      </c>
    </row>
    <row r="3902" spans="1:9">
      <c r="A3902" s="47" t="s">
        <v>13014</v>
      </c>
      <c r="B3902" s="9" t="s">
        <v>5</v>
      </c>
      <c r="C3902" s="36" t="s">
        <v>13015</v>
      </c>
      <c r="D3902" s="21"/>
      <c r="E3902" s="37" t="s">
        <v>11218</v>
      </c>
      <c r="F3902" s="22" t="str">
        <f>VLOOKUP(Table8[[#This Row],[Mã khách hàng]],code_khach_hang[],2,0)</f>
        <v>CHI NHÁNH LÀO CAI - CÔNG TY CỔ PHẦN DỊCH VỤ THƯƠNG MẠI TỔNG HỢP WINCOMMERCE</v>
      </c>
      <c r="G3902" s="16" t="str">
        <f>VLOOKUP(Table8[[#This Row],[Mã khách hàng]],code_khach_hang[],3,0)</f>
        <v>Miền Bắc đặc biệt 1</v>
      </c>
      <c r="H3902" t="str">
        <f>VLOOKUP(Table8[[#This Row],[Mã khách hàng]],'Khách hàng'!A:D,4,0)</f>
        <v>Food Đức Việt</v>
      </c>
      <c r="I3902" t="str">
        <f>VLOOKUP(Table8[[#This Row],[Mã khách hàng]],'Khách hàng'!A:E,5,0)</f>
        <v>HN0040</v>
      </c>
    </row>
    <row r="3903" spans="1:9">
      <c r="A3903" s="47" t="s">
        <v>13016</v>
      </c>
      <c r="B3903" s="9" t="s">
        <v>5</v>
      </c>
      <c r="C3903" s="36" t="s">
        <v>13017</v>
      </c>
      <c r="D3903" s="21"/>
      <c r="E3903" s="37" t="s">
        <v>11215</v>
      </c>
      <c r="F3903" s="22" t="str">
        <f>VLOOKUP(Table8[[#This Row],[Mã khách hàng]],code_khach_hang[],2,0)</f>
        <v>CHI NHÁNH HÀ NỘI - CÔNG TY CỔ PHẦN DỊCH VỤ THƯƠNG MẠI TỔNG HỢP WINCOMMERCE</v>
      </c>
      <c r="G3903" s="16" t="str">
        <f>VLOOKUP(Table8[[#This Row],[Mã khách hàng]],code_khach_hang[],3,0)</f>
        <v>Miền Bắc đặc biệt 1</v>
      </c>
      <c r="H3903" t="str">
        <f>VLOOKUP(Table8[[#This Row],[Mã khách hàng]],'Khách hàng'!A:D,4,0)</f>
        <v>Food Đức Việt</v>
      </c>
      <c r="I3903" t="str">
        <f>VLOOKUP(Table8[[#This Row],[Mã khách hàng]],'Khách hàng'!A:E,5,0)</f>
        <v>HN0040</v>
      </c>
    </row>
    <row r="3904" spans="1:9">
      <c r="A3904" s="47" t="s">
        <v>13018</v>
      </c>
      <c r="B3904" s="9" t="s">
        <v>5</v>
      </c>
      <c r="C3904" s="36" t="s">
        <v>13019</v>
      </c>
      <c r="D3904" s="21"/>
      <c r="E3904" s="37" t="s">
        <v>11204</v>
      </c>
      <c r="F3904" s="22" t="str">
        <f>VLOOKUP(Table8[[#This Row],[Mã khách hàng]],code_khach_hang[],2,0)</f>
        <v>CHI NHÁNH TUYÊN QUANG - CÔNG TY CỔ PHẦN DỊCH VỤ THƯƠNG MẠI TỔNG HỢP WINCOMMERCE</v>
      </c>
      <c r="G3904" s="16" t="str">
        <f>VLOOKUP(Table8[[#This Row],[Mã khách hàng]],code_khach_hang[],3,0)</f>
        <v>Miền Bắc đặc biệt 2</v>
      </c>
      <c r="H3904" t="str">
        <f>VLOOKUP(Table8[[#This Row],[Mã khách hàng]],'Khách hàng'!A:D,4,0)</f>
        <v>Food Đức Việt</v>
      </c>
      <c r="I3904" t="str">
        <f>VLOOKUP(Table8[[#This Row],[Mã khách hàng]],'Khách hàng'!A:E,5,0)</f>
        <v>HN0040</v>
      </c>
    </row>
    <row r="3905" spans="1:9">
      <c r="A3905" s="47" t="s">
        <v>13020</v>
      </c>
      <c r="B3905" s="9" t="s">
        <v>5</v>
      </c>
      <c r="C3905" s="36" t="s">
        <v>13021</v>
      </c>
      <c r="D3905" s="21"/>
      <c r="E3905" s="37" t="s">
        <v>11199</v>
      </c>
      <c r="F3905" s="22" t="str">
        <f>VLOOKUP(Table8[[#This Row],[Mã khách hàng]],code_khach_hang[],2,0)</f>
        <v>CHI NHÁNH PHÚ THỌ - CÔNG TY CỔ PHẦN DỊCH VỤ THƯƠNG MẠI TỔNG HỢP WINCOMMERCE</v>
      </c>
      <c r="G3905" s="16" t="str">
        <f>VLOOKUP(Table8[[#This Row],[Mã khách hàng]],code_khach_hang[],3,0)</f>
        <v>Miền Bắc đặc biệt 1</v>
      </c>
      <c r="H3905" t="str">
        <f>VLOOKUP(Table8[[#This Row],[Mã khách hàng]],'Khách hàng'!A:D,4,0)</f>
        <v>Food Đức Việt</v>
      </c>
      <c r="I3905" t="str">
        <f>VLOOKUP(Table8[[#This Row],[Mã khách hàng]],'Khách hàng'!A:E,5,0)</f>
        <v>HN0040</v>
      </c>
    </row>
    <row r="3906" spans="1:9">
      <c r="A3906" s="47" t="s">
        <v>13022</v>
      </c>
      <c r="B3906" s="9" t="s">
        <v>5</v>
      </c>
      <c r="C3906" s="36" t="s">
        <v>13023</v>
      </c>
      <c r="D3906" s="21"/>
      <c r="E3906" s="37" t="s">
        <v>11206</v>
      </c>
      <c r="F3906" s="22" t="str">
        <f>VLOOKUP(Table8[[#This Row],[Mã khách hàng]],code_khach_hang[],2,0)</f>
        <v>CHI NHÁNH SƠN LA - CÔNG TY CỔ PHẦN DỊCH VỤ THƯƠNG MẠI TỔNG HỢP WINCOMMERCE</v>
      </c>
      <c r="G3906" s="16" t="str">
        <f>VLOOKUP(Table8[[#This Row],[Mã khách hàng]],code_khach_hang[],3,0)</f>
        <v>Miền Bắc đặc biệt 1</v>
      </c>
      <c r="H3906" t="str">
        <f>VLOOKUP(Table8[[#This Row],[Mã khách hàng]],'Khách hàng'!A:D,4,0)</f>
        <v>Food Đức Việt</v>
      </c>
      <c r="I3906" t="str">
        <f>VLOOKUP(Table8[[#This Row],[Mã khách hàng]],'Khách hàng'!A:E,5,0)</f>
        <v>HN0040</v>
      </c>
    </row>
    <row r="3907" spans="1:9">
      <c r="A3907" s="47" t="s">
        <v>13024</v>
      </c>
      <c r="B3907" s="9" t="s">
        <v>5</v>
      </c>
      <c r="C3907" s="36" t="s">
        <v>13025</v>
      </c>
      <c r="D3907" s="21"/>
      <c r="E3907" s="37" t="s">
        <v>11197</v>
      </c>
      <c r="F3907" s="22" t="str">
        <f>VLOOKUP(Table8[[#This Row],[Mã khách hàng]],code_khach_hang[],2,0)</f>
        <v>CHI NHÁNH QUẢNG NINH - CÔNG TY CỔ PHẦN DỊCH VỤ THƯƠNG MẠI TỔNG HỢP WINCOMMERCE</v>
      </c>
      <c r="G3907" s="16" t="str">
        <f>VLOOKUP(Table8[[#This Row],[Mã khách hàng]],code_khach_hang[],3,0)</f>
        <v>Miền Bắc đặc biệt 3</v>
      </c>
      <c r="H3907" t="str">
        <f>VLOOKUP(Table8[[#This Row],[Mã khách hàng]],'Khách hàng'!A:D,4,0)</f>
        <v>Food Đức Việt</v>
      </c>
      <c r="I3907" t="str">
        <f>VLOOKUP(Table8[[#This Row],[Mã khách hàng]],'Khách hàng'!A:E,5,0)</f>
        <v>HN0040</v>
      </c>
    </row>
    <row r="3908" spans="1:9">
      <c r="A3908" s="47" t="s">
        <v>13026</v>
      </c>
      <c r="B3908" s="9" t="s">
        <v>5</v>
      </c>
      <c r="C3908" s="36" t="s">
        <v>13027</v>
      </c>
      <c r="D3908" s="21"/>
      <c r="E3908" s="37" t="s">
        <v>11206</v>
      </c>
      <c r="F3908" s="22" t="str">
        <f>VLOOKUP(Table8[[#This Row],[Mã khách hàng]],code_khach_hang[],2,0)</f>
        <v>CHI NHÁNH SƠN LA - CÔNG TY CỔ PHẦN DỊCH VỤ THƯƠNG MẠI TỔNG HỢP WINCOMMERCE</v>
      </c>
      <c r="G3908" s="16" t="str">
        <f>VLOOKUP(Table8[[#This Row],[Mã khách hàng]],code_khach_hang[],3,0)</f>
        <v>Miền Bắc đặc biệt 1</v>
      </c>
      <c r="H3908" t="str">
        <f>VLOOKUP(Table8[[#This Row],[Mã khách hàng]],'Khách hàng'!A:D,4,0)</f>
        <v>Food Đức Việt</v>
      </c>
      <c r="I3908" t="str">
        <f>VLOOKUP(Table8[[#This Row],[Mã khách hàng]],'Khách hàng'!A:E,5,0)</f>
        <v>HN0040</v>
      </c>
    </row>
    <row r="3909" spans="1:9">
      <c r="A3909" s="47" t="s">
        <v>13028</v>
      </c>
      <c r="B3909" s="9" t="s">
        <v>5</v>
      </c>
      <c r="C3909" s="36" t="s">
        <v>13029</v>
      </c>
      <c r="D3909" s="21"/>
      <c r="E3909" s="37" t="s">
        <v>11199</v>
      </c>
      <c r="F3909" s="22" t="str">
        <f>VLOOKUP(Table8[[#This Row],[Mã khách hàng]],code_khach_hang[],2,0)</f>
        <v>CHI NHÁNH PHÚ THỌ - CÔNG TY CỔ PHẦN DỊCH VỤ THƯƠNG MẠI TỔNG HỢP WINCOMMERCE</v>
      </c>
      <c r="G3909" s="16" t="str">
        <f>VLOOKUP(Table8[[#This Row],[Mã khách hàng]],code_khach_hang[],3,0)</f>
        <v>Miền Bắc đặc biệt 1</v>
      </c>
      <c r="H3909" t="str">
        <f>VLOOKUP(Table8[[#This Row],[Mã khách hàng]],'Khách hàng'!A:D,4,0)</f>
        <v>Food Đức Việt</v>
      </c>
      <c r="I3909" t="str">
        <f>VLOOKUP(Table8[[#This Row],[Mã khách hàng]],'Khách hàng'!A:E,5,0)</f>
        <v>HN0040</v>
      </c>
    </row>
    <row r="3910" spans="1:9">
      <c r="A3910" s="47" t="s">
        <v>13030</v>
      </c>
      <c r="B3910" s="9" t="s">
        <v>5</v>
      </c>
      <c r="C3910" s="36" t="s">
        <v>13031</v>
      </c>
      <c r="D3910" s="21"/>
      <c r="E3910" s="37" t="s">
        <v>11197</v>
      </c>
      <c r="F3910" s="22" t="str">
        <f>VLOOKUP(Table8[[#This Row],[Mã khách hàng]],code_khach_hang[],2,0)</f>
        <v>CHI NHÁNH QUẢNG NINH - CÔNG TY CỔ PHẦN DỊCH VỤ THƯƠNG MẠI TỔNG HỢP WINCOMMERCE</v>
      </c>
      <c r="G3910" s="16" t="str">
        <f>VLOOKUP(Table8[[#This Row],[Mã khách hàng]],code_khach_hang[],3,0)</f>
        <v>Miền Bắc đặc biệt 3</v>
      </c>
      <c r="H3910" t="str">
        <f>VLOOKUP(Table8[[#This Row],[Mã khách hàng]],'Khách hàng'!A:D,4,0)</f>
        <v>Food Đức Việt</v>
      </c>
      <c r="I3910" t="str">
        <f>VLOOKUP(Table8[[#This Row],[Mã khách hàng]],'Khách hàng'!A:E,5,0)</f>
        <v>HN0040</v>
      </c>
    </row>
    <row r="3911" spans="1:9">
      <c r="A3911" s="47" t="s">
        <v>13032</v>
      </c>
      <c r="B3911" s="9" t="s">
        <v>5</v>
      </c>
      <c r="C3911" s="36" t="s">
        <v>13033</v>
      </c>
      <c r="D3911" s="21"/>
      <c r="E3911" s="37" t="s">
        <v>11196</v>
      </c>
      <c r="F3911" s="22" t="str">
        <f>VLOOKUP(Table8[[#This Row],[Mã khách hàng]],code_khach_hang[],2,0)</f>
        <v>CHI NHÁNH NINH BÌNH - CÔNG TY CỔ PHẦN DỊCH VỤ THƯƠNG MẠI TỔNG HỢP WINCOMMERCE</v>
      </c>
      <c r="G3911" s="16" t="str">
        <f>VLOOKUP(Table8[[#This Row],[Mã khách hàng]],code_khach_hang[],3,0)</f>
        <v>Miền Bắc đặc biệt 3</v>
      </c>
      <c r="H3911" t="str">
        <f>VLOOKUP(Table8[[#This Row],[Mã khách hàng]],'Khách hàng'!A:D,4,0)</f>
        <v>Food Đức Việt</v>
      </c>
      <c r="I3911" t="str">
        <f>VLOOKUP(Table8[[#This Row],[Mã khách hàng]],'Khách hàng'!A:E,5,0)</f>
        <v>HN0040</v>
      </c>
    </row>
    <row r="3912" spans="1:9">
      <c r="A3912" s="47" t="s">
        <v>13034</v>
      </c>
      <c r="B3912" s="9" t="s">
        <v>5</v>
      </c>
      <c r="C3912" s="36" t="s">
        <v>13035</v>
      </c>
      <c r="D3912" s="21"/>
      <c r="E3912" s="37" t="s">
        <v>11216</v>
      </c>
      <c r="F3912" s="22" t="str">
        <f>VLOOKUP(Table8[[#This Row],[Mã khách hàng]],code_khach_hang[],2,0)</f>
        <v>CHI NHÁNH HƯNG YÊN - CÔNG TY CỔ PHẦN DỊCH VỤ THƯƠNG MẠI TỔNG HỢP WINCOMMERCE</v>
      </c>
      <c r="G3912" s="16" t="str">
        <f>VLOOKUP(Table8[[#This Row],[Mã khách hàng]],code_khach_hang[],3,0)</f>
        <v>Miền Bắc đặc biệt 1</v>
      </c>
      <c r="H3912" t="str">
        <f>VLOOKUP(Table8[[#This Row],[Mã khách hàng]],'Khách hàng'!A:D,4,0)</f>
        <v>Food Đức Việt</v>
      </c>
      <c r="I3912" t="str">
        <f>VLOOKUP(Table8[[#This Row],[Mã khách hàng]],'Khách hàng'!A:E,5,0)</f>
        <v>HN0040</v>
      </c>
    </row>
    <row r="3913" spans="1:9">
      <c r="A3913" s="47" t="s">
        <v>13036</v>
      </c>
      <c r="B3913" s="9" t="s">
        <v>5</v>
      </c>
      <c r="C3913" s="36" t="s">
        <v>13037</v>
      </c>
      <c r="D3913" s="21"/>
      <c r="E3913" s="37" t="s">
        <v>11196</v>
      </c>
      <c r="F3913" s="22" t="str">
        <f>VLOOKUP(Table8[[#This Row],[Mã khách hàng]],code_khach_hang[],2,0)</f>
        <v>CHI NHÁNH NINH BÌNH - CÔNG TY CỔ PHẦN DỊCH VỤ THƯƠNG MẠI TỔNG HỢP WINCOMMERCE</v>
      </c>
      <c r="G3913" s="16" t="str">
        <f>VLOOKUP(Table8[[#This Row],[Mã khách hàng]],code_khach_hang[],3,0)</f>
        <v>Miền Bắc đặc biệt 3</v>
      </c>
      <c r="H3913" t="str">
        <f>VLOOKUP(Table8[[#This Row],[Mã khách hàng]],'Khách hàng'!A:D,4,0)</f>
        <v>Food Đức Việt</v>
      </c>
      <c r="I3913" t="str">
        <f>VLOOKUP(Table8[[#This Row],[Mã khách hàng]],'Khách hàng'!A:E,5,0)</f>
        <v>HN0040</v>
      </c>
    </row>
    <row r="3914" spans="1:9">
      <c r="A3914" s="47" t="s">
        <v>13038</v>
      </c>
      <c r="B3914" s="9" t="s">
        <v>5</v>
      </c>
      <c r="C3914" s="36" t="s">
        <v>13039</v>
      </c>
      <c r="D3914" s="21"/>
      <c r="E3914" s="37" t="s">
        <v>11198</v>
      </c>
      <c r="F3914" s="22" t="str">
        <f>VLOOKUP(Table8[[#This Row],[Mã khách hàng]],code_khach_hang[],2,0)</f>
        <v>CHI NHÁNH HẢI PHÒNG - CÔNG TY CỔ PHẦN DỊCH VỤ THƯƠNG MẠI TỔNG HỢP WINCOMMERCE</v>
      </c>
      <c r="G3914" s="16" t="str">
        <f>VLOOKUP(Table8[[#This Row],[Mã khách hàng]],code_khach_hang[],3,0)</f>
        <v>Miền Bắc đặc biệt 3</v>
      </c>
      <c r="H3914" t="str">
        <f>VLOOKUP(Table8[[#This Row],[Mã khách hàng]],'Khách hàng'!A:D,4,0)</f>
        <v>Food Đức Việt</v>
      </c>
      <c r="I3914" t="str">
        <f>VLOOKUP(Table8[[#This Row],[Mã khách hàng]],'Khách hàng'!A:E,5,0)</f>
        <v>HN0040</v>
      </c>
    </row>
    <row r="3915" spans="1:9">
      <c r="A3915" s="47" t="s">
        <v>13040</v>
      </c>
      <c r="B3915" s="9" t="s">
        <v>5</v>
      </c>
      <c r="C3915" s="36" t="s">
        <v>13041</v>
      </c>
      <c r="D3915" s="21"/>
      <c r="E3915" s="37" t="s">
        <v>11215</v>
      </c>
      <c r="F3915" s="22" t="str">
        <f>VLOOKUP(Table8[[#This Row],[Mã khách hàng]],code_khach_hang[],2,0)</f>
        <v>CHI NHÁNH HÀ NỘI - CÔNG TY CỔ PHẦN DỊCH VỤ THƯƠNG MẠI TỔNG HỢP WINCOMMERCE</v>
      </c>
      <c r="G3915" s="16" t="str">
        <f>VLOOKUP(Table8[[#This Row],[Mã khách hàng]],code_khach_hang[],3,0)</f>
        <v>Miền Bắc đặc biệt 1</v>
      </c>
      <c r="H3915" t="str">
        <f>VLOOKUP(Table8[[#This Row],[Mã khách hàng]],'Khách hàng'!A:D,4,0)</f>
        <v>Food Đức Việt</v>
      </c>
      <c r="I3915" t="str">
        <f>VLOOKUP(Table8[[#This Row],[Mã khách hàng]],'Khách hàng'!A:E,5,0)</f>
        <v>HN0040</v>
      </c>
    </row>
    <row r="3916" spans="1:9">
      <c r="A3916" s="47" t="s">
        <v>13042</v>
      </c>
      <c r="B3916" s="9" t="s">
        <v>5</v>
      </c>
      <c r="C3916" s="36" t="s">
        <v>13043</v>
      </c>
      <c r="D3916" s="21"/>
      <c r="E3916" s="37" t="s">
        <v>11196</v>
      </c>
      <c r="F3916" s="22" t="str">
        <f>VLOOKUP(Table8[[#This Row],[Mã khách hàng]],code_khach_hang[],2,0)</f>
        <v>CHI NHÁNH NINH BÌNH - CÔNG TY CỔ PHẦN DỊCH VỤ THƯƠNG MẠI TỔNG HỢP WINCOMMERCE</v>
      </c>
      <c r="G3916" s="16" t="str">
        <f>VLOOKUP(Table8[[#This Row],[Mã khách hàng]],code_khach_hang[],3,0)</f>
        <v>Miền Bắc đặc biệt 3</v>
      </c>
      <c r="H3916" t="str">
        <f>VLOOKUP(Table8[[#This Row],[Mã khách hàng]],'Khách hàng'!A:D,4,0)</f>
        <v>Food Đức Việt</v>
      </c>
      <c r="I3916" t="str">
        <f>VLOOKUP(Table8[[#This Row],[Mã khách hàng]],'Khách hàng'!A:E,5,0)</f>
        <v>HN0040</v>
      </c>
    </row>
    <row r="3917" spans="1:9">
      <c r="A3917" s="47" t="s">
        <v>13044</v>
      </c>
      <c r="B3917" s="9" t="s">
        <v>5</v>
      </c>
      <c r="C3917" s="36" t="s">
        <v>13045</v>
      </c>
      <c r="D3917" s="21"/>
      <c r="E3917" s="37" t="s">
        <v>11215</v>
      </c>
      <c r="F3917" s="22" t="str">
        <f>VLOOKUP(Table8[[#This Row],[Mã khách hàng]],code_khach_hang[],2,0)</f>
        <v>CHI NHÁNH HÀ NỘI - CÔNG TY CỔ PHẦN DỊCH VỤ THƯƠNG MẠI TỔNG HỢP WINCOMMERCE</v>
      </c>
      <c r="G3917" s="16" t="str">
        <f>VLOOKUP(Table8[[#This Row],[Mã khách hàng]],code_khach_hang[],3,0)</f>
        <v>Miền Bắc đặc biệt 1</v>
      </c>
      <c r="H3917" t="str">
        <f>VLOOKUP(Table8[[#This Row],[Mã khách hàng]],'Khách hàng'!A:D,4,0)</f>
        <v>Food Đức Việt</v>
      </c>
      <c r="I3917" t="str">
        <f>VLOOKUP(Table8[[#This Row],[Mã khách hàng]],'Khách hàng'!A:E,5,0)</f>
        <v>HN0040</v>
      </c>
    </row>
    <row r="3918" spans="1:9">
      <c r="A3918" s="47" t="s">
        <v>13046</v>
      </c>
      <c r="B3918" s="9" t="s">
        <v>5</v>
      </c>
      <c r="C3918" s="36" t="s">
        <v>13047</v>
      </c>
      <c r="D3918" s="21"/>
      <c r="E3918" s="37" t="s">
        <v>11206</v>
      </c>
      <c r="F3918" s="22" t="str">
        <f>VLOOKUP(Table8[[#This Row],[Mã khách hàng]],code_khach_hang[],2,0)</f>
        <v>CHI NHÁNH SƠN LA - CÔNG TY CỔ PHẦN DỊCH VỤ THƯƠNG MẠI TỔNG HỢP WINCOMMERCE</v>
      </c>
      <c r="G3918" s="16" t="str">
        <f>VLOOKUP(Table8[[#This Row],[Mã khách hàng]],code_khach_hang[],3,0)</f>
        <v>Miền Bắc đặc biệt 1</v>
      </c>
      <c r="H3918" t="str">
        <f>VLOOKUP(Table8[[#This Row],[Mã khách hàng]],'Khách hàng'!A:D,4,0)</f>
        <v>Food Đức Việt</v>
      </c>
      <c r="I3918" t="str">
        <f>VLOOKUP(Table8[[#This Row],[Mã khách hàng]],'Khách hàng'!A:E,5,0)</f>
        <v>HN0040</v>
      </c>
    </row>
    <row r="3919" spans="1:9">
      <c r="A3919" s="47" t="s">
        <v>13048</v>
      </c>
      <c r="B3919" s="9" t="s">
        <v>5</v>
      </c>
      <c r="C3919" s="36" t="s">
        <v>13049</v>
      </c>
      <c r="D3919" s="21"/>
      <c r="E3919" s="37" t="s">
        <v>11215</v>
      </c>
      <c r="F3919" s="22" t="str">
        <f>VLOOKUP(Table8[[#This Row],[Mã khách hàng]],code_khach_hang[],2,0)</f>
        <v>CHI NHÁNH HÀ NỘI - CÔNG TY CỔ PHẦN DỊCH VỤ THƯƠNG MẠI TỔNG HỢP WINCOMMERCE</v>
      </c>
      <c r="G3919" s="16" t="str">
        <f>VLOOKUP(Table8[[#This Row],[Mã khách hàng]],code_khach_hang[],3,0)</f>
        <v>Miền Bắc đặc biệt 1</v>
      </c>
      <c r="H3919" t="str">
        <f>VLOOKUP(Table8[[#This Row],[Mã khách hàng]],'Khách hàng'!A:D,4,0)</f>
        <v>Food Đức Việt</v>
      </c>
      <c r="I3919" t="str">
        <f>VLOOKUP(Table8[[#This Row],[Mã khách hàng]],'Khách hàng'!A:E,5,0)</f>
        <v>HN0040</v>
      </c>
    </row>
    <row r="3920" spans="1:9">
      <c r="A3920" s="47" t="s">
        <v>13050</v>
      </c>
      <c r="B3920" s="9" t="s">
        <v>5</v>
      </c>
      <c r="C3920" s="36" t="s">
        <v>13051</v>
      </c>
      <c r="D3920" s="21"/>
      <c r="E3920" s="37" t="s">
        <v>11198</v>
      </c>
      <c r="F3920" s="22" t="str">
        <f>VLOOKUP(Table8[[#This Row],[Mã khách hàng]],code_khach_hang[],2,0)</f>
        <v>CHI NHÁNH HẢI PHÒNG - CÔNG TY CỔ PHẦN DỊCH VỤ THƯƠNG MẠI TỔNG HỢP WINCOMMERCE</v>
      </c>
      <c r="G3920" s="16" t="str">
        <f>VLOOKUP(Table8[[#This Row],[Mã khách hàng]],code_khach_hang[],3,0)</f>
        <v>Miền Bắc đặc biệt 3</v>
      </c>
      <c r="H3920" t="str">
        <f>VLOOKUP(Table8[[#This Row],[Mã khách hàng]],'Khách hàng'!A:D,4,0)</f>
        <v>Food Đức Việt</v>
      </c>
      <c r="I3920" t="str">
        <f>VLOOKUP(Table8[[#This Row],[Mã khách hàng]],'Khách hàng'!A:E,5,0)</f>
        <v>HN0040</v>
      </c>
    </row>
    <row r="3921" spans="1:9">
      <c r="A3921" s="46" t="s">
        <v>13052</v>
      </c>
      <c r="B3921" s="9" t="s">
        <v>5</v>
      </c>
      <c r="C3921" s="37" t="s">
        <v>1690</v>
      </c>
      <c r="D3921" s="21"/>
      <c r="E3921" s="37" t="s">
        <v>11220</v>
      </c>
      <c r="F3921" s="22" t="str">
        <f>VLOOKUP(Table8[[#This Row],[Mã khách hàng]],code_khach_hang[],2,0)</f>
        <v>CHI NHÁNH HÀ GIANG - CÔNG TY CỔ PHẦN DỊCH VỤ THƯƠNG MẠI TỔNG HỢP WINCOMMERCE</v>
      </c>
      <c r="G3921" s="10" t="str">
        <f>VLOOKUP(Table8[[#This Row],[Mã khách hàng]],code_khach_hang[],3,0)</f>
        <v>Miền Bắc đặc biệt 2</v>
      </c>
      <c r="H3921" t="str">
        <f>VLOOKUP(Table8[[#This Row],[Mã khách hàng]],'Khách hàng'!A:D,4,0)</f>
        <v>Food Đức Việt</v>
      </c>
      <c r="I3921" t="str">
        <f>VLOOKUP(Table8[[#This Row],[Mã khách hàng]],'Khách hàng'!A:E,5,0)</f>
        <v>HN0040</v>
      </c>
    </row>
    <row r="3922" spans="1:9">
      <c r="A3922" s="46" t="s">
        <v>13053</v>
      </c>
      <c r="B3922" s="9" t="s">
        <v>5</v>
      </c>
      <c r="C3922" s="36" t="s">
        <v>13093</v>
      </c>
      <c r="D3922" s="21"/>
      <c r="E3922" s="37" t="s">
        <v>11218</v>
      </c>
      <c r="F3922" s="22" t="str">
        <f>VLOOKUP(Table8[[#This Row],[Mã khách hàng]],code_khach_hang[],2,0)</f>
        <v>CHI NHÁNH LÀO CAI - CÔNG TY CỔ PHẦN DỊCH VỤ THƯƠNG MẠI TỔNG HỢP WINCOMMERCE</v>
      </c>
      <c r="G3922" s="10" t="str">
        <f>VLOOKUP(Table8[[#This Row],[Mã khách hàng]],code_khach_hang[],3,0)</f>
        <v>Miền Bắc đặc biệt 1</v>
      </c>
      <c r="H3922" t="str">
        <f>VLOOKUP(Table8[[#This Row],[Mã khách hàng]],'Khách hàng'!A:D,4,0)</f>
        <v>Food Đức Việt</v>
      </c>
      <c r="I3922" t="str">
        <f>VLOOKUP(Table8[[#This Row],[Mã khách hàng]],'Khách hàng'!A:E,5,0)</f>
        <v>HN0040</v>
      </c>
    </row>
    <row r="3923" spans="1:9">
      <c r="A3923" s="47" t="s">
        <v>13054</v>
      </c>
      <c r="B3923" s="9" t="s">
        <v>5</v>
      </c>
      <c r="C3923" s="36" t="s">
        <v>13094</v>
      </c>
      <c r="D3923" s="21"/>
      <c r="E3923" s="37" t="s">
        <v>11215</v>
      </c>
      <c r="F3923" s="22" t="str">
        <f>VLOOKUP(Table8[[#This Row],[Mã khách hàng]],code_khach_hang[],2,0)</f>
        <v>CHI NHÁNH HÀ NỘI - CÔNG TY CỔ PHẦN DỊCH VỤ THƯƠNG MẠI TỔNG HỢP WINCOMMERCE</v>
      </c>
      <c r="G3923" s="16" t="str">
        <f>VLOOKUP(Table8[[#This Row],[Mã khách hàng]],code_khach_hang[],3,0)</f>
        <v>Miền Bắc đặc biệt 1</v>
      </c>
      <c r="H3923" t="str">
        <f>VLOOKUP(Table8[[#This Row],[Mã khách hàng]],'Khách hàng'!A:D,4,0)</f>
        <v>Food Đức Việt</v>
      </c>
      <c r="I3923" t="str">
        <f>VLOOKUP(Table8[[#This Row],[Mã khách hàng]],'Khách hàng'!A:E,5,0)</f>
        <v>HN0040</v>
      </c>
    </row>
    <row r="3924" spans="1:9">
      <c r="A3924" s="47" t="s">
        <v>13055</v>
      </c>
      <c r="B3924" s="9" t="s">
        <v>5</v>
      </c>
      <c r="C3924" s="36" t="s">
        <v>13095</v>
      </c>
      <c r="D3924" s="21"/>
      <c r="E3924" s="37" t="s">
        <v>11215</v>
      </c>
      <c r="F3924" s="22" t="str">
        <f>VLOOKUP(Table8[[#This Row],[Mã khách hàng]],code_khach_hang[],2,0)</f>
        <v>CHI NHÁNH HÀ NỘI - CÔNG TY CỔ PHẦN DỊCH VỤ THƯƠNG MẠI TỔNG HỢP WINCOMMERCE</v>
      </c>
      <c r="G3924" s="16" t="str">
        <f>VLOOKUP(Table8[[#This Row],[Mã khách hàng]],code_khach_hang[],3,0)</f>
        <v>Miền Bắc đặc biệt 1</v>
      </c>
      <c r="H3924" t="str">
        <f>VLOOKUP(Table8[[#This Row],[Mã khách hàng]],'Khách hàng'!A:D,4,0)</f>
        <v>Food Đức Việt</v>
      </c>
      <c r="I3924" t="str">
        <f>VLOOKUP(Table8[[#This Row],[Mã khách hàng]],'Khách hàng'!A:E,5,0)</f>
        <v>HN0040</v>
      </c>
    </row>
    <row r="3925" spans="1:9">
      <c r="A3925" s="47" t="s">
        <v>13056</v>
      </c>
      <c r="B3925" s="9" t="s">
        <v>5</v>
      </c>
      <c r="C3925" s="36" t="s">
        <v>13096</v>
      </c>
      <c r="D3925" s="21"/>
      <c r="E3925" s="37" t="s">
        <v>11198</v>
      </c>
      <c r="F3925" s="22" t="str">
        <f>VLOOKUP(Table8[[#This Row],[Mã khách hàng]],code_khach_hang[],2,0)</f>
        <v>CHI NHÁNH HẢI PHÒNG - CÔNG TY CỔ PHẦN DỊCH VỤ THƯƠNG MẠI TỔNG HỢP WINCOMMERCE</v>
      </c>
      <c r="G3925" s="16" t="str">
        <f>VLOOKUP(Table8[[#This Row],[Mã khách hàng]],code_khach_hang[],3,0)</f>
        <v>Miền Bắc đặc biệt 3</v>
      </c>
      <c r="H3925" t="str">
        <f>VLOOKUP(Table8[[#This Row],[Mã khách hàng]],'Khách hàng'!A:D,4,0)</f>
        <v>Food Đức Việt</v>
      </c>
      <c r="I3925" t="str">
        <f>VLOOKUP(Table8[[#This Row],[Mã khách hàng]],'Khách hàng'!A:E,5,0)</f>
        <v>HN0040</v>
      </c>
    </row>
    <row r="3926" spans="1:9">
      <c r="A3926" s="47" t="s">
        <v>13057</v>
      </c>
      <c r="B3926" s="9" t="s">
        <v>5</v>
      </c>
      <c r="C3926" s="36" t="s">
        <v>13097</v>
      </c>
      <c r="D3926" s="21"/>
      <c r="E3926" s="37" t="s">
        <v>11218</v>
      </c>
      <c r="F3926" s="22" t="str">
        <f>VLOOKUP(Table8[[#This Row],[Mã khách hàng]],code_khach_hang[],2,0)</f>
        <v>CHI NHÁNH LÀO CAI - CÔNG TY CỔ PHẦN DỊCH VỤ THƯƠNG MẠI TỔNG HỢP WINCOMMERCE</v>
      </c>
      <c r="G3926" s="16" t="str">
        <f>VLOOKUP(Table8[[#This Row],[Mã khách hàng]],code_khach_hang[],3,0)</f>
        <v>Miền Bắc đặc biệt 1</v>
      </c>
      <c r="H3926" t="str">
        <f>VLOOKUP(Table8[[#This Row],[Mã khách hàng]],'Khách hàng'!A:D,4,0)</f>
        <v>Food Đức Việt</v>
      </c>
      <c r="I3926" t="str">
        <f>VLOOKUP(Table8[[#This Row],[Mã khách hàng]],'Khách hàng'!A:E,5,0)</f>
        <v>HN0040</v>
      </c>
    </row>
    <row r="3927" spans="1:9">
      <c r="A3927" s="47" t="s">
        <v>13058</v>
      </c>
      <c r="B3927" s="9" t="s">
        <v>5</v>
      </c>
      <c r="C3927" s="36" t="s">
        <v>13098</v>
      </c>
      <c r="D3927" s="21"/>
      <c r="E3927" s="37" t="s">
        <v>11193</v>
      </c>
      <c r="F3927" s="22" t="str">
        <f>VLOOKUP(Table8[[#This Row],[Mã khách hàng]],code_khach_hang[],2,0)</f>
        <v>CHI NHÁNH BẮC NINH - CÔNG TY CỔ PHẦN DỊCH VỤ THƯƠNG MẠI TỔNG HỢP WINCOMMERCE</v>
      </c>
      <c r="G3927" s="16" t="str">
        <f>VLOOKUP(Table8[[#This Row],[Mã khách hàng]],code_khach_hang[],3,0)</f>
        <v>Miền Bắc đặc biệt 2</v>
      </c>
      <c r="H3927" t="str">
        <f>VLOOKUP(Table8[[#This Row],[Mã khách hàng]],'Khách hàng'!A:D,4,0)</f>
        <v>Food Đức Việt</v>
      </c>
      <c r="I3927" t="str">
        <f>VLOOKUP(Table8[[#This Row],[Mã khách hàng]],'Khách hàng'!A:E,5,0)</f>
        <v>HN0040</v>
      </c>
    </row>
    <row r="3928" spans="1:9">
      <c r="A3928" s="47" t="s">
        <v>13059</v>
      </c>
      <c r="B3928" s="9" t="s">
        <v>5</v>
      </c>
      <c r="C3928" s="36" t="s">
        <v>13099</v>
      </c>
      <c r="D3928" s="21"/>
      <c r="E3928" s="37" t="s">
        <v>11193</v>
      </c>
      <c r="F3928" s="22" t="str">
        <f>VLOOKUP(Table8[[#This Row],[Mã khách hàng]],code_khach_hang[],2,0)</f>
        <v>CHI NHÁNH BẮC NINH - CÔNG TY CỔ PHẦN DỊCH VỤ THƯƠNG MẠI TỔNG HỢP WINCOMMERCE</v>
      </c>
      <c r="G3928" s="16" t="str">
        <f>VLOOKUP(Table8[[#This Row],[Mã khách hàng]],code_khach_hang[],3,0)</f>
        <v>Miền Bắc đặc biệt 2</v>
      </c>
      <c r="H3928" t="str">
        <f>VLOOKUP(Table8[[#This Row],[Mã khách hàng]],'Khách hàng'!A:D,4,0)</f>
        <v>Food Đức Việt</v>
      </c>
      <c r="I3928" t="str">
        <f>VLOOKUP(Table8[[#This Row],[Mã khách hàng]],'Khách hàng'!A:E,5,0)</f>
        <v>HN0040</v>
      </c>
    </row>
    <row r="3929" spans="1:9">
      <c r="A3929" s="47" t="s">
        <v>13060</v>
      </c>
      <c r="B3929" s="9" t="s">
        <v>5</v>
      </c>
      <c r="C3929" s="36" t="s">
        <v>13100</v>
      </c>
      <c r="D3929" s="21"/>
      <c r="E3929" s="37" t="s">
        <v>11199</v>
      </c>
      <c r="F3929" s="22" t="str">
        <f>VLOOKUP(Table8[[#This Row],[Mã khách hàng]],code_khach_hang[],2,0)</f>
        <v>CHI NHÁNH PHÚ THỌ - CÔNG TY CỔ PHẦN DỊCH VỤ THƯƠNG MẠI TỔNG HỢP WINCOMMERCE</v>
      </c>
      <c r="G3929" s="16" t="str">
        <f>VLOOKUP(Table8[[#This Row],[Mã khách hàng]],code_khach_hang[],3,0)</f>
        <v>Miền Bắc đặc biệt 1</v>
      </c>
      <c r="H3929" t="str">
        <f>VLOOKUP(Table8[[#This Row],[Mã khách hàng]],'Khách hàng'!A:D,4,0)</f>
        <v>Food Đức Việt</v>
      </c>
      <c r="I3929" t="str">
        <f>VLOOKUP(Table8[[#This Row],[Mã khách hàng]],'Khách hàng'!A:E,5,0)</f>
        <v>HN0040</v>
      </c>
    </row>
    <row r="3930" spans="1:9">
      <c r="A3930" s="47" t="s">
        <v>13061</v>
      </c>
      <c r="B3930" s="9" t="s">
        <v>5</v>
      </c>
      <c r="C3930" s="36" t="s">
        <v>13101</v>
      </c>
      <c r="D3930" s="21"/>
      <c r="E3930" s="37" t="s">
        <v>11199</v>
      </c>
      <c r="F3930" s="22" t="str">
        <f>VLOOKUP(Table8[[#This Row],[Mã khách hàng]],code_khach_hang[],2,0)</f>
        <v>CHI NHÁNH PHÚ THỌ - CÔNG TY CỔ PHẦN DỊCH VỤ THƯƠNG MẠI TỔNG HỢP WINCOMMERCE</v>
      </c>
      <c r="G3930" s="16" t="str">
        <f>VLOOKUP(Table8[[#This Row],[Mã khách hàng]],code_khach_hang[],3,0)</f>
        <v>Miền Bắc đặc biệt 1</v>
      </c>
      <c r="H3930" t="str">
        <f>VLOOKUP(Table8[[#This Row],[Mã khách hàng]],'Khách hàng'!A:D,4,0)</f>
        <v>Food Đức Việt</v>
      </c>
      <c r="I3930" t="str">
        <f>VLOOKUP(Table8[[#This Row],[Mã khách hàng]],'Khách hàng'!A:E,5,0)</f>
        <v>HN0040</v>
      </c>
    </row>
    <row r="3931" spans="1:9">
      <c r="A3931" s="47" t="s">
        <v>13062</v>
      </c>
      <c r="B3931" s="9" t="s">
        <v>5</v>
      </c>
      <c r="C3931" s="36" t="s">
        <v>13102</v>
      </c>
      <c r="D3931" s="21"/>
      <c r="E3931" s="37" t="s">
        <v>11218</v>
      </c>
      <c r="F3931" s="22" t="str">
        <f>VLOOKUP(Table8[[#This Row],[Mã khách hàng]],code_khach_hang[],2,0)</f>
        <v>CHI NHÁNH LÀO CAI - CÔNG TY CỔ PHẦN DỊCH VỤ THƯƠNG MẠI TỔNG HỢP WINCOMMERCE</v>
      </c>
      <c r="G3931" s="16" t="str">
        <f>VLOOKUP(Table8[[#This Row],[Mã khách hàng]],code_khach_hang[],3,0)</f>
        <v>Miền Bắc đặc biệt 1</v>
      </c>
      <c r="H3931" t="str">
        <f>VLOOKUP(Table8[[#This Row],[Mã khách hàng]],'Khách hàng'!A:D,4,0)</f>
        <v>Food Đức Việt</v>
      </c>
      <c r="I3931" t="str">
        <f>VLOOKUP(Table8[[#This Row],[Mã khách hàng]],'Khách hàng'!A:E,5,0)</f>
        <v>HN0040</v>
      </c>
    </row>
    <row r="3932" spans="1:9">
      <c r="A3932" s="47" t="s">
        <v>13063</v>
      </c>
      <c r="B3932" s="9" t="s">
        <v>5</v>
      </c>
      <c r="C3932" s="36" t="s">
        <v>13103</v>
      </c>
      <c r="D3932" s="21"/>
      <c r="E3932" s="37" t="s">
        <v>11215</v>
      </c>
      <c r="F3932" s="22" t="str">
        <f>VLOOKUP(Table8[[#This Row],[Mã khách hàng]],code_khach_hang[],2,0)</f>
        <v>CHI NHÁNH HÀ NỘI - CÔNG TY CỔ PHẦN DỊCH VỤ THƯƠNG MẠI TỔNG HỢP WINCOMMERCE</v>
      </c>
      <c r="G3932" s="16" t="str">
        <f>VLOOKUP(Table8[[#This Row],[Mã khách hàng]],code_khach_hang[],3,0)</f>
        <v>Miền Bắc đặc biệt 1</v>
      </c>
      <c r="H3932" t="str">
        <f>VLOOKUP(Table8[[#This Row],[Mã khách hàng]],'Khách hàng'!A:D,4,0)</f>
        <v>Food Đức Việt</v>
      </c>
      <c r="I3932" t="str">
        <f>VLOOKUP(Table8[[#This Row],[Mã khách hàng]],'Khách hàng'!A:E,5,0)</f>
        <v>HN0040</v>
      </c>
    </row>
    <row r="3933" spans="1:9">
      <c r="A3933" s="47" t="s">
        <v>13064</v>
      </c>
      <c r="B3933" s="9" t="s">
        <v>5</v>
      </c>
      <c r="C3933" s="36" t="s">
        <v>13104</v>
      </c>
      <c r="D3933" s="21"/>
      <c r="E3933" s="37" t="s">
        <v>11199</v>
      </c>
      <c r="F3933" s="22" t="str">
        <f>VLOOKUP(Table8[[#This Row],[Mã khách hàng]],code_khach_hang[],2,0)</f>
        <v>CHI NHÁNH PHÚ THỌ - CÔNG TY CỔ PHẦN DỊCH VỤ THƯƠNG MẠI TỔNG HỢP WINCOMMERCE</v>
      </c>
      <c r="G3933" s="16" t="str">
        <f>VLOOKUP(Table8[[#This Row],[Mã khách hàng]],code_khach_hang[],3,0)</f>
        <v>Miền Bắc đặc biệt 1</v>
      </c>
      <c r="H3933" t="str">
        <f>VLOOKUP(Table8[[#This Row],[Mã khách hàng]],'Khách hàng'!A:D,4,0)</f>
        <v>Food Đức Việt</v>
      </c>
      <c r="I3933" t="str">
        <f>VLOOKUP(Table8[[#This Row],[Mã khách hàng]],'Khách hàng'!A:E,5,0)</f>
        <v>HN0040</v>
      </c>
    </row>
    <row r="3934" spans="1:9">
      <c r="A3934" s="47" t="s">
        <v>13065</v>
      </c>
      <c r="B3934" s="9" t="s">
        <v>5</v>
      </c>
      <c r="C3934" s="36" t="s">
        <v>13105</v>
      </c>
      <c r="D3934" s="21"/>
      <c r="E3934" s="37" t="s">
        <v>11193</v>
      </c>
      <c r="F3934" s="22" t="str">
        <f>VLOOKUP(Table8[[#This Row],[Mã khách hàng]],code_khach_hang[],2,0)</f>
        <v>CHI NHÁNH BẮC NINH - CÔNG TY CỔ PHẦN DỊCH VỤ THƯƠNG MẠI TỔNG HỢP WINCOMMERCE</v>
      </c>
      <c r="G3934" s="16" t="str">
        <f>VLOOKUP(Table8[[#This Row],[Mã khách hàng]],code_khach_hang[],3,0)</f>
        <v>Miền Bắc đặc biệt 2</v>
      </c>
      <c r="H3934" t="str">
        <f>VLOOKUP(Table8[[#This Row],[Mã khách hàng]],'Khách hàng'!A:D,4,0)</f>
        <v>Food Đức Việt</v>
      </c>
      <c r="I3934" t="str">
        <f>VLOOKUP(Table8[[#This Row],[Mã khách hàng]],'Khách hàng'!A:E,5,0)</f>
        <v>HN0040</v>
      </c>
    </row>
    <row r="3935" spans="1:9">
      <c r="A3935" s="47" t="s">
        <v>13066</v>
      </c>
      <c r="B3935" s="9" t="s">
        <v>5</v>
      </c>
      <c r="C3935" s="36" t="s">
        <v>13106</v>
      </c>
      <c r="D3935" s="21"/>
      <c r="E3935" s="37" t="s">
        <v>11216</v>
      </c>
      <c r="F3935" s="22" t="str">
        <f>VLOOKUP(Table8[[#This Row],[Mã khách hàng]],code_khach_hang[],2,0)</f>
        <v>CHI NHÁNH HƯNG YÊN - CÔNG TY CỔ PHẦN DỊCH VỤ THƯƠNG MẠI TỔNG HỢP WINCOMMERCE</v>
      </c>
      <c r="G3935" s="16" t="str">
        <f>VLOOKUP(Table8[[#This Row],[Mã khách hàng]],code_khach_hang[],3,0)</f>
        <v>Miền Bắc đặc biệt 1</v>
      </c>
      <c r="H3935" t="str">
        <f>VLOOKUP(Table8[[#This Row],[Mã khách hàng]],'Khách hàng'!A:D,4,0)</f>
        <v>Food Đức Việt</v>
      </c>
      <c r="I3935" t="str">
        <f>VLOOKUP(Table8[[#This Row],[Mã khách hàng]],'Khách hàng'!A:E,5,0)</f>
        <v>HN0040</v>
      </c>
    </row>
    <row r="3936" spans="1:9">
      <c r="A3936" s="47" t="s">
        <v>13067</v>
      </c>
      <c r="B3936" s="9" t="s">
        <v>5</v>
      </c>
      <c r="C3936" s="36" t="s">
        <v>13107</v>
      </c>
      <c r="D3936" s="21"/>
      <c r="E3936" s="37" t="s">
        <v>11199</v>
      </c>
      <c r="F3936" s="22" t="str">
        <f>VLOOKUP(Table8[[#This Row],[Mã khách hàng]],code_khach_hang[],2,0)</f>
        <v>CHI NHÁNH PHÚ THỌ - CÔNG TY CỔ PHẦN DỊCH VỤ THƯƠNG MẠI TỔNG HỢP WINCOMMERCE</v>
      </c>
      <c r="G3936" s="16" t="str">
        <f>VLOOKUP(Table8[[#This Row],[Mã khách hàng]],code_khach_hang[],3,0)</f>
        <v>Miền Bắc đặc biệt 1</v>
      </c>
      <c r="H3936" t="str">
        <f>VLOOKUP(Table8[[#This Row],[Mã khách hàng]],'Khách hàng'!A:D,4,0)</f>
        <v>Food Đức Việt</v>
      </c>
      <c r="I3936" t="str">
        <f>VLOOKUP(Table8[[#This Row],[Mã khách hàng]],'Khách hàng'!A:E,5,0)</f>
        <v>HN0040</v>
      </c>
    </row>
    <row r="3937" spans="1:9">
      <c r="A3937" s="47" t="s">
        <v>13068</v>
      </c>
      <c r="B3937" s="9" t="s">
        <v>5</v>
      </c>
      <c r="C3937" s="36" t="s">
        <v>13108</v>
      </c>
      <c r="D3937" s="21"/>
      <c r="E3937" s="37" t="s">
        <v>11215</v>
      </c>
      <c r="F3937" s="22" t="str">
        <f>VLOOKUP(Table8[[#This Row],[Mã khách hàng]],code_khach_hang[],2,0)</f>
        <v>CHI NHÁNH HÀ NỘI - CÔNG TY CỔ PHẦN DỊCH VỤ THƯƠNG MẠI TỔNG HỢP WINCOMMERCE</v>
      </c>
      <c r="G3937" s="16" t="str">
        <f>VLOOKUP(Table8[[#This Row],[Mã khách hàng]],code_khach_hang[],3,0)</f>
        <v>Miền Bắc đặc biệt 1</v>
      </c>
      <c r="H3937" t="str">
        <f>VLOOKUP(Table8[[#This Row],[Mã khách hàng]],'Khách hàng'!A:D,4,0)</f>
        <v>Food Đức Việt</v>
      </c>
      <c r="I3937" t="str">
        <f>VLOOKUP(Table8[[#This Row],[Mã khách hàng]],'Khách hàng'!A:E,5,0)</f>
        <v>HN0040</v>
      </c>
    </row>
    <row r="3938" spans="1:9">
      <c r="A3938" s="47" t="s">
        <v>13069</v>
      </c>
      <c r="B3938" s="9" t="s">
        <v>5</v>
      </c>
      <c r="C3938" s="36" t="s">
        <v>13109</v>
      </c>
      <c r="D3938" s="21"/>
      <c r="E3938" s="37" t="s">
        <v>11199</v>
      </c>
      <c r="F3938" s="22" t="str">
        <f>VLOOKUP(Table8[[#This Row],[Mã khách hàng]],code_khach_hang[],2,0)</f>
        <v>CHI NHÁNH PHÚ THỌ - CÔNG TY CỔ PHẦN DỊCH VỤ THƯƠNG MẠI TỔNG HỢP WINCOMMERCE</v>
      </c>
      <c r="G3938" s="16" t="str">
        <f>VLOOKUP(Table8[[#This Row],[Mã khách hàng]],code_khach_hang[],3,0)</f>
        <v>Miền Bắc đặc biệt 1</v>
      </c>
      <c r="H3938" t="str">
        <f>VLOOKUP(Table8[[#This Row],[Mã khách hàng]],'Khách hàng'!A:D,4,0)</f>
        <v>Food Đức Việt</v>
      </c>
      <c r="I3938" t="str">
        <f>VLOOKUP(Table8[[#This Row],[Mã khách hàng]],'Khách hàng'!A:E,5,0)</f>
        <v>HN0040</v>
      </c>
    </row>
    <row r="3939" spans="1:9">
      <c r="A3939" s="47" t="s">
        <v>13070</v>
      </c>
      <c r="B3939" s="9" t="s">
        <v>5</v>
      </c>
      <c r="C3939" s="36" t="s">
        <v>13110</v>
      </c>
      <c r="D3939" s="21"/>
      <c r="E3939" s="37" t="s">
        <v>11207</v>
      </c>
      <c r="F3939" s="22" t="str">
        <f>VLOOKUP(Table8[[#This Row],[Mã khách hàng]],code_khach_hang[],2,0)</f>
        <v>CHI NHÁNH THÁI NGUYÊN - CÔNG TY CỔ PHẦN DỊCH VỤ THƯƠNG MẠI TỔNG HỢP WINCOMMERCE</v>
      </c>
      <c r="G3939" s="16" t="str">
        <f>VLOOKUP(Table8[[#This Row],[Mã khách hàng]],code_khach_hang[],3,0)</f>
        <v>Miền Bắc đặc biệt 2</v>
      </c>
      <c r="H3939" t="str">
        <f>VLOOKUP(Table8[[#This Row],[Mã khách hàng]],'Khách hàng'!A:D,4,0)</f>
        <v>Food Đức Việt</v>
      </c>
      <c r="I3939" t="str">
        <f>VLOOKUP(Table8[[#This Row],[Mã khách hàng]],'Khách hàng'!A:E,5,0)</f>
        <v>HN0040</v>
      </c>
    </row>
    <row r="3940" spans="1:9">
      <c r="A3940" s="47" t="s">
        <v>13071</v>
      </c>
      <c r="B3940" s="9" t="s">
        <v>5</v>
      </c>
      <c r="C3940" s="36" t="s">
        <v>13111</v>
      </c>
      <c r="D3940" s="21"/>
      <c r="E3940" s="37" t="s">
        <v>11196</v>
      </c>
      <c r="F3940" s="22" t="str">
        <f>VLOOKUP(Table8[[#This Row],[Mã khách hàng]],code_khach_hang[],2,0)</f>
        <v>CHI NHÁNH NINH BÌNH - CÔNG TY CỔ PHẦN DỊCH VỤ THƯƠNG MẠI TỔNG HỢP WINCOMMERCE</v>
      </c>
      <c r="G3940" s="16" t="str">
        <f>VLOOKUP(Table8[[#This Row],[Mã khách hàng]],code_khach_hang[],3,0)</f>
        <v>Miền Bắc đặc biệt 3</v>
      </c>
      <c r="H3940" t="str">
        <f>VLOOKUP(Table8[[#This Row],[Mã khách hàng]],'Khách hàng'!A:D,4,0)</f>
        <v>Food Đức Việt</v>
      </c>
      <c r="I3940" t="str">
        <f>VLOOKUP(Table8[[#This Row],[Mã khách hàng]],'Khách hàng'!A:E,5,0)</f>
        <v>HN0040</v>
      </c>
    </row>
    <row r="3941" spans="1:9">
      <c r="A3941" s="47" t="s">
        <v>13072</v>
      </c>
      <c r="B3941" s="9" t="s">
        <v>5</v>
      </c>
      <c r="C3941" s="36" t="s">
        <v>13112</v>
      </c>
      <c r="D3941" s="21"/>
      <c r="E3941" s="37" t="s">
        <v>11215</v>
      </c>
      <c r="F3941" s="22" t="str">
        <f>VLOOKUP(Table8[[#This Row],[Mã khách hàng]],code_khach_hang[],2,0)</f>
        <v>CHI NHÁNH HÀ NỘI - CÔNG TY CỔ PHẦN DỊCH VỤ THƯƠNG MẠI TỔNG HỢP WINCOMMERCE</v>
      </c>
      <c r="G3941" s="16" t="str">
        <f>VLOOKUP(Table8[[#This Row],[Mã khách hàng]],code_khach_hang[],3,0)</f>
        <v>Miền Bắc đặc biệt 1</v>
      </c>
      <c r="H3941" t="str">
        <f>VLOOKUP(Table8[[#This Row],[Mã khách hàng]],'Khách hàng'!A:D,4,0)</f>
        <v>Food Đức Việt</v>
      </c>
      <c r="I3941" t="str">
        <f>VLOOKUP(Table8[[#This Row],[Mã khách hàng]],'Khách hàng'!A:E,5,0)</f>
        <v>HN0040</v>
      </c>
    </row>
    <row r="3942" spans="1:9">
      <c r="A3942" s="47" t="s">
        <v>13073</v>
      </c>
      <c r="B3942" s="9" t="s">
        <v>5</v>
      </c>
      <c r="C3942" s="36" t="s">
        <v>13113</v>
      </c>
      <c r="D3942" s="21"/>
      <c r="E3942" s="37" t="s">
        <v>11196</v>
      </c>
      <c r="F3942" s="22" t="str">
        <f>VLOOKUP(Table8[[#This Row],[Mã khách hàng]],code_khach_hang[],2,0)</f>
        <v>CHI NHÁNH NINH BÌNH - CÔNG TY CỔ PHẦN DỊCH VỤ THƯƠNG MẠI TỔNG HỢP WINCOMMERCE</v>
      </c>
      <c r="G3942" s="16" t="str">
        <f>VLOOKUP(Table8[[#This Row],[Mã khách hàng]],code_khach_hang[],3,0)</f>
        <v>Miền Bắc đặc biệt 3</v>
      </c>
      <c r="H3942" t="str">
        <f>VLOOKUP(Table8[[#This Row],[Mã khách hàng]],'Khách hàng'!A:D,4,0)</f>
        <v>Food Đức Việt</v>
      </c>
      <c r="I3942" t="str">
        <f>VLOOKUP(Table8[[#This Row],[Mã khách hàng]],'Khách hàng'!A:E,5,0)</f>
        <v>HN0040</v>
      </c>
    </row>
    <row r="3943" spans="1:9">
      <c r="A3943" s="47" t="s">
        <v>13074</v>
      </c>
      <c r="B3943" s="9" t="s">
        <v>5</v>
      </c>
      <c r="C3943" s="36" t="s">
        <v>13114</v>
      </c>
      <c r="D3943" s="21"/>
      <c r="E3943" s="37" t="s">
        <v>11216</v>
      </c>
      <c r="F3943" s="22" t="str">
        <f>VLOOKUP(Table8[[#This Row],[Mã khách hàng]],code_khach_hang[],2,0)</f>
        <v>CHI NHÁNH HƯNG YÊN - CÔNG TY CỔ PHẦN DỊCH VỤ THƯƠNG MẠI TỔNG HỢP WINCOMMERCE</v>
      </c>
      <c r="G3943" s="16" t="str">
        <f>VLOOKUP(Table8[[#This Row],[Mã khách hàng]],code_khach_hang[],3,0)</f>
        <v>Miền Bắc đặc biệt 1</v>
      </c>
      <c r="H3943" t="str">
        <f>VLOOKUP(Table8[[#This Row],[Mã khách hàng]],'Khách hàng'!A:D,4,0)</f>
        <v>Food Đức Việt</v>
      </c>
      <c r="I3943" t="str">
        <f>VLOOKUP(Table8[[#This Row],[Mã khách hàng]],'Khách hàng'!A:E,5,0)</f>
        <v>HN0040</v>
      </c>
    </row>
    <row r="3944" spans="1:9">
      <c r="A3944" s="47" t="s">
        <v>13075</v>
      </c>
      <c r="B3944" s="9" t="s">
        <v>5</v>
      </c>
      <c r="C3944" s="36" t="s">
        <v>13115</v>
      </c>
      <c r="D3944" s="21"/>
      <c r="E3944" s="37" t="s">
        <v>11196</v>
      </c>
      <c r="F3944" s="22" t="str">
        <f>VLOOKUP(Table8[[#This Row],[Mã khách hàng]],code_khach_hang[],2,0)</f>
        <v>CHI NHÁNH NINH BÌNH - CÔNG TY CỔ PHẦN DỊCH VỤ THƯƠNG MẠI TỔNG HỢP WINCOMMERCE</v>
      </c>
      <c r="G3944" s="16" t="str">
        <f>VLOOKUP(Table8[[#This Row],[Mã khách hàng]],code_khach_hang[],3,0)</f>
        <v>Miền Bắc đặc biệt 3</v>
      </c>
      <c r="H3944" t="str">
        <f>VLOOKUP(Table8[[#This Row],[Mã khách hàng]],'Khách hàng'!A:D,4,0)</f>
        <v>Food Đức Việt</v>
      </c>
      <c r="I3944" t="str">
        <f>VLOOKUP(Table8[[#This Row],[Mã khách hàng]],'Khách hàng'!A:E,5,0)</f>
        <v>HN0040</v>
      </c>
    </row>
    <row r="3945" spans="1:9">
      <c r="A3945" s="47" t="s">
        <v>13076</v>
      </c>
      <c r="B3945" s="9" t="s">
        <v>5</v>
      </c>
      <c r="C3945" s="36" t="s">
        <v>13116</v>
      </c>
      <c r="D3945" s="21"/>
      <c r="E3945" s="37" t="s">
        <v>11215</v>
      </c>
      <c r="F3945" s="22" t="str">
        <f>VLOOKUP(Table8[[#This Row],[Mã khách hàng]],code_khach_hang[],2,0)</f>
        <v>CHI NHÁNH HÀ NỘI - CÔNG TY CỔ PHẦN DỊCH VỤ THƯƠNG MẠI TỔNG HỢP WINCOMMERCE</v>
      </c>
      <c r="G3945" s="16" t="str">
        <f>VLOOKUP(Table8[[#This Row],[Mã khách hàng]],code_khach_hang[],3,0)</f>
        <v>Miền Bắc đặc biệt 1</v>
      </c>
      <c r="H3945" t="str">
        <f>VLOOKUP(Table8[[#This Row],[Mã khách hàng]],'Khách hàng'!A:D,4,0)</f>
        <v>Food Đức Việt</v>
      </c>
      <c r="I3945" t="str">
        <f>VLOOKUP(Table8[[#This Row],[Mã khách hàng]],'Khách hàng'!A:E,5,0)</f>
        <v>HN0040</v>
      </c>
    </row>
    <row r="3946" spans="1:9">
      <c r="A3946" s="47" t="s">
        <v>13077</v>
      </c>
      <c r="B3946" s="9" t="s">
        <v>5</v>
      </c>
      <c r="C3946" s="36" t="s">
        <v>13117</v>
      </c>
      <c r="D3946" s="21"/>
      <c r="E3946" s="37" t="s">
        <v>11198</v>
      </c>
      <c r="F3946" s="22" t="str">
        <f>VLOOKUP(Table8[[#This Row],[Mã khách hàng]],code_khach_hang[],2,0)</f>
        <v>CHI NHÁNH HẢI PHÒNG - CÔNG TY CỔ PHẦN DỊCH VỤ THƯƠNG MẠI TỔNG HỢP WINCOMMERCE</v>
      </c>
      <c r="G3946" s="16" t="str">
        <f>VLOOKUP(Table8[[#This Row],[Mã khách hàng]],code_khach_hang[],3,0)</f>
        <v>Miền Bắc đặc biệt 3</v>
      </c>
      <c r="H3946" t="str">
        <f>VLOOKUP(Table8[[#This Row],[Mã khách hàng]],'Khách hàng'!A:D,4,0)</f>
        <v>Food Đức Việt</v>
      </c>
      <c r="I3946" t="str">
        <f>VLOOKUP(Table8[[#This Row],[Mã khách hàng]],'Khách hàng'!A:E,5,0)</f>
        <v>HN0040</v>
      </c>
    </row>
    <row r="3947" spans="1:9">
      <c r="A3947" s="47" t="s">
        <v>13078</v>
      </c>
      <c r="B3947" s="9" t="s">
        <v>5</v>
      </c>
      <c r="C3947" s="36" t="s">
        <v>13118</v>
      </c>
      <c r="D3947" s="21"/>
      <c r="E3947" s="37" t="s">
        <v>11196</v>
      </c>
      <c r="F3947" s="22" t="str">
        <f>VLOOKUP(Table8[[#This Row],[Mã khách hàng]],code_khach_hang[],2,0)</f>
        <v>CHI NHÁNH NINH BÌNH - CÔNG TY CỔ PHẦN DỊCH VỤ THƯƠNG MẠI TỔNG HỢP WINCOMMERCE</v>
      </c>
      <c r="G3947" s="16" t="str">
        <f>VLOOKUP(Table8[[#This Row],[Mã khách hàng]],code_khach_hang[],3,0)</f>
        <v>Miền Bắc đặc biệt 3</v>
      </c>
      <c r="H3947" t="str">
        <f>VLOOKUP(Table8[[#This Row],[Mã khách hàng]],'Khách hàng'!A:D,4,0)</f>
        <v>Food Đức Việt</v>
      </c>
      <c r="I3947" t="str">
        <f>VLOOKUP(Table8[[#This Row],[Mã khách hàng]],'Khách hàng'!A:E,5,0)</f>
        <v>HN0040</v>
      </c>
    </row>
    <row r="3948" spans="1:9">
      <c r="A3948" s="47" t="s">
        <v>13079</v>
      </c>
      <c r="B3948" s="9" t="s">
        <v>5</v>
      </c>
      <c r="C3948" s="36" t="s">
        <v>13119</v>
      </c>
      <c r="D3948" s="21"/>
      <c r="E3948" s="37" t="s">
        <v>11199</v>
      </c>
      <c r="F3948" s="22" t="str">
        <f>VLOOKUP(Table8[[#This Row],[Mã khách hàng]],code_khach_hang[],2,0)</f>
        <v>CHI NHÁNH PHÚ THỌ - CÔNG TY CỔ PHẦN DỊCH VỤ THƯƠNG MẠI TỔNG HỢP WINCOMMERCE</v>
      </c>
      <c r="G3948" s="16" t="str">
        <f>VLOOKUP(Table8[[#This Row],[Mã khách hàng]],code_khach_hang[],3,0)</f>
        <v>Miền Bắc đặc biệt 1</v>
      </c>
      <c r="H3948" t="str">
        <f>VLOOKUP(Table8[[#This Row],[Mã khách hàng]],'Khách hàng'!A:D,4,0)</f>
        <v>Food Đức Việt</v>
      </c>
      <c r="I3948" t="str">
        <f>VLOOKUP(Table8[[#This Row],[Mã khách hàng]],'Khách hàng'!A:E,5,0)</f>
        <v>HN0040</v>
      </c>
    </row>
    <row r="3949" spans="1:9">
      <c r="A3949" s="47" t="s">
        <v>13080</v>
      </c>
      <c r="B3949" s="9" t="s">
        <v>5</v>
      </c>
      <c r="C3949" s="36" t="s">
        <v>13120</v>
      </c>
      <c r="D3949" s="21"/>
      <c r="E3949" s="37" t="s">
        <v>11221</v>
      </c>
      <c r="F3949" s="22" t="str">
        <f>VLOOKUP(Table8[[#This Row],[Mã khách hàng]],code_khach_hang[],2,0)</f>
        <v>CHI NHÁNH ĐIỆN BIÊN - CÔNG TY CỔ PHẦN DỊCH VỤ THƯƠNG MẠI TỔNG HỢP WINCOMMERCE</v>
      </c>
      <c r="G3949" s="16" t="str">
        <f>VLOOKUP(Table8[[#This Row],[Mã khách hàng]],code_khach_hang[],3,0)</f>
        <v>Miền Bắc đặc biệt 1</v>
      </c>
      <c r="H3949" t="str">
        <f>VLOOKUP(Table8[[#This Row],[Mã khách hàng]],'Khách hàng'!A:D,4,0)</f>
        <v>Food Đức Việt</v>
      </c>
      <c r="I3949" t="str">
        <f>VLOOKUP(Table8[[#This Row],[Mã khách hàng]],'Khách hàng'!A:E,5,0)</f>
        <v>HN0040</v>
      </c>
    </row>
    <row r="3950" spans="1:9">
      <c r="A3950" s="47" t="s">
        <v>13081</v>
      </c>
      <c r="B3950" s="9" t="s">
        <v>5</v>
      </c>
      <c r="C3950" s="36" t="s">
        <v>13121</v>
      </c>
      <c r="D3950" s="21"/>
      <c r="E3950" s="37" t="s">
        <v>11216</v>
      </c>
      <c r="F3950" s="22" t="str">
        <f>VLOOKUP(Table8[[#This Row],[Mã khách hàng]],code_khach_hang[],2,0)</f>
        <v>CHI NHÁNH HƯNG YÊN - CÔNG TY CỔ PHẦN DỊCH VỤ THƯƠNG MẠI TỔNG HỢP WINCOMMERCE</v>
      </c>
      <c r="G3950" s="16" t="str">
        <f>VLOOKUP(Table8[[#This Row],[Mã khách hàng]],code_khach_hang[],3,0)</f>
        <v>Miền Bắc đặc biệt 1</v>
      </c>
      <c r="H3950" t="str">
        <f>VLOOKUP(Table8[[#This Row],[Mã khách hàng]],'Khách hàng'!A:D,4,0)</f>
        <v>Food Đức Việt</v>
      </c>
      <c r="I3950" t="str">
        <f>VLOOKUP(Table8[[#This Row],[Mã khách hàng]],'Khách hàng'!A:E,5,0)</f>
        <v>HN0040</v>
      </c>
    </row>
    <row r="3951" spans="1:9">
      <c r="A3951" s="47" t="s">
        <v>13082</v>
      </c>
      <c r="B3951" s="9" t="s">
        <v>5</v>
      </c>
      <c r="C3951" s="36" t="s">
        <v>13122</v>
      </c>
      <c r="D3951" s="21"/>
      <c r="E3951" s="37" t="s">
        <v>11196</v>
      </c>
      <c r="F3951" s="22" t="str">
        <f>VLOOKUP(Table8[[#This Row],[Mã khách hàng]],code_khach_hang[],2,0)</f>
        <v>CHI NHÁNH NINH BÌNH - CÔNG TY CỔ PHẦN DỊCH VỤ THƯƠNG MẠI TỔNG HỢP WINCOMMERCE</v>
      </c>
      <c r="G3951" s="16" t="str">
        <f>VLOOKUP(Table8[[#This Row],[Mã khách hàng]],code_khach_hang[],3,0)</f>
        <v>Miền Bắc đặc biệt 3</v>
      </c>
      <c r="H3951" t="str">
        <f>VLOOKUP(Table8[[#This Row],[Mã khách hàng]],'Khách hàng'!A:D,4,0)</f>
        <v>Food Đức Việt</v>
      </c>
      <c r="I3951" t="str">
        <f>VLOOKUP(Table8[[#This Row],[Mã khách hàng]],'Khách hàng'!A:E,5,0)</f>
        <v>HN0040</v>
      </c>
    </row>
    <row r="3952" spans="1:9">
      <c r="A3952" s="47" t="s">
        <v>13083</v>
      </c>
      <c r="B3952" s="9" t="s">
        <v>5</v>
      </c>
      <c r="C3952" s="36" t="s">
        <v>13123</v>
      </c>
      <c r="D3952" s="21"/>
      <c r="E3952" s="37" t="s">
        <v>11199</v>
      </c>
      <c r="F3952" s="22" t="str">
        <f>VLOOKUP(Table8[[#This Row],[Mã khách hàng]],code_khach_hang[],2,0)</f>
        <v>CHI NHÁNH PHÚ THỌ - CÔNG TY CỔ PHẦN DỊCH VỤ THƯƠNG MẠI TỔNG HỢP WINCOMMERCE</v>
      </c>
      <c r="G3952" s="16" t="str">
        <f>VLOOKUP(Table8[[#This Row],[Mã khách hàng]],code_khach_hang[],3,0)</f>
        <v>Miền Bắc đặc biệt 1</v>
      </c>
      <c r="H3952" t="str">
        <f>VLOOKUP(Table8[[#This Row],[Mã khách hàng]],'Khách hàng'!A:D,4,0)</f>
        <v>Food Đức Việt</v>
      </c>
      <c r="I3952" t="str">
        <f>VLOOKUP(Table8[[#This Row],[Mã khách hàng]],'Khách hàng'!A:E,5,0)</f>
        <v>HN0040</v>
      </c>
    </row>
    <row r="3953" spans="1:9">
      <c r="A3953" s="47" t="s">
        <v>13084</v>
      </c>
      <c r="B3953" s="9" t="s">
        <v>5</v>
      </c>
      <c r="C3953" s="36" t="s">
        <v>13124</v>
      </c>
      <c r="D3953" s="21"/>
      <c r="E3953" s="37" t="s">
        <v>11215</v>
      </c>
      <c r="F3953" s="22" t="str">
        <f>VLOOKUP(Table8[[#This Row],[Mã khách hàng]],code_khach_hang[],2,0)</f>
        <v>CHI NHÁNH HÀ NỘI - CÔNG TY CỔ PHẦN DỊCH VỤ THƯƠNG MẠI TỔNG HỢP WINCOMMERCE</v>
      </c>
      <c r="G3953" s="16" t="str">
        <f>VLOOKUP(Table8[[#This Row],[Mã khách hàng]],code_khach_hang[],3,0)</f>
        <v>Miền Bắc đặc biệt 1</v>
      </c>
      <c r="H3953" t="str">
        <f>VLOOKUP(Table8[[#This Row],[Mã khách hàng]],'Khách hàng'!A:D,4,0)</f>
        <v>Food Đức Việt</v>
      </c>
      <c r="I3953" t="str">
        <f>VLOOKUP(Table8[[#This Row],[Mã khách hàng]],'Khách hàng'!A:E,5,0)</f>
        <v>HN0040</v>
      </c>
    </row>
    <row r="3954" spans="1:9">
      <c r="A3954" s="47" t="s">
        <v>13085</v>
      </c>
      <c r="B3954" s="9" t="s">
        <v>5</v>
      </c>
      <c r="C3954" s="36" t="s">
        <v>13125</v>
      </c>
      <c r="D3954" s="21"/>
      <c r="E3954" s="37" t="s">
        <v>11199</v>
      </c>
      <c r="F3954" s="22" t="str">
        <f>VLOOKUP(Table8[[#This Row],[Mã khách hàng]],code_khach_hang[],2,0)</f>
        <v>CHI NHÁNH PHÚ THỌ - CÔNG TY CỔ PHẦN DỊCH VỤ THƯƠNG MẠI TỔNG HỢP WINCOMMERCE</v>
      </c>
      <c r="G3954" s="16" t="str">
        <f>VLOOKUP(Table8[[#This Row],[Mã khách hàng]],code_khach_hang[],3,0)</f>
        <v>Miền Bắc đặc biệt 1</v>
      </c>
      <c r="H3954" t="str">
        <f>VLOOKUP(Table8[[#This Row],[Mã khách hàng]],'Khách hàng'!A:D,4,0)</f>
        <v>Food Đức Việt</v>
      </c>
      <c r="I3954" t="str">
        <f>VLOOKUP(Table8[[#This Row],[Mã khách hàng]],'Khách hàng'!A:E,5,0)</f>
        <v>HN0040</v>
      </c>
    </row>
    <row r="3955" spans="1:9">
      <c r="A3955" s="47" t="s">
        <v>13086</v>
      </c>
      <c r="B3955" s="9" t="s">
        <v>5</v>
      </c>
      <c r="C3955" s="36" t="s">
        <v>13126</v>
      </c>
      <c r="D3955" s="21"/>
      <c r="E3955" s="37" t="s">
        <v>11199</v>
      </c>
      <c r="F3955" s="22" t="str">
        <f>VLOOKUP(Table8[[#This Row],[Mã khách hàng]],code_khach_hang[],2,0)</f>
        <v>CHI NHÁNH PHÚ THỌ - CÔNG TY CỔ PHẦN DỊCH VỤ THƯƠNG MẠI TỔNG HỢP WINCOMMERCE</v>
      </c>
      <c r="G3955" s="16" t="str">
        <f>VLOOKUP(Table8[[#This Row],[Mã khách hàng]],code_khach_hang[],3,0)</f>
        <v>Miền Bắc đặc biệt 1</v>
      </c>
      <c r="H3955" t="str">
        <f>VLOOKUP(Table8[[#This Row],[Mã khách hàng]],'Khách hàng'!A:D,4,0)</f>
        <v>Food Đức Việt</v>
      </c>
      <c r="I3955" t="str">
        <f>VLOOKUP(Table8[[#This Row],[Mã khách hàng]],'Khách hàng'!A:E,5,0)</f>
        <v>HN0040</v>
      </c>
    </row>
    <row r="3956" spans="1:9">
      <c r="A3956" s="47" t="s">
        <v>13087</v>
      </c>
      <c r="B3956" s="9" t="s">
        <v>5</v>
      </c>
      <c r="C3956" s="36" t="s">
        <v>13127</v>
      </c>
      <c r="D3956" s="21"/>
      <c r="E3956" s="37" t="s">
        <v>11199</v>
      </c>
      <c r="F3956" s="22" t="str">
        <f>VLOOKUP(Table8[[#This Row],[Mã khách hàng]],code_khach_hang[],2,0)</f>
        <v>CHI NHÁNH PHÚ THỌ - CÔNG TY CỔ PHẦN DỊCH VỤ THƯƠNG MẠI TỔNG HỢP WINCOMMERCE</v>
      </c>
      <c r="G3956" s="16" t="str">
        <f>VLOOKUP(Table8[[#This Row],[Mã khách hàng]],code_khach_hang[],3,0)</f>
        <v>Miền Bắc đặc biệt 1</v>
      </c>
      <c r="H3956" t="str">
        <f>VLOOKUP(Table8[[#This Row],[Mã khách hàng]],'Khách hàng'!A:D,4,0)</f>
        <v>Food Đức Việt</v>
      </c>
      <c r="I3956" t="str">
        <f>VLOOKUP(Table8[[#This Row],[Mã khách hàng]],'Khách hàng'!A:E,5,0)</f>
        <v>HN0040</v>
      </c>
    </row>
    <row r="3957" spans="1:9">
      <c r="A3957" s="47" t="s">
        <v>13088</v>
      </c>
      <c r="B3957" s="9" t="s">
        <v>5</v>
      </c>
      <c r="C3957" s="36" t="s">
        <v>13128</v>
      </c>
      <c r="D3957" s="21"/>
      <c r="E3957" s="37" t="s">
        <v>11208</v>
      </c>
      <c r="F3957" s="22" t="str">
        <f>VLOOKUP(Table8[[#This Row],[Mã khách hàng]],code_khach_hang[],2,0)</f>
        <v>CHI NHÁNH LẠNG SƠN - CÔNG TY CỔ PHẦN DỊCH VỤ THƯƠNG MẠI TỔNG HỢP WINCOMMERCE</v>
      </c>
      <c r="G3957" s="16" t="str">
        <f>VLOOKUP(Table8[[#This Row],[Mã khách hàng]],code_khach_hang[],3,0)</f>
        <v>Miền Bắc đặc biệt 2</v>
      </c>
      <c r="H3957" t="str">
        <f>VLOOKUP(Table8[[#This Row],[Mã khách hàng]],'Khách hàng'!A:D,4,0)</f>
        <v>Food Đức Việt</v>
      </c>
      <c r="I3957" t="str">
        <f>VLOOKUP(Table8[[#This Row],[Mã khách hàng]],'Khách hàng'!A:E,5,0)</f>
        <v>HN0040</v>
      </c>
    </row>
    <row r="3958" spans="1:9">
      <c r="A3958" s="47" t="s">
        <v>13089</v>
      </c>
      <c r="B3958" s="9" t="s">
        <v>5</v>
      </c>
      <c r="C3958" s="36" t="s">
        <v>13129</v>
      </c>
      <c r="D3958" s="21"/>
      <c r="E3958" s="37" t="s">
        <v>11218</v>
      </c>
      <c r="F3958" s="22" t="str">
        <f>VLOOKUP(Table8[[#This Row],[Mã khách hàng]],code_khach_hang[],2,0)</f>
        <v>CHI NHÁNH LÀO CAI - CÔNG TY CỔ PHẦN DỊCH VỤ THƯƠNG MẠI TỔNG HỢP WINCOMMERCE</v>
      </c>
      <c r="G3958" s="16" t="str">
        <f>VLOOKUP(Table8[[#This Row],[Mã khách hàng]],code_khach_hang[],3,0)</f>
        <v>Miền Bắc đặc biệt 1</v>
      </c>
      <c r="H3958" t="str">
        <f>VLOOKUP(Table8[[#This Row],[Mã khách hàng]],'Khách hàng'!A:D,4,0)</f>
        <v>Food Đức Việt</v>
      </c>
      <c r="I3958" t="str">
        <f>VLOOKUP(Table8[[#This Row],[Mã khách hàng]],'Khách hàng'!A:E,5,0)</f>
        <v>HN0040</v>
      </c>
    </row>
    <row r="3959" spans="1:9">
      <c r="A3959" s="47" t="s">
        <v>13090</v>
      </c>
      <c r="B3959" s="9" t="s">
        <v>5</v>
      </c>
      <c r="C3959" s="36" t="s">
        <v>13130</v>
      </c>
      <c r="D3959" s="21"/>
      <c r="E3959" s="37" t="s">
        <v>11215</v>
      </c>
      <c r="F3959" s="22" t="str">
        <f>VLOOKUP(Table8[[#This Row],[Mã khách hàng]],code_khach_hang[],2,0)</f>
        <v>CHI NHÁNH HÀ NỘI - CÔNG TY CỔ PHẦN DỊCH VỤ THƯƠNG MẠI TỔNG HỢP WINCOMMERCE</v>
      </c>
      <c r="G3959" s="16" t="str">
        <f>VLOOKUP(Table8[[#This Row],[Mã khách hàng]],code_khach_hang[],3,0)</f>
        <v>Miền Bắc đặc biệt 1</v>
      </c>
      <c r="H3959" t="str">
        <f>VLOOKUP(Table8[[#This Row],[Mã khách hàng]],'Khách hàng'!A:D,4,0)</f>
        <v>Food Đức Việt</v>
      </c>
      <c r="I3959" t="str">
        <f>VLOOKUP(Table8[[#This Row],[Mã khách hàng]],'Khách hàng'!A:E,5,0)</f>
        <v>HN0040</v>
      </c>
    </row>
    <row r="3960" spans="1:9">
      <c r="A3960" s="47" t="s">
        <v>13091</v>
      </c>
      <c r="B3960" s="9" t="s">
        <v>5</v>
      </c>
      <c r="C3960" s="36" t="s">
        <v>13131</v>
      </c>
      <c r="D3960" s="21"/>
      <c r="E3960" s="37" t="s">
        <v>11206</v>
      </c>
      <c r="F3960" s="22" t="str">
        <f>VLOOKUP(Table8[[#This Row],[Mã khách hàng]],code_khach_hang[],2,0)</f>
        <v>CHI NHÁNH SƠN LA - CÔNG TY CỔ PHẦN DỊCH VỤ THƯƠNG MẠI TỔNG HỢP WINCOMMERCE</v>
      </c>
      <c r="G3960" s="16" t="str">
        <f>VLOOKUP(Table8[[#This Row],[Mã khách hàng]],code_khach_hang[],3,0)</f>
        <v>Miền Bắc đặc biệt 1</v>
      </c>
      <c r="H3960" t="str">
        <f>VLOOKUP(Table8[[#This Row],[Mã khách hàng]],'Khách hàng'!A:D,4,0)</f>
        <v>Food Đức Việt</v>
      </c>
      <c r="I3960" t="str">
        <f>VLOOKUP(Table8[[#This Row],[Mã khách hàng]],'Khách hàng'!A:E,5,0)</f>
        <v>HN0040</v>
      </c>
    </row>
    <row r="3961" spans="1:9">
      <c r="A3961" s="47" t="s">
        <v>13092</v>
      </c>
      <c r="B3961" s="9" t="s">
        <v>5</v>
      </c>
      <c r="C3961" s="36" t="s">
        <v>13132</v>
      </c>
      <c r="D3961" s="21"/>
      <c r="E3961" s="37" t="s">
        <v>11198</v>
      </c>
      <c r="F3961" s="22" t="str">
        <f>VLOOKUP(Table8[[#This Row],[Mã khách hàng]],code_khach_hang[],2,0)</f>
        <v>CHI NHÁNH HẢI PHÒNG - CÔNG TY CỔ PHẦN DỊCH VỤ THƯƠNG MẠI TỔNG HỢP WINCOMMERCE</v>
      </c>
      <c r="G3961" s="16" t="str">
        <f>VLOOKUP(Table8[[#This Row],[Mã khách hàng]],code_khach_hang[],3,0)</f>
        <v>Miền Bắc đặc biệt 3</v>
      </c>
      <c r="H3961" t="str">
        <f>VLOOKUP(Table8[[#This Row],[Mã khách hàng]],'Khách hàng'!A:D,4,0)</f>
        <v>Food Đức Việt</v>
      </c>
      <c r="I3961" t="str">
        <f>VLOOKUP(Table8[[#This Row],[Mã khách hàng]],'Khách hàng'!A:E,5,0)</f>
        <v>HN0040</v>
      </c>
    </row>
    <row r="3962" spans="1:9">
      <c r="A3962" s="50" t="s">
        <v>13136</v>
      </c>
      <c r="B3962" s="9" t="s">
        <v>5</v>
      </c>
      <c r="C3962" s="10" t="s">
        <v>13137</v>
      </c>
      <c r="D3962" s="21"/>
      <c r="E3962" s="51" t="s">
        <v>11207</v>
      </c>
      <c r="F3962" s="22" t="str">
        <f>VLOOKUP(Table8[[#This Row],[Mã khách hàng]],code_khach_hang[],2,0)</f>
        <v>CHI NHÁNH THÁI NGUYÊN - CÔNG TY CỔ PHẦN DỊCH VỤ THƯƠNG MẠI TỔNG HỢP WINCOMMERCE</v>
      </c>
      <c r="G3962" s="10" t="str">
        <f>VLOOKUP(Table8[[#This Row],[Mã khách hàng]],code_khach_hang[],3,0)</f>
        <v>Miền Bắc đặc biệt 2</v>
      </c>
      <c r="H3962" t="str">
        <f>VLOOKUP(Table8[[#This Row],[Mã khách hàng]],'Khách hàng'!A:D,4,0)</f>
        <v>Food Đức Việt</v>
      </c>
      <c r="I3962" t="str">
        <f>VLOOKUP(Table8[[#This Row],[Mã khách hàng]],'Khách hàng'!A:E,5,0)</f>
        <v>HN0040</v>
      </c>
    </row>
    <row r="3963" spans="1:9">
      <c r="A3963" s="11" t="s">
        <v>13196</v>
      </c>
      <c r="B3963" s="9" t="s">
        <v>5</v>
      </c>
      <c r="C3963" s="10" t="s">
        <v>13219</v>
      </c>
      <c r="D3963" s="21"/>
      <c r="E3963" s="31" t="s">
        <v>11193</v>
      </c>
      <c r="F3963" s="22" t="str">
        <f>VLOOKUP(Table8[[#This Row],[Mã khách hàng]],code_khach_hang[],2,0)</f>
        <v>CHI NHÁNH BẮC NINH - CÔNG TY CỔ PHẦN DỊCH VỤ THƯƠNG MẠI TỔNG HỢP WINCOMMERCE</v>
      </c>
      <c r="G3963" s="10" t="str">
        <f>VLOOKUP(Table8[[#This Row],[Mã khách hàng]],code_khach_hang[],3,0)</f>
        <v>Miền Bắc đặc biệt 2</v>
      </c>
      <c r="H3963" t="str">
        <f>VLOOKUP(Table8[[#This Row],[Mã khách hàng]],'Khách hàng'!A:D,4,0)</f>
        <v>Food Đức Việt</v>
      </c>
      <c r="I3963" t="str">
        <f>VLOOKUP(Table8[[#This Row],[Mã khách hàng]],'Khách hàng'!A:E,5,0)</f>
        <v>HN0040</v>
      </c>
    </row>
    <row r="3964" spans="1:9">
      <c r="A3964" s="11" t="s">
        <v>13197</v>
      </c>
      <c r="B3964" s="9" t="s">
        <v>5</v>
      </c>
      <c r="C3964" s="10" t="s">
        <v>13220</v>
      </c>
      <c r="D3964" s="21"/>
      <c r="E3964" s="31" t="s">
        <v>11193</v>
      </c>
      <c r="F3964" s="22" t="str">
        <f>VLOOKUP(Table8[[#This Row],[Mã khách hàng]],code_khach_hang[],2,0)</f>
        <v>CHI NHÁNH BẮC NINH - CÔNG TY CỔ PHẦN DỊCH VỤ THƯƠNG MẠI TỔNG HỢP WINCOMMERCE</v>
      </c>
      <c r="G3964" s="10" t="str">
        <f>VLOOKUP(Table8[[#This Row],[Mã khách hàng]],code_khach_hang[],3,0)</f>
        <v>Miền Bắc đặc biệt 2</v>
      </c>
      <c r="H3964" t="str">
        <f>VLOOKUP(Table8[[#This Row],[Mã khách hàng]],'Khách hàng'!A:D,4,0)</f>
        <v>Food Đức Việt</v>
      </c>
      <c r="I3964" t="str">
        <f>VLOOKUP(Table8[[#This Row],[Mã khách hàng]],'Khách hàng'!A:E,5,0)</f>
        <v>HN0040</v>
      </c>
    </row>
    <row r="3965" spans="1:9">
      <c r="A3965" s="11" t="s">
        <v>13198</v>
      </c>
      <c r="B3965" s="9" t="s">
        <v>5</v>
      </c>
      <c r="C3965" s="10" t="s">
        <v>13221</v>
      </c>
      <c r="D3965" s="21"/>
      <c r="E3965" s="31" t="s">
        <v>11222</v>
      </c>
      <c r="F3965" s="22" t="str">
        <f>VLOOKUP(Table8[[#This Row],[Mã khách hàng]],code_khach_hang[],2,0)</f>
        <v>CHI NHÁNH CAO BẰNG - CÔNG TY CỔ PHẦN DỊCH VỤ THƯƠNG MẠI TỔNG HỢP WINCOMMERCE</v>
      </c>
      <c r="G3965" s="10" t="str">
        <f>VLOOKUP(Table8[[#This Row],[Mã khách hàng]],code_khach_hang[],3,0)</f>
        <v>Miền Bắc đặc biệt 2</v>
      </c>
      <c r="H3965" t="str">
        <f>VLOOKUP(Table8[[#This Row],[Mã khách hàng]],'Khách hàng'!A:D,4,0)</f>
        <v>Food Đức Việt</v>
      </c>
      <c r="I3965" t="str">
        <f>VLOOKUP(Table8[[#This Row],[Mã khách hàng]],'Khách hàng'!A:E,5,0)</f>
        <v>HN0040</v>
      </c>
    </row>
    <row r="3966" spans="1:9">
      <c r="A3966" s="14" t="s">
        <v>13199</v>
      </c>
      <c r="B3966" s="9" t="s">
        <v>5</v>
      </c>
      <c r="C3966" s="16" t="s">
        <v>13222</v>
      </c>
      <c r="D3966" s="21"/>
      <c r="E3966" s="32" t="s">
        <v>11215</v>
      </c>
      <c r="F3966" s="22" t="str">
        <f>VLOOKUP(Table8[[#This Row],[Mã khách hàng]],code_khach_hang[],2,0)</f>
        <v>CHI NHÁNH HÀ NỘI - CÔNG TY CỔ PHẦN DỊCH VỤ THƯƠNG MẠI TỔNG HỢP WINCOMMERCE</v>
      </c>
      <c r="G3966" s="16" t="str">
        <f>VLOOKUP(Table8[[#This Row],[Mã khách hàng]],code_khach_hang[],3,0)</f>
        <v>Miền Bắc đặc biệt 1</v>
      </c>
      <c r="H3966" t="str">
        <f>VLOOKUP(Table8[[#This Row],[Mã khách hàng]],'Khách hàng'!A:D,4,0)</f>
        <v>Food Đức Việt</v>
      </c>
      <c r="I3966" t="str">
        <f>VLOOKUP(Table8[[#This Row],[Mã khách hàng]],'Khách hàng'!A:E,5,0)</f>
        <v>HN0040</v>
      </c>
    </row>
    <row r="3967" spans="1:9">
      <c r="A3967" s="11" t="s">
        <v>13200</v>
      </c>
      <c r="B3967" s="9" t="s">
        <v>5</v>
      </c>
      <c r="C3967" s="10" t="s">
        <v>13223</v>
      </c>
      <c r="D3967" s="21"/>
      <c r="E3967" s="31" t="s">
        <v>11215</v>
      </c>
      <c r="F3967" s="22" t="str">
        <f>VLOOKUP(Table8[[#This Row],[Mã khách hàng]],code_khach_hang[],2,0)</f>
        <v>CHI NHÁNH HÀ NỘI - CÔNG TY CỔ PHẦN DỊCH VỤ THƯƠNG MẠI TỔNG HỢP WINCOMMERCE</v>
      </c>
      <c r="G3967" s="10" t="str">
        <f>VLOOKUP(Table8[[#This Row],[Mã khách hàng]],code_khach_hang[],3,0)</f>
        <v>Miền Bắc đặc biệt 1</v>
      </c>
      <c r="H3967" t="str">
        <f>VLOOKUP(Table8[[#This Row],[Mã khách hàng]],'Khách hàng'!A:D,4,0)</f>
        <v>Food Đức Việt</v>
      </c>
      <c r="I3967" t="str">
        <f>VLOOKUP(Table8[[#This Row],[Mã khách hàng]],'Khách hàng'!A:E,5,0)</f>
        <v>HN0040</v>
      </c>
    </row>
    <row r="3968" spans="1:9">
      <c r="A3968" s="11" t="s">
        <v>13201</v>
      </c>
      <c r="B3968" s="9" t="s">
        <v>5</v>
      </c>
      <c r="C3968" s="10" t="s">
        <v>13224</v>
      </c>
      <c r="D3968" s="21"/>
      <c r="E3968" s="31" t="s">
        <v>11215</v>
      </c>
      <c r="F3968" s="22" t="str">
        <f>VLOOKUP(Table8[[#This Row],[Mã khách hàng]],code_khach_hang[],2,0)</f>
        <v>CHI NHÁNH HÀ NỘI - CÔNG TY CỔ PHẦN DỊCH VỤ THƯƠNG MẠI TỔNG HỢP WINCOMMERCE</v>
      </c>
      <c r="G3968" s="10" t="str">
        <f>VLOOKUP(Table8[[#This Row],[Mã khách hàng]],code_khach_hang[],3,0)</f>
        <v>Miền Bắc đặc biệt 1</v>
      </c>
      <c r="H3968" t="str">
        <f>VLOOKUP(Table8[[#This Row],[Mã khách hàng]],'Khách hàng'!A:D,4,0)</f>
        <v>Food Đức Việt</v>
      </c>
      <c r="I3968" t="str">
        <f>VLOOKUP(Table8[[#This Row],[Mã khách hàng]],'Khách hàng'!A:E,5,0)</f>
        <v>HN0040</v>
      </c>
    </row>
    <row r="3969" spans="1:9">
      <c r="A3969" s="11" t="s">
        <v>13202</v>
      </c>
      <c r="B3969" s="9" t="s">
        <v>5</v>
      </c>
      <c r="C3969" s="10" t="s">
        <v>13225</v>
      </c>
      <c r="D3969" s="21"/>
      <c r="E3969" s="31" t="s">
        <v>11215</v>
      </c>
      <c r="F3969" s="22" t="str">
        <f>VLOOKUP(Table8[[#This Row],[Mã khách hàng]],code_khach_hang[],2,0)</f>
        <v>CHI NHÁNH HÀ NỘI - CÔNG TY CỔ PHẦN DỊCH VỤ THƯƠNG MẠI TỔNG HỢP WINCOMMERCE</v>
      </c>
      <c r="G3969" s="10" t="str">
        <f>VLOOKUP(Table8[[#This Row],[Mã khách hàng]],code_khach_hang[],3,0)</f>
        <v>Miền Bắc đặc biệt 1</v>
      </c>
      <c r="H3969" t="str">
        <f>VLOOKUP(Table8[[#This Row],[Mã khách hàng]],'Khách hàng'!A:D,4,0)</f>
        <v>Food Đức Việt</v>
      </c>
      <c r="I3969" t="str">
        <f>VLOOKUP(Table8[[#This Row],[Mã khách hàng]],'Khách hàng'!A:E,5,0)</f>
        <v>HN0040</v>
      </c>
    </row>
    <row r="3970" spans="1:9">
      <c r="A3970" s="14" t="s">
        <v>13203</v>
      </c>
      <c r="B3970" s="9" t="s">
        <v>5</v>
      </c>
      <c r="C3970" s="16" t="s">
        <v>13226</v>
      </c>
      <c r="D3970" s="21"/>
      <c r="E3970" s="32" t="s">
        <v>11215</v>
      </c>
      <c r="F3970" s="22" t="str">
        <f>VLOOKUP(Table8[[#This Row],[Mã khách hàng]],code_khach_hang[],2,0)</f>
        <v>CHI NHÁNH HÀ NỘI - CÔNG TY CỔ PHẦN DỊCH VỤ THƯƠNG MẠI TỔNG HỢP WINCOMMERCE</v>
      </c>
      <c r="G3970" s="16" t="str">
        <f>VLOOKUP(Table8[[#This Row],[Mã khách hàng]],code_khach_hang[],3,0)</f>
        <v>Miền Bắc đặc biệt 1</v>
      </c>
      <c r="H3970" t="str">
        <f>VLOOKUP(Table8[[#This Row],[Mã khách hàng]],'Khách hàng'!A:D,4,0)</f>
        <v>Food Đức Việt</v>
      </c>
      <c r="I3970" t="str">
        <f>VLOOKUP(Table8[[#This Row],[Mã khách hàng]],'Khách hàng'!A:E,5,0)</f>
        <v>HN0040</v>
      </c>
    </row>
    <row r="3971" spans="1:9">
      <c r="A3971" s="11" t="s">
        <v>13204</v>
      </c>
      <c r="B3971" s="9" t="s">
        <v>5</v>
      </c>
      <c r="C3971" s="10" t="s">
        <v>13227</v>
      </c>
      <c r="D3971" s="21"/>
      <c r="E3971" s="31" t="s">
        <v>11215</v>
      </c>
      <c r="F3971" s="22" t="str">
        <f>VLOOKUP(Table8[[#This Row],[Mã khách hàng]],code_khach_hang[],2,0)</f>
        <v>CHI NHÁNH HÀ NỘI - CÔNG TY CỔ PHẦN DỊCH VỤ THƯƠNG MẠI TỔNG HỢP WINCOMMERCE</v>
      </c>
      <c r="G3971" s="10" t="str">
        <f>VLOOKUP(Table8[[#This Row],[Mã khách hàng]],code_khach_hang[],3,0)</f>
        <v>Miền Bắc đặc biệt 1</v>
      </c>
      <c r="H3971" t="str">
        <f>VLOOKUP(Table8[[#This Row],[Mã khách hàng]],'Khách hàng'!A:D,4,0)</f>
        <v>Food Đức Việt</v>
      </c>
      <c r="I3971" t="str">
        <f>VLOOKUP(Table8[[#This Row],[Mã khách hàng]],'Khách hàng'!A:E,5,0)</f>
        <v>HN0040</v>
      </c>
    </row>
    <row r="3972" spans="1:9">
      <c r="A3972" s="11" t="s">
        <v>13205</v>
      </c>
      <c r="B3972" s="9" t="s">
        <v>5</v>
      </c>
      <c r="C3972" s="10" t="s">
        <v>13228</v>
      </c>
      <c r="D3972" s="21"/>
      <c r="E3972" s="31" t="s">
        <v>11198</v>
      </c>
      <c r="F3972" s="22" t="str">
        <f>VLOOKUP(Table8[[#This Row],[Mã khách hàng]],code_khach_hang[],2,0)</f>
        <v>CHI NHÁNH HẢI PHÒNG - CÔNG TY CỔ PHẦN DỊCH VỤ THƯƠNG MẠI TỔNG HỢP WINCOMMERCE</v>
      </c>
      <c r="G3972" s="10" t="str">
        <f>VLOOKUP(Table8[[#This Row],[Mã khách hàng]],code_khach_hang[],3,0)</f>
        <v>Miền Bắc đặc biệt 3</v>
      </c>
      <c r="H3972" t="str">
        <f>VLOOKUP(Table8[[#This Row],[Mã khách hàng]],'Khách hàng'!A:D,4,0)</f>
        <v>Food Đức Việt</v>
      </c>
      <c r="I3972" t="str">
        <f>VLOOKUP(Table8[[#This Row],[Mã khách hàng]],'Khách hàng'!A:E,5,0)</f>
        <v>HN0040</v>
      </c>
    </row>
    <row r="3973" spans="1:9">
      <c r="A3973" s="14" t="s">
        <v>13206</v>
      </c>
      <c r="B3973" s="9" t="s">
        <v>5</v>
      </c>
      <c r="C3973" s="16" t="s">
        <v>13229</v>
      </c>
      <c r="D3973" s="21"/>
      <c r="E3973" s="32" t="s">
        <v>11198</v>
      </c>
      <c r="F3973" s="22" t="str">
        <f>VLOOKUP(Table8[[#This Row],[Mã khách hàng]],code_khach_hang[],2,0)</f>
        <v>CHI NHÁNH HẢI PHÒNG - CÔNG TY CỔ PHẦN DỊCH VỤ THƯƠNG MẠI TỔNG HỢP WINCOMMERCE</v>
      </c>
      <c r="G3973" s="16" t="str">
        <f>VLOOKUP(Table8[[#This Row],[Mã khách hàng]],code_khach_hang[],3,0)</f>
        <v>Miền Bắc đặc biệt 3</v>
      </c>
      <c r="H3973" t="str">
        <f>VLOOKUP(Table8[[#This Row],[Mã khách hàng]],'Khách hàng'!A:D,4,0)</f>
        <v>Food Đức Việt</v>
      </c>
      <c r="I3973" t="str">
        <f>VLOOKUP(Table8[[#This Row],[Mã khách hàng]],'Khách hàng'!A:E,5,0)</f>
        <v>HN0040</v>
      </c>
    </row>
    <row r="3974" spans="1:9">
      <c r="A3974" s="11" t="s">
        <v>13207</v>
      </c>
      <c r="B3974" s="9" t="s">
        <v>5</v>
      </c>
      <c r="C3974" s="10" t="s">
        <v>13230</v>
      </c>
      <c r="D3974" s="21"/>
      <c r="E3974" s="31" t="s">
        <v>11218</v>
      </c>
      <c r="F3974" s="22" t="str">
        <f>VLOOKUP(Table8[[#This Row],[Mã khách hàng]],code_khach_hang[],2,0)</f>
        <v>CHI NHÁNH LÀO CAI - CÔNG TY CỔ PHẦN DỊCH VỤ THƯƠNG MẠI TỔNG HỢP WINCOMMERCE</v>
      </c>
      <c r="G3974" s="10" t="str">
        <f>VLOOKUP(Table8[[#This Row],[Mã khách hàng]],code_khach_hang[],3,0)</f>
        <v>Miền Bắc đặc biệt 1</v>
      </c>
      <c r="H3974" t="str">
        <f>VLOOKUP(Table8[[#This Row],[Mã khách hàng]],'Khách hàng'!A:D,4,0)</f>
        <v>Food Đức Việt</v>
      </c>
      <c r="I3974" t="str">
        <f>VLOOKUP(Table8[[#This Row],[Mã khách hàng]],'Khách hàng'!A:E,5,0)</f>
        <v>HN0040</v>
      </c>
    </row>
    <row r="3975" spans="1:9">
      <c r="A3975" s="14" t="s">
        <v>13208</v>
      </c>
      <c r="B3975" s="9" t="s">
        <v>5</v>
      </c>
      <c r="C3975" s="16" t="s">
        <v>13231</v>
      </c>
      <c r="D3975" s="21"/>
      <c r="E3975" s="32" t="s">
        <v>11218</v>
      </c>
      <c r="F3975" s="22" t="str">
        <f>VLOOKUP(Table8[[#This Row],[Mã khách hàng]],code_khach_hang[],2,0)</f>
        <v>CHI NHÁNH LÀO CAI - CÔNG TY CỔ PHẦN DỊCH VỤ THƯƠNG MẠI TỔNG HỢP WINCOMMERCE</v>
      </c>
      <c r="G3975" s="16" t="str">
        <f>VLOOKUP(Table8[[#This Row],[Mã khách hàng]],code_khach_hang[],3,0)</f>
        <v>Miền Bắc đặc biệt 1</v>
      </c>
      <c r="H3975" t="str">
        <f>VLOOKUP(Table8[[#This Row],[Mã khách hàng]],'Khách hàng'!A:D,4,0)</f>
        <v>Food Đức Việt</v>
      </c>
      <c r="I3975" t="str">
        <f>VLOOKUP(Table8[[#This Row],[Mã khách hàng]],'Khách hàng'!A:E,5,0)</f>
        <v>HN0040</v>
      </c>
    </row>
    <row r="3976" spans="1:9">
      <c r="A3976" s="14" t="s">
        <v>13209</v>
      </c>
      <c r="B3976" s="9" t="s">
        <v>5</v>
      </c>
      <c r="C3976" s="16" t="s">
        <v>13232</v>
      </c>
      <c r="D3976" s="21"/>
      <c r="E3976" s="32" t="s">
        <v>11218</v>
      </c>
      <c r="F3976" s="22" t="str">
        <f>VLOOKUP(Table8[[#This Row],[Mã khách hàng]],code_khach_hang[],2,0)</f>
        <v>CHI NHÁNH LÀO CAI - CÔNG TY CỔ PHẦN DỊCH VỤ THƯƠNG MẠI TỔNG HỢP WINCOMMERCE</v>
      </c>
      <c r="G3976" s="16" t="str">
        <f>VLOOKUP(Table8[[#This Row],[Mã khách hàng]],code_khach_hang[],3,0)</f>
        <v>Miền Bắc đặc biệt 1</v>
      </c>
      <c r="H3976" t="str">
        <f>VLOOKUP(Table8[[#This Row],[Mã khách hàng]],'Khách hàng'!A:D,4,0)</f>
        <v>Food Đức Việt</v>
      </c>
      <c r="I3976" t="str">
        <f>VLOOKUP(Table8[[#This Row],[Mã khách hàng]],'Khách hàng'!A:E,5,0)</f>
        <v>HN0040</v>
      </c>
    </row>
    <row r="3977" spans="1:9">
      <c r="A3977" s="14" t="s">
        <v>13210</v>
      </c>
      <c r="B3977" s="9" t="s">
        <v>5</v>
      </c>
      <c r="C3977" s="16" t="s">
        <v>13233</v>
      </c>
      <c r="D3977" s="21"/>
      <c r="E3977" s="32" t="s">
        <v>11218</v>
      </c>
      <c r="F3977" s="22" t="str">
        <f>VLOOKUP(Table8[[#This Row],[Mã khách hàng]],code_khach_hang[],2,0)</f>
        <v>CHI NHÁNH LÀO CAI - CÔNG TY CỔ PHẦN DỊCH VỤ THƯƠNG MẠI TỔNG HỢP WINCOMMERCE</v>
      </c>
      <c r="G3977" s="16" t="str">
        <f>VLOOKUP(Table8[[#This Row],[Mã khách hàng]],code_khach_hang[],3,0)</f>
        <v>Miền Bắc đặc biệt 1</v>
      </c>
      <c r="H3977" t="str">
        <f>VLOOKUP(Table8[[#This Row],[Mã khách hàng]],'Khách hàng'!A:D,4,0)</f>
        <v>Food Đức Việt</v>
      </c>
      <c r="I3977" t="str">
        <f>VLOOKUP(Table8[[#This Row],[Mã khách hàng]],'Khách hàng'!A:E,5,0)</f>
        <v>HN0040</v>
      </c>
    </row>
    <row r="3978" spans="1:9">
      <c r="A3978" s="14" t="s">
        <v>13211</v>
      </c>
      <c r="B3978" s="9" t="s">
        <v>5</v>
      </c>
      <c r="C3978" s="16" t="s">
        <v>13234</v>
      </c>
      <c r="D3978" s="21"/>
      <c r="E3978" s="32" t="s">
        <v>11218</v>
      </c>
      <c r="F3978" s="22" t="str">
        <f>VLOOKUP(Table8[[#This Row],[Mã khách hàng]],code_khach_hang[],2,0)</f>
        <v>CHI NHÁNH LÀO CAI - CÔNG TY CỔ PHẦN DỊCH VỤ THƯƠNG MẠI TỔNG HỢP WINCOMMERCE</v>
      </c>
      <c r="G3978" s="16" t="str">
        <f>VLOOKUP(Table8[[#This Row],[Mã khách hàng]],code_khach_hang[],3,0)</f>
        <v>Miền Bắc đặc biệt 1</v>
      </c>
      <c r="H3978" t="str">
        <f>VLOOKUP(Table8[[#This Row],[Mã khách hàng]],'Khách hàng'!A:D,4,0)</f>
        <v>Food Đức Việt</v>
      </c>
      <c r="I3978" t="str">
        <f>VLOOKUP(Table8[[#This Row],[Mã khách hàng]],'Khách hàng'!A:E,5,0)</f>
        <v>HN0040</v>
      </c>
    </row>
    <row r="3979" spans="1:9">
      <c r="A3979" s="11" t="s">
        <v>13212</v>
      </c>
      <c r="B3979" s="9" t="s">
        <v>5</v>
      </c>
      <c r="C3979" s="10" t="s">
        <v>13235</v>
      </c>
      <c r="D3979" s="21"/>
      <c r="E3979" s="31" t="s">
        <v>11196</v>
      </c>
      <c r="F3979" s="22" t="str">
        <f>VLOOKUP(Table8[[#This Row],[Mã khách hàng]],code_khach_hang[],2,0)</f>
        <v>CHI NHÁNH NINH BÌNH - CÔNG TY CỔ PHẦN DỊCH VỤ THƯƠNG MẠI TỔNG HỢP WINCOMMERCE</v>
      </c>
      <c r="G3979" s="10" t="str">
        <f>VLOOKUP(Table8[[#This Row],[Mã khách hàng]],code_khach_hang[],3,0)</f>
        <v>Miền Bắc đặc biệt 3</v>
      </c>
      <c r="H3979" t="str">
        <f>VLOOKUP(Table8[[#This Row],[Mã khách hàng]],'Khách hàng'!A:D,4,0)</f>
        <v>Food Đức Việt</v>
      </c>
      <c r="I3979" t="str">
        <f>VLOOKUP(Table8[[#This Row],[Mã khách hàng]],'Khách hàng'!A:E,5,0)</f>
        <v>HN0040</v>
      </c>
    </row>
    <row r="3980" spans="1:9">
      <c r="A3980" s="14" t="s">
        <v>13213</v>
      </c>
      <c r="B3980" s="9" t="s">
        <v>5</v>
      </c>
      <c r="C3980" s="16" t="s">
        <v>13236</v>
      </c>
      <c r="D3980" s="21"/>
      <c r="E3980" s="32" t="s">
        <v>11199</v>
      </c>
      <c r="F3980" s="22" t="str">
        <f>VLOOKUP(Table8[[#This Row],[Mã khách hàng]],code_khach_hang[],2,0)</f>
        <v>CHI NHÁNH PHÚ THỌ - CÔNG TY CỔ PHẦN DỊCH VỤ THƯƠNG MẠI TỔNG HỢP WINCOMMERCE</v>
      </c>
      <c r="G3980" s="16" t="str">
        <f>VLOOKUP(Table8[[#This Row],[Mã khách hàng]],code_khach_hang[],3,0)</f>
        <v>Miền Bắc đặc biệt 1</v>
      </c>
      <c r="H3980" t="str">
        <f>VLOOKUP(Table8[[#This Row],[Mã khách hàng]],'Khách hàng'!A:D,4,0)</f>
        <v>Food Đức Việt</v>
      </c>
      <c r="I3980" t="str">
        <f>VLOOKUP(Table8[[#This Row],[Mã khách hàng]],'Khách hàng'!A:E,5,0)</f>
        <v>HN0040</v>
      </c>
    </row>
    <row r="3981" spans="1:9">
      <c r="A3981" s="14" t="s">
        <v>13214</v>
      </c>
      <c r="B3981" s="9" t="s">
        <v>5</v>
      </c>
      <c r="C3981" s="16" t="s">
        <v>13237</v>
      </c>
      <c r="D3981" s="21"/>
      <c r="E3981" s="32" t="s">
        <v>11199</v>
      </c>
      <c r="F3981" s="22" t="str">
        <f>VLOOKUP(Table8[[#This Row],[Mã khách hàng]],code_khach_hang[],2,0)</f>
        <v>CHI NHÁNH PHÚ THỌ - CÔNG TY CỔ PHẦN DỊCH VỤ THƯƠNG MẠI TỔNG HỢP WINCOMMERCE</v>
      </c>
      <c r="G3981" s="16" t="str">
        <f>VLOOKUP(Table8[[#This Row],[Mã khách hàng]],code_khach_hang[],3,0)</f>
        <v>Miền Bắc đặc biệt 1</v>
      </c>
      <c r="H3981" t="str">
        <f>VLOOKUP(Table8[[#This Row],[Mã khách hàng]],'Khách hàng'!A:D,4,0)</f>
        <v>Food Đức Việt</v>
      </c>
      <c r="I3981" t="str">
        <f>VLOOKUP(Table8[[#This Row],[Mã khách hàng]],'Khách hàng'!A:E,5,0)</f>
        <v>HN0040</v>
      </c>
    </row>
    <row r="3982" spans="1:9">
      <c r="A3982" s="14" t="s">
        <v>13215</v>
      </c>
      <c r="B3982" s="9" t="s">
        <v>5</v>
      </c>
      <c r="C3982" s="16" t="s">
        <v>13238</v>
      </c>
      <c r="D3982" s="21"/>
      <c r="E3982" s="32" t="s">
        <v>11197</v>
      </c>
      <c r="F3982" s="22" t="str">
        <f>VLOOKUP(Table8[[#This Row],[Mã khách hàng]],code_khach_hang[],2,0)</f>
        <v>CHI NHÁNH QUẢNG NINH - CÔNG TY CỔ PHẦN DỊCH VỤ THƯƠNG MẠI TỔNG HỢP WINCOMMERCE</v>
      </c>
      <c r="G3982" s="16" t="str">
        <f>VLOOKUP(Table8[[#This Row],[Mã khách hàng]],code_khach_hang[],3,0)</f>
        <v>Miền Bắc đặc biệt 3</v>
      </c>
      <c r="H3982" t="str">
        <f>VLOOKUP(Table8[[#This Row],[Mã khách hàng]],'Khách hàng'!A:D,4,0)</f>
        <v>Food Đức Việt</v>
      </c>
      <c r="I3982" t="str">
        <f>VLOOKUP(Table8[[#This Row],[Mã khách hàng]],'Khách hàng'!A:E,5,0)</f>
        <v>HN0040</v>
      </c>
    </row>
    <row r="3983" spans="1:9">
      <c r="A3983" s="14" t="s">
        <v>13216</v>
      </c>
      <c r="B3983" s="9" t="s">
        <v>5</v>
      </c>
      <c r="C3983" s="16" t="s">
        <v>13239</v>
      </c>
      <c r="D3983" s="21"/>
      <c r="E3983" s="32" t="s">
        <v>11197</v>
      </c>
      <c r="F3983" s="22" t="str">
        <f>VLOOKUP(Table8[[#This Row],[Mã khách hàng]],code_khach_hang[],2,0)</f>
        <v>CHI NHÁNH QUẢNG NINH - CÔNG TY CỔ PHẦN DỊCH VỤ THƯƠNG MẠI TỔNG HỢP WINCOMMERCE</v>
      </c>
      <c r="G3983" s="16" t="str">
        <f>VLOOKUP(Table8[[#This Row],[Mã khách hàng]],code_khach_hang[],3,0)</f>
        <v>Miền Bắc đặc biệt 3</v>
      </c>
      <c r="H3983" t="str">
        <f>VLOOKUP(Table8[[#This Row],[Mã khách hàng]],'Khách hàng'!A:D,4,0)</f>
        <v>Food Đức Việt</v>
      </c>
      <c r="I3983" t="str">
        <f>VLOOKUP(Table8[[#This Row],[Mã khách hàng]],'Khách hàng'!A:E,5,0)</f>
        <v>HN0040</v>
      </c>
    </row>
    <row r="3984" spans="1:9">
      <c r="A3984" s="14" t="s">
        <v>13217</v>
      </c>
      <c r="B3984" s="9" t="s">
        <v>5</v>
      </c>
      <c r="C3984" s="16" t="s">
        <v>13240</v>
      </c>
      <c r="D3984" s="21"/>
      <c r="E3984" s="32" t="s">
        <v>11206</v>
      </c>
      <c r="F3984" s="22" t="str">
        <f>VLOOKUP(Table8[[#This Row],[Mã khách hàng]],code_khach_hang[],2,0)</f>
        <v>CHI NHÁNH SƠN LA - CÔNG TY CỔ PHẦN DỊCH VỤ THƯƠNG MẠI TỔNG HỢP WINCOMMERCE</v>
      </c>
      <c r="G3984" s="16" t="str">
        <f>VLOOKUP(Table8[[#This Row],[Mã khách hàng]],code_khach_hang[],3,0)</f>
        <v>Miền Bắc đặc biệt 1</v>
      </c>
      <c r="H3984" t="str">
        <f>VLOOKUP(Table8[[#This Row],[Mã khách hàng]],'Khách hàng'!A:D,4,0)</f>
        <v>Food Đức Việt</v>
      </c>
      <c r="I3984" t="str">
        <f>VLOOKUP(Table8[[#This Row],[Mã khách hàng]],'Khách hàng'!A:E,5,0)</f>
        <v>HN0040</v>
      </c>
    </row>
    <row r="3985" spans="1:9">
      <c r="A3985" s="14" t="s">
        <v>13218</v>
      </c>
      <c r="B3985" s="9" t="s">
        <v>5</v>
      </c>
      <c r="C3985" s="16" t="s">
        <v>13241</v>
      </c>
      <c r="D3985" s="21"/>
      <c r="E3985" s="32" t="s">
        <v>11206</v>
      </c>
      <c r="F3985" s="22" t="str">
        <f>VLOOKUP(Table8[[#This Row],[Mã khách hàng]],code_khach_hang[],2,0)</f>
        <v>CHI NHÁNH SƠN LA - CÔNG TY CỔ PHẦN DỊCH VỤ THƯƠNG MẠI TỔNG HỢP WINCOMMERCE</v>
      </c>
      <c r="G3985" s="16" t="str">
        <f>VLOOKUP(Table8[[#This Row],[Mã khách hàng]],code_khach_hang[],3,0)</f>
        <v>Miền Bắc đặc biệt 1</v>
      </c>
      <c r="H3985" t="str">
        <f>VLOOKUP(Table8[[#This Row],[Mã khách hàng]],'Khách hàng'!A:D,4,0)</f>
        <v>Food Đức Việt</v>
      </c>
      <c r="I3985" t="str">
        <f>VLOOKUP(Table8[[#This Row],[Mã khách hàng]],'Khách hàng'!A:E,5,0)</f>
        <v>HN0040</v>
      </c>
    </row>
    <row r="3986" spans="1:9">
      <c r="A3986" s="11" t="s">
        <v>13247</v>
      </c>
      <c r="B3986" s="9" t="s">
        <v>5</v>
      </c>
      <c r="C3986" s="10" t="s">
        <v>13292</v>
      </c>
      <c r="D3986" s="21"/>
      <c r="E3986" s="31" t="s">
        <v>11193</v>
      </c>
      <c r="F3986" s="22" t="str">
        <f>VLOOKUP(Table8[[#This Row],[Mã khách hàng]],code_khach_hang[],2,0)</f>
        <v>CHI NHÁNH BẮC NINH - CÔNG TY CỔ PHẦN DỊCH VỤ THƯƠNG MẠI TỔNG HỢP WINCOMMERCE</v>
      </c>
      <c r="G3986" s="10" t="str">
        <f>VLOOKUP(Table8[[#This Row],[Mã khách hàng]],code_khach_hang[],3,0)</f>
        <v>Miền Bắc đặc biệt 2</v>
      </c>
      <c r="H3986" t="str">
        <f>VLOOKUP(Table8[[#This Row],[Mã khách hàng]],'Khách hàng'!A:D,4,0)</f>
        <v>Food Đức Việt</v>
      </c>
      <c r="I3986" t="str">
        <f>VLOOKUP(Table8[[#This Row],[Mã khách hàng]],'Khách hàng'!A:E,5,0)</f>
        <v>HN0040</v>
      </c>
    </row>
    <row r="3987" spans="1:9">
      <c r="A3987" s="14" t="s">
        <v>13248</v>
      </c>
      <c r="B3987" s="9" t="s">
        <v>5</v>
      </c>
      <c r="C3987" s="16" t="s">
        <v>13293</v>
      </c>
      <c r="D3987" s="21"/>
      <c r="E3987" s="32" t="s">
        <v>11196</v>
      </c>
      <c r="F3987" s="22" t="str">
        <f>VLOOKUP(Table8[[#This Row],[Mã khách hàng]],code_khach_hang[],2,0)</f>
        <v>CHI NHÁNH NINH BÌNH - CÔNG TY CỔ PHẦN DỊCH VỤ THƯƠNG MẠI TỔNG HỢP WINCOMMERCE</v>
      </c>
      <c r="G3987" s="16" t="str">
        <f>VLOOKUP(Table8[[#This Row],[Mã khách hàng]],code_khach_hang[],3,0)</f>
        <v>Miền Bắc đặc biệt 3</v>
      </c>
      <c r="H3987" t="str">
        <f>VLOOKUP(Table8[[#This Row],[Mã khách hàng]],'Khách hàng'!A:D,4,0)</f>
        <v>Food Đức Việt</v>
      </c>
      <c r="I3987" t="str">
        <f>VLOOKUP(Table8[[#This Row],[Mã khách hàng]],'Khách hàng'!A:E,5,0)</f>
        <v>HN0040</v>
      </c>
    </row>
    <row r="3988" spans="1:9">
      <c r="A3988" s="14" t="s">
        <v>13249</v>
      </c>
      <c r="B3988" s="9" t="s">
        <v>5</v>
      </c>
      <c r="C3988" s="16" t="s">
        <v>13294</v>
      </c>
      <c r="D3988" s="21"/>
      <c r="E3988" s="32" t="s">
        <v>11196</v>
      </c>
      <c r="F3988" s="22" t="str">
        <f>VLOOKUP(Table8[[#This Row],[Mã khách hàng]],code_khach_hang[],2,0)</f>
        <v>CHI NHÁNH NINH BÌNH - CÔNG TY CỔ PHẦN DỊCH VỤ THƯƠNG MẠI TỔNG HỢP WINCOMMERCE</v>
      </c>
      <c r="G3988" s="16" t="str">
        <f>VLOOKUP(Table8[[#This Row],[Mã khách hàng]],code_khach_hang[],3,0)</f>
        <v>Miền Bắc đặc biệt 3</v>
      </c>
      <c r="H3988" t="str">
        <f>VLOOKUP(Table8[[#This Row],[Mã khách hàng]],'Khách hàng'!A:D,4,0)</f>
        <v>Food Đức Việt</v>
      </c>
      <c r="I3988" t="str">
        <f>VLOOKUP(Table8[[#This Row],[Mã khách hàng]],'Khách hàng'!A:E,5,0)</f>
        <v>HN0040</v>
      </c>
    </row>
    <row r="3989" spans="1:9">
      <c r="A3989" s="14" t="s">
        <v>13250</v>
      </c>
      <c r="B3989" s="9" t="s">
        <v>5</v>
      </c>
      <c r="C3989" s="16" t="s">
        <v>13295</v>
      </c>
      <c r="D3989" s="21"/>
      <c r="E3989" s="32" t="s">
        <v>11215</v>
      </c>
      <c r="F3989" s="22" t="str">
        <f>VLOOKUP(Table8[[#This Row],[Mã khách hàng]],code_khach_hang[],2,0)</f>
        <v>CHI NHÁNH HÀ NỘI - CÔNG TY CỔ PHẦN DỊCH VỤ THƯƠNG MẠI TỔNG HỢP WINCOMMERCE</v>
      </c>
      <c r="G3989" s="16" t="str">
        <f>VLOOKUP(Table8[[#This Row],[Mã khách hàng]],code_khach_hang[],3,0)</f>
        <v>Miền Bắc đặc biệt 1</v>
      </c>
      <c r="H3989" t="str">
        <f>VLOOKUP(Table8[[#This Row],[Mã khách hàng]],'Khách hàng'!A:D,4,0)</f>
        <v>Food Đức Việt</v>
      </c>
      <c r="I3989" t="str">
        <f>VLOOKUP(Table8[[#This Row],[Mã khách hàng]],'Khách hàng'!A:E,5,0)</f>
        <v>HN0040</v>
      </c>
    </row>
    <row r="3990" spans="1:9">
      <c r="A3990" s="14" t="s">
        <v>13251</v>
      </c>
      <c r="B3990" s="9" t="s">
        <v>5</v>
      </c>
      <c r="C3990" s="16" t="s">
        <v>13296</v>
      </c>
      <c r="D3990" s="21"/>
      <c r="E3990" s="32" t="s">
        <v>11207</v>
      </c>
      <c r="F3990" s="22" t="str">
        <f>VLOOKUP(Table8[[#This Row],[Mã khách hàng]],code_khach_hang[],2,0)</f>
        <v>CHI NHÁNH THÁI NGUYÊN - CÔNG TY CỔ PHẦN DỊCH VỤ THƯƠNG MẠI TỔNG HỢP WINCOMMERCE</v>
      </c>
      <c r="G3990" s="16" t="str">
        <f>VLOOKUP(Table8[[#This Row],[Mã khách hàng]],code_khach_hang[],3,0)</f>
        <v>Miền Bắc đặc biệt 2</v>
      </c>
      <c r="H3990" t="str">
        <f>VLOOKUP(Table8[[#This Row],[Mã khách hàng]],'Khách hàng'!A:D,4,0)</f>
        <v>Food Đức Việt</v>
      </c>
      <c r="I3990" t="str">
        <f>VLOOKUP(Table8[[#This Row],[Mã khách hàng]],'Khách hàng'!A:E,5,0)</f>
        <v>HN0040</v>
      </c>
    </row>
    <row r="3991" spans="1:9">
      <c r="A3991" s="14" t="s">
        <v>13252</v>
      </c>
      <c r="B3991" s="9" t="s">
        <v>5</v>
      </c>
      <c r="C3991" s="16" t="s">
        <v>13297</v>
      </c>
      <c r="D3991" s="21"/>
      <c r="E3991" s="32" t="s">
        <v>11193</v>
      </c>
      <c r="F3991" s="22" t="str">
        <f>VLOOKUP(Table8[[#This Row],[Mã khách hàng]],code_khach_hang[],2,0)</f>
        <v>CHI NHÁNH BẮC NINH - CÔNG TY CỔ PHẦN DỊCH VỤ THƯƠNG MẠI TỔNG HỢP WINCOMMERCE</v>
      </c>
      <c r="G3991" s="16" t="str">
        <f>VLOOKUP(Table8[[#This Row],[Mã khách hàng]],code_khach_hang[],3,0)</f>
        <v>Miền Bắc đặc biệt 2</v>
      </c>
      <c r="H3991" t="str">
        <f>VLOOKUP(Table8[[#This Row],[Mã khách hàng]],'Khách hàng'!A:D,4,0)</f>
        <v>Food Đức Việt</v>
      </c>
      <c r="I3991" t="str">
        <f>VLOOKUP(Table8[[#This Row],[Mã khách hàng]],'Khách hàng'!A:E,5,0)</f>
        <v>HN0040</v>
      </c>
    </row>
    <row r="3992" spans="1:9">
      <c r="A3992" s="14" t="s">
        <v>13253</v>
      </c>
      <c r="B3992" s="9" t="s">
        <v>5</v>
      </c>
      <c r="C3992" s="16" t="s">
        <v>13298</v>
      </c>
      <c r="D3992" s="21"/>
      <c r="E3992" s="32" t="s">
        <v>11216</v>
      </c>
      <c r="F3992" s="22" t="str">
        <f>VLOOKUP(Table8[[#This Row],[Mã khách hàng]],code_khach_hang[],2,0)</f>
        <v>CHI NHÁNH HƯNG YÊN - CÔNG TY CỔ PHẦN DỊCH VỤ THƯƠNG MẠI TỔNG HỢP WINCOMMERCE</v>
      </c>
      <c r="G3992" s="16" t="str">
        <f>VLOOKUP(Table8[[#This Row],[Mã khách hàng]],code_khach_hang[],3,0)</f>
        <v>Miền Bắc đặc biệt 1</v>
      </c>
      <c r="H3992" t="str">
        <f>VLOOKUP(Table8[[#This Row],[Mã khách hàng]],'Khách hàng'!A:D,4,0)</f>
        <v>Food Đức Việt</v>
      </c>
      <c r="I3992" t="str">
        <f>VLOOKUP(Table8[[#This Row],[Mã khách hàng]],'Khách hàng'!A:E,5,0)</f>
        <v>HN0040</v>
      </c>
    </row>
    <row r="3993" spans="1:9">
      <c r="A3993" s="14" t="s">
        <v>13254</v>
      </c>
      <c r="B3993" s="9" t="s">
        <v>5</v>
      </c>
      <c r="C3993" s="16" t="s">
        <v>13299</v>
      </c>
      <c r="D3993" s="21"/>
      <c r="E3993" s="32" t="s">
        <v>11215</v>
      </c>
      <c r="F3993" s="22" t="str">
        <f>VLOOKUP(Table8[[#This Row],[Mã khách hàng]],code_khach_hang[],2,0)</f>
        <v>CHI NHÁNH HÀ NỘI - CÔNG TY CỔ PHẦN DỊCH VỤ THƯƠNG MẠI TỔNG HỢP WINCOMMERCE</v>
      </c>
      <c r="G3993" s="16" t="str">
        <f>VLOOKUP(Table8[[#This Row],[Mã khách hàng]],code_khach_hang[],3,0)</f>
        <v>Miền Bắc đặc biệt 1</v>
      </c>
      <c r="H3993" t="str">
        <f>VLOOKUP(Table8[[#This Row],[Mã khách hàng]],'Khách hàng'!A:D,4,0)</f>
        <v>Food Đức Việt</v>
      </c>
      <c r="I3993" t="str">
        <f>VLOOKUP(Table8[[#This Row],[Mã khách hàng]],'Khách hàng'!A:E,5,0)</f>
        <v>HN0040</v>
      </c>
    </row>
    <row r="3994" spans="1:9">
      <c r="A3994" s="14" t="s">
        <v>13255</v>
      </c>
      <c r="B3994" s="9" t="s">
        <v>5</v>
      </c>
      <c r="C3994" s="16" t="s">
        <v>13300</v>
      </c>
      <c r="D3994" s="21"/>
      <c r="E3994" s="32" t="s">
        <v>11214</v>
      </c>
      <c r="F3994" s="22" t="str">
        <f>VLOOKUP(Table8[[#This Row],[Mã khách hàng]],code_khach_hang[],2,0)</f>
        <v>CHI NHÁNH LAI CHÂU - CÔNG TY CỔ PHẦN DỊCH VỤ THƯƠNG MẠI TỔNG HỢP WINCOMMERCE</v>
      </c>
      <c r="G3994" s="16" t="str">
        <f>VLOOKUP(Table8[[#This Row],[Mã khách hàng]],code_khach_hang[],3,0)</f>
        <v>Miền Bắc đặc biệt 1</v>
      </c>
      <c r="H3994" t="str">
        <f>VLOOKUP(Table8[[#This Row],[Mã khách hàng]],'Khách hàng'!A:D,4,0)</f>
        <v>Food Đức Việt</v>
      </c>
      <c r="I3994" t="str">
        <f>VLOOKUP(Table8[[#This Row],[Mã khách hàng]],'Khách hàng'!A:E,5,0)</f>
        <v>HN0040</v>
      </c>
    </row>
    <row r="3995" spans="1:9">
      <c r="A3995" s="14" t="s">
        <v>13256</v>
      </c>
      <c r="B3995" s="9" t="s">
        <v>5</v>
      </c>
      <c r="C3995" s="16" t="s">
        <v>13301</v>
      </c>
      <c r="D3995" s="21"/>
      <c r="E3995" s="32" t="s">
        <v>11196</v>
      </c>
      <c r="F3995" s="22" t="str">
        <f>VLOOKUP(Table8[[#This Row],[Mã khách hàng]],code_khach_hang[],2,0)</f>
        <v>CHI NHÁNH NINH BÌNH - CÔNG TY CỔ PHẦN DỊCH VỤ THƯƠNG MẠI TỔNG HỢP WINCOMMERCE</v>
      </c>
      <c r="G3995" s="16" t="str">
        <f>VLOOKUP(Table8[[#This Row],[Mã khách hàng]],code_khach_hang[],3,0)</f>
        <v>Miền Bắc đặc biệt 3</v>
      </c>
      <c r="H3995" t="str">
        <f>VLOOKUP(Table8[[#This Row],[Mã khách hàng]],'Khách hàng'!A:D,4,0)</f>
        <v>Food Đức Việt</v>
      </c>
      <c r="I3995" t="str">
        <f>VLOOKUP(Table8[[#This Row],[Mã khách hàng]],'Khách hàng'!A:E,5,0)</f>
        <v>HN0040</v>
      </c>
    </row>
    <row r="3996" spans="1:9">
      <c r="A3996" s="14" t="s">
        <v>13257</v>
      </c>
      <c r="B3996" s="9" t="s">
        <v>5</v>
      </c>
      <c r="C3996" s="16" t="s">
        <v>13302</v>
      </c>
      <c r="D3996" s="21"/>
      <c r="E3996" s="32" t="s">
        <v>11199</v>
      </c>
      <c r="F3996" s="22" t="str">
        <f>VLOOKUP(Table8[[#This Row],[Mã khách hàng]],code_khach_hang[],2,0)</f>
        <v>CHI NHÁNH PHÚ THỌ - CÔNG TY CỔ PHẦN DỊCH VỤ THƯƠNG MẠI TỔNG HỢP WINCOMMERCE</v>
      </c>
      <c r="G3996" s="16" t="str">
        <f>VLOOKUP(Table8[[#This Row],[Mã khách hàng]],code_khach_hang[],3,0)</f>
        <v>Miền Bắc đặc biệt 1</v>
      </c>
      <c r="H3996" t="str">
        <f>VLOOKUP(Table8[[#This Row],[Mã khách hàng]],'Khách hàng'!A:D,4,0)</f>
        <v>Food Đức Việt</v>
      </c>
      <c r="I3996" t="str">
        <f>VLOOKUP(Table8[[#This Row],[Mã khách hàng]],'Khách hàng'!A:E,5,0)</f>
        <v>HN0040</v>
      </c>
    </row>
    <row r="3997" spans="1:9">
      <c r="A3997" s="14" t="s">
        <v>13258</v>
      </c>
      <c r="B3997" s="9" t="s">
        <v>5</v>
      </c>
      <c r="C3997" s="16" t="s">
        <v>13303</v>
      </c>
      <c r="D3997" s="21"/>
      <c r="E3997" s="32" t="s">
        <v>11216</v>
      </c>
      <c r="F3997" s="22" t="str">
        <f>VLOOKUP(Table8[[#This Row],[Mã khách hàng]],code_khach_hang[],2,0)</f>
        <v>CHI NHÁNH HƯNG YÊN - CÔNG TY CỔ PHẦN DỊCH VỤ THƯƠNG MẠI TỔNG HỢP WINCOMMERCE</v>
      </c>
      <c r="G3997" s="16" t="str">
        <f>VLOOKUP(Table8[[#This Row],[Mã khách hàng]],code_khach_hang[],3,0)</f>
        <v>Miền Bắc đặc biệt 1</v>
      </c>
      <c r="H3997" t="str">
        <f>VLOOKUP(Table8[[#This Row],[Mã khách hàng]],'Khách hàng'!A:D,4,0)</f>
        <v>Food Đức Việt</v>
      </c>
      <c r="I3997" t="str">
        <f>VLOOKUP(Table8[[#This Row],[Mã khách hàng]],'Khách hàng'!A:E,5,0)</f>
        <v>HN0040</v>
      </c>
    </row>
    <row r="3998" spans="1:9">
      <c r="A3998" s="14" t="s">
        <v>13259</v>
      </c>
      <c r="B3998" s="9" t="s">
        <v>5</v>
      </c>
      <c r="C3998" s="16" t="s">
        <v>13304</v>
      </c>
      <c r="D3998" s="21"/>
      <c r="E3998" s="32" t="s">
        <v>11216</v>
      </c>
      <c r="F3998" s="22" t="str">
        <f>VLOOKUP(Table8[[#This Row],[Mã khách hàng]],code_khach_hang[],2,0)</f>
        <v>CHI NHÁNH HƯNG YÊN - CÔNG TY CỔ PHẦN DỊCH VỤ THƯƠNG MẠI TỔNG HỢP WINCOMMERCE</v>
      </c>
      <c r="G3998" s="16" t="str">
        <f>VLOOKUP(Table8[[#This Row],[Mã khách hàng]],code_khach_hang[],3,0)</f>
        <v>Miền Bắc đặc biệt 1</v>
      </c>
      <c r="H3998" t="str">
        <f>VLOOKUP(Table8[[#This Row],[Mã khách hàng]],'Khách hàng'!A:D,4,0)</f>
        <v>Food Đức Việt</v>
      </c>
      <c r="I3998" t="str">
        <f>VLOOKUP(Table8[[#This Row],[Mã khách hàng]],'Khách hàng'!A:E,5,0)</f>
        <v>HN0040</v>
      </c>
    </row>
    <row r="3999" spans="1:9">
      <c r="A3999" s="14" t="s">
        <v>13260</v>
      </c>
      <c r="B3999" s="9" t="s">
        <v>5</v>
      </c>
      <c r="C3999" s="16" t="s">
        <v>13305</v>
      </c>
      <c r="D3999" s="21"/>
      <c r="E3999" s="32" t="s">
        <v>11216</v>
      </c>
      <c r="F3999" s="22" t="str">
        <f>VLOOKUP(Table8[[#This Row],[Mã khách hàng]],code_khach_hang[],2,0)</f>
        <v>CHI NHÁNH HƯNG YÊN - CÔNG TY CỔ PHẦN DỊCH VỤ THƯƠNG MẠI TỔNG HỢP WINCOMMERCE</v>
      </c>
      <c r="G3999" s="16" t="str">
        <f>VLOOKUP(Table8[[#This Row],[Mã khách hàng]],code_khach_hang[],3,0)</f>
        <v>Miền Bắc đặc biệt 1</v>
      </c>
      <c r="H3999" t="str">
        <f>VLOOKUP(Table8[[#This Row],[Mã khách hàng]],'Khách hàng'!A:D,4,0)</f>
        <v>Food Đức Việt</v>
      </c>
      <c r="I3999" t="str">
        <f>VLOOKUP(Table8[[#This Row],[Mã khách hàng]],'Khách hàng'!A:E,5,0)</f>
        <v>HN0040</v>
      </c>
    </row>
    <row r="4000" spans="1:9">
      <c r="A4000" s="14" t="s">
        <v>13261</v>
      </c>
      <c r="B4000" s="9" t="s">
        <v>5</v>
      </c>
      <c r="C4000" s="16" t="s">
        <v>13306</v>
      </c>
      <c r="D4000" s="21"/>
      <c r="E4000" s="32" t="s">
        <v>11218</v>
      </c>
      <c r="F4000" s="22" t="str">
        <f>VLOOKUP(Table8[[#This Row],[Mã khách hàng]],code_khach_hang[],2,0)</f>
        <v>CHI NHÁNH LÀO CAI - CÔNG TY CỔ PHẦN DỊCH VỤ THƯƠNG MẠI TỔNG HỢP WINCOMMERCE</v>
      </c>
      <c r="G4000" s="16" t="str">
        <f>VLOOKUP(Table8[[#This Row],[Mã khách hàng]],code_khach_hang[],3,0)</f>
        <v>Miền Bắc đặc biệt 1</v>
      </c>
      <c r="H4000" t="str">
        <f>VLOOKUP(Table8[[#This Row],[Mã khách hàng]],'Khách hàng'!A:D,4,0)</f>
        <v>Food Đức Việt</v>
      </c>
      <c r="I4000" t="str">
        <f>VLOOKUP(Table8[[#This Row],[Mã khách hàng]],'Khách hàng'!A:E,5,0)</f>
        <v>HN0040</v>
      </c>
    </row>
    <row r="4001" spans="1:9">
      <c r="A4001" s="14" t="s">
        <v>13262</v>
      </c>
      <c r="B4001" s="9" t="s">
        <v>5</v>
      </c>
      <c r="C4001" s="16" t="s">
        <v>13307</v>
      </c>
      <c r="D4001" s="21"/>
      <c r="E4001" s="32" t="s">
        <v>11218</v>
      </c>
      <c r="F4001" s="22" t="str">
        <f>VLOOKUP(Table8[[#This Row],[Mã khách hàng]],code_khach_hang[],2,0)</f>
        <v>CHI NHÁNH LÀO CAI - CÔNG TY CỔ PHẦN DỊCH VỤ THƯƠNG MẠI TỔNG HỢP WINCOMMERCE</v>
      </c>
      <c r="G4001" s="16" t="str">
        <f>VLOOKUP(Table8[[#This Row],[Mã khách hàng]],code_khach_hang[],3,0)</f>
        <v>Miền Bắc đặc biệt 1</v>
      </c>
      <c r="H4001" t="str">
        <f>VLOOKUP(Table8[[#This Row],[Mã khách hàng]],'Khách hàng'!A:D,4,0)</f>
        <v>Food Đức Việt</v>
      </c>
      <c r="I4001" t="str">
        <f>VLOOKUP(Table8[[#This Row],[Mã khách hàng]],'Khách hàng'!A:E,5,0)</f>
        <v>HN0040</v>
      </c>
    </row>
    <row r="4002" spans="1:9">
      <c r="A4002" s="14" t="s">
        <v>13263</v>
      </c>
      <c r="B4002" s="9" t="s">
        <v>5</v>
      </c>
      <c r="C4002" s="16" t="s">
        <v>13308</v>
      </c>
      <c r="D4002" s="21"/>
      <c r="E4002" s="32" t="s">
        <v>11199</v>
      </c>
      <c r="F4002" s="22" t="str">
        <f>VLOOKUP(Table8[[#This Row],[Mã khách hàng]],code_khach_hang[],2,0)</f>
        <v>CHI NHÁNH PHÚ THỌ - CÔNG TY CỔ PHẦN DỊCH VỤ THƯƠNG MẠI TỔNG HỢP WINCOMMERCE</v>
      </c>
      <c r="G4002" s="16" t="str">
        <f>VLOOKUP(Table8[[#This Row],[Mã khách hàng]],code_khach_hang[],3,0)</f>
        <v>Miền Bắc đặc biệt 1</v>
      </c>
      <c r="H4002" t="str">
        <f>VLOOKUP(Table8[[#This Row],[Mã khách hàng]],'Khách hàng'!A:D,4,0)</f>
        <v>Food Đức Việt</v>
      </c>
      <c r="I4002" t="str">
        <f>VLOOKUP(Table8[[#This Row],[Mã khách hàng]],'Khách hàng'!A:E,5,0)</f>
        <v>HN0040</v>
      </c>
    </row>
    <row r="4003" spans="1:9">
      <c r="A4003" s="14" t="s">
        <v>13264</v>
      </c>
      <c r="B4003" s="9" t="s">
        <v>5</v>
      </c>
      <c r="C4003" s="16" t="s">
        <v>13309</v>
      </c>
      <c r="D4003" s="21"/>
      <c r="E4003" s="32" t="s">
        <v>11218</v>
      </c>
      <c r="F4003" s="22" t="str">
        <f>VLOOKUP(Table8[[#This Row],[Mã khách hàng]],code_khach_hang[],2,0)</f>
        <v>CHI NHÁNH LÀO CAI - CÔNG TY CỔ PHẦN DỊCH VỤ THƯƠNG MẠI TỔNG HỢP WINCOMMERCE</v>
      </c>
      <c r="G4003" s="16" t="str">
        <f>VLOOKUP(Table8[[#This Row],[Mã khách hàng]],code_khach_hang[],3,0)</f>
        <v>Miền Bắc đặc biệt 1</v>
      </c>
      <c r="H4003" t="str">
        <f>VLOOKUP(Table8[[#This Row],[Mã khách hàng]],'Khách hàng'!A:D,4,0)</f>
        <v>Food Đức Việt</v>
      </c>
      <c r="I4003" t="str">
        <f>VLOOKUP(Table8[[#This Row],[Mã khách hàng]],'Khách hàng'!A:E,5,0)</f>
        <v>HN0040</v>
      </c>
    </row>
    <row r="4004" spans="1:9">
      <c r="A4004" s="14" t="s">
        <v>13265</v>
      </c>
      <c r="B4004" s="9" t="s">
        <v>5</v>
      </c>
      <c r="C4004" s="16" t="s">
        <v>13310</v>
      </c>
      <c r="D4004" s="21"/>
      <c r="E4004" s="32" t="s">
        <v>11193</v>
      </c>
      <c r="F4004" s="22" t="str">
        <f>VLOOKUP(Table8[[#This Row],[Mã khách hàng]],code_khach_hang[],2,0)</f>
        <v>CHI NHÁNH BẮC NINH - CÔNG TY CỔ PHẦN DỊCH VỤ THƯƠNG MẠI TỔNG HỢP WINCOMMERCE</v>
      </c>
      <c r="G4004" s="16" t="str">
        <f>VLOOKUP(Table8[[#This Row],[Mã khách hàng]],code_khach_hang[],3,0)</f>
        <v>Miền Bắc đặc biệt 2</v>
      </c>
      <c r="H4004" t="str">
        <f>VLOOKUP(Table8[[#This Row],[Mã khách hàng]],'Khách hàng'!A:D,4,0)</f>
        <v>Food Đức Việt</v>
      </c>
      <c r="I4004" t="str">
        <f>VLOOKUP(Table8[[#This Row],[Mã khách hàng]],'Khách hàng'!A:E,5,0)</f>
        <v>HN0040</v>
      </c>
    </row>
    <row r="4005" spans="1:9">
      <c r="A4005" s="14" t="s">
        <v>13266</v>
      </c>
      <c r="B4005" s="9" t="s">
        <v>5</v>
      </c>
      <c r="C4005" s="16" t="s">
        <v>13311</v>
      </c>
      <c r="D4005" s="21"/>
      <c r="E4005" s="32" t="s">
        <v>11215</v>
      </c>
      <c r="F4005" s="22" t="str">
        <f>VLOOKUP(Table8[[#This Row],[Mã khách hàng]],code_khach_hang[],2,0)</f>
        <v>CHI NHÁNH HÀ NỘI - CÔNG TY CỔ PHẦN DỊCH VỤ THƯƠNG MẠI TỔNG HỢP WINCOMMERCE</v>
      </c>
      <c r="G4005" s="16" t="str">
        <f>VLOOKUP(Table8[[#This Row],[Mã khách hàng]],code_khach_hang[],3,0)</f>
        <v>Miền Bắc đặc biệt 1</v>
      </c>
      <c r="H4005" t="str">
        <f>VLOOKUP(Table8[[#This Row],[Mã khách hàng]],'Khách hàng'!A:D,4,0)</f>
        <v>Food Đức Việt</v>
      </c>
      <c r="I4005" t="str">
        <f>VLOOKUP(Table8[[#This Row],[Mã khách hàng]],'Khách hàng'!A:E,5,0)</f>
        <v>HN0040</v>
      </c>
    </row>
    <row r="4006" spans="1:9">
      <c r="A4006" s="14" t="s">
        <v>13267</v>
      </c>
      <c r="B4006" s="9" t="s">
        <v>5</v>
      </c>
      <c r="C4006" s="16" t="s">
        <v>13312</v>
      </c>
      <c r="D4006" s="21"/>
      <c r="E4006" s="32" t="s">
        <v>11215</v>
      </c>
      <c r="F4006" s="22" t="str">
        <f>VLOOKUP(Table8[[#This Row],[Mã khách hàng]],code_khach_hang[],2,0)</f>
        <v>CHI NHÁNH HÀ NỘI - CÔNG TY CỔ PHẦN DỊCH VỤ THƯƠNG MẠI TỔNG HỢP WINCOMMERCE</v>
      </c>
      <c r="G4006" s="16" t="str">
        <f>VLOOKUP(Table8[[#This Row],[Mã khách hàng]],code_khach_hang[],3,0)</f>
        <v>Miền Bắc đặc biệt 1</v>
      </c>
      <c r="H4006" t="str">
        <f>VLOOKUP(Table8[[#This Row],[Mã khách hàng]],'Khách hàng'!A:D,4,0)</f>
        <v>Food Đức Việt</v>
      </c>
      <c r="I4006" t="str">
        <f>VLOOKUP(Table8[[#This Row],[Mã khách hàng]],'Khách hàng'!A:E,5,0)</f>
        <v>HN0040</v>
      </c>
    </row>
    <row r="4007" spans="1:9">
      <c r="A4007" s="14" t="s">
        <v>13268</v>
      </c>
      <c r="B4007" s="9" t="s">
        <v>5</v>
      </c>
      <c r="C4007" s="16" t="s">
        <v>13313</v>
      </c>
      <c r="D4007" s="21"/>
      <c r="E4007" s="32" t="s">
        <v>11196</v>
      </c>
      <c r="F4007" s="22" t="str">
        <f>VLOOKUP(Table8[[#This Row],[Mã khách hàng]],code_khach_hang[],2,0)</f>
        <v>CHI NHÁNH NINH BÌNH - CÔNG TY CỔ PHẦN DỊCH VỤ THƯƠNG MẠI TỔNG HỢP WINCOMMERCE</v>
      </c>
      <c r="G4007" s="16" t="str">
        <f>VLOOKUP(Table8[[#This Row],[Mã khách hàng]],code_khach_hang[],3,0)</f>
        <v>Miền Bắc đặc biệt 3</v>
      </c>
      <c r="H4007" t="str">
        <f>VLOOKUP(Table8[[#This Row],[Mã khách hàng]],'Khách hàng'!A:D,4,0)</f>
        <v>Food Đức Việt</v>
      </c>
      <c r="I4007" t="str">
        <f>VLOOKUP(Table8[[#This Row],[Mã khách hàng]],'Khách hàng'!A:E,5,0)</f>
        <v>HN0040</v>
      </c>
    </row>
    <row r="4008" spans="1:9">
      <c r="A4008" s="14" t="s">
        <v>13269</v>
      </c>
      <c r="B4008" s="9" t="s">
        <v>5</v>
      </c>
      <c r="C4008" s="16" t="s">
        <v>13314</v>
      </c>
      <c r="D4008" s="21"/>
      <c r="E4008" s="32" t="s">
        <v>11218</v>
      </c>
      <c r="F4008" s="22" t="str">
        <f>VLOOKUP(Table8[[#This Row],[Mã khách hàng]],code_khach_hang[],2,0)</f>
        <v>CHI NHÁNH LÀO CAI - CÔNG TY CỔ PHẦN DỊCH VỤ THƯƠNG MẠI TỔNG HỢP WINCOMMERCE</v>
      </c>
      <c r="G4008" s="16" t="str">
        <f>VLOOKUP(Table8[[#This Row],[Mã khách hàng]],code_khach_hang[],3,0)</f>
        <v>Miền Bắc đặc biệt 1</v>
      </c>
      <c r="H4008" t="str">
        <f>VLOOKUP(Table8[[#This Row],[Mã khách hàng]],'Khách hàng'!A:D,4,0)</f>
        <v>Food Đức Việt</v>
      </c>
      <c r="I4008" t="str">
        <f>VLOOKUP(Table8[[#This Row],[Mã khách hàng]],'Khách hàng'!A:E,5,0)</f>
        <v>HN0040</v>
      </c>
    </row>
    <row r="4009" spans="1:9">
      <c r="A4009" s="14" t="s">
        <v>13270</v>
      </c>
      <c r="B4009" s="9" t="s">
        <v>5</v>
      </c>
      <c r="C4009" s="16" t="s">
        <v>13315</v>
      </c>
      <c r="D4009" s="21"/>
      <c r="E4009" s="32" t="s">
        <v>11215</v>
      </c>
      <c r="F4009" s="22" t="str">
        <f>VLOOKUP(Table8[[#This Row],[Mã khách hàng]],code_khach_hang[],2,0)</f>
        <v>CHI NHÁNH HÀ NỘI - CÔNG TY CỔ PHẦN DỊCH VỤ THƯƠNG MẠI TỔNG HỢP WINCOMMERCE</v>
      </c>
      <c r="G4009" s="16" t="str">
        <f>VLOOKUP(Table8[[#This Row],[Mã khách hàng]],code_khach_hang[],3,0)</f>
        <v>Miền Bắc đặc biệt 1</v>
      </c>
      <c r="H4009" t="str">
        <f>VLOOKUP(Table8[[#This Row],[Mã khách hàng]],'Khách hàng'!A:D,4,0)</f>
        <v>Food Đức Việt</v>
      </c>
      <c r="I4009" t="str">
        <f>VLOOKUP(Table8[[#This Row],[Mã khách hàng]],'Khách hàng'!A:E,5,0)</f>
        <v>HN0040</v>
      </c>
    </row>
    <row r="4010" spans="1:9">
      <c r="A4010" s="14" t="s">
        <v>13271</v>
      </c>
      <c r="B4010" s="9" t="s">
        <v>5</v>
      </c>
      <c r="C4010" s="16" t="s">
        <v>13316</v>
      </c>
      <c r="D4010" s="21"/>
      <c r="E4010" s="32" t="s">
        <v>11218</v>
      </c>
      <c r="F4010" s="22" t="str">
        <f>VLOOKUP(Table8[[#This Row],[Mã khách hàng]],code_khach_hang[],2,0)</f>
        <v>CHI NHÁNH LÀO CAI - CÔNG TY CỔ PHẦN DỊCH VỤ THƯƠNG MẠI TỔNG HỢP WINCOMMERCE</v>
      </c>
      <c r="G4010" s="16" t="str">
        <f>VLOOKUP(Table8[[#This Row],[Mã khách hàng]],code_khach_hang[],3,0)</f>
        <v>Miền Bắc đặc biệt 1</v>
      </c>
      <c r="H4010" t="str">
        <f>VLOOKUP(Table8[[#This Row],[Mã khách hàng]],'Khách hàng'!A:D,4,0)</f>
        <v>Food Đức Việt</v>
      </c>
      <c r="I4010" t="str">
        <f>VLOOKUP(Table8[[#This Row],[Mã khách hàng]],'Khách hàng'!A:E,5,0)</f>
        <v>HN0040</v>
      </c>
    </row>
    <row r="4011" spans="1:9">
      <c r="A4011" s="14" t="s">
        <v>13272</v>
      </c>
      <c r="B4011" s="9" t="s">
        <v>5</v>
      </c>
      <c r="C4011" s="16" t="s">
        <v>13317</v>
      </c>
      <c r="D4011" s="21"/>
      <c r="E4011" s="32" t="s">
        <v>11207</v>
      </c>
      <c r="F4011" s="22" t="str">
        <f>VLOOKUP(Table8[[#This Row],[Mã khách hàng]],code_khach_hang[],2,0)</f>
        <v>CHI NHÁNH THÁI NGUYÊN - CÔNG TY CỔ PHẦN DỊCH VỤ THƯƠNG MẠI TỔNG HỢP WINCOMMERCE</v>
      </c>
      <c r="G4011" s="16" t="str">
        <f>VLOOKUP(Table8[[#This Row],[Mã khách hàng]],code_khach_hang[],3,0)</f>
        <v>Miền Bắc đặc biệt 2</v>
      </c>
      <c r="H4011" t="str">
        <f>VLOOKUP(Table8[[#This Row],[Mã khách hàng]],'Khách hàng'!A:D,4,0)</f>
        <v>Food Đức Việt</v>
      </c>
      <c r="I4011" t="str">
        <f>VLOOKUP(Table8[[#This Row],[Mã khách hàng]],'Khách hàng'!A:E,5,0)</f>
        <v>HN0040</v>
      </c>
    </row>
    <row r="4012" spans="1:9">
      <c r="A4012" s="14" t="s">
        <v>13273</v>
      </c>
      <c r="B4012" s="9" t="s">
        <v>5</v>
      </c>
      <c r="C4012" s="16" t="s">
        <v>13318</v>
      </c>
      <c r="D4012" s="21"/>
      <c r="E4012" s="32" t="s">
        <v>11199</v>
      </c>
      <c r="F4012" s="22" t="str">
        <f>VLOOKUP(Table8[[#This Row],[Mã khách hàng]],code_khach_hang[],2,0)</f>
        <v>CHI NHÁNH PHÚ THỌ - CÔNG TY CỔ PHẦN DỊCH VỤ THƯƠNG MẠI TỔNG HỢP WINCOMMERCE</v>
      </c>
      <c r="G4012" s="16" t="str">
        <f>VLOOKUP(Table8[[#This Row],[Mã khách hàng]],code_khach_hang[],3,0)</f>
        <v>Miền Bắc đặc biệt 1</v>
      </c>
      <c r="H4012" t="str">
        <f>VLOOKUP(Table8[[#This Row],[Mã khách hàng]],'Khách hàng'!A:D,4,0)</f>
        <v>Food Đức Việt</v>
      </c>
      <c r="I4012" t="str">
        <f>VLOOKUP(Table8[[#This Row],[Mã khách hàng]],'Khách hàng'!A:E,5,0)</f>
        <v>HN0040</v>
      </c>
    </row>
    <row r="4013" spans="1:9">
      <c r="A4013" s="14" t="s">
        <v>13274</v>
      </c>
      <c r="B4013" s="9" t="s">
        <v>5</v>
      </c>
      <c r="C4013" s="16" t="s">
        <v>13319</v>
      </c>
      <c r="D4013" s="21"/>
      <c r="E4013" s="32" t="s">
        <v>11218</v>
      </c>
      <c r="F4013" s="22" t="str">
        <f>VLOOKUP(Table8[[#This Row],[Mã khách hàng]],code_khach_hang[],2,0)</f>
        <v>CHI NHÁNH LÀO CAI - CÔNG TY CỔ PHẦN DỊCH VỤ THƯƠNG MẠI TỔNG HỢP WINCOMMERCE</v>
      </c>
      <c r="G4013" s="16" t="str">
        <f>VLOOKUP(Table8[[#This Row],[Mã khách hàng]],code_khach_hang[],3,0)</f>
        <v>Miền Bắc đặc biệt 1</v>
      </c>
      <c r="H4013" t="str">
        <f>VLOOKUP(Table8[[#This Row],[Mã khách hàng]],'Khách hàng'!A:D,4,0)</f>
        <v>Food Đức Việt</v>
      </c>
      <c r="I4013" t="str">
        <f>VLOOKUP(Table8[[#This Row],[Mã khách hàng]],'Khách hàng'!A:E,5,0)</f>
        <v>HN0040</v>
      </c>
    </row>
    <row r="4014" spans="1:9">
      <c r="A4014" s="14" t="s">
        <v>13275</v>
      </c>
      <c r="B4014" s="9" t="s">
        <v>5</v>
      </c>
      <c r="C4014" s="16" t="s">
        <v>13320</v>
      </c>
      <c r="D4014" s="21"/>
      <c r="E4014" s="32" t="s">
        <v>11204</v>
      </c>
      <c r="F4014" s="22" t="str">
        <f>VLOOKUP(Table8[[#This Row],[Mã khách hàng]],code_khach_hang[],2,0)</f>
        <v>CHI NHÁNH TUYÊN QUANG - CÔNG TY CỔ PHẦN DỊCH VỤ THƯƠNG MẠI TỔNG HỢP WINCOMMERCE</v>
      </c>
      <c r="G4014" s="16" t="str">
        <f>VLOOKUP(Table8[[#This Row],[Mã khách hàng]],code_khach_hang[],3,0)</f>
        <v>Miền Bắc đặc biệt 2</v>
      </c>
      <c r="H4014" t="str">
        <f>VLOOKUP(Table8[[#This Row],[Mã khách hàng]],'Khách hàng'!A:D,4,0)</f>
        <v>Food Đức Việt</v>
      </c>
      <c r="I4014" t="str">
        <f>VLOOKUP(Table8[[#This Row],[Mã khách hàng]],'Khách hàng'!A:E,5,0)</f>
        <v>HN0040</v>
      </c>
    </row>
    <row r="4015" spans="1:9">
      <c r="A4015" s="14" t="s">
        <v>13276</v>
      </c>
      <c r="B4015" s="9" t="s">
        <v>5</v>
      </c>
      <c r="C4015" s="16" t="s">
        <v>13321</v>
      </c>
      <c r="D4015" s="21"/>
      <c r="E4015" s="32" t="s">
        <v>11215</v>
      </c>
      <c r="F4015" s="22" t="str">
        <f>VLOOKUP(Table8[[#This Row],[Mã khách hàng]],code_khach_hang[],2,0)</f>
        <v>CHI NHÁNH HÀ NỘI - CÔNG TY CỔ PHẦN DỊCH VỤ THƯƠNG MẠI TỔNG HỢP WINCOMMERCE</v>
      </c>
      <c r="G4015" s="16" t="str">
        <f>VLOOKUP(Table8[[#This Row],[Mã khách hàng]],code_khach_hang[],3,0)</f>
        <v>Miền Bắc đặc biệt 1</v>
      </c>
      <c r="H4015" t="str">
        <f>VLOOKUP(Table8[[#This Row],[Mã khách hàng]],'Khách hàng'!A:D,4,0)</f>
        <v>Food Đức Việt</v>
      </c>
      <c r="I4015" t="str">
        <f>VLOOKUP(Table8[[#This Row],[Mã khách hàng]],'Khách hàng'!A:E,5,0)</f>
        <v>HN0040</v>
      </c>
    </row>
    <row r="4016" spans="1:9">
      <c r="A4016" s="14" t="s">
        <v>13277</v>
      </c>
      <c r="B4016" s="9" t="s">
        <v>5</v>
      </c>
      <c r="C4016" s="16" t="s">
        <v>13322</v>
      </c>
      <c r="D4016" s="21"/>
      <c r="E4016" s="32" t="s">
        <v>11215</v>
      </c>
      <c r="F4016" s="22" t="str">
        <f>VLOOKUP(Table8[[#This Row],[Mã khách hàng]],code_khach_hang[],2,0)</f>
        <v>CHI NHÁNH HÀ NỘI - CÔNG TY CỔ PHẦN DỊCH VỤ THƯƠNG MẠI TỔNG HỢP WINCOMMERCE</v>
      </c>
      <c r="G4016" s="16" t="str">
        <f>VLOOKUP(Table8[[#This Row],[Mã khách hàng]],code_khach_hang[],3,0)</f>
        <v>Miền Bắc đặc biệt 1</v>
      </c>
      <c r="H4016" t="str">
        <f>VLOOKUP(Table8[[#This Row],[Mã khách hàng]],'Khách hàng'!A:D,4,0)</f>
        <v>Food Đức Việt</v>
      </c>
      <c r="I4016" t="str">
        <f>VLOOKUP(Table8[[#This Row],[Mã khách hàng]],'Khách hàng'!A:E,5,0)</f>
        <v>HN0040</v>
      </c>
    </row>
    <row r="4017" spans="1:9">
      <c r="A4017" s="14" t="s">
        <v>13278</v>
      </c>
      <c r="B4017" s="9" t="s">
        <v>5</v>
      </c>
      <c r="C4017" s="16" t="s">
        <v>13323</v>
      </c>
      <c r="D4017" s="21"/>
      <c r="E4017" s="32" t="s">
        <v>11215</v>
      </c>
      <c r="F4017" s="22" t="str">
        <f>VLOOKUP(Table8[[#This Row],[Mã khách hàng]],code_khach_hang[],2,0)</f>
        <v>CHI NHÁNH HÀ NỘI - CÔNG TY CỔ PHẦN DỊCH VỤ THƯƠNG MẠI TỔNG HỢP WINCOMMERCE</v>
      </c>
      <c r="G4017" s="16" t="str">
        <f>VLOOKUP(Table8[[#This Row],[Mã khách hàng]],code_khach_hang[],3,0)</f>
        <v>Miền Bắc đặc biệt 1</v>
      </c>
      <c r="H4017" t="str">
        <f>VLOOKUP(Table8[[#This Row],[Mã khách hàng]],'Khách hàng'!A:D,4,0)</f>
        <v>Food Đức Việt</v>
      </c>
      <c r="I4017" t="str">
        <f>VLOOKUP(Table8[[#This Row],[Mã khách hàng]],'Khách hàng'!A:E,5,0)</f>
        <v>HN0040</v>
      </c>
    </row>
    <row r="4018" spans="1:9">
      <c r="A4018" s="14" t="s">
        <v>13279</v>
      </c>
      <c r="B4018" s="9" t="s">
        <v>5</v>
      </c>
      <c r="C4018" s="16" t="s">
        <v>13324</v>
      </c>
      <c r="D4018" s="21"/>
      <c r="E4018" s="32" t="s">
        <v>11216</v>
      </c>
      <c r="F4018" s="22" t="str">
        <f>VLOOKUP(Table8[[#This Row],[Mã khách hàng]],code_khach_hang[],2,0)</f>
        <v>CHI NHÁNH HƯNG YÊN - CÔNG TY CỔ PHẦN DỊCH VỤ THƯƠNG MẠI TỔNG HỢP WINCOMMERCE</v>
      </c>
      <c r="G4018" s="16" t="str">
        <f>VLOOKUP(Table8[[#This Row],[Mã khách hàng]],code_khach_hang[],3,0)</f>
        <v>Miền Bắc đặc biệt 1</v>
      </c>
      <c r="H4018" t="str">
        <f>VLOOKUP(Table8[[#This Row],[Mã khách hàng]],'Khách hàng'!A:D,4,0)</f>
        <v>Food Đức Việt</v>
      </c>
      <c r="I4018" t="str">
        <f>VLOOKUP(Table8[[#This Row],[Mã khách hàng]],'Khách hàng'!A:E,5,0)</f>
        <v>HN0040</v>
      </c>
    </row>
    <row r="4019" spans="1:9">
      <c r="A4019" s="14" t="s">
        <v>13280</v>
      </c>
      <c r="B4019" s="9" t="s">
        <v>5</v>
      </c>
      <c r="C4019" s="16" t="s">
        <v>13325</v>
      </c>
      <c r="D4019" s="21"/>
      <c r="E4019" s="32" t="s">
        <v>11198</v>
      </c>
      <c r="F4019" s="22" t="str">
        <f>VLOOKUP(Table8[[#This Row],[Mã khách hàng]],code_khach_hang[],2,0)</f>
        <v>CHI NHÁNH HẢI PHÒNG - CÔNG TY CỔ PHẦN DỊCH VỤ THƯƠNG MẠI TỔNG HỢP WINCOMMERCE</v>
      </c>
      <c r="G4019" s="16" t="str">
        <f>VLOOKUP(Table8[[#This Row],[Mã khách hàng]],code_khach_hang[],3,0)</f>
        <v>Miền Bắc đặc biệt 3</v>
      </c>
      <c r="H4019" t="str">
        <f>VLOOKUP(Table8[[#This Row],[Mã khách hàng]],'Khách hàng'!A:D,4,0)</f>
        <v>Food Đức Việt</v>
      </c>
      <c r="I4019" t="str">
        <f>VLOOKUP(Table8[[#This Row],[Mã khách hàng]],'Khách hàng'!A:E,5,0)</f>
        <v>HN0040</v>
      </c>
    </row>
    <row r="4020" spans="1:9">
      <c r="A4020" s="14" t="s">
        <v>13281</v>
      </c>
      <c r="B4020" s="9" t="s">
        <v>5</v>
      </c>
      <c r="C4020" s="16" t="s">
        <v>13326</v>
      </c>
      <c r="D4020" s="21"/>
      <c r="E4020" s="32" t="s">
        <v>11198</v>
      </c>
      <c r="F4020" s="22" t="str">
        <f>VLOOKUP(Table8[[#This Row],[Mã khách hàng]],code_khach_hang[],2,0)</f>
        <v>CHI NHÁNH HẢI PHÒNG - CÔNG TY CỔ PHẦN DỊCH VỤ THƯƠNG MẠI TỔNG HỢP WINCOMMERCE</v>
      </c>
      <c r="G4020" s="16" t="str">
        <f>VLOOKUP(Table8[[#This Row],[Mã khách hàng]],code_khach_hang[],3,0)</f>
        <v>Miền Bắc đặc biệt 3</v>
      </c>
      <c r="H4020" t="str">
        <f>VLOOKUP(Table8[[#This Row],[Mã khách hàng]],'Khách hàng'!A:D,4,0)</f>
        <v>Food Đức Việt</v>
      </c>
      <c r="I4020" t="str">
        <f>VLOOKUP(Table8[[#This Row],[Mã khách hàng]],'Khách hàng'!A:E,5,0)</f>
        <v>HN0040</v>
      </c>
    </row>
    <row r="4021" spans="1:9">
      <c r="A4021" s="14" t="s">
        <v>13282</v>
      </c>
      <c r="B4021" s="9" t="s">
        <v>5</v>
      </c>
      <c r="C4021" s="16" t="s">
        <v>13327</v>
      </c>
      <c r="D4021" s="21"/>
      <c r="E4021" s="32" t="s">
        <v>11198</v>
      </c>
      <c r="F4021" s="22" t="str">
        <f>VLOOKUP(Table8[[#This Row],[Mã khách hàng]],code_khach_hang[],2,0)</f>
        <v>CHI NHÁNH HẢI PHÒNG - CÔNG TY CỔ PHẦN DỊCH VỤ THƯƠNG MẠI TỔNG HỢP WINCOMMERCE</v>
      </c>
      <c r="G4021" s="16" t="str">
        <f>VLOOKUP(Table8[[#This Row],[Mã khách hàng]],code_khach_hang[],3,0)</f>
        <v>Miền Bắc đặc biệt 3</v>
      </c>
      <c r="H4021" t="str">
        <f>VLOOKUP(Table8[[#This Row],[Mã khách hàng]],'Khách hàng'!A:D,4,0)</f>
        <v>Food Đức Việt</v>
      </c>
      <c r="I4021" t="str">
        <f>VLOOKUP(Table8[[#This Row],[Mã khách hàng]],'Khách hàng'!A:E,5,0)</f>
        <v>HN0040</v>
      </c>
    </row>
    <row r="4022" spans="1:9">
      <c r="A4022" s="14" t="s">
        <v>13283</v>
      </c>
      <c r="B4022" s="9" t="s">
        <v>5</v>
      </c>
      <c r="C4022" s="16" t="s">
        <v>13328</v>
      </c>
      <c r="D4022" s="21"/>
      <c r="E4022" s="32" t="s">
        <v>11215</v>
      </c>
      <c r="F4022" s="22" t="str">
        <f>VLOOKUP(Table8[[#This Row],[Mã khách hàng]],code_khach_hang[],2,0)</f>
        <v>CHI NHÁNH HÀ NỘI - CÔNG TY CỔ PHẦN DỊCH VỤ THƯƠNG MẠI TỔNG HỢP WINCOMMERCE</v>
      </c>
      <c r="G4022" s="16" t="str">
        <f>VLOOKUP(Table8[[#This Row],[Mã khách hàng]],code_khach_hang[],3,0)</f>
        <v>Miền Bắc đặc biệt 1</v>
      </c>
      <c r="H4022" t="str">
        <f>VLOOKUP(Table8[[#This Row],[Mã khách hàng]],'Khách hàng'!A:D,4,0)</f>
        <v>Food Đức Việt</v>
      </c>
      <c r="I4022" t="str">
        <f>VLOOKUP(Table8[[#This Row],[Mã khách hàng]],'Khách hàng'!A:E,5,0)</f>
        <v>HN0040</v>
      </c>
    </row>
    <row r="4023" spans="1:9">
      <c r="A4023" s="14" t="s">
        <v>13284</v>
      </c>
      <c r="B4023" s="9" t="s">
        <v>5</v>
      </c>
      <c r="C4023" s="16" t="s">
        <v>13329</v>
      </c>
      <c r="D4023" s="21"/>
      <c r="E4023" s="32" t="s">
        <v>11197</v>
      </c>
      <c r="F4023" s="22" t="str">
        <f>VLOOKUP(Table8[[#This Row],[Mã khách hàng]],code_khach_hang[],2,0)</f>
        <v>CHI NHÁNH QUẢNG NINH - CÔNG TY CỔ PHẦN DỊCH VỤ THƯƠNG MẠI TỔNG HỢP WINCOMMERCE</v>
      </c>
      <c r="G4023" s="16" t="str">
        <f>VLOOKUP(Table8[[#This Row],[Mã khách hàng]],code_khach_hang[],3,0)</f>
        <v>Miền Bắc đặc biệt 3</v>
      </c>
      <c r="H4023" t="str">
        <f>VLOOKUP(Table8[[#This Row],[Mã khách hàng]],'Khách hàng'!A:D,4,0)</f>
        <v>Food Đức Việt</v>
      </c>
      <c r="I4023" t="str">
        <f>VLOOKUP(Table8[[#This Row],[Mã khách hàng]],'Khách hàng'!A:E,5,0)</f>
        <v>HN0040</v>
      </c>
    </row>
    <row r="4024" spans="1:9">
      <c r="A4024" s="14" t="s">
        <v>13285</v>
      </c>
      <c r="B4024" s="9" t="s">
        <v>5</v>
      </c>
      <c r="C4024" s="16" t="s">
        <v>13330</v>
      </c>
      <c r="D4024" s="21"/>
      <c r="E4024" s="32" t="s">
        <v>11203</v>
      </c>
      <c r="F4024" s="22" t="str">
        <f>VLOOKUP(Table8[[#This Row],[Mã khách hàng]],code_khach_hang[],2,0)</f>
        <v>CHI NHÁNH THANH HÓA - CÔNG TY CỔ PHẦN DỊCH VỤ THƯƠNG MẠI TỔNG HỢP WINCOMMERCE</v>
      </c>
      <c r="G4024" s="16" t="str">
        <f>VLOOKUP(Table8[[#This Row],[Mã khách hàng]],code_khach_hang[],3,0)</f>
        <v>Miền Trung đặc biệt 1</v>
      </c>
      <c r="H4024" t="str">
        <f>VLOOKUP(Table8[[#This Row],[Mã khách hàng]],'Khách hàng'!A:D,4,0)</f>
        <v>Food Đức Việt</v>
      </c>
      <c r="I4024" t="str">
        <f>VLOOKUP(Table8[[#This Row],[Mã khách hàng]],'Khách hàng'!A:E,5,0)</f>
        <v>HN0040</v>
      </c>
    </row>
    <row r="4025" spans="1:9">
      <c r="A4025" s="14" t="s">
        <v>13286</v>
      </c>
      <c r="B4025" s="9" t="s">
        <v>5</v>
      </c>
      <c r="C4025" s="16" t="s">
        <v>13331</v>
      </c>
      <c r="D4025" s="21"/>
      <c r="E4025" s="32" t="s">
        <v>11196</v>
      </c>
      <c r="F4025" s="22" t="str">
        <f>VLOOKUP(Table8[[#This Row],[Mã khách hàng]],code_khach_hang[],2,0)</f>
        <v>CHI NHÁNH NINH BÌNH - CÔNG TY CỔ PHẦN DỊCH VỤ THƯƠNG MẠI TỔNG HỢP WINCOMMERCE</v>
      </c>
      <c r="G4025" s="16" t="str">
        <f>VLOOKUP(Table8[[#This Row],[Mã khách hàng]],code_khach_hang[],3,0)</f>
        <v>Miền Bắc đặc biệt 3</v>
      </c>
      <c r="H4025" t="str">
        <f>VLOOKUP(Table8[[#This Row],[Mã khách hàng]],'Khách hàng'!A:D,4,0)</f>
        <v>Food Đức Việt</v>
      </c>
      <c r="I4025" t="str">
        <f>VLOOKUP(Table8[[#This Row],[Mã khách hàng]],'Khách hàng'!A:E,5,0)</f>
        <v>HN0040</v>
      </c>
    </row>
    <row r="4026" spans="1:9">
      <c r="A4026" s="14" t="s">
        <v>13287</v>
      </c>
      <c r="B4026" s="9" t="s">
        <v>5</v>
      </c>
      <c r="C4026" s="16" t="s">
        <v>13332</v>
      </c>
      <c r="D4026" s="21"/>
      <c r="E4026" s="32" t="s">
        <v>11196</v>
      </c>
      <c r="F4026" s="22" t="str">
        <f>VLOOKUP(Table8[[#This Row],[Mã khách hàng]],code_khach_hang[],2,0)</f>
        <v>CHI NHÁNH NINH BÌNH - CÔNG TY CỔ PHẦN DỊCH VỤ THƯƠNG MẠI TỔNG HỢP WINCOMMERCE</v>
      </c>
      <c r="G4026" s="16" t="str">
        <f>VLOOKUP(Table8[[#This Row],[Mã khách hàng]],code_khach_hang[],3,0)</f>
        <v>Miền Bắc đặc biệt 3</v>
      </c>
      <c r="H4026" t="str">
        <f>VLOOKUP(Table8[[#This Row],[Mã khách hàng]],'Khách hàng'!A:D,4,0)</f>
        <v>Food Đức Việt</v>
      </c>
      <c r="I4026" t="str">
        <f>VLOOKUP(Table8[[#This Row],[Mã khách hàng]],'Khách hàng'!A:E,5,0)</f>
        <v>HN0040</v>
      </c>
    </row>
    <row r="4027" spans="1:9">
      <c r="A4027" s="14" t="s">
        <v>13288</v>
      </c>
      <c r="B4027" s="9" t="s">
        <v>5</v>
      </c>
      <c r="C4027" s="16" t="s">
        <v>13333</v>
      </c>
      <c r="D4027" s="21"/>
      <c r="E4027" s="32" t="s">
        <v>11199</v>
      </c>
      <c r="F4027" s="22" t="str">
        <f>VLOOKUP(Table8[[#This Row],[Mã khách hàng]],code_khach_hang[],2,0)</f>
        <v>CHI NHÁNH PHÚ THỌ - CÔNG TY CỔ PHẦN DỊCH VỤ THƯƠNG MẠI TỔNG HỢP WINCOMMERCE</v>
      </c>
      <c r="G4027" s="16" t="str">
        <f>VLOOKUP(Table8[[#This Row],[Mã khách hàng]],code_khach_hang[],3,0)</f>
        <v>Miền Bắc đặc biệt 1</v>
      </c>
      <c r="H4027" t="str">
        <f>VLOOKUP(Table8[[#This Row],[Mã khách hàng]],'Khách hàng'!A:D,4,0)</f>
        <v>Food Đức Việt</v>
      </c>
      <c r="I4027" t="str">
        <f>VLOOKUP(Table8[[#This Row],[Mã khách hàng]],'Khách hàng'!A:E,5,0)</f>
        <v>HN0040</v>
      </c>
    </row>
    <row r="4028" spans="1:9">
      <c r="A4028" s="14" t="s">
        <v>13289</v>
      </c>
      <c r="B4028" s="9" t="s">
        <v>5</v>
      </c>
      <c r="C4028" s="16" t="s">
        <v>13334</v>
      </c>
      <c r="D4028" s="21"/>
      <c r="E4028" s="32" t="s">
        <v>11199</v>
      </c>
      <c r="F4028" s="22" t="str">
        <f>VLOOKUP(Table8[[#This Row],[Mã khách hàng]],code_khach_hang[],2,0)</f>
        <v>CHI NHÁNH PHÚ THỌ - CÔNG TY CỔ PHẦN DỊCH VỤ THƯƠNG MẠI TỔNG HỢP WINCOMMERCE</v>
      </c>
      <c r="G4028" s="16" t="str">
        <f>VLOOKUP(Table8[[#This Row],[Mã khách hàng]],code_khach_hang[],3,0)</f>
        <v>Miền Bắc đặc biệt 1</v>
      </c>
      <c r="H4028" t="str">
        <f>VLOOKUP(Table8[[#This Row],[Mã khách hàng]],'Khách hàng'!A:D,4,0)</f>
        <v>Food Đức Việt</v>
      </c>
      <c r="I4028" t="str">
        <f>VLOOKUP(Table8[[#This Row],[Mã khách hàng]],'Khách hàng'!A:E,5,0)</f>
        <v>HN0040</v>
      </c>
    </row>
    <row r="4029" spans="1:9">
      <c r="A4029" s="14" t="s">
        <v>13290</v>
      </c>
      <c r="B4029" s="9" t="s">
        <v>5</v>
      </c>
      <c r="C4029" s="16" t="s">
        <v>13335</v>
      </c>
      <c r="D4029" s="21"/>
      <c r="E4029" s="32" t="s">
        <v>11216</v>
      </c>
      <c r="F4029" s="22" t="str">
        <f>VLOOKUP(Table8[[#This Row],[Mã khách hàng]],code_khach_hang[],2,0)</f>
        <v>CHI NHÁNH HƯNG YÊN - CÔNG TY CỔ PHẦN DỊCH VỤ THƯƠNG MẠI TỔNG HỢP WINCOMMERCE</v>
      </c>
      <c r="G4029" s="16" t="str">
        <f>VLOOKUP(Table8[[#This Row],[Mã khách hàng]],code_khach_hang[],3,0)</f>
        <v>Miền Bắc đặc biệt 1</v>
      </c>
      <c r="H4029" t="str">
        <f>VLOOKUP(Table8[[#This Row],[Mã khách hàng]],'Khách hàng'!A:D,4,0)</f>
        <v>Food Đức Việt</v>
      </c>
      <c r="I4029" t="str">
        <f>VLOOKUP(Table8[[#This Row],[Mã khách hàng]],'Khách hàng'!A:E,5,0)</f>
        <v>HN0040</v>
      </c>
    </row>
    <row r="4030" spans="1:9">
      <c r="A4030" s="14" t="s">
        <v>13291</v>
      </c>
      <c r="B4030" s="9" t="s">
        <v>5</v>
      </c>
      <c r="C4030" s="16" t="s">
        <v>13336</v>
      </c>
      <c r="D4030" s="21"/>
      <c r="E4030" s="32" t="s">
        <v>11216</v>
      </c>
      <c r="F4030" s="22" t="str">
        <f>VLOOKUP(Table8[[#This Row],[Mã khách hàng]],code_khach_hang[],2,0)</f>
        <v>CHI NHÁNH HƯNG YÊN - CÔNG TY CỔ PHẦN DỊCH VỤ THƯƠNG MẠI TỔNG HỢP WINCOMMERCE</v>
      </c>
      <c r="G4030" s="16" t="str">
        <f>VLOOKUP(Table8[[#This Row],[Mã khách hàng]],code_khach_hang[],3,0)</f>
        <v>Miền Bắc đặc biệt 1</v>
      </c>
      <c r="H4030" t="str">
        <f>VLOOKUP(Table8[[#This Row],[Mã khách hàng]],'Khách hàng'!A:D,4,0)</f>
        <v>Food Đức Việt</v>
      </c>
      <c r="I4030" t="str">
        <f>VLOOKUP(Table8[[#This Row],[Mã khách hàng]],'Khách hàng'!A:E,5,0)</f>
        <v>HN0040</v>
      </c>
    </row>
    <row r="4031" spans="1:9">
      <c r="A4031" s="50" t="s">
        <v>13340</v>
      </c>
      <c r="B4031" s="9" t="s">
        <v>5</v>
      </c>
      <c r="C4031" s="36" t="s">
        <v>13375</v>
      </c>
      <c r="D4031" s="21"/>
      <c r="E4031" s="37" t="s">
        <v>11218</v>
      </c>
      <c r="F4031" s="22" t="str">
        <f>VLOOKUP(Table8[[#This Row],[Mã khách hàng]],code_khach_hang[],2,0)</f>
        <v>CHI NHÁNH LÀO CAI - CÔNG TY CỔ PHẦN DỊCH VỤ THƯƠNG MẠI TỔNG HỢP WINCOMMERCE</v>
      </c>
      <c r="G4031" s="10" t="str">
        <f>VLOOKUP(Table8[[#This Row],[Mã khách hàng]],code_khach_hang[],3,0)</f>
        <v>Miền Bắc đặc biệt 1</v>
      </c>
      <c r="H4031" t="str">
        <f>VLOOKUP(Table8[[#This Row],[Mã khách hàng]],'Khách hàng'!A:D,4,0)</f>
        <v>Food Đức Việt</v>
      </c>
      <c r="I4031" t="str">
        <f>VLOOKUP(Table8[[#This Row],[Mã khách hàng]],'Khách hàng'!A:E,5,0)</f>
        <v>HN0040</v>
      </c>
    </row>
    <row r="4032" spans="1:9">
      <c r="A4032" s="70" t="s">
        <v>13341</v>
      </c>
      <c r="B4032" s="9" t="s">
        <v>5</v>
      </c>
      <c r="C4032" s="36" t="s">
        <v>13376</v>
      </c>
      <c r="D4032" s="21"/>
      <c r="E4032" s="37" t="s">
        <v>11199</v>
      </c>
      <c r="F4032" s="22" t="str">
        <f>VLOOKUP(Table8[[#This Row],[Mã khách hàng]],code_khach_hang[],2,0)</f>
        <v>CHI NHÁNH PHÚ THỌ - CÔNG TY CỔ PHẦN DỊCH VỤ THƯƠNG MẠI TỔNG HỢP WINCOMMERCE</v>
      </c>
      <c r="G4032" s="16" t="str">
        <f>VLOOKUP(Table8[[#This Row],[Mã khách hàng]],code_khach_hang[],3,0)</f>
        <v>Miền Bắc đặc biệt 1</v>
      </c>
      <c r="H4032" t="str">
        <f>VLOOKUP(Table8[[#This Row],[Mã khách hàng]],'Khách hàng'!A:D,4,0)</f>
        <v>Food Đức Việt</v>
      </c>
      <c r="I4032" t="str">
        <f>VLOOKUP(Table8[[#This Row],[Mã khách hàng]],'Khách hàng'!A:E,5,0)</f>
        <v>HN0040</v>
      </c>
    </row>
    <row r="4033" spans="1:9">
      <c r="A4033" s="70" t="s">
        <v>13342</v>
      </c>
      <c r="B4033" s="9" t="s">
        <v>5</v>
      </c>
      <c r="C4033" s="36" t="s">
        <v>13377</v>
      </c>
      <c r="D4033" s="21"/>
      <c r="E4033" s="37" t="s">
        <v>11196</v>
      </c>
      <c r="F4033" s="22" t="str">
        <f>VLOOKUP(Table8[[#This Row],[Mã khách hàng]],code_khach_hang[],2,0)</f>
        <v>CHI NHÁNH NINH BÌNH - CÔNG TY CỔ PHẦN DỊCH VỤ THƯƠNG MẠI TỔNG HỢP WINCOMMERCE</v>
      </c>
      <c r="G4033" s="16" t="str">
        <f>VLOOKUP(Table8[[#This Row],[Mã khách hàng]],code_khach_hang[],3,0)</f>
        <v>Miền Bắc đặc biệt 3</v>
      </c>
      <c r="H4033" t="str">
        <f>VLOOKUP(Table8[[#This Row],[Mã khách hàng]],'Khách hàng'!A:D,4,0)</f>
        <v>Food Đức Việt</v>
      </c>
      <c r="I4033" t="str">
        <f>VLOOKUP(Table8[[#This Row],[Mã khách hàng]],'Khách hàng'!A:E,5,0)</f>
        <v>HN0040</v>
      </c>
    </row>
    <row r="4034" spans="1:9">
      <c r="A4034" s="70" t="s">
        <v>13343</v>
      </c>
      <c r="B4034" s="9" t="s">
        <v>5</v>
      </c>
      <c r="C4034" s="36" t="s">
        <v>13378</v>
      </c>
      <c r="D4034" s="21"/>
      <c r="E4034" s="37" t="s">
        <v>11199</v>
      </c>
      <c r="F4034" s="22" t="str">
        <f>VLOOKUP(Table8[[#This Row],[Mã khách hàng]],code_khach_hang[],2,0)</f>
        <v>CHI NHÁNH PHÚ THỌ - CÔNG TY CỔ PHẦN DỊCH VỤ THƯƠNG MẠI TỔNG HỢP WINCOMMERCE</v>
      </c>
      <c r="G4034" s="16" t="str">
        <f>VLOOKUP(Table8[[#This Row],[Mã khách hàng]],code_khach_hang[],3,0)</f>
        <v>Miền Bắc đặc biệt 1</v>
      </c>
      <c r="H4034" t="str">
        <f>VLOOKUP(Table8[[#This Row],[Mã khách hàng]],'Khách hàng'!A:D,4,0)</f>
        <v>Food Đức Việt</v>
      </c>
      <c r="I4034" t="str">
        <f>VLOOKUP(Table8[[#This Row],[Mã khách hàng]],'Khách hàng'!A:E,5,0)</f>
        <v>HN0040</v>
      </c>
    </row>
    <row r="4035" spans="1:9">
      <c r="A4035" s="70" t="s">
        <v>13344</v>
      </c>
      <c r="B4035" s="9" t="s">
        <v>5</v>
      </c>
      <c r="C4035" s="36" t="s">
        <v>13379</v>
      </c>
      <c r="D4035" s="21"/>
      <c r="E4035" s="37" t="s">
        <v>11216</v>
      </c>
      <c r="F4035" s="22" t="str">
        <f>VLOOKUP(Table8[[#This Row],[Mã khách hàng]],code_khach_hang[],2,0)</f>
        <v>CHI NHÁNH HƯNG YÊN - CÔNG TY CỔ PHẦN DỊCH VỤ THƯƠNG MẠI TỔNG HỢP WINCOMMERCE</v>
      </c>
      <c r="G4035" s="16" t="str">
        <f>VLOOKUP(Table8[[#This Row],[Mã khách hàng]],code_khach_hang[],3,0)</f>
        <v>Miền Bắc đặc biệt 1</v>
      </c>
      <c r="H4035" t="str">
        <f>VLOOKUP(Table8[[#This Row],[Mã khách hàng]],'Khách hàng'!A:D,4,0)</f>
        <v>Food Đức Việt</v>
      </c>
      <c r="I4035" t="str">
        <f>VLOOKUP(Table8[[#This Row],[Mã khách hàng]],'Khách hàng'!A:E,5,0)</f>
        <v>HN0040</v>
      </c>
    </row>
    <row r="4036" spans="1:9">
      <c r="A4036" s="70" t="s">
        <v>13345</v>
      </c>
      <c r="B4036" s="9" t="s">
        <v>5</v>
      </c>
      <c r="C4036" s="36" t="s">
        <v>13380</v>
      </c>
      <c r="D4036" s="21"/>
      <c r="E4036" s="37" t="s">
        <v>11216</v>
      </c>
      <c r="F4036" s="22" t="str">
        <f>VLOOKUP(Table8[[#This Row],[Mã khách hàng]],code_khach_hang[],2,0)</f>
        <v>CHI NHÁNH HƯNG YÊN - CÔNG TY CỔ PHẦN DỊCH VỤ THƯƠNG MẠI TỔNG HỢP WINCOMMERCE</v>
      </c>
      <c r="G4036" s="16" t="str">
        <f>VLOOKUP(Table8[[#This Row],[Mã khách hàng]],code_khach_hang[],3,0)</f>
        <v>Miền Bắc đặc biệt 1</v>
      </c>
      <c r="H4036" t="str">
        <f>VLOOKUP(Table8[[#This Row],[Mã khách hàng]],'Khách hàng'!A:D,4,0)</f>
        <v>Food Đức Việt</v>
      </c>
      <c r="I4036" t="str">
        <f>VLOOKUP(Table8[[#This Row],[Mã khách hàng]],'Khách hàng'!A:E,5,0)</f>
        <v>HN0040</v>
      </c>
    </row>
    <row r="4037" spans="1:9">
      <c r="A4037" s="70" t="s">
        <v>13346</v>
      </c>
      <c r="B4037" s="9" t="s">
        <v>5</v>
      </c>
      <c r="C4037" s="36" t="s">
        <v>13381</v>
      </c>
      <c r="D4037" s="21"/>
      <c r="E4037" s="37" t="s">
        <v>11199</v>
      </c>
      <c r="F4037" s="22" t="str">
        <f>VLOOKUP(Table8[[#This Row],[Mã khách hàng]],code_khach_hang[],2,0)</f>
        <v>CHI NHÁNH PHÚ THỌ - CÔNG TY CỔ PHẦN DỊCH VỤ THƯƠNG MẠI TỔNG HỢP WINCOMMERCE</v>
      </c>
      <c r="G4037" s="16" t="str">
        <f>VLOOKUP(Table8[[#This Row],[Mã khách hàng]],code_khach_hang[],3,0)</f>
        <v>Miền Bắc đặc biệt 1</v>
      </c>
      <c r="H4037" t="str">
        <f>VLOOKUP(Table8[[#This Row],[Mã khách hàng]],'Khách hàng'!A:D,4,0)</f>
        <v>Food Đức Việt</v>
      </c>
      <c r="I4037" t="str">
        <f>VLOOKUP(Table8[[#This Row],[Mã khách hàng]],'Khách hàng'!A:E,5,0)</f>
        <v>HN0040</v>
      </c>
    </row>
    <row r="4038" spans="1:9">
      <c r="A4038" s="70" t="s">
        <v>13347</v>
      </c>
      <c r="B4038" s="9" t="s">
        <v>5</v>
      </c>
      <c r="C4038" s="36" t="s">
        <v>13382</v>
      </c>
      <c r="D4038" s="21"/>
      <c r="E4038" s="37" t="s">
        <v>11196</v>
      </c>
      <c r="F4038" s="22" t="str">
        <f>VLOOKUP(Table8[[#This Row],[Mã khách hàng]],code_khach_hang[],2,0)</f>
        <v>CHI NHÁNH NINH BÌNH - CÔNG TY CỔ PHẦN DỊCH VỤ THƯƠNG MẠI TỔNG HỢP WINCOMMERCE</v>
      </c>
      <c r="G4038" s="16" t="str">
        <f>VLOOKUP(Table8[[#This Row],[Mã khách hàng]],code_khach_hang[],3,0)</f>
        <v>Miền Bắc đặc biệt 3</v>
      </c>
      <c r="H4038" t="str">
        <f>VLOOKUP(Table8[[#This Row],[Mã khách hàng]],'Khách hàng'!A:D,4,0)</f>
        <v>Food Đức Việt</v>
      </c>
      <c r="I4038" t="str">
        <f>VLOOKUP(Table8[[#This Row],[Mã khách hàng]],'Khách hàng'!A:E,5,0)</f>
        <v>HN0040</v>
      </c>
    </row>
    <row r="4039" spans="1:9">
      <c r="A4039" s="70" t="s">
        <v>13348</v>
      </c>
      <c r="B4039" s="9" t="s">
        <v>5</v>
      </c>
      <c r="C4039" s="36" t="s">
        <v>13383</v>
      </c>
      <c r="D4039" s="21"/>
      <c r="E4039" s="37" t="s">
        <v>11193</v>
      </c>
      <c r="F4039" s="22" t="str">
        <f>VLOOKUP(Table8[[#This Row],[Mã khách hàng]],code_khach_hang[],2,0)</f>
        <v>CHI NHÁNH BẮC NINH - CÔNG TY CỔ PHẦN DỊCH VỤ THƯƠNG MẠI TỔNG HỢP WINCOMMERCE</v>
      </c>
      <c r="G4039" s="16" t="str">
        <f>VLOOKUP(Table8[[#This Row],[Mã khách hàng]],code_khach_hang[],3,0)</f>
        <v>Miền Bắc đặc biệt 2</v>
      </c>
      <c r="H4039" t="str">
        <f>VLOOKUP(Table8[[#This Row],[Mã khách hàng]],'Khách hàng'!A:D,4,0)</f>
        <v>Food Đức Việt</v>
      </c>
      <c r="I4039" t="str">
        <f>VLOOKUP(Table8[[#This Row],[Mã khách hàng]],'Khách hàng'!A:E,5,0)</f>
        <v>HN0040</v>
      </c>
    </row>
    <row r="4040" spans="1:9">
      <c r="A4040" s="70" t="s">
        <v>13349</v>
      </c>
      <c r="B4040" s="9" t="s">
        <v>5</v>
      </c>
      <c r="C4040" s="36" t="s">
        <v>13384</v>
      </c>
      <c r="D4040" s="21"/>
      <c r="E4040" s="37" t="s">
        <v>11215</v>
      </c>
      <c r="F4040" s="22" t="str">
        <f>VLOOKUP(Table8[[#This Row],[Mã khách hàng]],code_khach_hang[],2,0)</f>
        <v>CHI NHÁNH HÀ NỘI - CÔNG TY CỔ PHẦN DỊCH VỤ THƯƠNG MẠI TỔNG HỢP WINCOMMERCE</v>
      </c>
      <c r="G4040" s="16" t="str">
        <f>VLOOKUP(Table8[[#This Row],[Mã khách hàng]],code_khach_hang[],3,0)</f>
        <v>Miền Bắc đặc biệt 1</v>
      </c>
      <c r="H4040" t="str">
        <f>VLOOKUP(Table8[[#This Row],[Mã khách hàng]],'Khách hàng'!A:D,4,0)</f>
        <v>Food Đức Việt</v>
      </c>
      <c r="I4040" t="str">
        <f>VLOOKUP(Table8[[#This Row],[Mã khách hàng]],'Khách hàng'!A:E,5,0)</f>
        <v>HN0040</v>
      </c>
    </row>
    <row r="4041" spans="1:9">
      <c r="A4041" s="70" t="s">
        <v>13350</v>
      </c>
      <c r="B4041" s="9" t="s">
        <v>5</v>
      </c>
      <c r="C4041" s="36" t="s">
        <v>13385</v>
      </c>
      <c r="D4041" s="21"/>
      <c r="E4041" s="37" t="s">
        <v>11215</v>
      </c>
      <c r="F4041" s="22" t="str">
        <f>VLOOKUP(Table8[[#This Row],[Mã khách hàng]],code_khach_hang[],2,0)</f>
        <v>CHI NHÁNH HÀ NỘI - CÔNG TY CỔ PHẦN DỊCH VỤ THƯƠNG MẠI TỔNG HỢP WINCOMMERCE</v>
      </c>
      <c r="G4041" s="16" t="str">
        <f>VLOOKUP(Table8[[#This Row],[Mã khách hàng]],code_khach_hang[],3,0)</f>
        <v>Miền Bắc đặc biệt 1</v>
      </c>
      <c r="H4041" t="str">
        <f>VLOOKUP(Table8[[#This Row],[Mã khách hàng]],'Khách hàng'!A:D,4,0)</f>
        <v>Food Đức Việt</v>
      </c>
      <c r="I4041" t="str">
        <f>VLOOKUP(Table8[[#This Row],[Mã khách hàng]],'Khách hàng'!A:E,5,0)</f>
        <v>HN0040</v>
      </c>
    </row>
    <row r="4042" spans="1:9">
      <c r="A4042" s="70" t="s">
        <v>13351</v>
      </c>
      <c r="B4042" s="9" t="s">
        <v>5</v>
      </c>
      <c r="C4042" s="36" t="s">
        <v>13386</v>
      </c>
      <c r="D4042" s="21"/>
      <c r="E4042" s="37" t="s">
        <v>11215</v>
      </c>
      <c r="F4042" s="22" t="str">
        <f>VLOOKUP(Table8[[#This Row],[Mã khách hàng]],code_khach_hang[],2,0)</f>
        <v>CHI NHÁNH HÀ NỘI - CÔNG TY CỔ PHẦN DỊCH VỤ THƯƠNG MẠI TỔNG HỢP WINCOMMERCE</v>
      </c>
      <c r="G4042" s="16" t="str">
        <f>VLOOKUP(Table8[[#This Row],[Mã khách hàng]],code_khach_hang[],3,0)</f>
        <v>Miền Bắc đặc biệt 1</v>
      </c>
      <c r="H4042" t="str">
        <f>VLOOKUP(Table8[[#This Row],[Mã khách hàng]],'Khách hàng'!A:D,4,0)</f>
        <v>Food Đức Việt</v>
      </c>
      <c r="I4042" t="str">
        <f>VLOOKUP(Table8[[#This Row],[Mã khách hàng]],'Khách hàng'!A:E,5,0)</f>
        <v>HN0040</v>
      </c>
    </row>
    <row r="4043" spans="1:9">
      <c r="A4043" s="70" t="s">
        <v>13352</v>
      </c>
      <c r="B4043" s="9" t="s">
        <v>5</v>
      </c>
      <c r="C4043" s="36" t="s">
        <v>13387</v>
      </c>
      <c r="D4043" s="21"/>
      <c r="E4043" s="37" t="s">
        <v>11199</v>
      </c>
      <c r="F4043" s="22" t="str">
        <f>VLOOKUP(Table8[[#This Row],[Mã khách hàng]],code_khach_hang[],2,0)</f>
        <v>CHI NHÁNH PHÚ THỌ - CÔNG TY CỔ PHẦN DỊCH VỤ THƯƠNG MẠI TỔNG HỢP WINCOMMERCE</v>
      </c>
      <c r="G4043" s="16" t="str">
        <f>VLOOKUP(Table8[[#This Row],[Mã khách hàng]],code_khach_hang[],3,0)</f>
        <v>Miền Bắc đặc biệt 1</v>
      </c>
      <c r="H4043" t="str">
        <f>VLOOKUP(Table8[[#This Row],[Mã khách hàng]],'Khách hàng'!A:D,4,0)</f>
        <v>Food Đức Việt</v>
      </c>
      <c r="I4043" t="str">
        <f>VLOOKUP(Table8[[#This Row],[Mã khách hàng]],'Khách hàng'!A:E,5,0)</f>
        <v>HN0040</v>
      </c>
    </row>
    <row r="4044" spans="1:9">
      <c r="A4044" s="70" t="s">
        <v>13353</v>
      </c>
      <c r="B4044" s="9" t="s">
        <v>5</v>
      </c>
      <c r="C4044" s="36" t="s">
        <v>13388</v>
      </c>
      <c r="D4044" s="21"/>
      <c r="E4044" s="37" t="s">
        <v>11199</v>
      </c>
      <c r="F4044" s="22" t="str">
        <f>VLOOKUP(Table8[[#This Row],[Mã khách hàng]],code_khach_hang[],2,0)</f>
        <v>CHI NHÁNH PHÚ THỌ - CÔNG TY CỔ PHẦN DỊCH VỤ THƯƠNG MẠI TỔNG HỢP WINCOMMERCE</v>
      </c>
      <c r="G4044" s="16" t="str">
        <f>VLOOKUP(Table8[[#This Row],[Mã khách hàng]],code_khach_hang[],3,0)</f>
        <v>Miền Bắc đặc biệt 1</v>
      </c>
      <c r="H4044" t="str">
        <f>VLOOKUP(Table8[[#This Row],[Mã khách hàng]],'Khách hàng'!A:D,4,0)</f>
        <v>Food Đức Việt</v>
      </c>
      <c r="I4044" t="str">
        <f>VLOOKUP(Table8[[#This Row],[Mã khách hàng]],'Khách hàng'!A:E,5,0)</f>
        <v>HN0040</v>
      </c>
    </row>
    <row r="4045" spans="1:9">
      <c r="A4045" s="70" t="s">
        <v>13354</v>
      </c>
      <c r="B4045" s="9" t="s">
        <v>5</v>
      </c>
      <c r="C4045" s="36" t="s">
        <v>13389</v>
      </c>
      <c r="D4045" s="21"/>
      <c r="E4045" s="37" t="s">
        <v>11218</v>
      </c>
      <c r="F4045" s="22" t="str">
        <f>VLOOKUP(Table8[[#This Row],[Mã khách hàng]],code_khach_hang[],2,0)</f>
        <v>CHI NHÁNH LÀO CAI - CÔNG TY CỔ PHẦN DỊCH VỤ THƯƠNG MẠI TỔNG HỢP WINCOMMERCE</v>
      </c>
      <c r="G4045" s="16" t="str">
        <f>VLOOKUP(Table8[[#This Row],[Mã khách hàng]],code_khach_hang[],3,0)</f>
        <v>Miền Bắc đặc biệt 1</v>
      </c>
      <c r="H4045" t="str">
        <f>VLOOKUP(Table8[[#This Row],[Mã khách hàng]],'Khách hàng'!A:D,4,0)</f>
        <v>Food Đức Việt</v>
      </c>
      <c r="I4045" t="str">
        <f>VLOOKUP(Table8[[#This Row],[Mã khách hàng]],'Khách hàng'!A:E,5,0)</f>
        <v>HN0040</v>
      </c>
    </row>
    <row r="4046" spans="1:9">
      <c r="A4046" s="70" t="s">
        <v>13355</v>
      </c>
      <c r="B4046" s="9" t="s">
        <v>5</v>
      </c>
      <c r="C4046" s="36" t="s">
        <v>13390</v>
      </c>
      <c r="D4046" s="21"/>
      <c r="E4046" s="37" t="s">
        <v>11216</v>
      </c>
      <c r="F4046" s="22" t="str">
        <f>VLOOKUP(Table8[[#This Row],[Mã khách hàng]],code_khach_hang[],2,0)</f>
        <v>CHI NHÁNH HƯNG YÊN - CÔNG TY CỔ PHẦN DỊCH VỤ THƯƠNG MẠI TỔNG HỢP WINCOMMERCE</v>
      </c>
      <c r="G4046" s="16" t="str">
        <f>VLOOKUP(Table8[[#This Row],[Mã khách hàng]],code_khach_hang[],3,0)</f>
        <v>Miền Bắc đặc biệt 1</v>
      </c>
      <c r="H4046" t="str">
        <f>VLOOKUP(Table8[[#This Row],[Mã khách hàng]],'Khách hàng'!A:D,4,0)</f>
        <v>Food Đức Việt</v>
      </c>
      <c r="I4046" t="str">
        <f>VLOOKUP(Table8[[#This Row],[Mã khách hàng]],'Khách hàng'!A:E,5,0)</f>
        <v>HN0040</v>
      </c>
    </row>
    <row r="4047" spans="1:9">
      <c r="A4047" s="70" t="s">
        <v>13356</v>
      </c>
      <c r="B4047" s="9" t="s">
        <v>5</v>
      </c>
      <c r="C4047" s="36" t="s">
        <v>13391</v>
      </c>
      <c r="D4047" s="21"/>
      <c r="E4047" s="37" t="s">
        <v>11204</v>
      </c>
      <c r="F4047" s="22" t="str">
        <f>VLOOKUP(Table8[[#This Row],[Mã khách hàng]],code_khach_hang[],2,0)</f>
        <v>CHI NHÁNH TUYÊN QUANG - CÔNG TY CỔ PHẦN DỊCH VỤ THƯƠNG MẠI TỔNG HỢP WINCOMMERCE</v>
      </c>
      <c r="G4047" s="16" t="str">
        <f>VLOOKUP(Table8[[#This Row],[Mã khách hàng]],code_khach_hang[],3,0)</f>
        <v>Miền Bắc đặc biệt 2</v>
      </c>
      <c r="H4047" t="str">
        <f>VLOOKUP(Table8[[#This Row],[Mã khách hàng]],'Khách hàng'!A:D,4,0)</f>
        <v>Food Đức Việt</v>
      </c>
      <c r="I4047" t="str">
        <f>VLOOKUP(Table8[[#This Row],[Mã khách hàng]],'Khách hàng'!A:E,5,0)</f>
        <v>HN0040</v>
      </c>
    </row>
    <row r="4048" spans="1:9">
      <c r="A4048" s="70" t="s">
        <v>13357</v>
      </c>
      <c r="B4048" s="9" t="s">
        <v>5</v>
      </c>
      <c r="C4048" s="36" t="s">
        <v>13392</v>
      </c>
      <c r="D4048" s="21"/>
      <c r="E4048" s="37" t="s">
        <v>11204</v>
      </c>
      <c r="F4048" s="22" t="str">
        <f>VLOOKUP(Table8[[#This Row],[Mã khách hàng]],code_khach_hang[],2,0)</f>
        <v>CHI NHÁNH TUYÊN QUANG - CÔNG TY CỔ PHẦN DỊCH VỤ THƯƠNG MẠI TỔNG HỢP WINCOMMERCE</v>
      </c>
      <c r="G4048" s="16" t="str">
        <f>VLOOKUP(Table8[[#This Row],[Mã khách hàng]],code_khach_hang[],3,0)</f>
        <v>Miền Bắc đặc biệt 2</v>
      </c>
      <c r="H4048" t="str">
        <f>VLOOKUP(Table8[[#This Row],[Mã khách hàng]],'Khách hàng'!A:D,4,0)</f>
        <v>Food Đức Việt</v>
      </c>
      <c r="I4048" t="str">
        <f>VLOOKUP(Table8[[#This Row],[Mã khách hàng]],'Khách hàng'!A:E,5,0)</f>
        <v>HN0040</v>
      </c>
    </row>
    <row r="4049" spans="1:9">
      <c r="A4049" s="70" t="s">
        <v>13358</v>
      </c>
      <c r="B4049" s="9" t="s">
        <v>5</v>
      </c>
      <c r="C4049" s="36" t="s">
        <v>13393</v>
      </c>
      <c r="D4049" s="21"/>
      <c r="E4049" s="37" t="s">
        <v>11218</v>
      </c>
      <c r="F4049" s="22" t="str">
        <f>VLOOKUP(Table8[[#This Row],[Mã khách hàng]],code_khach_hang[],2,0)</f>
        <v>CHI NHÁNH LÀO CAI - CÔNG TY CỔ PHẦN DỊCH VỤ THƯƠNG MẠI TỔNG HỢP WINCOMMERCE</v>
      </c>
      <c r="G4049" s="16" t="str">
        <f>VLOOKUP(Table8[[#This Row],[Mã khách hàng]],code_khach_hang[],3,0)</f>
        <v>Miền Bắc đặc biệt 1</v>
      </c>
      <c r="H4049" t="str">
        <f>VLOOKUP(Table8[[#This Row],[Mã khách hàng]],'Khách hàng'!A:D,4,0)</f>
        <v>Food Đức Việt</v>
      </c>
      <c r="I4049" t="str">
        <f>VLOOKUP(Table8[[#This Row],[Mã khách hàng]],'Khách hàng'!A:E,5,0)</f>
        <v>HN0040</v>
      </c>
    </row>
    <row r="4050" spans="1:9">
      <c r="A4050" s="70" t="s">
        <v>13359</v>
      </c>
      <c r="B4050" s="9" t="s">
        <v>5</v>
      </c>
      <c r="C4050" s="36" t="s">
        <v>13394</v>
      </c>
      <c r="D4050" s="21"/>
      <c r="E4050" s="37" t="s">
        <v>11204</v>
      </c>
      <c r="F4050" s="22" t="str">
        <f>VLOOKUP(Table8[[#This Row],[Mã khách hàng]],code_khach_hang[],2,0)</f>
        <v>CHI NHÁNH TUYÊN QUANG - CÔNG TY CỔ PHẦN DỊCH VỤ THƯƠNG MẠI TỔNG HỢP WINCOMMERCE</v>
      </c>
      <c r="G4050" s="16" t="str">
        <f>VLOOKUP(Table8[[#This Row],[Mã khách hàng]],code_khach_hang[],3,0)</f>
        <v>Miền Bắc đặc biệt 2</v>
      </c>
      <c r="H4050" t="str">
        <f>VLOOKUP(Table8[[#This Row],[Mã khách hàng]],'Khách hàng'!A:D,4,0)</f>
        <v>Food Đức Việt</v>
      </c>
      <c r="I4050" t="str">
        <f>VLOOKUP(Table8[[#This Row],[Mã khách hàng]],'Khách hàng'!A:E,5,0)</f>
        <v>HN0040</v>
      </c>
    </row>
    <row r="4051" spans="1:9">
      <c r="A4051" s="70" t="s">
        <v>13360</v>
      </c>
      <c r="B4051" s="9" t="s">
        <v>5</v>
      </c>
      <c r="C4051" s="36" t="s">
        <v>13395</v>
      </c>
      <c r="D4051" s="21"/>
      <c r="E4051" s="37" t="s">
        <v>11193</v>
      </c>
      <c r="F4051" s="22" t="str">
        <f>VLOOKUP(Table8[[#This Row],[Mã khách hàng]],code_khach_hang[],2,0)</f>
        <v>CHI NHÁNH BẮC NINH - CÔNG TY CỔ PHẦN DỊCH VỤ THƯƠNG MẠI TỔNG HỢP WINCOMMERCE</v>
      </c>
      <c r="G4051" s="16" t="str">
        <f>VLOOKUP(Table8[[#This Row],[Mã khách hàng]],code_khach_hang[],3,0)</f>
        <v>Miền Bắc đặc biệt 2</v>
      </c>
      <c r="H4051" t="str">
        <f>VLOOKUP(Table8[[#This Row],[Mã khách hàng]],'Khách hàng'!A:D,4,0)</f>
        <v>Food Đức Việt</v>
      </c>
      <c r="I4051" t="str">
        <f>VLOOKUP(Table8[[#This Row],[Mã khách hàng]],'Khách hàng'!A:E,5,0)</f>
        <v>HN0040</v>
      </c>
    </row>
    <row r="4052" spans="1:9">
      <c r="A4052" s="70" t="s">
        <v>13361</v>
      </c>
      <c r="B4052" s="9" t="s">
        <v>5</v>
      </c>
      <c r="C4052" s="36" t="s">
        <v>13396</v>
      </c>
      <c r="D4052" s="21"/>
      <c r="E4052" s="37" t="s">
        <v>11207</v>
      </c>
      <c r="F4052" s="22" t="str">
        <f>VLOOKUP(Table8[[#This Row],[Mã khách hàng]],code_khach_hang[],2,0)</f>
        <v>CHI NHÁNH THÁI NGUYÊN - CÔNG TY CỔ PHẦN DỊCH VỤ THƯƠNG MẠI TỔNG HỢP WINCOMMERCE</v>
      </c>
      <c r="G4052" s="16" t="str">
        <f>VLOOKUP(Table8[[#This Row],[Mã khách hàng]],code_khach_hang[],3,0)</f>
        <v>Miền Bắc đặc biệt 2</v>
      </c>
      <c r="H4052" t="str">
        <f>VLOOKUP(Table8[[#This Row],[Mã khách hàng]],'Khách hàng'!A:D,4,0)</f>
        <v>Food Đức Việt</v>
      </c>
      <c r="I4052" t="str">
        <f>VLOOKUP(Table8[[#This Row],[Mã khách hàng]],'Khách hàng'!A:E,5,0)</f>
        <v>HN0040</v>
      </c>
    </row>
    <row r="4053" spans="1:9">
      <c r="A4053" s="70" t="s">
        <v>13362</v>
      </c>
      <c r="B4053" s="9" t="s">
        <v>5</v>
      </c>
      <c r="C4053" s="36" t="s">
        <v>13397</v>
      </c>
      <c r="D4053" s="21"/>
      <c r="E4053" s="37" t="s">
        <v>11216</v>
      </c>
      <c r="F4053" s="22" t="str">
        <f>VLOOKUP(Table8[[#This Row],[Mã khách hàng]],code_khach_hang[],2,0)</f>
        <v>CHI NHÁNH HƯNG YÊN - CÔNG TY CỔ PHẦN DỊCH VỤ THƯƠNG MẠI TỔNG HỢP WINCOMMERCE</v>
      </c>
      <c r="G4053" s="16" t="str">
        <f>VLOOKUP(Table8[[#This Row],[Mã khách hàng]],code_khach_hang[],3,0)</f>
        <v>Miền Bắc đặc biệt 1</v>
      </c>
      <c r="H4053" t="str">
        <f>VLOOKUP(Table8[[#This Row],[Mã khách hàng]],'Khách hàng'!A:D,4,0)</f>
        <v>Food Đức Việt</v>
      </c>
      <c r="I4053" t="str">
        <f>VLOOKUP(Table8[[#This Row],[Mã khách hàng]],'Khách hàng'!A:E,5,0)</f>
        <v>HN0040</v>
      </c>
    </row>
    <row r="4054" spans="1:9">
      <c r="A4054" s="70" t="s">
        <v>13363</v>
      </c>
      <c r="B4054" s="9" t="s">
        <v>5</v>
      </c>
      <c r="C4054" s="36" t="s">
        <v>13398</v>
      </c>
      <c r="D4054" s="21"/>
      <c r="E4054" s="37" t="s">
        <v>11196</v>
      </c>
      <c r="F4054" s="22" t="str">
        <f>VLOOKUP(Table8[[#This Row],[Mã khách hàng]],code_khach_hang[],2,0)</f>
        <v>CHI NHÁNH NINH BÌNH - CÔNG TY CỔ PHẦN DỊCH VỤ THƯƠNG MẠI TỔNG HỢP WINCOMMERCE</v>
      </c>
      <c r="G4054" s="16" t="str">
        <f>VLOOKUP(Table8[[#This Row],[Mã khách hàng]],code_khach_hang[],3,0)</f>
        <v>Miền Bắc đặc biệt 3</v>
      </c>
      <c r="H4054" t="str">
        <f>VLOOKUP(Table8[[#This Row],[Mã khách hàng]],'Khách hàng'!A:D,4,0)</f>
        <v>Food Đức Việt</v>
      </c>
      <c r="I4054" t="str">
        <f>VLOOKUP(Table8[[#This Row],[Mã khách hàng]],'Khách hàng'!A:E,5,0)</f>
        <v>HN0040</v>
      </c>
    </row>
    <row r="4055" spans="1:9">
      <c r="A4055" s="70" t="s">
        <v>13364</v>
      </c>
      <c r="B4055" s="9" t="s">
        <v>5</v>
      </c>
      <c r="C4055" s="36" t="s">
        <v>13399</v>
      </c>
      <c r="D4055" s="21"/>
      <c r="E4055" s="37" t="s">
        <v>11198</v>
      </c>
      <c r="F4055" s="22" t="str">
        <f>VLOOKUP(Table8[[#This Row],[Mã khách hàng]],code_khach_hang[],2,0)</f>
        <v>CHI NHÁNH HẢI PHÒNG - CÔNG TY CỔ PHẦN DỊCH VỤ THƯƠNG MẠI TỔNG HỢP WINCOMMERCE</v>
      </c>
      <c r="G4055" s="16" t="str">
        <f>VLOOKUP(Table8[[#This Row],[Mã khách hàng]],code_khach_hang[],3,0)</f>
        <v>Miền Bắc đặc biệt 3</v>
      </c>
      <c r="H4055" t="str">
        <f>VLOOKUP(Table8[[#This Row],[Mã khách hàng]],'Khách hàng'!A:D,4,0)</f>
        <v>Food Đức Việt</v>
      </c>
      <c r="I4055" t="str">
        <f>VLOOKUP(Table8[[#This Row],[Mã khách hàng]],'Khách hàng'!A:E,5,0)</f>
        <v>HN0040</v>
      </c>
    </row>
    <row r="4056" spans="1:9">
      <c r="A4056" s="70" t="s">
        <v>13365</v>
      </c>
      <c r="B4056" s="9" t="s">
        <v>5</v>
      </c>
      <c r="C4056" s="36" t="s">
        <v>13400</v>
      </c>
      <c r="D4056" s="21"/>
      <c r="E4056" s="37" t="s">
        <v>11216</v>
      </c>
      <c r="F4056" s="22" t="str">
        <f>VLOOKUP(Table8[[#This Row],[Mã khách hàng]],code_khach_hang[],2,0)</f>
        <v>CHI NHÁNH HƯNG YÊN - CÔNG TY CỔ PHẦN DỊCH VỤ THƯƠNG MẠI TỔNG HỢP WINCOMMERCE</v>
      </c>
      <c r="G4056" s="16" t="str">
        <f>VLOOKUP(Table8[[#This Row],[Mã khách hàng]],code_khach_hang[],3,0)</f>
        <v>Miền Bắc đặc biệt 1</v>
      </c>
      <c r="H4056" t="str">
        <f>VLOOKUP(Table8[[#This Row],[Mã khách hàng]],'Khách hàng'!A:D,4,0)</f>
        <v>Food Đức Việt</v>
      </c>
      <c r="I4056" t="str">
        <f>VLOOKUP(Table8[[#This Row],[Mã khách hàng]],'Khách hàng'!A:E,5,0)</f>
        <v>HN0040</v>
      </c>
    </row>
    <row r="4057" spans="1:9">
      <c r="A4057" s="70" t="s">
        <v>13366</v>
      </c>
      <c r="B4057" s="9" t="s">
        <v>5</v>
      </c>
      <c r="C4057" s="36" t="s">
        <v>13401</v>
      </c>
      <c r="D4057" s="21"/>
      <c r="E4057" s="37" t="s">
        <v>11198</v>
      </c>
      <c r="F4057" s="22" t="str">
        <f>VLOOKUP(Table8[[#This Row],[Mã khách hàng]],code_khach_hang[],2,0)</f>
        <v>CHI NHÁNH HẢI PHÒNG - CÔNG TY CỔ PHẦN DỊCH VỤ THƯƠNG MẠI TỔNG HỢP WINCOMMERCE</v>
      </c>
      <c r="G4057" s="16" t="str">
        <f>VLOOKUP(Table8[[#This Row],[Mã khách hàng]],code_khach_hang[],3,0)</f>
        <v>Miền Bắc đặc biệt 3</v>
      </c>
      <c r="H4057" t="str">
        <f>VLOOKUP(Table8[[#This Row],[Mã khách hàng]],'Khách hàng'!A:D,4,0)</f>
        <v>Food Đức Việt</v>
      </c>
      <c r="I4057" t="str">
        <f>VLOOKUP(Table8[[#This Row],[Mã khách hàng]],'Khách hàng'!A:E,5,0)</f>
        <v>HN0040</v>
      </c>
    </row>
    <row r="4058" spans="1:9">
      <c r="A4058" s="70" t="s">
        <v>13367</v>
      </c>
      <c r="B4058" s="9" t="s">
        <v>5</v>
      </c>
      <c r="C4058" s="36" t="s">
        <v>13402</v>
      </c>
      <c r="D4058" s="21"/>
      <c r="E4058" s="37" t="s">
        <v>11193</v>
      </c>
      <c r="F4058" s="22" t="str">
        <f>VLOOKUP(Table8[[#This Row],[Mã khách hàng]],code_khach_hang[],2,0)</f>
        <v>CHI NHÁNH BẮC NINH - CÔNG TY CỔ PHẦN DỊCH VỤ THƯƠNG MẠI TỔNG HỢP WINCOMMERCE</v>
      </c>
      <c r="G4058" s="16" t="str">
        <f>VLOOKUP(Table8[[#This Row],[Mã khách hàng]],code_khach_hang[],3,0)</f>
        <v>Miền Bắc đặc biệt 2</v>
      </c>
      <c r="H4058" t="str">
        <f>VLOOKUP(Table8[[#This Row],[Mã khách hàng]],'Khách hàng'!A:D,4,0)</f>
        <v>Food Đức Việt</v>
      </c>
      <c r="I4058" t="str">
        <f>VLOOKUP(Table8[[#This Row],[Mã khách hàng]],'Khách hàng'!A:E,5,0)</f>
        <v>HN0040</v>
      </c>
    </row>
    <row r="4059" spans="1:9">
      <c r="A4059" s="70" t="s">
        <v>13368</v>
      </c>
      <c r="B4059" s="9" t="s">
        <v>5</v>
      </c>
      <c r="C4059" s="36" t="s">
        <v>13403</v>
      </c>
      <c r="D4059" s="21"/>
      <c r="E4059" s="37" t="s">
        <v>11218</v>
      </c>
      <c r="F4059" s="22" t="str">
        <f>VLOOKUP(Table8[[#This Row],[Mã khách hàng]],code_khach_hang[],2,0)</f>
        <v>CHI NHÁNH LÀO CAI - CÔNG TY CỔ PHẦN DỊCH VỤ THƯƠNG MẠI TỔNG HỢP WINCOMMERCE</v>
      </c>
      <c r="G4059" s="16" t="str">
        <f>VLOOKUP(Table8[[#This Row],[Mã khách hàng]],code_khach_hang[],3,0)</f>
        <v>Miền Bắc đặc biệt 1</v>
      </c>
      <c r="H4059" t="str">
        <f>VLOOKUP(Table8[[#This Row],[Mã khách hàng]],'Khách hàng'!A:D,4,0)</f>
        <v>Food Đức Việt</v>
      </c>
      <c r="I4059" t="str">
        <f>VLOOKUP(Table8[[#This Row],[Mã khách hàng]],'Khách hàng'!A:E,5,0)</f>
        <v>HN0040</v>
      </c>
    </row>
    <row r="4060" spans="1:9">
      <c r="A4060" s="70" t="s">
        <v>13369</v>
      </c>
      <c r="B4060" s="9" t="s">
        <v>5</v>
      </c>
      <c r="C4060" s="36" t="s">
        <v>13404</v>
      </c>
      <c r="D4060" s="21"/>
      <c r="E4060" s="37" t="s">
        <v>11198</v>
      </c>
      <c r="F4060" s="22" t="str">
        <f>VLOOKUP(Table8[[#This Row],[Mã khách hàng]],code_khach_hang[],2,0)</f>
        <v>CHI NHÁNH HẢI PHÒNG - CÔNG TY CỔ PHẦN DỊCH VỤ THƯƠNG MẠI TỔNG HỢP WINCOMMERCE</v>
      </c>
      <c r="G4060" s="16" t="str">
        <f>VLOOKUP(Table8[[#This Row],[Mã khách hàng]],code_khach_hang[],3,0)</f>
        <v>Miền Bắc đặc biệt 3</v>
      </c>
      <c r="H4060" t="str">
        <f>VLOOKUP(Table8[[#This Row],[Mã khách hàng]],'Khách hàng'!A:D,4,0)</f>
        <v>Food Đức Việt</v>
      </c>
      <c r="I4060" t="str">
        <f>VLOOKUP(Table8[[#This Row],[Mã khách hàng]],'Khách hàng'!A:E,5,0)</f>
        <v>HN0040</v>
      </c>
    </row>
    <row r="4061" spans="1:9">
      <c r="A4061" s="70" t="s">
        <v>13370</v>
      </c>
      <c r="B4061" s="9" t="s">
        <v>5</v>
      </c>
      <c r="C4061" s="36" t="s">
        <v>13405</v>
      </c>
      <c r="D4061" s="21"/>
      <c r="E4061" s="37" t="s">
        <v>11196</v>
      </c>
      <c r="F4061" s="22" t="str">
        <f>VLOOKUP(Table8[[#This Row],[Mã khách hàng]],code_khach_hang[],2,0)</f>
        <v>CHI NHÁNH NINH BÌNH - CÔNG TY CỔ PHẦN DỊCH VỤ THƯƠNG MẠI TỔNG HỢP WINCOMMERCE</v>
      </c>
      <c r="G4061" s="16" t="str">
        <f>VLOOKUP(Table8[[#This Row],[Mã khách hàng]],code_khach_hang[],3,0)</f>
        <v>Miền Bắc đặc biệt 3</v>
      </c>
      <c r="H4061" t="str">
        <f>VLOOKUP(Table8[[#This Row],[Mã khách hàng]],'Khách hàng'!A:D,4,0)</f>
        <v>Food Đức Việt</v>
      </c>
      <c r="I4061" t="str">
        <f>VLOOKUP(Table8[[#This Row],[Mã khách hàng]],'Khách hàng'!A:E,5,0)</f>
        <v>HN0040</v>
      </c>
    </row>
    <row r="4062" spans="1:9">
      <c r="A4062" s="70" t="s">
        <v>13371</v>
      </c>
      <c r="B4062" s="9" t="s">
        <v>5</v>
      </c>
      <c r="C4062" s="36" t="s">
        <v>13406</v>
      </c>
      <c r="D4062" s="21"/>
      <c r="E4062" s="37" t="s">
        <v>11198</v>
      </c>
      <c r="F4062" s="22" t="str">
        <f>VLOOKUP(Table8[[#This Row],[Mã khách hàng]],code_khach_hang[],2,0)</f>
        <v>CHI NHÁNH HẢI PHÒNG - CÔNG TY CỔ PHẦN DỊCH VỤ THƯƠNG MẠI TỔNG HỢP WINCOMMERCE</v>
      </c>
      <c r="G4062" s="16" t="str">
        <f>VLOOKUP(Table8[[#This Row],[Mã khách hàng]],code_khach_hang[],3,0)</f>
        <v>Miền Bắc đặc biệt 3</v>
      </c>
      <c r="H4062" t="str">
        <f>VLOOKUP(Table8[[#This Row],[Mã khách hàng]],'Khách hàng'!A:D,4,0)</f>
        <v>Food Đức Việt</v>
      </c>
      <c r="I4062" t="str">
        <f>VLOOKUP(Table8[[#This Row],[Mã khách hàng]],'Khách hàng'!A:E,5,0)</f>
        <v>HN0040</v>
      </c>
    </row>
    <row r="4063" spans="1:9">
      <c r="A4063" s="70" t="s">
        <v>13372</v>
      </c>
      <c r="B4063" s="9" t="s">
        <v>5</v>
      </c>
      <c r="C4063" s="36" t="s">
        <v>13407</v>
      </c>
      <c r="D4063" s="21"/>
      <c r="E4063" s="37" t="s">
        <v>11198</v>
      </c>
      <c r="F4063" s="22" t="str">
        <f>VLOOKUP(Table8[[#This Row],[Mã khách hàng]],code_khach_hang[],2,0)</f>
        <v>CHI NHÁNH HẢI PHÒNG - CÔNG TY CỔ PHẦN DỊCH VỤ THƯƠNG MẠI TỔNG HỢP WINCOMMERCE</v>
      </c>
      <c r="G4063" s="16" t="str">
        <f>VLOOKUP(Table8[[#This Row],[Mã khách hàng]],code_khach_hang[],3,0)</f>
        <v>Miền Bắc đặc biệt 3</v>
      </c>
      <c r="H4063" t="str">
        <f>VLOOKUP(Table8[[#This Row],[Mã khách hàng]],'Khách hàng'!A:D,4,0)</f>
        <v>Food Đức Việt</v>
      </c>
      <c r="I4063" t="str">
        <f>VLOOKUP(Table8[[#This Row],[Mã khách hàng]],'Khách hàng'!A:E,5,0)</f>
        <v>HN0040</v>
      </c>
    </row>
    <row r="4064" spans="1:9">
      <c r="A4064" s="70" t="s">
        <v>13373</v>
      </c>
      <c r="B4064" s="9" t="s">
        <v>5</v>
      </c>
      <c r="C4064" s="36" t="s">
        <v>13408</v>
      </c>
      <c r="D4064" s="21"/>
      <c r="E4064" s="37" t="s">
        <v>11218</v>
      </c>
      <c r="F4064" s="22" t="str">
        <f>VLOOKUP(Table8[[#This Row],[Mã khách hàng]],code_khach_hang[],2,0)</f>
        <v>CHI NHÁNH LÀO CAI - CÔNG TY CỔ PHẦN DỊCH VỤ THƯƠNG MẠI TỔNG HỢP WINCOMMERCE</v>
      </c>
      <c r="G4064" s="16" t="str">
        <f>VLOOKUP(Table8[[#This Row],[Mã khách hàng]],code_khach_hang[],3,0)</f>
        <v>Miền Bắc đặc biệt 1</v>
      </c>
      <c r="H4064" t="str">
        <f>VLOOKUP(Table8[[#This Row],[Mã khách hàng]],'Khách hàng'!A:D,4,0)</f>
        <v>Food Đức Việt</v>
      </c>
      <c r="I4064" t="str">
        <f>VLOOKUP(Table8[[#This Row],[Mã khách hàng]],'Khách hàng'!A:E,5,0)</f>
        <v>HN0040</v>
      </c>
    </row>
    <row r="4065" spans="1:9">
      <c r="A4065" s="70" t="s">
        <v>13374</v>
      </c>
      <c r="B4065" s="9" t="s">
        <v>5</v>
      </c>
      <c r="C4065" s="36" t="s">
        <v>13409</v>
      </c>
      <c r="D4065" s="21"/>
      <c r="E4065" s="37" t="s">
        <v>11199</v>
      </c>
      <c r="F4065" s="22" t="str">
        <f>VLOOKUP(Table8[[#This Row],[Mã khách hàng]],code_khach_hang[],2,0)</f>
        <v>CHI NHÁNH PHÚ THỌ - CÔNG TY CỔ PHẦN DỊCH VỤ THƯƠNG MẠI TỔNG HỢP WINCOMMERCE</v>
      </c>
      <c r="G4065" s="16" t="str">
        <f>VLOOKUP(Table8[[#This Row],[Mã khách hàng]],code_khach_hang[],3,0)</f>
        <v>Miền Bắc đặc biệt 1</v>
      </c>
      <c r="H4065" t="str">
        <f>VLOOKUP(Table8[[#This Row],[Mã khách hàng]],'Khách hàng'!A:D,4,0)</f>
        <v>Food Đức Việt</v>
      </c>
      <c r="I4065" t="str">
        <f>VLOOKUP(Table8[[#This Row],[Mã khách hàng]],'Khách hàng'!A:E,5,0)</f>
        <v>HN0040</v>
      </c>
    </row>
  </sheetData>
  <phoneticPr fontId="5" type="noConversion"/>
  <conditionalFormatting sqref="A1:A4065">
    <cfRule type="duplicateValues" dxfId="1" priority="20"/>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FE82A07-E9E7-476A-A5C3-2610B74CE638}">
          <x14:formula1>
            <xm:f>'Data Validation'!$C$2:$C$4</xm:f>
          </x14:formula1>
          <xm:sqref>C3113:C3114 B2:B4065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1A89-EB7D-40FA-A67C-D9445358B3D0}">
  <sheetPr>
    <tabColor theme="3" tint="0.59999389629810485"/>
  </sheetPr>
  <dimension ref="A1:F50"/>
  <sheetViews>
    <sheetView topLeftCell="A14" zoomScale="98" workbookViewId="0">
      <selection sqref="A1:E50"/>
    </sheetView>
  </sheetViews>
  <sheetFormatPr defaultRowHeight="15"/>
  <cols>
    <col min="1" max="1" width="15.7109375" bestFit="1" customWidth="1"/>
    <col min="2" max="2" width="46.140625" customWidth="1"/>
    <col min="3" max="5" width="19.140625" customWidth="1"/>
  </cols>
  <sheetData>
    <row r="1" spans="1:6">
      <c r="A1" t="s">
        <v>513</v>
      </c>
      <c r="B1" t="s">
        <v>515</v>
      </c>
      <c r="C1" t="s">
        <v>514</v>
      </c>
      <c r="D1" t="s">
        <v>9349</v>
      </c>
      <c r="E1" t="s">
        <v>11072</v>
      </c>
    </row>
    <row r="2" spans="1:6">
      <c r="A2" s="14" t="s">
        <v>11193</v>
      </c>
      <c r="B2" t="s">
        <v>520</v>
      </c>
      <c r="C2" t="s">
        <v>519</v>
      </c>
      <c r="D2" t="s">
        <v>9369</v>
      </c>
      <c r="E2" t="s">
        <v>11069</v>
      </c>
      <c r="F2" s="14"/>
    </row>
    <row r="3" spans="1:6">
      <c r="A3" s="14" t="s">
        <v>11194</v>
      </c>
      <c r="B3" t="s">
        <v>527</v>
      </c>
      <c r="C3" t="s">
        <v>519</v>
      </c>
      <c r="D3" t="s">
        <v>9369</v>
      </c>
      <c r="E3" t="s">
        <v>11069</v>
      </c>
      <c r="F3" s="14"/>
    </row>
    <row r="4" spans="1:6">
      <c r="A4" s="14" t="s">
        <v>11195</v>
      </c>
      <c r="B4" t="s">
        <v>531</v>
      </c>
      <c r="C4" t="s">
        <v>519</v>
      </c>
      <c r="D4" t="s">
        <v>9369</v>
      </c>
      <c r="E4" t="s">
        <v>11069</v>
      </c>
      <c r="F4" s="14"/>
    </row>
    <row r="5" spans="1:6">
      <c r="A5" s="14" t="s">
        <v>11216</v>
      </c>
      <c r="B5" t="s">
        <v>651</v>
      </c>
      <c r="C5" t="s">
        <v>650</v>
      </c>
      <c r="D5" t="s">
        <v>9369</v>
      </c>
      <c r="E5" t="s">
        <v>11069</v>
      </c>
      <c r="F5" s="14"/>
    </row>
    <row r="6" spans="1:6">
      <c r="A6" s="14" t="s">
        <v>11198</v>
      </c>
      <c r="B6" t="s">
        <v>1324</v>
      </c>
      <c r="C6" t="s">
        <v>1323</v>
      </c>
      <c r="D6" t="s">
        <v>9369</v>
      </c>
      <c r="E6" t="s">
        <v>11069</v>
      </c>
      <c r="F6" s="14"/>
    </row>
    <row r="7" spans="1:6">
      <c r="A7" s="14" t="s">
        <v>11209</v>
      </c>
      <c r="B7" t="s">
        <v>1361</v>
      </c>
      <c r="C7" t="s">
        <v>11244</v>
      </c>
      <c r="D7" t="s">
        <v>9369</v>
      </c>
      <c r="E7" t="s">
        <v>11069</v>
      </c>
      <c r="F7" s="14"/>
    </row>
    <row r="8" spans="1:6">
      <c r="A8" s="14" t="s">
        <v>11205</v>
      </c>
      <c r="B8" t="s">
        <v>1368</v>
      </c>
      <c r="C8" t="s">
        <v>11244</v>
      </c>
      <c r="D8" t="s">
        <v>9369</v>
      </c>
      <c r="E8" t="s">
        <v>11069</v>
      </c>
      <c r="F8" s="14"/>
    </row>
    <row r="9" spans="1:6">
      <c r="A9" s="14" t="s">
        <v>11211</v>
      </c>
      <c r="B9" t="s">
        <v>1383</v>
      </c>
      <c r="C9" t="s">
        <v>11244</v>
      </c>
      <c r="D9" t="s">
        <v>9369</v>
      </c>
      <c r="E9" t="s">
        <v>11069</v>
      </c>
      <c r="F9" s="14"/>
    </row>
    <row r="10" spans="1:6">
      <c r="A10" s="14" t="s">
        <v>11200</v>
      </c>
      <c r="B10" t="s">
        <v>1387</v>
      </c>
      <c r="C10" t="s">
        <v>1323</v>
      </c>
      <c r="D10" t="s">
        <v>9369</v>
      </c>
      <c r="E10" t="s">
        <v>11069</v>
      </c>
      <c r="F10" s="14"/>
    </row>
    <row r="11" spans="1:6">
      <c r="A11" s="14" t="s">
        <v>11217</v>
      </c>
      <c r="B11" t="s">
        <v>1391</v>
      </c>
      <c r="C11" t="s">
        <v>519</v>
      </c>
      <c r="D11" t="s">
        <v>9369</v>
      </c>
      <c r="E11" t="s">
        <v>11069</v>
      </c>
      <c r="F11" s="14"/>
    </row>
    <row r="12" spans="1:6">
      <c r="A12" s="14" t="s">
        <v>11203</v>
      </c>
      <c r="B12" t="s">
        <v>1397</v>
      </c>
      <c r="C12" t="s">
        <v>11244</v>
      </c>
      <c r="D12" t="s">
        <v>9369</v>
      </c>
      <c r="E12" t="s">
        <v>11069</v>
      </c>
      <c r="F12" s="14"/>
    </row>
    <row r="13" spans="1:6">
      <c r="A13" s="14" t="s">
        <v>11207</v>
      </c>
      <c r="B13" t="s">
        <v>1407</v>
      </c>
      <c r="C13" t="s">
        <v>519</v>
      </c>
      <c r="D13" t="s">
        <v>9369</v>
      </c>
      <c r="E13" t="s">
        <v>11069</v>
      </c>
      <c r="F13" s="14"/>
    </row>
    <row r="14" spans="1:6">
      <c r="A14" s="14" t="s">
        <v>11202</v>
      </c>
      <c r="B14" t="s">
        <v>1413</v>
      </c>
      <c r="C14" t="s">
        <v>650</v>
      </c>
      <c r="D14" t="s">
        <v>9369</v>
      </c>
      <c r="E14" t="s">
        <v>11069</v>
      </c>
      <c r="F14" s="14"/>
    </row>
    <row r="15" spans="1:6">
      <c r="A15" s="14" t="s">
        <v>11201</v>
      </c>
      <c r="B15" t="s">
        <v>1428</v>
      </c>
      <c r="C15" t="s">
        <v>1323</v>
      </c>
      <c r="D15" t="s">
        <v>9369</v>
      </c>
      <c r="E15" t="s">
        <v>11069</v>
      </c>
      <c r="F15" s="14"/>
    </row>
    <row r="16" spans="1:6">
      <c r="A16" s="14" t="s">
        <v>11199</v>
      </c>
      <c r="B16" t="s">
        <v>1432</v>
      </c>
      <c r="C16" t="s">
        <v>650</v>
      </c>
      <c r="D16" t="s">
        <v>9369</v>
      </c>
      <c r="E16" t="s">
        <v>11069</v>
      </c>
      <c r="F16" s="14"/>
    </row>
    <row r="17" spans="1:6">
      <c r="A17" s="14" t="s">
        <v>11197</v>
      </c>
      <c r="B17" t="s">
        <v>1462</v>
      </c>
      <c r="C17" t="s">
        <v>1323</v>
      </c>
      <c r="D17" t="s">
        <v>9369</v>
      </c>
      <c r="E17" t="s">
        <v>11069</v>
      </c>
      <c r="F17" s="14"/>
    </row>
    <row r="18" spans="1:6">
      <c r="A18" s="14" t="s">
        <v>11196</v>
      </c>
      <c r="B18" t="s">
        <v>1466</v>
      </c>
      <c r="C18" t="s">
        <v>1323</v>
      </c>
      <c r="D18" t="s">
        <v>9369</v>
      </c>
      <c r="E18" t="s">
        <v>11069</v>
      </c>
      <c r="F18" s="14"/>
    </row>
    <row r="19" spans="1:6">
      <c r="A19" s="14" t="s">
        <v>11218</v>
      </c>
      <c r="B19" t="s">
        <v>1479</v>
      </c>
      <c r="C19" t="s">
        <v>650</v>
      </c>
      <c r="D19" t="s">
        <v>9369</v>
      </c>
      <c r="E19" t="s">
        <v>11069</v>
      </c>
      <c r="F19" s="14"/>
    </row>
    <row r="20" spans="1:6">
      <c r="A20" s="14" t="s">
        <v>11219</v>
      </c>
      <c r="B20" t="s">
        <v>1502</v>
      </c>
      <c r="C20" t="s">
        <v>1323</v>
      </c>
      <c r="D20" t="s">
        <v>9369</v>
      </c>
      <c r="E20" t="s">
        <v>11069</v>
      </c>
      <c r="F20" s="14"/>
    </row>
    <row r="21" spans="1:6">
      <c r="A21" s="14" t="s">
        <v>11210</v>
      </c>
      <c r="B21" t="s">
        <v>1518</v>
      </c>
      <c r="C21" t="s">
        <v>1323</v>
      </c>
      <c r="D21" t="s">
        <v>9369</v>
      </c>
      <c r="E21" t="s">
        <v>11069</v>
      </c>
      <c r="F21" s="14"/>
    </row>
    <row r="22" spans="1:6">
      <c r="A22" s="14" t="s">
        <v>11220</v>
      </c>
      <c r="B22" t="s">
        <v>1560</v>
      </c>
      <c r="C22" t="s">
        <v>519</v>
      </c>
      <c r="D22" t="s">
        <v>9369</v>
      </c>
      <c r="E22" t="s">
        <v>11069</v>
      </c>
      <c r="F22" s="14"/>
    </row>
    <row r="23" spans="1:6">
      <c r="A23" s="14" t="s">
        <v>11212</v>
      </c>
      <c r="B23" t="s">
        <v>1603</v>
      </c>
      <c r="C23" t="s">
        <v>650</v>
      </c>
      <c r="D23" t="s">
        <v>9369</v>
      </c>
      <c r="E23" t="s">
        <v>11069</v>
      </c>
      <c r="F23" s="14"/>
    </row>
    <row r="24" spans="1:6">
      <c r="A24" s="14" t="s">
        <v>11213</v>
      </c>
      <c r="B24" t="s">
        <v>1641</v>
      </c>
      <c r="C24" t="s">
        <v>519</v>
      </c>
      <c r="D24" t="s">
        <v>9369</v>
      </c>
      <c r="E24" t="s">
        <v>11069</v>
      </c>
      <c r="F24" s="14"/>
    </row>
    <row r="25" spans="1:6">
      <c r="A25" s="14" t="s">
        <v>11206</v>
      </c>
      <c r="B25" t="s">
        <v>1648</v>
      </c>
      <c r="C25" t="s">
        <v>650</v>
      </c>
      <c r="D25" t="s">
        <v>9369</v>
      </c>
      <c r="E25" t="s">
        <v>11069</v>
      </c>
      <c r="F25" s="14"/>
    </row>
    <row r="26" spans="1:6">
      <c r="A26" s="14" t="s">
        <v>11221</v>
      </c>
      <c r="B26" t="s">
        <v>1655</v>
      </c>
      <c r="C26" t="s">
        <v>650</v>
      </c>
      <c r="D26" t="s">
        <v>9369</v>
      </c>
      <c r="E26" t="s">
        <v>11069</v>
      </c>
      <c r="F26" s="14"/>
    </row>
    <row r="27" spans="1:6">
      <c r="A27" s="14" t="s">
        <v>11214</v>
      </c>
      <c r="B27" t="s">
        <v>1679</v>
      </c>
      <c r="C27" t="s">
        <v>650</v>
      </c>
      <c r="D27" t="s">
        <v>9369</v>
      </c>
      <c r="E27" t="s">
        <v>11069</v>
      </c>
      <c r="F27" s="14"/>
    </row>
    <row r="28" spans="1:6">
      <c r="A28" s="14" t="s">
        <v>11208</v>
      </c>
      <c r="B28" t="s">
        <v>1997</v>
      </c>
      <c r="C28" t="s">
        <v>519</v>
      </c>
      <c r="D28" t="s">
        <v>9369</v>
      </c>
      <c r="E28" t="s">
        <v>11069</v>
      </c>
      <c r="F28" s="14"/>
    </row>
    <row r="29" spans="1:6">
      <c r="A29" s="14" t="s">
        <v>11204</v>
      </c>
      <c r="B29" t="s">
        <v>2445</v>
      </c>
      <c r="C29" t="s">
        <v>519</v>
      </c>
      <c r="D29" t="s">
        <v>9369</v>
      </c>
      <c r="E29" t="s">
        <v>11069</v>
      </c>
      <c r="F29" s="14"/>
    </row>
    <row r="30" spans="1:6">
      <c r="A30" s="14" t="s">
        <v>11222</v>
      </c>
      <c r="B30" t="s">
        <v>3476</v>
      </c>
      <c r="C30" t="s">
        <v>519</v>
      </c>
      <c r="D30" t="s">
        <v>9369</v>
      </c>
      <c r="E30" t="s">
        <v>11069</v>
      </c>
      <c r="F30" s="14"/>
    </row>
    <row r="31" spans="1:6">
      <c r="A31" s="14" t="s">
        <v>11215</v>
      </c>
      <c r="B31" t="s">
        <v>531</v>
      </c>
      <c r="C31" t="s">
        <v>650</v>
      </c>
      <c r="D31" t="s">
        <v>9369</v>
      </c>
      <c r="E31" t="s">
        <v>11069</v>
      </c>
      <c r="F31" s="14"/>
    </row>
    <row r="32" spans="1:6">
      <c r="A32" s="14" t="s">
        <v>11223</v>
      </c>
      <c r="B32" t="s">
        <v>651</v>
      </c>
      <c r="C32" t="s">
        <v>650</v>
      </c>
      <c r="D32" t="s">
        <v>9378</v>
      </c>
      <c r="E32" t="s">
        <v>11070</v>
      </c>
      <c r="F32" s="14"/>
    </row>
    <row r="33" spans="1:6">
      <c r="A33" s="14" t="s">
        <v>11224</v>
      </c>
      <c r="B33" t="s">
        <v>520</v>
      </c>
      <c r="C33" t="s">
        <v>650</v>
      </c>
      <c r="D33" t="s">
        <v>9378</v>
      </c>
      <c r="E33" t="s">
        <v>11070</v>
      </c>
      <c r="F33" s="14"/>
    </row>
    <row r="34" spans="1:6">
      <c r="A34" s="14" t="s">
        <v>11225</v>
      </c>
      <c r="B34" t="s">
        <v>1432</v>
      </c>
      <c r="C34" t="s">
        <v>650</v>
      </c>
      <c r="D34" t="s">
        <v>9378</v>
      </c>
      <c r="E34" t="s">
        <v>11074</v>
      </c>
      <c r="F34" s="14"/>
    </row>
    <row r="35" spans="1:6">
      <c r="A35" s="14" t="s">
        <v>11226</v>
      </c>
      <c r="B35" t="s">
        <v>11055</v>
      </c>
      <c r="C35" t="s">
        <v>650</v>
      </c>
      <c r="D35" t="s">
        <v>9378</v>
      </c>
      <c r="E35" t="s">
        <v>11071</v>
      </c>
      <c r="F35" s="14"/>
    </row>
    <row r="36" spans="1:6">
      <c r="A36" s="14" t="s">
        <v>11227</v>
      </c>
      <c r="B36" t="s">
        <v>1324</v>
      </c>
      <c r="C36" t="s">
        <v>650</v>
      </c>
      <c r="D36" t="s">
        <v>9378</v>
      </c>
      <c r="E36" t="s">
        <v>11070</v>
      </c>
      <c r="F36" s="14"/>
    </row>
    <row r="37" spans="1:6">
      <c r="A37" s="14" t="s">
        <v>11228</v>
      </c>
      <c r="B37" t="s">
        <v>651</v>
      </c>
      <c r="C37" t="s">
        <v>519</v>
      </c>
      <c r="D37" t="s">
        <v>9378</v>
      </c>
      <c r="E37" t="s">
        <v>11070</v>
      </c>
      <c r="F37" s="14"/>
    </row>
    <row r="38" spans="1:6">
      <c r="A38" s="14" t="s">
        <v>11229</v>
      </c>
      <c r="B38" t="s">
        <v>520</v>
      </c>
      <c r="C38" t="s">
        <v>519</v>
      </c>
      <c r="D38" t="s">
        <v>9378</v>
      </c>
      <c r="E38" t="s">
        <v>11070</v>
      </c>
      <c r="F38" s="14"/>
    </row>
    <row r="39" spans="1:6">
      <c r="A39" s="14" t="s">
        <v>11240</v>
      </c>
      <c r="B39" t="s">
        <v>11242</v>
      </c>
      <c r="C39" t="s">
        <v>11244</v>
      </c>
      <c r="D39" t="s">
        <v>9369</v>
      </c>
      <c r="E39" t="s">
        <v>11250</v>
      </c>
    </row>
    <row r="40" spans="1:6">
      <c r="A40" s="14" t="s">
        <v>11241</v>
      </c>
      <c r="B40" t="s">
        <v>11243</v>
      </c>
      <c r="C40" t="s">
        <v>11245</v>
      </c>
      <c r="D40" t="s">
        <v>9369</v>
      </c>
      <c r="E40" t="s">
        <v>11251</v>
      </c>
    </row>
    <row r="41" spans="1:6">
      <c r="A41" s="14" t="s">
        <v>11442</v>
      </c>
      <c r="B41" t="s">
        <v>11242</v>
      </c>
      <c r="C41" t="s">
        <v>11244</v>
      </c>
      <c r="D41" t="s">
        <v>9369</v>
      </c>
      <c r="E41" t="s">
        <v>11250</v>
      </c>
    </row>
    <row r="42" spans="1:6">
      <c r="A42" s="14" t="s">
        <v>11443</v>
      </c>
      <c r="B42" t="s">
        <v>12300</v>
      </c>
      <c r="C42" t="s">
        <v>11245</v>
      </c>
      <c r="D42" t="s">
        <v>9369</v>
      </c>
      <c r="E42" t="s">
        <v>11251</v>
      </c>
    </row>
    <row r="43" spans="1:6">
      <c r="A43" s="14" t="s">
        <v>11444</v>
      </c>
      <c r="B43" t="s">
        <v>12301</v>
      </c>
      <c r="C43" t="s">
        <v>11244</v>
      </c>
      <c r="D43" t="s">
        <v>9369</v>
      </c>
      <c r="E43" t="s">
        <v>11250</v>
      </c>
    </row>
    <row r="44" spans="1:6">
      <c r="A44" s="14" t="s">
        <v>11445</v>
      </c>
      <c r="B44" t="s">
        <v>12302</v>
      </c>
      <c r="C44" t="s">
        <v>11244</v>
      </c>
      <c r="D44" t="s">
        <v>9369</v>
      </c>
      <c r="E44" t="s">
        <v>11250</v>
      </c>
    </row>
    <row r="45" spans="1:6">
      <c r="A45" s="14" t="s">
        <v>11446</v>
      </c>
      <c r="B45" t="s">
        <v>12303</v>
      </c>
      <c r="C45" t="s">
        <v>519</v>
      </c>
      <c r="D45" t="s">
        <v>9369</v>
      </c>
      <c r="E45" t="s">
        <v>11251</v>
      </c>
    </row>
    <row r="46" spans="1:6">
      <c r="A46" s="14" t="s">
        <v>11447</v>
      </c>
      <c r="B46" t="s">
        <v>12308</v>
      </c>
      <c r="C46" t="s">
        <v>11244</v>
      </c>
      <c r="D46" t="s">
        <v>9369</v>
      </c>
      <c r="E46" t="s">
        <v>11250</v>
      </c>
    </row>
    <row r="47" spans="1:6">
      <c r="A47" s="14" t="s">
        <v>11448</v>
      </c>
      <c r="B47" t="s">
        <v>12304</v>
      </c>
      <c r="C47" t="s">
        <v>11245</v>
      </c>
      <c r="D47" t="s">
        <v>9369</v>
      </c>
      <c r="E47" t="s">
        <v>11251</v>
      </c>
    </row>
    <row r="48" spans="1:6">
      <c r="A48" s="14" t="s">
        <v>11449</v>
      </c>
      <c r="B48" t="s">
        <v>12305</v>
      </c>
      <c r="C48" t="s">
        <v>11244</v>
      </c>
      <c r="D48" t="s">
        <v>9369</v>
      </c>
      <c r="E48" t="s">
        <v>11250</v>
      </c>
    </row>
    <row r="49" spans="1:5">
      <c r="A49" s="14" t="s">
        <v>11450</v>
      </c>
      <c r="B49" t="s">
        <v>12306</v>
      </c>
      <c r="C49" t="s">
        <v>11245</v>
      </c>
      <c r="D49" t="s">
        <v>9369</v>
      </c>
      <c r="E49" t="s">
        <v>11251</v>
      </c>
    </row>
    <row r="50" spans="1:5">
      <c r="A50" s="14" t="s">
        <v>11451</v>
      </c>
      <c r="B50" t="s">
        <v>12307</v>
      </c>
      <c r="C50" t="s">
        <v>11245</v>
      </c>
      <c r="D50" t="s">
        <v>9369</v>
      </c>
      <c r="E50" t="s">
        <v>11251</v>
      </c>
    </row>
  </sheetData>
  <conditionalFormatting sqref="A1:A1048576">
    <cfRule type="duplicateValues" dxfId="0"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DFFF67-A40B-460B-A366-91C7EFBE7D0B}">
          <x14:formula1>
            <xm:f>'Data Validation'!$G$2:$G$3</xm:f>
          </x14:formula1>
          <xm:sqref>D2:D50</xm:sqref>
        </x14:dataValidation>
        <x14:dataValidation type="list" allowBlank="1" showInputMessage="1" showErrorMessage="1" xr:uid="{195850E2-0F64-4238-99F4-28B65889AF8F}">
          <x14:formula1>
            <xm:f>'Data Validation'!$K$2:$K$6</xm:f>
          </x14:formula1>
          <xm:sqref>C2:C50</xm:sqref>
        </x14:dataValidation>
        <x14:dataValidation type="list" allowBlank="1" showInputMessage="1" showErrorMessage="1" xr:uid="{D2FEE0A9-12DA-4649-8558-95BEE4A9E4F9}">
          <x14:formula1>
            <xm:f>'Data Validation'!$M$2:$M$7</xm:f>
          </x14:formula1>
          <xm:sqref>E2:E50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67758-55B1-43C5-90E9-B5ADA7907620}">
  <sheetPr>
    <tabColor theme="3" tint="0.59999389629810485"/>
  </sheetPr>
  <dimension ref="A1:D15"/>
  <sheetViews>
    <sheetView zoomScale="123" workbookViewId="0">
      <selection sqref="A1:D15"/>
    </sheetView>
  </sheetViews>
  <sheetFormatPr defaultRowHeight="15"/>
  <cols>
    <col min="1" max="3" width="20.140625" customWidth="1"/>
    <col min="4" max="4" width="27" bestFit="1" customWidth="1"/>
  </cols>
  <sheetData>
    <row r="1" spans="1:4">
      <c r="A1" s="19" t="s">
        <v>9350</v>
      </c>
      <c r="B1" s="19" t="s">
        <v>514</v>
      </c>
      <c r="C1" s="19" t="s">
        <v>9351</v>
      </c>
      <c r="D1" s="19" t="s">
        <v>9352</v>
      </c>
    </row>
    <row r="2" spans="1:4" hidden="1">
      <c r="A2" t="s">
        <v>9353</v>
      </c>
      <c r="B2" t="s">
        <v>650</v>
      </c>
      <c r="C2" s="14" t="s">
        <v>9354</v>
      </c>
      <c r="D2" t="s">
        <v>11056</v>
      </c>
    </row>
    <row r="3" spans="1:4" hidden="1">
      <c r="A3" t="s">
        <v>9378</v>
      </c>
      <c r="B3" t="s">
        <v>650</v>
      </c>
      <c r="C3" s="14" t="s">
        <v>9355</v>
      </c>
      <c r="D3" t="s">
        <v>11057</v>
      </c>
    </row>
    <row r="4" spans="1:4" hidden="1">
      <c r="A4" t="s">
        <v>9405</v>
      </c>
      <c r="B4" t="s">
        <v>650</v>
      </c>
      <c r="C4" s="14" t="s">
        <v>9356</v>
      </c>
      <c r="D4" t="s">
        <v>11058</v>
      </c>
    </row>
    <row r="5" spans="1:4">
      <c r="A5" t="s">
        <v>9369</v>
      </c>
      <c r="B5" t="s">
        <v>650</v>
      </c>
      <c r="C5" s="14" t="s">
        <v>9357</v>
      </c>
      <c r="D5" t="s">
        <v>11059</v>
      </c>
    </row>
    <row r="6" spans="1:4" hidden="1">
      <c r="A6" t="s">
        <v>9353</v>
      </c>
      <c r="B6" t="s">
        <v>519</v>
      </c>
      <c r="C6" s="14" t="s">
        <v>9358</v>
      </c>
      <c r="D6" t="s">
        <v>11060</v>
      </c>
    </row>
    <row r="7" spans="1:4" hidden="1">
      <c r="A7" t="s">
        <v>9378</v>
      </c>
      <c r="B7" t="s">
        <v>519</v>
      </c>
      <c r="C7" s="14" t="s">
        <v>9359</v>
      </c>
      <c r="D7" t="s">
        <v>11061</v>
      </c>
    </row>
    <row r="8" spans="1:4" hidden="1">
      <c r="A8" t="s">
        <v>9405</v>
      </c>
      <c r="B8" t="s">
        <v>519</v>
      </c>
      <c r="C8" s="14" t="s">
        <v>9360</v>
      </c>
      <c r="D8" t="s">
        <v>11062</v>
      </c>
    </row>
    <row r="9" spans="1:4">
      <c r="A9" t="s">
        <v>9369</v>
      </c>
      <c r="B9" t="s">
        <v>519</v>
      </c>
      <c r="C9" s="14" t="s">
        <v>9361</v>
      </c>
      <c r="D9" t="s">
        <v>11063</v>
      </c>
    </row>
    <row r="10" spans="1:4" hidden="1">
      <c r="A10" t="s">
        <v>9353</v>
      </c>
      <c r="B10" t="s">
        <v>1323</v>
      </c>
      <c r="C10" s="14" t="s">
        <v>9362</v>
      </c>
      <c r="D10" t="s">
        <v>11064</v>
      </c>
    </row>
    <row r="11" spans="1:4" hidden="1">
      <c r="A11" t="s">
        <v>9378</v>
      </c>
      <c r="B11" t="s">
        <v>12313</v>
      </c>
      <c r="C11" s="14" t="s">
        <v>9363</v>
      </c>
      <c r="D11" t="s">
        <v>11065</v>
      </c>
    </row>
    <row r="12" spans="1:4" hidden="1">
      <c r="A12" t="s">
        <v>9405</v>
      </c>
      <c r="B12" t="s">
        <v>12313</v>
      </c>
      <c r="C12" s="14" t="s">
        <v>9364</v>
      </c>
      <c r="D12" t="s">
        <v>11066</v>
      </c>
    </row>
    <row r="13" spans="1:4">
      <c r="A13" t="s">
        <v>9369</v>
      </c>
      <c r="B13" t="s">
        <v>1323</v>
      </c>
      <c r="C13" s="14" t="s">
        <v>11230</v>
      </c>
      <c r="D13" t="s">
        <v>11067</v>
      </c>
    </row>
    <row r="14" spans="1:4">
      <c r="A14" t="s">
        <v>9369</v>
      </c>
      <c r="B14" t="s">
        <v>11245</v>
      </c>
      <c r="C14" t="s">
        <v>11246</v>
      </c>
      <c r="D14" t="s">
        <v>11248</v>
      </c>
    </row>
    <row r="15" spans="1:4">
      <c r="A15" t="s">
        <v>9369</v>
      </c>
      <c r="B15" t="s">
        <v>11244</v>
      </c>
      <c r="C15" t="s">
        <v>11247</v>
      </c>
      <c r="D15" t="s">
        <v>11249</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661C2ED2-2D12-4020-A5B7-053BEBA6EB6E}">
          <x14:formula1>
            <xm:f>'Data Validation'!$I$2:$I$5</xm:f>
          </x14:formula1>
          <xm:sqref>A2:A15</xm:sqref>
        </x14:dataValidation>
        <x14:dataValidation type="list" allowBlank="1" showInputMessage="1" showErrorMessage="1" xr:uid="{3D81B563-C65D-4DF8-9DEF-DF2258853C0F}">
          <x14:formula1>
            <xm:f>'Data Validation'!$K$2:$K$9</xm:f>
          </x14:formula1>
          <xm:sqref>B2:B15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3228-DB0B-408F-ADB1-2DD31EDA6C6F}">
  <dimension ref="A1:N1048576"/>
  <sheetViews>
    <sheetView zoomScale="71" zoomScaleNormal="71" workbookViewId="0">
      <selection sqref="A1:N9"/>
    </sheetView>
  </sheetViews>
  <sheetFormatPr defaultColWidth="9" defaultRowHeight="18.75"/>
  <cols>
    <col min="1" max="1" width="12.7109375" style="7" bestFit="1" customWidth="1"/>
    <col min="2" max="2" width="9" style="7"/>
    <col min="3" max="3" width="13.7109375" style="7" bestFit="1" customWidth="1"/>
    <col min="4" max="4" width="9" style="7"/>
    <col min="5" max="5" width="22.5703125" style="7" bestFit="1" customWidth="1"/>
    <col min="6" max="6" width="9" style="7"/>
    <col min="7" max="7" width="16.140625" style="7" bestFit="1" customWidth="1"/>
    <col min="8" max="8" width="9" style="7"/>
    <col min="9" max="9" width="24" style="7" bestFit="1" customWidth="1"/>
    <col min="10" max="10" width="9" style="7"/>
    <col min="11" max="11" width="23.7109375" style="7" bestFit="1" customWidth="1"/>
    <col min="12" max="12" width="9" style="7"/>
    <col min="13" max="13" width="12" style="7" bestFit="1" customWidth="1"/>
    <col min="14" max="14" width="12.42578125" style="7" bestFit="1" customWidth="1"/>
    <col min="15" max="16384" width="9" style="7"/>
  </cols>
  <sheetData>
    <row r="1" spans="1:14">
      <c r="A1" s="7" t="s">
        <v>495</v>
      </c>
      <c r="C1" s="7" t="s">
        <v>1</v>
      </c>
      <c r="E1" s="7" t="s">
        <v>501</v>
      </c>
      <c r="G1" s="18" t="s">
        <v>11068</v>
      </c>
      <c r="I1" s="18" t="s">
        <v>9367</v>
      </c>
      <c r="K1" s="7" t="s">
        <v>514</v>
      </c>
      <c r="M1" s="7" t="s">
        <v>11072</v>
      </c>
      <c r="N1" s="7" t="s">
        <v>11073</v>
      </c>
    </row>
    <row r="2" spans="1:14">
      <c r="A2" s="7" t="s">
        <v>496</v>
      </c>
      <c r="C2" s="7" t="s">
        <v>500</v>
      </c>
      <c r="E2" s="7" t="s">
        <v>503</v>
      </c>
      <c r="G2" s="7" t="s">
        <v>9369</v>
      </c>
      <c r="I2" s="7" t="s">
        <v>9369</v>
      </c>
      <c r="K2" s="7" t="s">
        <v>650</v>
      </c>
      <c r="M2" s="7" t="s">
        <v>11069</v>
      </c>
    </row>
    <row r="3" spans="1:14">
      <c r="A3" s="7" t="s">
        <v>497</v>
      </c>
      <c r="C3" s="7" t="s">
        <v>5</v>
      </c>
      <c r="E3" s="7" t="s">
        <v>502</v>
      </c>
      <c r="G3" s="7" t="s">
        <v>9378</v>
      </c>
      <c r="I3" s="7" t="s">
        <v>9378</v>
      </c>
      <c r="K3" s="7" t="s">
        <v>519</v>
      </c>
      <c r="M3" s="7" t="s">
        <v>11070</v>
      </c>
    </row>
    <row r="4" spans="1:14">
      <c r="A4" s="7" t="s">
        <v>498</v>
      </c>
      <c r="C4" s="7" t="s">
        <v>183</v>
      </c>
      <c r="I4" s="7" t="s">
        <v>9353</v>
      </c>
      <c r="K4" s="7" t="s">
        <v>1323</v>
      </c>
      <c r="M4" s="7" t="s">
        <v>11074</v>
      </c>
    </row>
    <row r="5" spans="1:14">
      <c r="A5" s="7" t="s">
        <v>499</v>
      </c>
      <c r="I5" s="7" t="s">
        <v>9405</v>
      </c>
      <c r="K5" s="7" t="s">
        <v>11244</v>
      </c>
      <c r="M5" s="7" t="s">
        <v>11071</v>
      </c>
    </row>
    <row r="6" spans="1:14">
      <c r="K6" s="7" t="s">
        <v>11245</v>
      </c>
      <c r="M6" s="7" t="s">
        <v>11250</v>
      </c>
    </row>
    <row r="7" spans="1:14">
      <c r="K7" s="7" t="s">
        <v>12311</v>
      </c>
      <c r="M7" s="7" t="s">
        <v>11251</v>
      </c>
    </row>
    <row r="8" spans="1:14">
      <c r="K8" s="7" t="s">
        <v>12312</v>
      </c>
    </row>
    <row r="9" spans="1:14">
      <c r="K9" s="7" t="s">
        <v>12313</v>
      </c>
    </row>
    <row r="1048576" spans="11:11">
      <c r="K1048576" s="26"/>
    </row>
  </sheetData>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Sản phẩm</vt:lpstr>
      <vt:lpstr>Giá gốc</vt:lpstr>
      <vt:lpstr>Chương trình khuyến mãi</vt:lpstr>
      <vt:lpstr>Thông tin điểm giao</vt:lpstr>
      <vt:lpstr>Khách hàng</vt:lpstr>
      <vt:lpstr>Cost Center</vt:lpstr>
      <vt:lpstr>Data Validation</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Admin</cp:lastModifiedBy>
  <cp:lastPrinted>2026-02-11T03:21:26Z</cp:lastPrinted>
  <dcterms:created xsi:type="dcterms:W3CDTF">2015-06-05T18:17:20Z</dcterms:created>
  <dcterms:modified xsi:type="dcterms:W3CDTF">2026-08-25T04:59:47Z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